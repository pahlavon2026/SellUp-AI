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UZUM\Downloads\"/>
    </mc:Choice>
  </mc:AlternateContent>
  <xr:revisionPtr revIDLastSave="0" documentId="13_ncr:1_{FF112666-911F-42EC-AFE7-5EA2EBF2A525}" xr6:coauthVersionLast="45" xr6:coauthVersionMax="45" xr10:uidLastSave="{00000000-0000-0000-0000-000000000000}"/>
  <bookViews>
    <workbookView xWindow="28680" yWindow="-120" windowWidth="29040" windowHeight="15840" activeTab="1" xr2:uid="{00000000-000D-0000-FFFF-FFFF00000000}"/>
  </bookViews>
  <sheets>
    <sheet name="Калькулятор (РУС)" sheetId="1" r:id="rId1"/>
    <sheet name="Kalkulyator (UZB)" sheetId="2" r:id="rId2"/>
    <sheet name="Комиссия за продажу (РУС)" sheetId="3" r:id="rId3"/>
    <sheet name="Savdo komissiyasi (UZB)" sheetId="4" r:id="rId4"/>
    <sheet name="Логистический СборLogistika tol" sheetId="5" r:id="rId5"/>
    <sheet name="Лист1" sheetId="6" state="hidden" r:id="rId6"/>
  </sheets>
  <definedNames>
    <definedName name="_xlnm._FilterDatabase" localSheetId="3" hidden="1">'Savdo komissiyasi (UZB)'!$A$3:$J$2843</definedName>
    <definedName name="_xlnm._FilterDatabase" localSheetId="2" hidden="1">'Комиссия за продажу (РУС)'!$A$3:$J$2843</definedName>
    <definedName name="Z_A58195BC_0A24_48A1_B247_4337EE7EFEBD_.wvu.FilterData" localSheetId="3" hidden="1">'Savdo komissiyasi (UZB)'!$A$3:$F$365</definedName>
    <definedName name="Z_A58195BC_0A24_48A1_B247_4337EE7EFEBD_.wvu.FilterData" localSheetId="2" hidden="1">'Комиссия за продажу (РУС)'!$A$3:$F$365</definedName>
    <definedName name="Z_E9F6B8E0_D161_42CD_AA58_02B17AB3CB56_.wvu.FilterData" localSheetId="3" hidden="1">'Savdo komissiyasi (UZB)'!$A$3:$F$2843</definedName>
    <definedName name="Z_E9F6B8E0_D161_42CD_AA58_02B17AB3CB56_.wvu.FilterData" localSheetId="2" hidden="1">'Комиссия за продажу (РУС)'!$A$3:$F$2843</definedName>
  </definedNames>
  <calcPr calcId="191029"/>
  <customWorkbookViews>
    <customWorkbookView name="Фильтр 2" guid="{E9F6B8E0-D161-42CD-AA58-02B17AB3CB56}" maximized="1" windowWidth="0" windowHeight="0" activeSheetId="0"/>
    <customWorkbookView name="Фильтр 1" guid="{A58195BC-0A24-48A1-B247-4337EE7EFEBD}" maximized="1" windowWidth="0" windowHeight="0" activeSheetId="0"/>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397" i="4" l="1"/>
  <c r="A1396" i="4"/>
  <c r="A1395" i="4"/>
  <c r="A1394" i="4"/>
  <c r="A1393" i="4"/>
  <c r="A2390" i="4"/>
  <c r="A1392" i="4"/>
  <c r="A1391" i="4"/>
  <c r="A1390" i="4"/>
  <c r="A1389" i="4"/>
  <c r="A1388" i="4"/>
  <c r="A1387" i="4"/>
  <c r="A1386" i="4"/>
  <c r="A1385" i="4"/>
  <c r="A1384" i="4"/>
  <c r="A1383" i="4"/>
  <c r="A1382" i="4"/>
  <c r="A1381" i="4"/>
  <c r="A1380" i="4"/>
  <c r="A1379" i="4"/>
  <c r="A1378" i="4"/>
  <c r="A1377" i="4"/>
  <c r="A1376" i="4"/>
  <c r="A1375" i="4"/>
  <c r="A1374" i="4"/>
  <c r="A1373" i="4"/>
  <c r="A1372" i="4"/>
  <c r="A1371" i="4"/>
  <c r="A1370" i="4"/>
  <c r="A1369" i="4"/>
  <c r="A1368" i="4"/>
  <c r="A1367" i="4"/>
  <c r="A2875" i="4"/>
  <c r="A2874" i="4"/>
  <c r="A2873" i="4"/>
  <c r="A2872" i="4"/>
  <c r="A2871" i="4"/>
  <c r="A2870" i="4"/>
  <c r="A2869" i="4"/>
  <c r="A2868" i="4"/>
  <c r="A2867" i="4"/>
  <c r="A2866" i="4"/>
  <c r="A2865" i="4"/>
  <c r="A2864" i="4"/>
  <c r="A2863" i="4"/>
  <c r="A2862" i="4"/>
  <c r="A2861" i="4"/>
  <c r="A2860" i="4"/>
  <c r="A2859" i="4"/>
  <c r="A2858" i="4"/>
  <c r="A2857" i="4"/>
  <c r="A2856" i="4"/>
  <c r="A2855" i="4"/>
  <c r="A2854" i="4"/>
  <c r="A2853" i="4"/>
  <c r="A2852" i="4"/>
  <c r="A2851" i="4"/>
  <c r="A2850" i="4"/>
  <c r="A2849" i="4"/>
  <c r="A2848" i="4"/>
  <c r="A2847" i="4"/>
  <c r="A2846" i="4"/>
  <c r="A2845" i="4"/>
  <c r="A2844" i="4"/>
  <c r="A2843" i="4"/>
  <c r="A2842" i="4"/>
  <c r="A2841" i="4"/>
  <c r="A2840" i="4"/>
  <c r="A2839" i="4"/>
  <c r="A2838" i="4"/>
  <c r="A2837" i="4"/>
  <c r="A2836" i="4"/>
  <c r="A2835" i="4"/>
  <c r="A2834" i="4"/>
  <c r="A2833" i="4"/>
  <c r="A2832" i="4"/>
  <c r="A2831" i="4"/>
  <c r="A2830" i="4"/>
  <c r="A2829" i="4"/>
  <c r="A2828" i="4"/>
  <c r="A2827" i="4"/>
  <c r="A2826" i="4"/>
  <c r="A2825" i="4"/>
  <c r="A2824" i="4"/>
  <c r="A2823" i="4"/>
  <c r="A2822" i="4"/>
  <c r="A2821" i="4"/>
  <c r="A2820" i="4"/>
  <c r="A2819" i="4"/>
  <c r="A2818" i="4"/>
  <c r="A2817" i="4"/>
  <c r="A2816" i="4"/>
  <c r="A2815" i="4"/>
  <c r="A2814" i="4"/>
  <c r="A2813" i="4"/>
  <c r="A2812" i="4"/>
  <c r="A2811" i="4"/>
  <c r="A2810" i="4"/>
  <c r="A2809" i="4"/>
  <c r="A2808" i="4"/>
  <c r="A2807" i="4"/>
  <c r="A2806" i="4"/>
  <c r="A2805" i="4"/>
  <c r="A2804" i="4"/>
  <c r="A2803" i="4"/>
  <c r="A2802" i="4"/>
  <c r="A2801" i="4"/>
  <c r="A2800" i="4"/>
  <c r="A2799" i="4"/>
  <c r="A2798" i="4"/>
  <c r="A2797" i="4"/>
  <c r="A2796" i="4"/>
  <c r="A2795" i="4"/>
  <c r="A2794" i="4"/>
  <c r="A2793" i="4"/>
  <c r="A2792" i="4"/>
  <c r="A2791" i="4"/>
  <c r="A2790" i="4"/>
  <c r="A2789" i="4"/>
  <c r="A2788" i="4"/>
  <c r="A2787" i="4"/>
  <c r="A2786" i="4"/>
  <c r="A2785" i="4"/>
  <c r="A2784" i="4"/>
  <c r="A2783" i="4"/>
  <c r="A2782" i="4"/>
  <c r="A2781" i="4"/>
  <c r="A2780" i="4"/>
  <c r="A2779" i="4"/>
  <c r="A2778" i="4"/>
  <c r="A2777" i="4"/>
  <c r="A2776" i="4"/>
  <c r="A2775" i="4"/>
  <c r="A2774" i="4"/>
  <c r="A2773" i="4"/>
  <c r="A2772" i="4"/>
  <c r="A2771" i="4"/>
  <c r="A2770" i="4"/>
  <c r="A2769" i="4"/>
  <c r="A2768" i="4"/>
  <c r="A2767" i="4"/>
  <c r="A2766" i="4"/>
  <c r="A2765" i="4"/>
  <c r="A2764" i="4"/>
  <c r="A2763" i="4"/>
  <c r="A2762" i="4"/>
  <c r="A2761" i="4"/>
  <c r="A2760" i="4"/>
  <c r="A2759" i="4"/>
  <c r="A2758" i="4"/>
  <c r="A2757" i="4"/>
  <c r="A2756" i="4"/>
  <c r="A2755" i="4"/>
  <c r="A2754" i="4"/>
  <c r="A2753" i="4"/>
  <c r="A2752" i="4"/>
  <c r="A2751" i="4"/>
  <c r="A2750" i="4"/>
  <c r="A2749" i="4"/>
  <c r="A2748" i="4"/>
  <c r="A2747" i="4"/>
  <c r="A2746" i="4"/>
  <c r="A2745" i="4"/>
  <c r="A2744" i="4"/>
  <c r="A2743" i="4"/>
  <c r="A2742" i="4"/>
  <c r="A2741" i="4"/>
  <c r="A2740" i="4"/>
  <c r="A2739" i="4"/>
  <c r="A2738" i="4"/>
  <c r="A2737" i="4"/>
  <c r="A2736" i="4"/>
  <c r="A2735" i="4"/>
  <c r="A2734" i="4"/>
  <c r="A2733" i="4"/>
  <c r="A2732" i="4"/>
  <c r="A2731" i="4"/>
  <c r="A2730" i="4"/>
  <c r="A2729" i="4"/>
  <c r="A2728" i="4"/>
  <c r="A2727" i="4"/>
  <c r="A2726" i="4"/>
  <c r="A2725" i="4"/>
  <c r="A2724" i="4"/>
  <c r="A2723" i="4"/>
  <c r="A2722" i="4"/>
  <c r="A2721" i="4"/>
  <c r="A2720" i="4"/>
  <c r="A2719" i="4"/>
  <c r="A2718" i="4"/>
  <c r="A2717" i="4"/>
  <c r="A2716" i="4"/>
  <c r="A2715" i="4"/>
  <c r="A2714" i="4"/>
  <c r="A2713" i="4"/>
  <c r="A2712" i="4"/>
  <c r="A2711" i="4"/>
  <c r="A2710" i="4"/>
  <c r="A2709" i="4"/>
  <c r="A2708" i="4"/>
  <c r="A2707" i="4"/>
  <c r="A2706" i="4"/>
  <c r="A2705" i="4"/>
  <c r="A2704" i="4"/>
  <c r="A2703" i="4"/>
  <c r="A2702" i="4"/>
  <c r="A2701" i="4"/>
  <c r="A2700" i="4"/>
  <c r="A2699" i="4"/>
  <c r="A2698" i="4"/>
  <c r="A2697" i="4"/>
  <c r="A2696" i="4"/>
  <c r="A2695" i="4"/>
  <c r="A2694" i="4"/>
  <c r="A2693" i="4"/>
  <c r="A2692" i="4"/>
  <c r="A2691" i="4"/>
  <c r="A2690" i="4"/>
  <c r="A2689" i="4"/>
  <c r="A2688" i="4"/>
  <c r="A2687" i="4"/>
  <c r="A2686" i="4"/>
  <c r="A2685" i="4"/>
  <c r="A2684" i="4"/>
  <c r="A2683" i="4"/>
  <c r="A2682" i="4"/>
  <c r="A2681" i="4"/>
  <c r="A2680" i="4"/>
  <c r="A2679" i="4"/>
  <c r="A2678" i="4"/>
  <c r="A2677" i="4"/>
  <c r="A2676" i="4"/>
  <c r="A2675" i="4"/>
  <c r="A2674" i="4"/>
  <c r="A2673" i="4"/>
  <c r="A2672" i="4"/>
  <c r="A2671" i="4"/>
  <c r="A2670" i="4"/>
  <c r="A2669" i="4"/>
  <c r="A2668" i="4"/>
  <c r="A2667" i="4"/>
  <c r="A2666" i="4"/>
  <c r="A2665" i="4"/>
  <c r="A2664" i="4"/>
  <c r="A2663" i="4"/>
  <c r="A2662" i="4"/>
  <c r="A2661" i="4"/>
  <c r="A2660" i="4"/>
  <c r="A2659" i="4"/>
  <c r="A2658" i="4"/>
  <c r="A2657" i="4"/>
  <c r="A2656" i="4"/>
  <c r="A2655" i="4"/>
  <c r="A2654" i="4"/>
  <c r="A2653" i="4"/>
  <c r="A2652" i="4"/>
  <c r="A2651" i="4"/>
  <c r="A2650" i="4"/>
  <c r="A2649" i="4"/>
  <c r="A2648" i="4"/>
  <c r="A2647" i="4"/>
  <c r="A2646" i="4"/>
  <c r="A2645" i="4"/>
  <c r="A2644" i="4"/>
  <c r="A2643" i="4"/>
  <c r="A2642" i="4"/>
  <c r="A2641" i="4"/>
  <c r="A2640" i="4"/>
  <c r="A2639" i="4"/>
  <c r="A2638" i="4"/>
  <c r="A2637" i="4"/>
  <c r="A2636" i="4"/>
  <c r="A2635" i="4"/>
  <c r="A2634" i="4"/>
  <c r="A2633" i="4"/>
  <c r="A2632" i="4"/>
  <c r="A2631" i="4"/>
  <c r="A2630" i="4"/>
  <c r="A2629" i="4"/>
  <c r="A2628" i="4"/>
  <c r="A2627" i="4"/>
  <c r="A2626" i="4"/>
  <c r="A2625" i="4"/>
  <c r="A2624" i="4"/>
  <c r="A2623" i="4"/>
  <c r="A2622" i="4"/>
  <c r="A2621" i="4"/>
  <c r="A2620" i="4"/>
  <c r="A2619" i="4"/>
  <c r="A2618" i="4"/>
  <c r="A2617" i="4"/>
  <c r="A2616" i="4"/>
  <c r="A2615" i="4"/>
  <c r="A2614" i="4"/>
  <c r="A2613" i="4"/>
  <c r="A2612" i="4"/>
  <c r="A2611" i="4"/>
  <c r="A2610" i="4"/>
  <c r="A2609" i="4"/>
  <c r="A2608" i="4"/>
  <c r="A2607" i="4"/>
  <c r="A2606" i="4"/>
  <c r="A2605" i="4"/>
  <c r="A2604" i="4"/>
  <c r="A2603" i="4"/>
  <c r="A2602" i="4"/>
  <c r="A2601" i="4"/>
  <c r="A2600" i="4"/>
  <c r="A2599" i="4"/>
  <c r="A2598" i="4"/>
  <c r="A2597" i="4"/>
  <c r="A2596" i="4"/>
  <c r="A2595" i="4"/>
  <c r="A2594" i="4"/>
  <c r="A2593" i="4"/>
  <c r="A2592" i="4"/>
  <c r="A2591" i="4"/>
  <c r="A2590" i="4"/>
  <c r="A2589" i="4"/>
  <c r="A2588" i="4"/>
  <c r="A2587" i="4"/>
  <c r="A2586" i="4"/>
  <c r="A2585" i="4"/>
  <c r="A2584" i="4"/>
  <c r="A2583" i="4"/>
  <c r="A2582" i="4"/>
  <c r="A2581" i="4"/>
  <c r="A2580" i="4"/>
  <c r="A2579" i="4"/>
  <c r="A2578" i="4"/>
  <c r="A2577" i="4"/>
  <c r="A2576" i="4"/>
  <c r="A2575" i="4"/>
  <c r="A2574" i="4"/>
  <c r="A2573" i="4"/>
  <c r="A2572" i="4"/>
  <c r="A2571" i="4"/>
  <c r="A2570" i="4"/>
  <c r="A2569" i="4"/>
  <c r="A2568" i="4"/>
  <c r="A2567" i="4"/>
  <c r="A2566" i="4"/>
  <c r="A2565" i="4"/>
  <c r="A2564" i="4"/>
  <c r="A2563" i="4"/>
  <c r="A2562" i="4"/>
  <c r="A2561" i="4"/>
  <c r="A2560" i="4"/>
  <c r="A2559" i="4"/>
  <c r="A2558" i="4"/>
  <c r="A2557" i="4"/>
  <c r="A2556" i="4"/>
  <c r="A2555" i="4"/>
  <c r="A2554" i="4"/>
  <c r="A2553" i="4"/>
  <c r="A2552" i="4"/>
  <c r="A2551" i="4"/>
  <c r="A2550" i="4"/>
  <c r="A2549" i="4"/>
  <c r="A2548" i="4"/>
  <c r="A2547" i="4"/>
  <c r="A2546" i="4"/>
  <c r="A2545" i="4"/>
  <c r="A2544" i="4"/>
  <c r="A2543" i="4"/>
  <c r="A2542" i="4"/>
  <c r="A2541" i="4"/>
  <c r="A2540" i="4"/>
  <c r="A2539" i="4"/>
  <c r="A2538" i="4"/>
  <c r="A2537" i="4"/>
  <c r="A2536" i="4"/>
  <c r="A2535" i="4"/>
  <c r="A2534" i="4"/>
  <c r="A2533" i="4"/>
  <c r="A2532" i="4"/>
  <c r="A2531" i="4"/>
  <c r="A2530" i="4"/>
  <c r="A2529" i="4"/>
  <c r="A2528" i="4"/>
  <c r="A2527" i="4"/>
  <c r="A2526" i="4"/>
  <c r="A2525" i="4"/>
  <c r="A2524" i="4"/>
  <c r="A2523" i="4"/>
  <c r="A2522" i="4"/>
  <c r="A2521" i="4"/>
  <c r="A2520" i="4"/>
  <c r="A2519" i="4"/>
  <c r="A2518" i="4"/>
  <c r="A2517" i="4"/>
  <c r="A2516" i="4"/>
  <c r="A2515" i="4"/>
  <c r="A2514" i="4"/>
  <c r="A2513" i="4"/>
  <c r="A2512" i="4"/>
  <c r="A2511" i="4"/>
  <c r="A2510" i="4"/>
  <c r="A2509" i="4"/>
  <c r="A2508" i="4"/>
  <c r="A2507" i="4"/>
  <c r="A2506" i="4"/>
  <c r="A2505" i="4"/>
  <c r="A2504" i="4"/>
  <c r="A2503" i="4"/>
  <c r="A2502" i="4"/>
  <c r="A2501" i="4"/>
  <c r="A2500" i="4"/>
  <c r="A2499" i="4"/>
  <c r="A2498" i="4"/>
  <c r="A2497" i="4"/>
  <c r="A2496" i="4"/>
  <c r="A2495" i="4"/>
  <c r="A2494" i="4"/>
  <c r="A2493" i="4"/>
  <c r="A2492" i="4"/>
  <c r="A2491" i="4"/>
  <c r="A2490" i="4"/>
  <c r="A2489" i="4"/>
  <c r="A2488" i="4"/>
  <c r="A2487" i="4"/>
  <c r="A2486" i="4"/>
  <c r="A2485" i="4"/>
  <c r="A2484" i="4"/>
  <c r="A2483" i="4"/>
  <c r="A2482" i="4"/>
  <c r="A2481" i="4"/>
  <c r="A2480" i="4"/>
  <c r="A2479" i="4"/>
  <c r="A2478" i="4"/>
  <c r="A2477" i="4"/>
  <c r="A2476" i="4"/>
  <c r="A2475" i="4"/>
  <c r="A2474" i="4"/>
  <c r="A2473" i="4"/>
  <c r="A2472" i="4"/>
  <c r="A2471" i="4"/>
  <c r="A2470" i="4"/>
  <c r="A2469" i="4"/>
  <c r="A2468" i="4"/>
  <c r="A2467" i="4"/>
  <c r="A2466" i="4"/>
  <c r="A2465" i="4"/>
  <c r="A2464" i="4"/>
  <c r="A2463" i="4"/>
  <c r="A2462" i="4"/>
  <c r="A2461" i="4"/>
  <c r="A2460" i="4"/>
  <c r="A2459" i="4"/>
  <c r="A2458" i="4"/>
  <c r="A2457" i="4"/>
  <c r="A2456" i="4"/>
  <c r="A2455" i="4"/>
  <c r="A2454" i="4"/>
  <c r="A2453" i="4"/>
  <c r="A2452" i="4"/>
  <c r="A2451" i="4"/>
  <c r="A2450" i="4"/>
  <c r="A2449" i="4"/>
  <c r="A2448" i="4"/>
  <c r="A2447" i="4"/>
  <c r="A2446" i="4"/>
  <c r="A2445" i="4"/>
  <c r="A2444" i="4"/>
  <c r="A2443" i="4"/>
  <c r="A2442" i="4"/>
  <c r="A2441" i="4"/>
  <c r="A2440" i="4"/>
  <c r="A2439" i="4"/>
  <c r="A2438" i="4"/>
  <c r="A2437" i="4"/>
  <c r="A2436" i="4"/>
  <c r="A2435" i="4"/>
  <c r="A2434" i="4"/>
  <c r="A2433" i="4"/>
  <c r="A2432" i="4"/>
  <c r="A2431" i="4"/>
  <c r="A2430" i="4"/>
  <c r="A2429" i="4"/>
  <c r="A2428" i="4"/>
  <c r="A2427" i="4"/>
  <c r="A2426" i="4"/>
  <c r="A2425" i="4"/>
  <c r="A2424" i="4"/>
  <c r="A2423" i="4"/>
  <c r="A2422" i="4"/>
  <c r="A2421" i="4"/>
  <c r="A2420" i="4"/>
  <c r="A2419" i="4"/>
  <c r="A2418" i="4"/>
  <c r="A2417" i="4"/>
  <c r="A2416" i="4"/>
  <c r="A2415" i="4"/>
  <c r="A2414" i="4"/>
  <c r="A2413" i="4"/>
  <c r="A2412" i="4"/>
  <c r="A2411" i="4"/>
  <c r="A2410" i="4"/>
  <c r="A2409" i="4"/>
  <c r="A2408" i="4"/>
  <c r="A2407" i="4"/>
  <c r="A2406" i="4"/>
  <c r="A2405" i="4"/>
  <c r="A2404" i="4"/>
  <c r="A2403" i="4"/>
  <c r="A2402" i="4"/>
  <c r="A2401" i="4"/>
  <c r="A2400" i="4"/>
  <c r="A2399" i="4"/>
  <c r="A2398" i="4"/>
  <c r="A2397" i="4"/>
  <c r="A2396" i="4"/>
  <c r="A2395" i="4"/>
  <c r="A2394" i="4"/>
  <c r="A2393" i="4"/>
  <c r="A2392" i="4"/>
  <c r="A2391" i="4"/>
  <c r="A2389" i="4"/>
  <c r="A2388" i="4"/>
  <c r="A2387" i="4"/>
  <c r="A2386" i="4"/>
  <c r="A2385" i="4"/>
  <c r="A2384" i="4"/>
  <c r="A2383" i="4"/>
  <c r="A2382" i="4"/>
  <c r="A2381" i="4"/>
  <c r="A2380" i="4"/>
  <c r="A2379" i="4"/>
  <c r="A2378" i="4"/>
  <c r="A2377" i="4"/>
  <c r="A2376" i="4"/>
  <c r="A2375" i="4"/>
  <c r="A2374" i="4"/>
  <c r="A2373" i="4"/>
  <c r="A2372" i="4"/>
  <c r="A2371" i="4"/>
  <c r="A2370" i="4"/>
  <c r="A2369" i="4"/>
  <c r="A2368" i="4"/>
  <c r="A2367" i="4"/>
  <c r="A2366" i="4"/>
  <c r="A2365" i="4"/>
  <c r="A2364" i="4"/>
  <c r="A2363" i="4"/>
  <c r="A2362" i="4"/>
  <c r="A2361" i="4"/>
  <c r="A2360" i="4"/>
  <c r="A2359" i="4"/>
  <c r="A2358" i="4"/>
  <c r="A2357" i="4"/>
  <c r="A2356" i="4"/>
  <c r="A2355" i="4"/>
  <c r="A2354" i="4"/>
  <c r="A2353" i="4"/>
  <c r="A2352" i="4"/>
  <c r="A2351" i="4"/>
  <c r="A2350" i="4"/>
  <c r="A2349" i="4"/>
  <c r="A2348" i="4"/>
  <c r="A2347" i="4"/>
  <c r="A2346" i="4"/>
  <c r="A2345" i="4"/>
  <c r="A2344" i="4"/>
  <c r="A2343" i="4"/>
  <c r="A2342" i="4"/>
  <c r="A2341" i="4"/>
  <c r="A2340" i="4"/>
  <c r="A2339" i="4"/>
  <c r="A2338" i="4"/>
  <c r="A2337" i="4"/>
  <c r="A2336" i="4"/>
  <c r="A2335" i="4"/>
  <c r="A2334" i="4"/>
  <c r="A2333" i="4"/>
  <c r="A2332" i="4"/>
  <c r="A2331" i="4"/>
  <c r="A2330" i="4"/>
  <c r="A2329" i="4"/>
  <c r="A2328" i="4"/>
  <c r="A2327" i="4"/>
  <c r="A2326" i="4"/>
  <c r="A2325" i="4"/>
  <c r="A2324" i="4"/>
  <c r="A2323" i="4"/>
  <c r="A2322" i="4"/>
  <c r="A2321" i="4"/>
  <c r="A2320" i="4"/>
  <c r="A2319" i="4"/>
  <c r="A2318" i="4"/>
  <c r="A2317" i="4"/>
  <c r="A2316" i="4"/>
  <c r="A2315" i="4"/>
  <c r="A2314" i="4"/>
  <c r="A2313" i="4"/>
  <c r="A2312" i="4"/>
  <c r="A2311" i="4"/>
  <c r="A2310" i="4"/>
  <c r="A2309" i="4"/>
  <c r="A2308" i="4"/>
  <c r="A2307" i="4"/>
  <c r="A2306" i="4"/>
  <c r="A2305" i="4"/>
  <c r="A2304" i="4"/>
  <c r="A2303" i="4"/>
  <c r="A2302" i="4"/>
  <c r="A2301" i="4"/>
  <c r="A2300" i="4"/>
  <c r="A2299" i="4"/>
  <c r="A2298" i="4"/>
  <c r="A2297" i="4"/>
  <c r="A2296" i="4"/>
  <c r="A2295" i="4"/>
  <c r="A2294" i="4"/>
  <c r="A2293" i="4"/>
  <c r="A2292" i="4"/>
  <c r="A2291" i="4"/>
  <c r="A2290" i="4"/>
  <c r="A2289" i="4"/>
  <c r="A2288" i="4"/>
  <c r="A2287" i="4"/>
  <c r="A2286" i="4"/>
  <c r="A2285" i="4"/>
  <c r="A2284" i="4"/>
  <c r="A2283" i="4"/>
  <c r="A2282" i="4"/>
  <c r="A2281" i="4"/>
  <c r="A2280" i="4"/>
  <c r="A2279" i="4"/>
  <c r="A2278" i="4"/>
  <c r="A2277" i="4"/>
  <c r="A2276" i="4"/>
  <c r="A2275" i="4"/>
  <c r="A2274" i="4"/>
  <c r="A2273" i="4"/>
  <c r="A2272" i="4"/>
  <c r="A2271" i="4"/>
  <c r="A2270" i="4"/>
  <c r="A2269" i="4"/>
  <c r="A2268" i="4"/>
  <c r="A2267" i="4"/>
  <c r="A2266" i="4"/>
  <c r="A2265" i="4"/>
  <c r="A2264" i="4"/>
  <c r="A2263" i="4"/>
  <c r="A2262" i="4"/>
  <c r="A2261" i="4"/>
  <c r="A2260" i="4"/>
  <c r="A2259" i="4"/>
  <c r="A2258" i="4"/>
  <c r="A2257" i="4"/>
  <c r="A2256" i="4"/>
  <c r="A2255" i="4"/>
  <c r="A2254" i="4"/>
  <c r="A2253" i="4"/>
  <c r="A2252" i="4"/>
  <c r="A2251" i="4"/>
  <c r="A2250" i="4"/>
  <c r="A2249" i="4"/>
  <c r="A2248" i="4"/>
  <c r="A2247" i="4"/>
  <c r="A2246" i="4"/>
  <c r="A2245" i="4"/>
  <c r="A2244" i="4"/>
  <c r="A2243" i="4"/>
  <c r="A2242" i="4"/>
  <c r="A2241" i="4"/>
  <c r="A2240" i="4"/>
  <c r="A2239" i="4"/>
  <c r="A2238" i="4"/>
  <c r="A2237" i="4"/>
  <c r="A2236" i="4"/>
  <c r="A2235" i="4"/>
  <c r="A2234" i="4"/>
  <c r="A2233" i="4"/>
  <c r="A2232" i="4"/>
  <c r="A2231" i="4"/>
  <c r="A2230" i="4"/>
  <c r="A2229" i="4"/>
  <c r="A2228" i="4"/>
  <c r="A2227" i="4"/>
  <c r="A2226" i="4"/>
  <c r="A2225" i="4"/>
  <c r="A2224" i="4"/>
  <c r="A2223" i="4"/>
  <c r="A2222" i="4"/>
  <c r="A2221" i="4"/>
  <c r="A2220" i="4"/>
  <c r="A2219" i="4"/>
  <c r="A2218" i="4"/>
  <c r="A2217" i="4"/>
  <c r="A2216" i="4"/>
  <c r="A2215" i="4"/>
  <c r="A2214" i="4"/>
  <c r="A2213" i="4"/>
  <c r="A2212" i="4"/>
  <c r="A2211" i="4"/>
  <c r="A2210" i="4"/>
  <c r="A2209" i="4"/>
  <c r="A2208" i="4"/>
  <c r="A2207" i="4"/>
  <c r="A2206" i="4"/>
  <c r="A2205" i="4"/>
  <c r="A2204" i="4"/>
  <c r="A2203" i="4"/>
  <c r="A2202" i="4"/>
  <c r="A2201" i="4"/>
  <c r="A2200" i="4"/>
  <c r="A2199" i="4"/>
  <c r="A2198" i="4"/>
  <c r="A2197" i="4"/>
  <c r="A2196" i="4"/>
  <c r="A2195" i="4"/>
  <c r="A2194" i="4"/>
  <c r="A2193" i="4"/>
  <c r="A2192" i="4"/>
  <c r="A2191" i="4"/>
  <c r="A2190" i="4"/>
  <c r="A2189" i="4"/>
  <c r="A2188" i="4"/>
  <c r="A2187" i="4"/>
  <c r="A2186" i="4"/>
  <c r="A2185" i="4"/>
  <c r="A2184" i="4"/>
  <c r="A2183" i="4"/>
  <c r="A2182" i="4"/>
  <c r="A2181" i="4"/>
  <c r="A2180" i="4"/>
  <c r="A2179" i="4"/>
  <c r="A2178" i="4"/>
  <c r="A2177" i="4"/>
  <c r="A2176" i="4"/>
  <c r="A2175" i="4"/>
  <c r="A2174" i="4"/>
  <c r="A2173" i="4"/>
  <c r="A2172" i="4"/>
  <c r="A2171" i="4"/>
  <c r="A2170" i="4"/>
  <c r="A2169" i="4"/>
  <c r="A2168" i="4"/>
  <c r="A2167" i="4"/>
  <c r="A2166" i="4"/>
  <c r="A2165" i="4"/>
  <c r="A2164" i="4"/>
  <c r="A2163" i="4"/>
  <c r="A2162" i="4"/>
  <c r="A2161" i="4"/>
  <c r="A2160" i="4"/>
  <c r="A2159" i="4"/>
  <c r="A2158" i="4"/>
  <c r="A2157" i="4"/>
  <c r="A2156" i="4"/>
  <c r="A2155" i="4"/>
  <c r="A2154" i="4"/>
  <c r="A2153" i="4"/>
  <c r="A2152" i="4"/>
  <c r="A2151" i="4"/>
  <c r="A2150" i="4"/>
  <c r="A2149" i="4"/>
  <c r="A2148" i="4"/>
  <c r="A2147" i="4"/>
  <c r="A2146" i="4"/>
  <c r="A2145" i="4"/>
  <c r="A2144" i="4"/>
  <c r="A2143" i="4"/>
  <c r="A2142" i="4"/>
  <c r="A2141" i="4"/>
  <c r="A2140" i="4"/>
  <c r="A2139" i="4"/>
  <c r="A2138" i="4"/>
  <c r="A2137" i="4"/>
  <c r="A2136" i="4"/>
  <c r="A2135" i="4"/>
  <c r="A2134" i="4"/>
  <c r="A2133" i="4"/>
  <c r="A2132" i="4"/>
  <c r="A2131" i="4"/>
  <c r="A2130" i="4"/>
  <c r="A2129" i="4"/>
  <c r="A2128" i="4"/>
  <c r="A2127" i="4"/>
  <c r="A2126" i="4"/>
  <c r="A2125" i="4"/>
  <c r="A2124" i="4"/>
  <c r="A2123" i="4"/>
  <c r="A2122" i="4"/>
  <c r="A2121" i="4"/>
  <c r="A2120" i="4"/>
  <c r="A2119" i="4"/>
  <c r="A2118" i="4"/>
  <c r="A2117" i="4"/>
  <c r="A2116" i="4"/>
  <c r="A2115" i="4"/>
  <c r="A2114" i="4"/>
  <c r="A2113" i="4"/>
  <c r="A2112" i="4"/>
  <c r="A2111" i="4"/>
  <c r="A2110" i="4"/>
  <c r="A2109" i="4"/>
  <c r="A2108" i="4"/>
  <c r="A2107" i="4"/>
  <c r="A2106" i="4"/>
  <c r="A2105" i="4"/>
  <c r="A2104" i="4"/>
  <c r="A2103" i="4"/>
  <c r="A2102" i="4"/>
  <c r="A2101" i="4"/>
  <c r="A2100" i="4"/>
  <c r="A2099" i="4"/>
  <c r="A2098" i="4"/>
  <c r="A2097" i="4"/>
  <c r="A2096" i="4"/>
  <c r="A2095" i="4"/>
  <c r="A2094" i="4"/>
  <c r="A2093" i="4"/>
  <c r="A2092" i="4"/>
  <c r="A2091" i="4"/>
  <c r="A2090" i="4"/>
  <c r="A2089" i="4"/>
  <c r="A2088" i="4"/>
  <c r="A2087" i="4"/>
  <c r="A2086" i="4"/>
  <c r="A2085" i="4"/>
  <c r="A2084" i="4"/>
  <c r="A2083" i="4"/>
  <c r="A2082" i="4"/>
  <c r="A2081" i="4"/>
  <c r="A2080" i="4"/>
  <c r="A2079" i="4"/>
  <c r="A2078" i="4"/>
  <c r="A2077" i="4"/>
  <c r="A2076" i="4"/>
  <c r="A2075" i="4"/>
  <c r="A2074" i="4"/>
  <c r="A2073" i="4"/>
  <c r="A2072" i="4"/>
  <c r="A2071" i="4"/>
  <c r="A2070" i="4"/>
  <c r="A2069" i="4"/>
  <c r="A2068" i="4"/>
  <c r="A2067" i="4"/>
  <c r="A2066" i="4"/>
  <c r="A2065" i="4"/>
  <c r="A2064" i="4"/>
  <c r="A2063" i="4"/>
  <c r="A2062" i="4"/>
  <c r="A2061" i="4"/>
  <c r="A2060" i="4"/>
  <c r="A2059" i="4"/>
  <c r="A2058" i="4"/>
  <c r="A2057" i="4"/>
  <c r="A2056" i="4"/>
  <c r="A2055" i="4"/>
  <c r="A2054" i="4"/>
  <c r="A2053" i="4"/>
  <c r="A2052" i="4"/>
  <c r="A2051" i="4"/>
  <c r="A2050" i="4"/>
  <c r="A2049" i="4"/>
  <c r="A2048" i="4"/>
  <c r="A2047" i="4"/>
  <c r="A2046" i="4"/>
  <c r="A2045" i="4"/>
  <c r="A2044" i="4"/>
  <c r="A2043" i="4"/>
  <c r="A2042" i="4"/>
  <c r="A2041" i="4"/>
  <c r="A2040" i="4"/>
  <c r="A2039" i="4"/>
  <c r="A2038" i="4"/>
  <c r="A2037" i="4"/>
  <c r="A2036" i="4"/>
  <c r="A2035" i="4"/>
  <c r="A2034" i="4"/>
  <c r="A2033" i="4"/>
  <c r="A2032" i="4"/>
  <c r="A2031" i="4"/>
  <c r="A2030" i="4"/>
  <c r="A2029" i="4"/>
  <c r="A2028" i="4"/>
  <c r="A2027" i="4"/>
  <c r="A2026" i="4"/>
  <c r="A2025" i="4"/>
  <c r="A2024" i="4"/>
  <c r="A2023" i="4"/>
  <c r="A2022" i="4"/>
  <c r="A2021" i="4"/>
  <c r="A2020" i="4"/>
  <c r="A2019" i="4"/>
  <c r="A2018" i="4"/>
  <c r="A2017" i="4"/>
  <c r="A2016" i="4"/>
  <c r="A2015" i="4"/>
  <c r="A2014" i="4"/>
  <c r="A2013" i="4"/>
  <c r="A2012" i="4"/>
  <c r="A2011" i="4"/>
  <c r="A2010" i="4"/>
  <c r="A2009" i="4"/>
  <c r="A2008" i="4"/>
  <c r="A2007" i="4"/>
  <c r="A2006" i="4"/>
  <c r="A2005" i="4"/>
  <c r="A2004" i="4"/>
  <c r="A2003" i="4"/>
  <c r="A2002" i="4"/>
  <c r="A2001" i="4"/>
  <c r="A2000" i="4"/>
  <c r="A1999" i="4"/>
  <c r="A1998" i="4"/>
  <c r="A1997" i="4"/>
  <c r="A1996" i="4"/>
  <c r="A1995" i="4"/>
  <c r="A1994" i="4"/>
  <c r="A1993" i="4"/>
  <c r="A1992" i="4"/>
  <c r="A1991" i="4"/>
  <c r="A1990" i="4"/>
  <c r="A1989" i="4"/>
  <c r="A1988" i="4"/>
  <c r="A1987" i="4"/>
  <c r="A1986" i="4"/>
  <c r="A1985" i="4"/>
  <c r="A1984" i="4"/>
  <c r="A1983" i="4"/>
  <c r="A1982" i="4"/>
  <c r="A1981" i="4"/>
  <c r="A1980" i="4"/>
  <c r="A1979" i="4"/>
  <c r="A1978" i="4"/>
  <c r="A1977" i="4"/>
  <c r="A1976" i="4"/>
  <c r="A1975" i="4"/>
  <c r="A1974" i="4"/>
  <c r="A1973" i="4"/>
  <c r="A1972" i="4"/>
  <c r="A1971" i="4"/>
  <c r="A1970" i="4"/>
  <c r="A1969" i="4"/>
  <c r="A1968" i="4"/>
  <c r="A1967" i="4"/>
  <c r="A1966" i="4"/>
  <c r="A1965" i="4"/>
  <c r="A1964" i="4"/>
  <c r="A1963" i="4"/>
  <c r="A1962" i="4"/>
  <c r="A1961" i="4"/>
  <c r="A1960" i="4"/>
  <c r="A1959" i="4"/>
  <c r="A1958" i="4"/>
  <c r="A1957" i="4"/>
  <c r="A1956" i="4"/>
  <c r="A1955" i="4"/>
  <c r="A1954" i="4"/>
  <c r="A1953" i="4"/>
  <c r="A1952" i="4"/>
  <c r="A1951" i="4"/>
  <c r="A1950" i="4"/>
  <c r="A1949" i="4"/>
  <c r="A1948" i="4"/>
  <c r="A1947" i="4"/>
  <c r="A1946" i="4"/>
  <c r="A1945" i="4"/>
  <c r="A1944" i="4"/>
  <c r="A1943" i="4"/>
  <c r="A1942" i="4"/>
  <c r="A1941" i="4"/>
  <c r="A1940" i="4"/>
  <c r="A1939" i="4"/>
  <c r="A1938" i="4"/>
  <c r="A1937" i="4"/>
  <c r="A1936" i="4"/>
  <c r="A1935" i="4"/>
  <c r="A1934" i="4"/>
  <c r="A1933" i="4"/>
  <c r="A1932" i="4"/>
  <c r="A1931" i="4"/>
  <c r="A1930" i="4"/>
  <c r="A1929" i="4"/>
  <c r="A1928" i="4"/>
  <c r="A1927" i="4"/>
  <c r="A1926" i="4"/>
  <c r="A1925" i="4"/>
  <c r="A1924" i="4"/>
  <c r="A1923" i="4"/>
  <c r="A1922" i="4"/>
  <c r="A1921" i="4"/>
  <c r="A1920" i="4"/>
  <c r="A1919" i="4"/>
  <c r="A1918" i="4"/>
  <c r="A1917" i="4"/>
  <c r="A1916" i="4"/>
  <c r="A1915" i="4"/>
  <c r="A1914" i="4"/>
  <c r="A1913" i="4"/>
  <c r="A1912" i="4"/>
  <c r="A1911" i="4"/>
  <c r="A1910" i="4"/>
  <c r="A1909" i="4"/>
  <c r="A1908" i="4"/>
  <c r="A1907" i="4"/>
  <c r="A1906" i="4"/>
  <c r="A1905" i="4"/>
  <c r="A1904" i="4"/>
  <c r="A1903" i="4"/>
  <c r="A1902" i="4"/>
  <c r="A1901" i="4"/>
  <c r="A1900" i="4"/>
  <c r="A1899" i="4"/>
  <c r="A1898" i="4"/>
  <c r="A1897" i="4"/>
  <c r="A1896" i="4"/>
  <c r="A1895" i="4"/>
  <c r="A1894" i="4"/>
  <c r="A1893" i="4"/>
  <c r="A1892" i="4"/>
  <c r="A1891" i="4"/>
  <c r="A1890" i="4"/>
  <c r="A1889" i="4"/>
  <c r="A1888" i="4"/>
  <c r="A1887" i="4"/>
  <c r="A1886" i="4"/>
  <c r="A1885" i="4"/>
  <c r="A1884" i="4"/>
  <c r="A1883" i="4"/>
  <c r="A1882" i="4"/>
  <c r="A1881" i="4"/>
  <c r="A1880" i="4"/>
  <c r="A1879" i="4"/>
  <c r="A1878" i="4"/>
  <c r="A1877" i="4"/>
  <c r="A1876" i="4"/>
  <c r="A1875" i="4"/>
  <c r="A1874" i="4"/>
  <c r="A1873" i="4"/>
  <c r="A1872" i="4"/>
  <c r="A1871" i="4"/>
  <c r="A1870" i="4"/>
  <c r="A1869" i="4"/>
  <c r="A1868" i="4"/>
  <c r="A1867" i="4"/>
  <c r="A1866" i="4"/>
  <c r="A1865" i="4"/>
  <c r="A1864" i="4"/>
  <c r="A1863" i="4"/>
  <c r="A1862" i="4"/>
  <c r="A1861" i="4"/>
  <c r="A1860" i="4"/>
  <c r="A1859" i="4"/>
  <c r="A1858" i="4"/>
  <c r="A1857" i="4"/>
  <c r="A1856" i="4"/>
  <c r="A1855" i="4"/>
  <c r="A1854" i="4"/>
  <c r="A1853" i="4"/>
  <c r="A1852" i="4"/>
  <c r="A1851" i="4"/>
  <c r="A1850" i="4"/>
  <c r="A1849" i="4"/>
  <c r="A1848" i="4"/>
  <c r="A1847" i="4"/>
  <c r="A1846" i="4"/>
  <c r="A1845" i="4"/>
  <c r="A1844" i="4"/>
  <c r="A1843" i="4"/>
  <c r="A1842" i="4"/>
  <c r="A1841" i="4"/>
  <c r="A1840" i="4"/>
  <c r="A1839" i="4"/>
  <c r="A1838" i="4"/>
  <c r="A1837" i="4"/>
  <c r="A1836" i="4"/>
  <c r="A1835" i="4"/>
  <c r="A1834" i="4"/>
  <c r="A1833" i="4"/>
  <c r="A1832" i="4"/>
  <c r="A1831" i="4"/>
  <c r="A1830" i="4"/>
  <c r="A1829" i="4"/>
  <c r="A1828" i="4"/>
  <c r="A1827" i="4"/>
  <c r="A1826" i="4"/>
  <c r="A1825" i="4"/>
  <c r="A1824" i="4"/>
  <c r="A1823" i="4"/>
  <c r="A1822" i="4"/>
  <c r="A1821" i="4"/>
  <c r="A1820" i="4"/>
  <c r="A1819" i="4"/>
  <c r="A1818" i="4"/>
  <c r="A1817" i="4"/>
  <c r="A1816" i="4"/>
  <c r="A1815" i="4"/>
  <c r="A1814" i="4"/>
  <c r="A1813" i="4"/>
  <c r="A1812" i="4"/>
  <c r="A1811" i="4"/>
  <c r="A1810" i="4"/>
  <c r="A1809" i="4"/>
  <c r="A1808" i="4"/>
  <c r="A1807" i="4"/>
  <c r="A1806" i="4"/>
  <c r="A1805" i="4"/>
  <c r="A1804" i="4"/>
  <c r="A1803" i="4"/>
  <c r="A1802" i="4"/>
  <c r="A1801" i="4"/>
  <c r="A1800" i="4"/>
  <c r="A1799" i="4"/>
  <c r="A1798" i="4"/>
  <c r="A1797" i="4"/>
  <c r="A1796" i="4"/>
  <c r="A1795" i="4"/>
  <c r="A1794" i="4"/>
  <c r="A1793" i="4"/>
  <c r="A1792" i="4"/>
  <c r="A1791" i="4"/>
  <c r="A1790" i="4"/>
  <c r="A1789" i="4"/>
  <c r="A1788" i="4"/>
  <c r="A1787" i="4"/>
  <c r="A1786" i="4"/>
  <c r="A1785" i="4"/>
  <c r="A1784" i="4"/>
  <c r="A1783" i="4"/>
  <c r="A1782" i="4"/>
  <c r="A1781" i="4"/>
  <c r="A1780" i="4"/>
  <c r="A1779" i="4"/>
  <c r="A1778" i="4"/>
  <c r="A1777" i="4"/>
  <c r="A1776" i="4"/>
  <c r="A1775" i="4"/>
  <c r="A1774" i="4"/>
  <c r="A1773" i="4"/>
  <c r="A1772" i="4"/>
  <c r="A1771" i="4"/>
  <c r="A1770" i="4"/>
  <c r="A1769" i="4"/>
  <c r="A1768" i="4"/>
  <c r="A1767" i="4"/>
  <c r="A1766" i="4"/>
  <c r="A1765" i="4"/>
  <c r="A1764" i="4"/>
  <c r="A1763" i="4"/>
  <c r="A1762" i="4"/>
  <c r="A1761" i="4"/>
  <c r="A1760" i="4"/>
  <c r="A1759" i="4"/>
  <c r="A1758" i="4"/>
  <c r="A1757" i="4"/>
  <c r="A1756" i="4"/>
  <c r="A1755" i="4"/>
  <c r="A1754" i="4"/>
  <c r="A1753" i="4"/>
  <c r="A1752" i="4"/>
  <c r="A1751" i="4"/>
  <c r="A1750" i="4"/>
  <c r="A1749" i="4"/>
  <c r="A1748" i="4"/>
  <c r="A1747" i="4"/>
  <c r="A1746" i="4"/>
  <c r="A1745" i="4"/>
  <c r="A1744" i="4"/>
  <c r="A1743" i="4"/>
  <c r="A1742" i="4"/>
  <c r="A1741" i="4"/>
  <c r="A1740" i="4"/>
  <c r="A1739" i="4"/>
  <c r="A1738" i="4"/>
  <c r="A1737" i="4"/>
  <c r="A1736" i="4"/>
  <c r="A1735" i="4"/>
  <c r="A1734" i="4"/>
  <c r="A1733" i="4"/>
  <c r="A1732" i="4"/>
  <c r="A1731" i="4"/>
  <c r="A1730" i="4"/>
  <c r="A1729" i="4"/>
  <c r="A1728" i="4"/>
  <c r="A1727" i="4"/>
  <c r="A1726" i="4"/>
  <c r="A1725" i="4"/>
  <c r="A1724" i="4"/>
  <c r="A1723" i="4"/>
  <c r="A1722" i="4"/>
  <c r="A1721" i="4"/>
  <c r="A1720" i="4"/>
  <c r="A1719" i="4"/>
  <c r="A1718" i="4"/>
  <c r="A1717" i="4"/>
  <c r="A1716" i="4"/>
  <c r="A1715" i="4"/>
  <c r="A1714" i="4"/>
  <c r="A1713" i="4"/>
  <c r="A1712" i="4"/>
  <c r="A1711" i="4"/>
  <c r="A1710" i="4"/>
  <c r="A1709" i="4"/>
  <c r="A1708" i="4"/>
  <c r="A1707" i="4"/>
  <c r="A1706" i="4"/>
  <c r="A1705" i="4"/>
  <c r="A1704" i="4"/>
  <c r="A1703" i="4"/>
  <c r="A1702" i="4"/>
  <c r="A1701" i="4"/>
  <c r="A1700" i="4"/>
  <c r="A1699" i="4"/>
  <c r="A1698" i="4"/>
  <c r="A1697" i="4"/>
  <c r="A1696" i="4"/>
  <c r="A1695" i="4"/>
  <c r="A1694" i="4"/>
  <c r="A1693" i="4"/>
  <c r="A1692" i="4"/>
  <c r="A1691" i="4"/>
  <c r="A1690" i="4"/>
  <c r="A1689" i="4"/>
  <c r="A1688" i="4"/>
  <c r="A1687" i="4"/>
  <c r="A1686" i="4"/>
  <c r="A1685" i="4"/>
  <c r="A1684" i="4"/>
  <c r="A1683" i="4"/>
  <c r="A1682" i="4"/>
  <c r="A1681" i="4"/>
  <c r="A1680" i="4"/>
  <c r="A1679" i="4"/>
  <c r="A1678" i="4"/>
  <c r="A1677" i="4"/>
  <c r="A1676" i="4"/>
  <c r="A1675" i="4"/>
  <c r="A1674" i="4"/>
  <c r="A1673" i="4"/>
  <c r="A1672" i="4"/>
  <c r="A1671" i="4"/>
  <c r="A1670" i="4"/>
  <c r="A1669" i="4"/>
  <c r="A1668" i="4"/>
  <c r="A1667" i="4"/>
  <c r="A1666" i="4"/>
  <c r="A1665" i="4"/>
  <c r="A1664" i="4"/>
  <c r="A1663" i="4"/>
  <c r="A1662" i="4"/>
  <c r="A1661" i="4"/>
  <c r="A1660" i="4"/>
  <c r="A1659" i="4"/>
  <c r="A1658" i="4"/>
  <c r="A1657" i="4"/>
  <c r="A1656" i="4"/>
  <c r="A1655" i="4"/>
  <c r="A1654" i="4"/>
  <c r="A1653" i="4"/>
  <c r="A1652" i="4"/>
  <c r="A1651" i="4"/>
  <c r="A1650" i="4"/>
  <c r="A1649" i="4"/>
  <c r="A1648" i="4"/>
  <c r="A1647" i="4"/>
  <c r="A1646" i="4"/>
  <c r="A1645" i="4"/>
  <c r="A1644" i="4"/>
  <c r="A1643" i="4"/>
  <c r="A1642" i="4"/>
  <c r="A1641" i="4"/>
  <c r="A1640" i="4"/>
  <c r="A1639" i="4"/>
  <c r="A1638" i="4"/>
  <c r="A1637" i="4"/>
  <c r="A1636" i="4"/>
  <c r="A1635" i="4"/>
  <c r="A1634" i="4"/>
  <c r="A1633" i="4"/>
  <c r="A1632" i="4"/>
  <c r="A1631" i="4"/>
  <c r="A1630" i="4"/>
  <c r="A1629" i="4"/>
  <c r="A1628" i="4"/>
  <c r="A1627" i="4"/>
  <c r="A1626" i="4"/>
  <c r="A1625" i="4"/>
  <c r="A1624" i="4"/>
  <c r="A1623" i="4"/>
  <c r="A1622" i="4"/>
  <c r="A1621" i="4"/>
  <c r="A1620" i="4"/>
  <c r="A1619" i="4"/>
  <c r="A1618" i="4"/>
  <c r="A1617" i="4"/>
  <c r="A1616" i="4"/>
  <c r="A1615" i="4"/>
  <c r="A1614" i="4"/>
  <c r="A1613" i="4"/>
  <c r="A1612" i="4"/>
  <c r="A1611" i="4"/>
  <c r="A1610" i="4"/>
  <c r="A1609" i="4"/>
  <c r="A1608" i="4"/>
  <c r="A1607" i="4"/>
  <c r="A1606" i="4"/>
  <c r="A1605" i="4"/>
  <c r="A1604" i="4"/>
  <c r="A1603" i="4"/>
  <c r="A1602" i="4"/>
  <c r="A1601" i="4"/>
  <c r="A1600" i="4"/>
  <c r="A1599" i="4"/>
  <c r="A1598" i="4"/>
  <c r="A1597" i="4"/>
  <c r="A1596" i="4"/>
  <c r="A1595" i="4"/>
  <c r="A1594" i="4"/>
  <c r="A1593" i="4"/>
  <c r="A1592" i="4"/>
  <c r="A1591" i="4"/>
  <c r="A1590" i="4"/>
  <c r="A1589" i="4"/>
  <c r="A1588" i="4"/>
  <c r="A1587" i="4"/>
  <c r="A1586" i="4"/>
  <c r="A1585" i="4"/>
  <c r="A1584" i="4"/>
  <c r="A1583" i="4"/>
  <c r="A1582" i="4"/>
  <c r="A1581" i="4"/>
  <c r="A1580" i="4"/>
  <c r="A1579" i="4"/>
  <c r="A1578" i="4"/>
  <c r="A1577" i="4"/>
  <c r="A1576" i="4"/>
  <c r="A1575" i="4"/>
  <c r="A1574" i="4"/>
  <c r="A1573" i="4"/>
  <c r="A1572" i="4"/>
  <c r="A1571" i="4"/>
  <c r="A1570" i="4"/>
  <c r="A1569" i="4"/>
  <c r="A1568" i="4"/>
  <c r="A1567" i="4"/>
  <c r="A1566" i="4"/>
  <c r="A1565" i="4"/>
  <c r="A1564" i="4"/>
  <c r="A1563" i="4"/>
  <c r="A1562" i="4"/>
  <c r="A1561" i="4"/>
  <c r="A1560" i="4"/>
  <c r="A1559" i="4"/>
  <c r="A1558" i="4"/>
  <c r="A1557" i="4"/>
  <c r="A1556" i="4"/>
  <c r="A1555" i="4"/>
  <c r="A1554" i="4"/>
  <c r="A1553" i="4"/>
  <c r="A1552" i="4"/>
  <c r="A1551" i="4"/>
  <c r="A1550" i="4"/>
  <c r="A1549" i="4"/>
  <c r="A1548" i="4"/>
  <c r="A1547" i="4"/>
  <c r="A1546" i="4"/>
  <c r="A1545" i="4"/>
  <c r="A1544" i="4"/>
  <c r="A1543" i="4"/>
  <c r="A1542" i="4"/>
  <c r="A1541" i="4"/>
  <c r="A1540" i="4"/>
  <c r="A1539" i="4"/>
  <c r="A1538" i="4"/>
  <c r="A1537" i="4"/>
  <c r="A1536" i="4"/>
  <c r="A1535" i="4"/>
  <c r="A1534" i="4"/>
  <c r="A1533" i="4"/>
  <c r="A1532" i="4"/>
  <c r="A1531" i="4"/>
  <c r="A1530" i="4"/>
  <c r="A1529" i="4"/>
  <c r="A1528" i="4"/>
  <c r="A1527" i="4"/>
  <c r="A1526" i="4"/>
  <c r="A1525" i="4"/>
  <c r="A1524" i="4"/>
  <c r="A1523" i="4"/>
  <c r="A1522" i="4"/>
  <c r="A1521" i="4"/>
  <c r="A1520" i="4"/>
  <c r="A1519" i="4"/>
  <c r="A1518" i="4"/>
  <c r="A1517" i="4"/>
  <c r="A1516" i="4"/>
  <c r="A1515" i="4"/>
  <c r="A1514" i="4"/>
  <c r="A1513" i="4"/>
  <c r="A1512" i="4"/>
  <c r="A1511" i="4"/>
  <c r="A1510" i="4"/>
  <c r="A1509" i="4"/>
  <c r="A1508" i="4"/>
  <c r="A1507" i="4"/>
  <c r="A1506" i="4"/>
  <c r="A1505" i="4"/>
  <c r="A1504" i="4"/>
  <c r="A1503" i="4"/>
  <c r="A1502" i="4"/>
  <c r="A1501" i="4"/>
  <c r="A1500" i="4"/>
  <c r="A1499" i="4"/>
  <c r="A1498" i="4"/>
  <c r="A1497" i="4"/>
  <c r="A1496" i="4"/>
  <c r="A1495" i="4"/>
  <c r="A1494" i="4"/>
  <c r="A1493" i="4"/>
  <c r="A1492" i="4"/>
  <c r="A1491" i="4"/>
  <c r="A1490" i="4"/>
  <c r="A1489" i="4"/>
  <c r="A1488" i="4"/>
  <c r="A1487" i="4"/>
  <c r="A1486" i="4"/>
  <c r="A1485" i="4"/>
  <c r="A1484" i="4"/>
  <c r="A1483" i="4"/>
  <c r="A1482" i="4"/>
  <c r="A1481" i="4"/>
  <c r="A1480" i="4"/>
  <c r="A1479" i="4"/>
  <c r="A1478" i="4"/>
  <c r="A1477" i="4"/>
  <c r="A1476" i="4"/>
  <c r="A1475" i="4"/>
  <c r="A1474" i="4"/>
  <c r="A1473" i="4"/>
  <c r="A1472" i="4"/>
  <c r="A1471" i="4"/>
  <c r="A1470" i="4"/>
  <c r="A1469" i="4"/>
  <c r="A1468" i="4"/>
  <c r="A1467" i="4"/>
  <c r="A1466" i="4"/>
  <c r="A1465" i="4"/>
  <c r="A1464" i="4"/>
  <c r="A1463" i="4"/>
  <c r="A1462" i="4"/>
  <c r="A1461" i="4"/>
  <c r="A1460" i="4"/>
  <c r="A1459" i="4"/>
  <c r="A1458" i="4"/>
  <c r="A1457" i="4"/>
  <c r="A1456" i="4"/>
  <c r="A1455" i="4"/>
  <c r="A1454" i="4"/>
  <c r="A1453" i="4"/>
  <c r="A1452" i="4"/>
  <c r="A1451" i="4"/>
  <c r="A1450" i="4"/>
  <c r="A1449" i="4"/>
  <c r="A1448" i="4"/>
  <c r="A1447" i="4"/>
  <c r="A1446" i="4"/>
  <c r="A1445" i="4"/>
  <c r="A1444" i="4"/>
  <c r="A1443" i="4"/>
  <c r="A1442" i="4"/>
  <c r="A1441" i="4"/>
  <c r="A1440" i="4"/>
  <c r="A1439" i="4"/>
  <c r="A1438" i="4"/>
  <c r="A1437" i="4"/>
  <c r="A1436" i="4"/>
  <c r="A1435" i="4"/>
  <c r="A1434" i="4"/>
  <c r="A1433" i="4"/>
  <c r="A1432" i="4"/>
  <c r="A1431" i="4"/>
  <c r="A1430" i="4"/>
  <c r="A1429" i="4"/>
  <c r="A1428" i="4"/>
  <c r="A1427" i="4"/>
  <c r="A1426" i="4"/>
  <c r="A1425" i="4"/>
  <c r="A1424" i="4"/>
  <c r="A1423" i="4"/>
  <c r="A1422" i="4"/>
  <c r="A1421" i="4"/>
  <c r="A1420" i="4"/>
  <c r="A1419" i="4"/>
  <c r="A1418" i="4"/>
  <c r="A1417" i="4"/>
  <c r="A1416" i="4"/>
  <c r="A1415" i="4"/>
  <c r="A1414" i="4"/>
  <c r="A1413" i="4"/>
  <c r="A1412" i="4"/>
  <c r="A1411" i="4"/>
  <c r="A1410" i="4"/>
  <c r="A1409" i="4"/>
  <c r="A1408" i="4"/>
  <c r="A1407" i="4"/>
  <c r="A1406" i="4"/>
  <c r="A1405" i="4"/>
  <c r="A1404" i="4"/>
  <c r="A1403" i="4"/>
  <c r="A1402" i="4"/>
  <c r="A1401" i="4"/>
  <c r="A1400" i="4"/>
  <c r="A1399" i="4"/>
  <c r="A1398" i="4"/>
  <c r="A1366" i="4"/>
  <c r="A1365" i="4"/>
  <c r="A1364" i="4"/>
  <c r="A1363" i="4"/>
  <c r="A1362" i="4"/>
  <c r="A1361" i="4"/>
  <c r="A1360" i="4"/>
  <c r="A1359" i="4"/>
  <c r="A1358" i="4"/>
  <c r="A1357" i="4"/>
  <c r="A1356" i="4"/>
  <c r="A1355" i="4"/>
  <c r="A1354" i="4"/>
  <c r="A1353" i="4"/>
  <c r="A1352" i="4"/>
  <c r="A1351" i="4"/>
  <c r="A1350" i="4"/>
  <c r="A1349" i="4"/>
  <c r="A1348" i="4"/>
  <c r="A1347" i="4"/>
  <c r="A1346" i="4"/>
  <c r="A1345" i="4"/>
  <c r="A1344" i="4"/>
  <c r="A1343" i="4"/>
  <c r="A1342" i="4"/>
  <c r="A1341" i="4"/>
  <c r="A1340" i="4"/>
  <c r="A1339" i="4"/>
  <c r="A1338" i="4"/>
  <c r="A1337" i="4"/>
  <c r="A1336" i="4"/>
  <c r="A1335" i="4"/>
  <c r="A1334" i="4"/>
  <c r="A1333" i="4"/>
  <c r="A1332" i="4"/>
  <c r="A1331" i="4"/>
  <c r="A1330" i="4"/>
  <c r="A1329" i="4"/>
  <c r="A1328" i="4"/>
  <c r="A1327" i="4"/>
  <c r="A1326" i="4"/>
  <c r="A1325" i="4"/>
  <c r="A1324" i="4"/>
  <c r="A1323" i="4"/>
  <c r="A1322" i="4"/>
  <c r="A1321" i="4"/>
  <c r="A1320" i="4"/>
  <c r="A1319" i="4"/>
  <c r="A1318" i="4"/>
  <c r="A1317" i="4"/>
  <c r="A1316" i="4"/>
  <c r="A1315" i="4"/>
  <c r="A1314" i="4"/>
  <c r="A1313" i="4"/>
  <c r="A1312" i="4"/>
  <c r="A1311" i="4"/>
  <c r="A1310" i="4"/>
  <c r="A1309" i="4"/>
  <c r="A1308" i="4"/>
  <c r="A1307" i="4"/>
  <c r="A1306" i="4"/>
  <c r="A1305" i="4"/>
  <c r="A1304" i="4"/>
  <c r="A1303" i="4"/>
  <c r="A1302" i="4"/>
  <c r="A1301" i="4"/>
  <c r="A1300" i="4"/>
  <c r="A1299" i="4"/>
  <c r="A1298" i="4"/>
  <c r="A1297" i="4"/>
  <c r="A1296" i="4"/>
  <c r="A1295" i="4"/>
  <c r="A1294" i="4"/>
  <c r="A1293" i="4"/>
  <c r="A1292" i="4"/>
  <c r="A1291" i="4"/>
  <c r="A1290" i="4"/>
  <c r="A1289" i="4"/>
  <c r="A1288" i="4"/>
  <c r="A1287" i="4"/>
  <c r="A1286" i="4"/>
  <c r="A1285" i="4"/>
  <c r="A1284" i="4"/>
  <c r="A1283" i="4"/>
  <c r="A1282" i="4"/>
  <c r="A1281" i="4"/>
  <c r="A1280" i="4"/>
  <c r="A1279" i="4"/>
  <c r="A1278" i="4"/>
  <c r="A1277" i="4"/>
  <c r="A1276" i="4"/>
  <c r="A1275" i="4"/>
  <c r="A1274" i="4"/>
  <c r="A1273" i="4"/>
  <c r="A1272" i="4"/>
  <c r="A1271" i="4"/>
  <c r="A1270" i="4"/>
  <c r="A1269" i="4"/>
  <c r="A1268" i="4"/>
  <c r="A1267" i="4"/>
  <c r="A1266" i="4"/>
  <c r="A1265" i="4"/>
  <c r="A1264" i="4"/>
  <c r="A1263" i="4"/>
  <c r="A1262" i="4"/>
  <c r="A1261" i="4"/>
  <c r="A1260" i="4"/>
  <c r="A1259" i="4"/>
  <c r="A1258" i="4"/>
  <c r="A1257" i="4"/>
  <c r="A1256" i="4"/>
  <c r="A1255" i="4"/>
  <c r="A1254" i="4"/>
  <c r="A1253" i="4"/>
  <c r="A1252" i="4"/>
  <c r="A1251" i="4"/>
  <c r="A1250" i="4"/>
  <c r="A1249" i="4"/>
  <c r="A1248" i="4"/>
  <c r="A1247" i="4"/>
  <c r="A1246" i="4"/>
  <c r="A1245" i="4"/>
  <c r="A1244" i="4"/>
  <c r="A1243" i="4"/>
  <c r="A1242" i="4"/>
  <c r="A1241" i="4"/>
  <c r="A1240" i="4"/>
  <c r="A1239" i="4"/>
  <c r="A1238" i="4"/>
  <c r="A1237" i="4"/>
  <c r="A1236" i="4"/>
  <c r="A1235" i="4"/>
  <c r="A1234" i="4"/>
  <c r="A1233" i="4"/>
  <c r="A1232" i="4"/>
  <c r="A1231" i="4"/>
  <c r="A1230" i="4"/>
  <c r="A1229" i="4"/>
  <c r="A1228" i="4"/>
  <c r="A1227" i="4"/>
  <c r="A1226" i="4"/>
  <c r="A1225" i="4"/>
  <c r="A1224" i="4"/>
  <c r="A1223" i="4"/>
  <c r="A1222" i="4"/>
  <c r="A1221" i="4"/>
  <c r="A1220" i="4"/>
  <c r="A1219" i="4"/>
  <c r="A1218" i="4"/>
  <c r="A1217" i="4"/>
  <c r="A1216" i="4"/>
  <c r="A1215" i="4"/>
  <c r="A1214" i="4"/>
  <c r="A1213" i="4"/>
  <c r="A1212" i="4"/>
  <c r="A1211" i="4"/>
  <c r="A1210" i="4"/>
  <c r="A1209" i="4"/>
  <c r="A1208" i="4"/>
  <c r="A1207" i="4"/>
  <c r="A1206" i="4"/>
  <c r="A1205" i="4"/>
  <c r="A1204" i="4"/>
  <c r="A1203" i="4"/>
  <c r="A1202" i="4"/>
  <c r="A1201" i="4"/>
  <c r="A1200" i="4"/>
  <c r="A1199" i="4"/>
  <c r="A1198" i="4"/>
  <c r="A1197" i="4"/>
  <c r="A1196" i="4"/>
  <c r="A1195" i="4"/>
  <c r="A1194" i="4"/>
  <c r="A1193" i="4"/>
  <c r="A1192" i="4"/>
  <c r="A1191" i="4"/>
  <c r="A1190" i="4"/>
  <c r="A1189" i="4"/>
  <c r="A1188" i="4"/>
  <c r="A1187" i="4"/>
  <c r="A1186" i="4"/>
  <c r="A1185" i="4"/>
  <c r="A1184" i="4"/>
  <c r="A1183" i="4"/>
  <c r="A1182" i="4"/>
  <c r="A1181" i="4"/>
  <c r="A1180" i="4"/>
  <c r="A1179" i="4"/>
  <c r="A1178" i="4"/>
  <c r="A1177" i="4"/>
  <c r="A1176" i="4"/>
  <c r="A1175" i="4"/>
  <c r="A1174" i="4"/>
  <c r="A1173" i="4"/>
  <c r="A1172" i="4"/>
  <c r="A1171" i="4"/>
  <c r="A1170" i="4"/>
  <c r="A1169" i="4"/>
  <c r="A1168" i="4"/>
  <c r="A1167" i="4"/>
  <c r="A1166" i="4"/>
  <c r="A1165" i="4"/>
  <c r="A1164" i="4"/>
  <c r="A1163" i="4"/>
  <c r="A1162" i="4"/>
  <c r="A1161" i="4"/>
  <c r="A1160" i="4"/>
  <c r="A1159" i="4"/>
  <c r="A1158" i="4"/>
  <c r="A1157" i="4"/>
  <c r="A1156" i="4"/>
  <c r="A1155" i="4"/>
  <c r="A1154" i="4"/>
  <c r="A1153" i="4"/>
  <c r="A1152" i="4"/>
  <c r="A1151" i="4"/>
  <c r="A1150" i="4"/>
  <c r="A1149" i="4"/>
  <c r="A1148" i="4"/>
  <c r="A1147" i="4"/>
  <c r="A1146" i="4"/>
  <c r="A1145" i="4"/>
  <c r="A1144" i="4"/>
  <c r="A1143" i="4"/>
  <c r="A1142" i="4"/>
  <c r="A1141" i="4"/>
  <c r="A1140" i="4"/>
  <c r="A1139" i="4"/>
  <c r="A1138" i="4"/>
  <c r="A1137" i="4"/>
  <c r="A1136" i="4"/>
  <c r="A1135" i="4"/>
  <c r="A1134" i="4"/>
  <c r="A1133" i="4"/>
  <c r="A1132" i="4"/>
  <c r="A1131" i="4"/>
  <c r="A1130" i="4"/>
  <c r="A1129" i="4"/>
  <c r="A1128" i="4"/>
  <c r="A1127" i="4"/>
  <c r="A1126" i="4"/>
  <c r="A1125" i="4"/>
  <c r="A1124" i="4"/>
  <c r="A1123" i="4"/>
  <c r="A1122" i="4"/>
  <c r="A1121" i="4"/>
  <c r="A1120" i="4"/>
  <c r="A1119" i="4"/>
  <c r="A1118" i="4"/>
  <c r="A1117" i="4"/>
  <c r="A1116" i="4"/>
  <c r="A1115" i="4"/>
  <c r="A1114" i="4"/>
  <c r="A1113" i="4"/>
  <c r="A1112" i="4"/>
  <c r="A1111" i="4"/>
  <c r="A1110" i="4"/>
  <c r="A1109" i="4"/>
  <c r="A1108" i="4"/>
  <c r="A1107" i="4"/>
  <c r="A1106" i="4"/>
  <c r="A1105" i="4"/>
  <c r="A1104" i="4"/>
  <c r="A1103" i="4"/>
  <c r="A1102" i="4"/>
  <c r="A1101" i="4"/>
  <c r="A1100" i="4"/>
  <c r="A1099" i="4"/>
  <c r="A1098" i="4"/>
  <c r="A1097" i="4"/>
  <c r="A1096" i="4"/>
  <c r="A1095" i="4"/>
  <c r="A1094" i="4"/>
  <c r="A1093" i="4"/>
  <c r="A1092" i="4"/>
  <c r="A1091" i="4"/>
  <c r="A1090" i="4"/>
  <c r="A1089" i="4"/>
  <c r="A1088" i="4"/>
  <c r="A1087" i="4"/>
  <c r="A1086" i="4"/>
  <c r="A1085" i="4"/>
  <c r="A1084" i="4"/>
  <c r="A1083" i="4"/>
  <c r="A1082" i="4"/>
  <c r="A1081" i="4"/>
  <c r="A1080" i="4"/>
  <c r="A1079" i="4"/>
  <c r="A1078" i="4"/>
  <c r="A1077" i="4"/>
  <c r="A1076" i="4"/>
  <c r="A1075" i="4"/>
  <c r="A1074" i="4"/>
  <c r="A1073" i="4"/>
  <c r="A1072" i="4"/>
  <c r="A1071" i="4"/>
  <c r="A1070" i="4"/>
  <c r="A1069" i="4"/>
  <c r="A1068" i="4"/>
  <c r="A1067" i="4"/>
  <c r="A1066" i="4"/>
  <c r="A1065" i="4"/>
  <c r="A1064" i="4"/>
  <c r="A1063" i="4"/>
  <c r="A1062" i="4"/>
  <c r="A1061" i="4"/>
  <c r="A1060" i="4"/>
  <c r="A1059" i="4"/>
  <c r="A1058" i="4"/>
  <c r="A1057" i="4"/>
  <c r="A1056" i="4"/>
  <c r="A1055" i="4"/>
  <c r="A1054" i="4"/>
  <c r="A1053" i="4"/>
  <c r="A1052" i="4"/>
  <c r="A1051" i="4"/>
  <c r="A1050" i="4"/>
  <c r="A1049" i="4"/>
  <c r="A1048" i="4"/>
  <c r="A1047" i="4"/>
  <c r="A1046" i="4"/>
  <c r="A1045" i="4"/>
  <c r="A1044" i="4"/>
  <c r="A1043" i="4"/>
  <c r="A1042" i="4"/>
  <c r="A1041" i="4"/>
  <c r="A1040" i="4"/>
  <c r="A1039" i="4"/>
  <c r="A1038" i="4"/>
  <c r="A1037" i="4"/>
  <c r="A1036" i="4"/>
  <c r="A1035" i="4"/>
  <c r="A1034" i="4"/>
  <c r="A1033" i="4"/>
  <c r="A1032" i="4"/>
  <c r="A1031" i="4"/>
  <c r="A1030" i="4"/>
  <c r="A1029" i="4"/>
  <c r="A1028" i="4"/>
  <c r="A1027" i="4"/>
  <c r="A1026" i="4"/>
  <c r="A1025" i="4"/>
  <c r="A1024" i="4"/>
  <c r="A1023" i="4"/>
  <c r="A1022" i="4"/>
  <c r="A1021" i="4"/>
  <c r="A1020" i="4"/>
  <c r="A1019" i="4"/>
  <c r="A1018" i="4"/>
  <c r="A1017" i="4"/>
  <c r="A1016" i="4"/>
  <c r="A1015" i="4"/>
  <c r="A1014" i="4"/>
  <c r="A1013" i="4"/>
  <c r="A1012" i="4"/>
  <c r="A1011" i="4"/>
  <c r="A1010" i="4"/>
  <c r="A1009" i="4"/>
  <c r="A1008" i="4"/>
  <c r="A1007" i="4"/>
  <c r="A1006" i="4"/>
  <c r="A1005" i="4"/>
  <c r="A1004" i="4"/>
  <c r="A1003" i="4"/>
  <c r="A1002" i="4"/>
  <c r="A1001" i="4"/>
  <c r="A1000" i="4"/>
  <c r="A999" i="4"/>
  <c r="A998" i="4"/>
  <c r="A997" i="4"/>
  <c r="A996" i="4"/>
  <c r="A995" i="4"/>
  <c r="A994" i="4"/>
  <c r="A993" i="4"/>
  <c r="A992" i="4"/>
  <c r="A991" i="4"/>
  <c r="A990" i="4"/>
  <c r="A989" i="4"/>
  <c r="A988" i="4"/>
  <c r="A987" i="4"/>
  <c r="A986" i="4"/>
  <c r="A985" i="4"/>
  <c r="A984" i="4"/>
  <c r="A983" i="4"/>
  <c r="A982" i="4"/>
  <c r="A981" i="4"/>
  <c r="A980" i="4"/>
  <c r="A979" i="4"/>
  <c r="A978" i="4"/>
  <c r="A977" i="4"/>
  <c r="A976" i="4"/>
  <c r="A975" i="4"/>
  <c r="A974" i="4"/>
  <c r="A973" i="4"/>
  <c r="A972" i="4"/>
  <c r="A971" i="4"/>
  <c r="A970" i="4"/>
  <c r="A969" i="4"/>
  <c r="A968" i="4"/>
  <c r="A967" i="4"/>
  <c r="A966" i="4"/>
  <c r="A965" i="4"/>
  <c r="A964" i="4"/>
  <c r="A963" i="4"/>
  <c r="A962" i="4"/>
  <c r="A961" i="4"/>
  <c r="A960" i="4"/>
  <c r="A959" i="4"/>
  <c r="A958" i="4"/>
  <c r="A957" i="4"/>
  <c r="A956" i="4"/>
  <c r="A955" i="4"/>
  <c r="A954" i="4"/>
  <c r="A953" i="4"/>
  <c r="A952" i="4"/>
  <c r="A951" i="4"/>
  <c r="A950" i="4"/>
  <c r="A949" i="4"/>
  <c r="A948" i="4"/>
  <c r="A947" i="4"/>
  <c r="A946" i="4"/>
  <c r="A945" i="4"/>
  <c r="A944" i="4"/>
  <c r="A943" i="4"/>
  <c r="A942" i="4"/>
  <c r="A941" i="4"/>
  <c r="A940" i="4"/>
  <c r="A939" i="4"/>
  <c r="A938" i="4"/>
  <c r="A937" i="4"/>
  <c r="A936" i="4"/>
  <c r="A935" i="4"/>
  <c r="A934" i="4"/>
  <c r="A933" i="4"/>
  <c r="A932" i="4"/>
  <c r="A931" i="4"/>
  <c r="A930" i="4"/>
  <c r="A929" i="4"/>
  <c r="A928" i="4"/>
  <c r="A927" i="4"/>
  <c r="A926" i="4"/>
  <c r="A925" i="4"/>
  <c r="A924" i="4"/>
  <c r="A923" i="4"/>
  <c r="A922" i="4"/>
  <c r="A921" i="4"/>
  <c r="A920" i="4"/>
  <c r="A919" i="4"/>
  <c r="A918" i="4"/>
  <c r="A917" i="4"/>
  <c r="A916" i="4"/>
  <c r="A915" i="4"/>
  <c r="A914" i="4"/>
  <c r="A913" i="4"/>
  <c r="A912" i="4"/>
  <c r="A911" i="4"/>
  <c r="A910" i="4"/>
  <c r="A909" i="4"/>
  <c r="A908" i="4"/>
  <c r="A907" i="4"/>
  <c r="A906" i="4"/>
  <c r="A905" i="4"/>
  <c r="A904" i="4"/>
  <c r="A903" i="4"/>
  <c r="A902" i="4"/>
  <c r="A901" i="4"/>
  <c r="A900" i="4"/>
  <c r="A899" i="4"/>
  <c r="A898" i="4"/>
  <c r="A897" i="4"/>
  <c r="A896" i="4"/>
  <c r="A895" i="4"/>
  <c r="A894" i="4"/>
  <c r="A893" i="4"/>
  <c r="A892" i="4"/>
  <c r="A891" i="4"/>
  <c r="A890" i="4"/>
  <c r="A889" i="4"/>
  <c r="A888" i="4"/>
  <c r="A887" i="4"/>
  <c r="A886" i="4"/>
  <c r="A885" i="4"/>
  <c r="A884" i="4"/>
  <c r="A883" i="4"/>
  <c r="A882" i="4"/>
  <c r="A881" i="4"/>
  <c r="A880" i="4"/>
  <c r="A879" i="4"/>
  <c r="A878" i="4"/>
  <c r="A877" i="4"/>
  <c r="A876" i="4"/>
  <c r="A875" i="4"/>
  <c r="A874" i="4"/>
  <c r="A873" i="4"/>
  <c r="A872" i="4"/>
  <c r="A871" i="4"/>
  <c r="A870" i="4"/>
  <c r="A869" i="4"/>
  <c r="A868" i="4"/>
  <c r="A867" i="4"/>
  <c r="A866" i="4"/>
  <c r="A865" i="4"/>
  <c r="A864" i="4"/>
  <c r="A863" i="4"/>
  <c r="A862" i="4"/>
  <c r="A861" i="4"/>
  <c r="A860" i="4"/>
  <c r="A859" i="4"/>
  <c r="A858" i="4"/>
  <c r="A857" i="4"/>
  <c r="A856" i="4"/>
  <c r="A855" i="4"/>
  <c r="A854" i="4"/>
  <c r="A853" i="4"/>
  <c r="A852" i="4"/>
  <c r="A851" i="4"/>
  <c r="A850" i="4"/>
  <c r="A849" i="4"/>
  <c r="A848" i="4"/>
  <c r="A847" i="4"/>
  <c r="A846" i="4"/>
  <c r="A845" i="4"/>
  <c r="A844" i="4"/>
  <c r="A843" i="4"/>
  <c r="A842" i="4"/>
  <c r="A841" i="4"/>
  <c r="A840" i="4"/>
  <c r="A839" i="4"/>
  <c r="A838" i="4"/>
  <c r="A837" i="4"/>
  <c r="A836" i="4"/>
  <c r="A835" i="4"/>
  <c r="A834" i="4"/>
  <c r="A833" i="4"/>
  <c r="A832" i="4"/>
  <c r="A831" i="4"/>
  <c r="A830" i="4"/>
  <c r="A829" i="4"/>
  <c r="A828" i="4"/>
  <c r="A827" i="4"/>
  <c r="A826" i="4"/>
  <c r="A825" i="4"/>
  <c r="A824" i="4"/>
  <c r="A823" i="4"/>
  <c r="A822" i="4"/>
  <c r="A821" i="4"/>
  <c r="A820" i="4"/>
  <c r="A819" i="4"/>
  <c r="A818" i="4"/>
  <c r="A817" i="4"/>
  <c r="A816" i="4"/>
  <c r="A815" i="4"/>
  <c r="A814" i="4"/>
  <c r="A813" i="4"/>
  <c r="A812" i="4"/>
  <c r="A811" i="4"/>
  <c r="A810" i="4"/>
  <c r="A809" i="4"/>
  <c r="A808" i="4"/>
  <c r="A807" i="4"/>
  <c r="A806" i="4"/>
  <c r="A805" i="4"/>
  <c r="A804" i="4"/>
  <c r="A803" i="4"/>
  <c r="A802" i="4"/>
  <c r="A801" i="4"/>
  <c r="A800" i="4"/>
  <c r="A799" i="4"/>
  <c r="A798" i="4"/>
  <c r="A797" i="4"/>
  <c r="A796" i="4"/>
  <c r="A795" i="4"/>
  <c r="A794" i="4"/>
  <c r="A793" i="4"/>
  <c r="A792" i="4"/>
  <c r="A791" i="4"/>
  <c r="A790" i="4"/>
  <c r="A789" i="4"/>
  <c r="A788" i="4"/>
  <c r="A787" i="4"/>
  <c r="A786" i="4"/>
  <c r="A785" i="4"/>
  <c r="A784" i="4"/>
  <c r="A783" i="4"/>
  <c r="A782" i="4"/>
  <c r="A781" i="4"/>
  <c r="A780" i="4"/>
  <c r="A779" i="4"/>
  <c r="A778" i="4"/>
  <c r="A777" i="4"/>
  <c r="A776" i="4"/>
  <c r="A775" i="4"/>
  <c r="A774" i="4"/>
  <c r="A773" i="4"/>
  <c r="A772" i="4"/>
  <c r="A771" i="4"/>
  <c r="A770" i="4"/>
  <c r="A769" i="4"/>
  <c r="A768" i="4"/>
  <c r="A767" i="4"/>
  <c r="A766" i="4"/>
  <c r="A765" i="4"/>
  <c r="A764" i="4"/>
  <c r="A763" i="4"/>
  <c r="A762" i="4"/>
  <c r="A761" i="4"/>
  <c r="A760" i="4"/>
  <c r="A759" i="4"/>
  <c r="A758" i="4"/>
  <c r="A757" i="4"/>
  <c r="A756" i="4"/>
  <c r="A755" i="4"/>
  <c r="A754" i="4"/>
  <c r="A753" i="4"/>
  <c r="A752" i="4"/>
  <c r="A751" i="4"/>
  <c r="A750" i="4"/>
  <c r="A749" i="4"/>
  <c r="A748" i="4"/>
  <c r="A747" i="4"/>
  <c r="A746" i="4"/>
  <c r="A745" i="4"/>
  <c r="A744" i="4"/>
  <c r="A743" i="4"/>
  <c r="A742" i="4"/>
  <c r="A741" i="4"/>
  <c r="A740" i="4"/>
  <c r="A739" i="4"/>
  <c r="A738" i="4"/>
  <c r="A737" i="4"/>
  <c r="A736" i="4"/>
  <c r="A735" i="4"/>
  <c r="A734" i="4"/>
  <c r="A733" i="4"/>
  <c r="A732" i="4"/>
  <c r="A731" i="4"/>
  <c r="A730" i="4"/>
  <c r="A729" i="4"/>
  <c r="A728" i="4"/>
  <c r="A727" i="4"/>
  <c r="A726" i="4"/>
  <c r="A725" i="4"/>
  <c r="A724" i="4"/>
  <c r="A723" i="4"/>
  <c r="A722" i="4"/>
  <c r="A721" i="4"/>
  <c r="A720" i="4"/>
  <c r="A719" i="4"/>
  <c r="A718" i="4"/>
  <c r="A717" i="4"/>
  <c r="A716" i="4"/>
  <c r="A715" i="4"/>
  <c r="A714" i="4"/>
  <c r="A713" i="4"/>
  <c r="A712" i="4"/>
  <c r="A711" i="4"/>
  <c r="A710" i="4"/>
  <c r="A709" i="4"/>
  <c r="A708" i="4"/>
  <c r="A707" i="4"/>
  <c r="A706" i="4"/>
  <c r="A705" i="4"/>
  <c r="A704" i="4"/>
  <c r="A703" i="4"/>
  <c r="A702" i="4"/>
  <c r="A701" i="4"/>
  <c r="A700" i="4"/>
  <c r="A699" i="4"/>
  <c r="A698" i="4"/>
  <c r="A697" i="4"/>
  <c r="A696" i="4"/>
  <c r="A695" i="4"/>
  <c r="A694" i="4"/>
  <c r="A693" i="4"/>
  <c r="A692" i="4"/>
  <c r="A691" i="4"/>
  <c r="A690" i="4"/>
  <c r="A689" i="4"/>
  <c r="A688" i="4"/>
  <c r="A687" i="4"/>
  <c r="A686" i="4"/>
  <c r="A685" i="4"/>
  <c r="A684" i="4"/>
  <c r="A683" i="4"/>
  <c r="A682" i="4"/>
  <c r="A681" i="4"/>
  <c r="A680" i="4"/>
  <c r="A679" i="4"/>
  <c r="A678" i="4"/>
  <c r="A677" i="4"/>
  <c r="A676" i="4"/>
  <c r="A675" i="4"/>
  <c r="A674" i="4"/>
  <c r="A673" i="4"/>
  <c r="A672" i="4"/>
  <c r="A671" i="4"/>
  <c r="A670" i="4"/>
  <c r="A669" i="4"/>
  <c r="A668" i="4"/>
  <c r="A667" i="4"/>
  <c r="A666" i="4"/>
  <c r="A665" i="4"/>
  <c r="A664" i="4"/>
  <c r="A663" i="4"/>
  <c r="A662" i="4"/>
  <c r="A661" i="4"/>
  <c r="A660" i="4"/>
  <c r="A659" i="4"/>
  <c r="A658" i="4"/>
  <c r="A657" i="4"/>
  <c r="A656" i="4"/>
  <c r="A655" i="4"/>
  <c r="A654" i="4"/>
  <c r="A653" i="4"/>
  <c r="A652" i="4"/>
  <c r="A651" i="4"/>
  <c r="A650" i="4"/>
  <c r="A649" i="4"/>
  <c r="A648" i="4"/>
  <c r="A647" i="4"/>
  <c r="A646" i="4"/>
  <c r="A645" i="4"/>
  <c r="A644" i="4"/>
  <c r="A643" i="4"/>
  <c r="A642" i="4"/>
  <c r="A641" i="4"/>
  <c r="A640" i="4"/>
  <c r="A639" i="4"/>
  <c r="A638" i="4"/>
  <c r="A637" i="4"/>
  <c r="A636" i="4"/>
  <c r="A635" i="4"/>
  <c r="A634" i="4"/>
  <c r="A633" i="4"/>
  <c r="A632" i="4"/>
  <c r="A631" i="4"/>
  <c r="A630" i="4"/>
  <c r="A629" i="4"/>
  <c r="A628" i="4"/>
  <c r="A627" i="4"/>
  <c r="A626" i="4"/>
  <c r="A625" i="4"/>
  <c r="A624" i="4"/>
  <c r="A623" i="4"/>
  <c r="A622" i="4"/>
  <c r="A621" i="4"/>
  <c r="A620" i="4"/>
  <c r="A619" i="4"/>
  <c r="A618" i="4"/>
  <c r="A617" i="4"/>
  <c r="A616" i="4"/>
  <c r="A615" i="4"/>
  <c r="A614" i="4"/>
  <c r="A613" i="4"/>
  <c r="A612" i="4"/>
  <c r="A611" i="4"/>
  <c r="A610" i="4"/>
  <c r="A609" i="4"/>
  <c r="A608" i="4"/>
  <c r="A607" i="4"/>
  <c r="A606" i="4"/>
  <c r="A605" i="4"/>
  <c r="A604" i="4"/>
  <c r="A603" i="4"/>
  <c r="A602" i="4"/>
  <c r="A601" i="4"/>
  <c r="A600" i="4"/>
  <c r="A599"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562" i="4"/>
  <c r="A561" i="4"/>
  <c r="A560" i="4"/>
  <c r="A559" i="4"/>
  <c r="A558" i="4"/>
  <c r="A557"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J213"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2851" i="3"/>
  <c r="A2390" i="3"/>
  <c r="A2389" i="3"/>
  <c r="A2388" i="3"/>
  <c r="A2387" i="3"/>
  <c r="A2710" i="3"/>
  <c r="A1158" i="3"/>
  <c r="A314" i="3"/>
  <c r="A2487" i="3"/>
  <c r="A1157" i="3"/>
  <c r="A1156" i="3"/>
  <c r="A2386" i="3"/>
  <c r="A2385" i="3"/>
  <c r="A2384" i="3"/>
  <c r="A2383" i="3"/>
  <c r="A1155" i="3"/>
  <c r="A2405" i="3"/>
  <c r="A361" i="3"/>
  <c r="A1154" i="3"/>
  <c r="A313" i="3"/>
  <c r="A2382" i="3"/>
  <c r="A1153" i="3"/>
  <c r="A1397" i="3"/>
  <c r="A2709" i="3"/>
  <c r="A1152" i="3"/>
  <c r="A2708" i="3"/>
  <c r="A312" i="3"/>
  <c r="A311" i="3"/>
  <c r="A2381" i="3"/>
  <c r="A1151" i="3"/>
  <c r="A2850" i="3"/>
  <c r="A1150" i="3"/>
  <c r="A1396" i="3"/>
  <c r="A310" i="3"/>
  <c r="A2380" i="3"/>
  <c r="A2379" i="3"/>
  <c r="A2849" i="3"/>
  <c r="A2378" i="3"/>
  <c r="A1149" i="3"/>
  <c r="A2707" i="3"/>
  <c r="A2377" i="3"/>
  <c r="A1148" i="3"/>
  <c r="A2376" i="3"/>
  <c r="A2706" i="3"/>
  <c r="A2375" i="3"/>
  <c r="A2374" i="3"/>
  <c r="A2848" i="3"/>
  <c r="A2705" i="3"/>
  <c r="A1147" i="3"/>
  <c r="A2373" i="3"/>
  <c r="A309" i="3"/>
  <c r="A2704" i="3"/>
  <c r="A2372" i="3"/>
  <c r="A1146" i="3"/>
  <c r="A308" i="3"/>
  <c r="A2371" i="3"/>
  <c r="A1145" i="3"/>
  <c r="A1395" i="3"/>
  <c r="A2370" i="3"/>
  <c r="A1144" i="3"/>
  <c r="A307" i="3"/>
  <c r="A2369" i="3"/>
  <c r="A2368" i="3"/>
  <c r="A2703" i="3"/>
  <c r="A2486" i="3"/>
  <c r="A2367" i="3"/>
  <c r="A306" i="3"/>
  <c r="A305" i="3"/>
  <c r="A1143" i="3"/>
  <c r="A304" i="3"/>
  <c r="A1142" i="3"/>
  <c r="A303" i="3"/>
  <c r="A1141" i="3"/>
  <c r="A2702" i="3"/>
  <c r="A360" i="3"/>
  <c r="A2366" i="3"/>
  <c r="A1140" i="3"/>
  <c r="A2365" i="3"/>
  <c r="A2364" i="3"/>
  <c r="A2485" i="3"/>
  <c r="A2701" i="3"/>
  <c r="A2363" i="3"/>
  <c r="A1394" i="3"/>
  <c r="A2362" i="3"/>
  <c r="A1139" i="3"/>
  <c r="A1393" i="3"/>
  <c r="A2847" i="3"/>
  <c r="A1138" i="3"/>
  <c r="A2361" i="3"/>
  <c r="A1392" i="3"/>
  <c r="A1391" i="3"/>
  <c r="A2700" i="3"/>
  <c r="A1390" i="3"/>
  <c r="A2360" i="3"/>
  <c r="A1389" i="3"/>
  <c r="A1388" i="3"/>
  <c r="A1137" i="3"/>
  <c r="A1387" i="3"/>
  <c r="A2699" i="3"/>
  <c r="A2846" i="3"/>
  <c r="A2359" i="3"/>
  <c r="A2484" i="3"/>
  <c r="A302" i="3"/>
  <c r="A1136" i="3"/>
  <c r="A1135" i="3"/>
  <c r="A2358" i="3"/>
  <c r="A2357" i="3"/>
  <c r="A2356" i="3"/>
  <c r="A2355" i="3"/>
  <c r="A1386" i="3"/>
  <c r="A2354" i="3"/>
  <c r="A1134" i="3"/>
  <c r="A1133" i="3"/>
  <c r="A2767" i="3"/>
  <c r="A2353" i="3"/>
  <c r="A1385" i="3"/>
  <c r="A1132" i="3"/>
  <c r="A1131" i="3"/>
  <c r="A1384" i="3"/>
  <c r="A301" i="3"/>
  <c r="A2352" i="3"/>
  <c r="A2698" i="3"/>
  <c r="A300" i="3"/>
  <c r="A1383" i="3"/>
  <c r="A2351" i="3"/>
  <c r="A2350" i="3"/>
  <c r="A359" i="3"/>
  <c r="A1382" i="3"/>
  <c r="A2349" i="3"/>
  <c r="A2348" i="3"/>
  <c r="A1130" i="3"/>
  <c r="A2697" i="3"/>
  <c r="A2347" i="3"/>
  <c r="A2346" i="3"/>
  <c r="A1129" i="3"/>
  <c r="A1128" i="3"/>
  <c r="A1127" i="3"/>
  <c r="A1126" i="3"/>
  <c r="A2696" i="3"/>
  <c r="A2345" i="3"/>
  <c r="A299" i="3"/>
  <c r="A2695" i="3"/>
  <c r="A1125" i="3"/>
  <c r="A1124" i="3"/>
  <c r="A1123" i="3"/>
  <c r="A2344" i="3"/>
  <c r="A1122" i="3"/>
  <c r="A298" i="3"/>
  <c r="A1121" i="3"/>
  <c r="A2343" i="3"/>
  <c r="A2342" i="3"/>
  <c r="A2341" i="3"/>
  <c r="A1120" i="3"/>
  <c r="A1119" i="3"/>
  <c r="A2340" i="3"/>
  <c r="A2483" i="3"/>
  <c r="A297" i="3"/>
  <c r="A2339" i="3"/>
  <c r="A2338" i="3"/>
  <c r="A2337" i="3"/>
  <c r="A296" i="3"/>
  <c r="A1118" i="3"/>
  <c r="A1117" i="3"/>
  <c r="A2336" i="3"/>
  <c r="A2335" i="3"/>
  <c r="A2694" i="3"/>
  <c r="A1116" i="3"/>
  <c r="A2334" i="3"/>
  <c r="A1115" i="3"/>
  <c r="A1114" i="3"/>
  <c r="A295" i="3"/>
  <c r="A2333" i="3"/>
  <c r="A2766" i="3"/>
  <c r="A2332" i="3"/>
  <c r="A2331" i="3"/>
  <c r="A1113" i="3"/>
  <c r="A2330" i="3"/>
  <c r="A2765" i="3"/>
  <c r="A2329" i="3"/>
  <c r="A1112" i="3"/>
  <c r="A2328" i="3"/>
  <c r="A6" i="3"/>
  <c r="A1111" i="3"/>
  <c r="A1110" i="3"/>
  <c r="A2845" i="3"/>
  <c r="A1109" i="3"/>
  <c r="A1108" i="3"/>
  <c r="A1107" i="3"/>
  <c r="A2693" i="3"/>
  <c r="A2327" i="3"/>
  <c r="A2326" i="3"/>
  <c r="A1106" i="3"/>
  <c r="A2325" i="3"/>
  <c r="A2404" i="3"/>
  <c r="A1105" i="3"/>
  <c r="A294" i="3"/>
  <c r="A2324" i="3"/>
  <c r="A1104" i="3"/>
  <c r="A293" i="3"/>
  <c r="A2692" i="3"/>
  <c r="A2323" i="3"/>
  <c r="A2322" i="3"/>
  <c r="A2321" i="3"/>
  <c r="A2844" i="3"/>
  <c r="A2843" i="3"/>
  <c r="A1103" i="3"/>
  <c r="A292" i="3"/>
  <c r="A2320" i="3"/>
  <c r="A1381" i="3"/>
  <c r="A291" i="3"/>
  <c r="A2764" i="3"/>
  <c r="A1102" i="3"/>
  <c r="A2875" i="3"/>
  <c r="A2319" i="3"/>
  <c r="A2691" i="3"/>
  <c r="A2318" i="3"/>
  <c r="A1101" i="3"/>
  <c r="A2317" i="3"/>
  <c r="A1100" i="3"/>
  <c r="A2316" i="3"/>
  <c r="A2315" i="3"/>
  <c r="A1380" i="3"/>
  <c r="A2314" i="3"/>
  <c r="A1099" i="3"/>
  <c r="A1379" i="3"/>
  <c r="A1098" i="3"/>
  <c r="A290" i="3"/>
  <c r="A2313" i="3"/>
  <c r="A2690" i="3"/>
  <c r="A289" i="3"/>
  <c r="A1378" i="3"/>
  <c r="A2312" i="3"/>
  <c r="A1097" i="3"/>
  <c r="A1377" i="3"/>
  <c r="A2842" i="3"/>
  <c r="A2841" i="3"/>
  <c r="A1096" i="3"/>
  <c r="A2311" i="3"/>
  <c r="A2310" i="3"/>
  <c r="A288" i="3"/>
  <c r="A2309" i="3"/>
  <c r="A2308" i="3"/>
  <c r="A2307" i="3"/>
  <c r="A2306" i="3"/>
  <c r="A1095" i="3"/>
  <c r="A2482" i="3"/>
  <c r="A2481" i="3"/>
  <c r="A2305" i="3"/>
  <c r="A2689" i="3"/>
  <c r="A1094" i="3"/>
  <c r="A2304" i="3"/>
  <c r="A2303" i="3"/>
  <c r="A1093" i="3"/>
  <c r="A2840" i="3"/>
  <c r="A5" i="3"/>
  <c r="A1092" i="3"/>
  <c r="A2302" i="3"/>
  <c r="A1091" i="3"/>
  <c r="A1090" i="3"/>
  <c r="A1089" i="3"/>
  <c r="A2301" i="3"/>
  <c r="A358" i="3"/>
  <c r="A2688" i="3"/>
  <c r="A2300" i="3"/>
  <c r="A1376" i="3"/>
  <c r="A2299" i="3"/>
  <c r="A1088" i="3"/>
  <c r="A1087" i="3"/>
  <c r="A2298" i="3"/>
  <c r="A2297" i="3"/>
  <c r="A1375" i="3"/>
  <c r="A2296" i="3"/>
  <c r="A287" i="3"/>
  <c r="A286" i="3"/>
  <c r="A2295" i="3"/>
  <c r="A2839" i="3"/>
  <c r="A1086" i="3"/>
  <c r="A2294" i="3"/>
  <c r="A285" i="3"/>
  <c r="A2838" i="3"/>
  <c r="A284" i="3"/>
  <c r="A283" i="3"/>
  <c r="A2293" i="3"/>
  <c r="A2292" i="3"/>
  <c r="A2291" i="3"/>
  <c r="A1085" i="3"/>
  <c r="A1084" i="3"/>
  <c r="A2290" i="3"/>
  <c r="A1083" i="3"/>
  <c r="A2687" i="3"/>
  <c r="A1082" i="3"/>
  <c r="A2289" i="3"/>
  <c r="A2288" i="3"/>
  <c r="A2287" i="3"/>
  <c r="A282" i="3"/>
  <c r="A357" i="3"/>
  <c r="A1374" i="3"/>
  <c r="A1081" i="3"/>
  <c r="A2837" i="3"/>
  <c r="A356" i="3"/>
  <c r="A1373" i="3"/>
  <c r="A2286" i="3"/>
  <c r="A281" i="3"/>
  <c r="A1080" i="3"/>
  <c r="A2285" i="3"/>
  <c r="A280" i="3"/>
  <c r="A2284" i="3"/>
  <c r="A1372" i="3"/>
  <c r="A2283" i="3"/>
  <c r="A2282" i="3"/>
  <c r="A2281" i="3"/>
  <c r="A2280" i="3"/>
  <c r="A2686" i="3"/>
  <c r="A2279" i="3"/>
  <c r="A1079" i="3"/>
  <c r="A2685" i="3"/>
  <c r="A2278" i="3"/>
  <c r="A2277" i="3"/>
  <c r="A2276" i="3"/>
  <c r="A1371" i="3"/>
  <c r="A1078" i="3"/>
  <c r="A2275" i="3"/>
  <c r="A1370" i="3"/>
  <c r="A2274" i="3"/>
  <c r="A1077" i="3"/>
  <c r="A2480" i="3"/>
  <c r="A355" i="3"/>
  <c r="A2273" i="3"/>
  <c r="A2272" i="3"/>
  <c r="A2271" i="3"/>
  <c r="A1076" i="3"/>
  <c r="A2270" i="3"/>
  <c r="A2269" i="3"/>
  <c r="A2479" i="3"/>
  <c r="A2763" i="3"/>
  <c r="A1369" i="3"/>
  <c r="A2684" i="3"/>
  <c r="A2836" i="3"/>
  <c r="A1075" i="3"/>
  <c r="A2683" i="3"/>
  <c r="A1368" i="3"/>
  <c r="A2682" i="3"/>
  <c r="A1074" i="3"/>
  <c r="A1073" i="3"/>
  <c r="A2268" i="3"/>
  <c r="A2267" i="3"/>
  <c r="A1072" i="3"/>
  <c r="A2266" i="3"/>
  <c r="A1071" i="3"/>
  <c r="A2265" i="3"/>
  <c r="A1070" i="3"/>
  <c r="A2264" i="3"/>
  <c r="A1069" i="3"/>
  <c r="A2762" i="3"/>
  <c r="A2263" i="3"/>
  <c r="A2262" i="3"/>
  <c r="A1068" i="3"/>
  <c r="A1367" i="3"/>
  <c r="A2681" i="3"/>
  <c r="A2261" i="3"/>
  <c r="A2260" i="3"/>
  <c r="A1067" i="3"/>
  <c r="A1366" i="3"/>
  <c r="A2259" i="3"/>
  <c r="A2258" i="3"/>
  <c r="A2257" i="3"/>
  <c r="A1365" i="3"/>
  <c r="A2256" i="3"/>
  <c r="A2255" i="3"/>
  <c r="A2254" i="3"/>
  <c r="A279" i="3"/>
  <c r="A278" i="3"/>
  <c r="A1066" i="3"/>
  <c r="A1065" i="3"/>
  <c r="A1064" i="3"/>
  <c r="A2874" i="3"/>
  <c r="A2680" i="3"/>
  <c r="A1063" i="3"/>
  <c r="A1062" i="3"/>
  <c r="A2253" i="3"/>
  <c r="A1061" i="3"/>
  <c r="A2252" i="3"/>
  <c r="A2251" i="3"/>
  <c r="A1364" i="3"/>
  <c r="A1060" i="3"/>
  <c r="A1059" i="3"/>
  <c r="A1058" i="3"/>
  <c r="A1057" i="3"/>
  <c r="A2250" i="3"/>
  <c r="A2249" i="3"/>
  <c r="A277" i="3"/>
  <c r="A1056" i="3"/>
  <c r="A1363" i="3"/>
  <c r="A2248" i="3"/>
  <c r="A1055" i="3"/>
  <c r="A276" i="3"/>
  <c r="A1054" i="3"/>
  <c r="A1053" i="3"/>
  <c r="A2247" i="3"/>
  <c r="A2246" i="3"/>
  <c r="A1362" i="3"/>
  <c r="A2245" i="3"/>
  <c r="A2856" i="3"/>
  <c r="A354" i="3"/>
  <c r="A2244" i="3"/>
  <c r="A2243" i="3"/>
  <c r="A1361" i="3"/>
  <c r="A1360" i="3"/>
  <c r="A1052" i="3"/>
  <c r="A1051" i="3"/>
  <c r="A2679" i="3"/>
  <c r="A1050" i="3"/>
  <c r="A2242" i="3"/>
  <c r="A2241" i="3"/>
  <c r="A2240" i="3"/>
  <c r="A2478" i="3"/>
  <c r="A1359" i="3"/>
  <c r="A2678" i="3"/>
  <c r="A1049" i="3"/>
  <c r="A2239" i="3"/>
  <c r="A2677" i="3"/>
  <c r="A2238" i="3"/>
  <c r="A2237" i="3"/>
  <c r="A275" i="3"/>
  <c r="A274" i="3"/>
  <c r="A2835" i="3"/>
  <c r="A1048" i="3"/>
  <c r="A273" i="3"/>
  <c r="A2236" i="3"/>
  <c r="A2235" i="3"/>
  <c r="A2234" i="3"/>
  <c r="A1047" i="3"/>
  <c r="A2676" i="3"/>
  <c r="A272" i="3"/>
  <c r="A2233" i="3"/>
  <c r="A2232" i="3"/>
  <c r="A2231" i="3"/>
  <c r="A2230" i="3"/>
  <c r="A2675" i="3"/>
  <c r="A1046" i="3"/>
  <c r="A1045" i="3"/>
  <c r="A2229" i="3"/>
  <c r="A1358" i="3"/>
  <c r="A1357" i="3"/>
  <c r="A271" i="3"/>
  <c r="A2228" i="3"/>
  <c r="A2227" i="3"/>
  <c r="A1356" i="3"/>
  <c r="A1044" i="3"/>
  <c r="A270" i="3"/>
  <c r="A269" i="3"/>
  <c r="A268" i="3"/>
  <c r="A1043" i="3"/>
  <c r="A1042" i="3"/>
  <c r="A2674" i="3"/>
  <c r="A2834" i="3"/>
  <c r="A2226" i="3"/>
  <c r="A2225" i="3"/>
  <c r="A2224" i="3"/>
  <c r="A1355" i="3"/>
  <c r="A1041" i="3"/>
  <c r="A267" i="3"/>
  <c r="A2673" i="3"/>
  <c r="A2223" i="3"/>
  <c r="A1040" i="3"/>
  <c r="A1354" i="3"/>
  <c r="A2222" i="3"/>
  <c r="A2221" i="3"/>
  <c r="A2672" i="3"/>
  <c r="A2220" i="3"/>
  <c r="A1353" i="3"/>
  <c r="A2671" i="3"/>
  <c r="A2219" i="3"/>
  <c r="A1039" i="3"/>
  <c r="A2218" i="3"/>
  <c r="A266" i="3"/>
  <c r="A2217" i="3"/>
  <c r="A1038" i="3"/>
  <c r="A1037" i="3"/>
  <c r="A1352" i="3"/>
  <c r="A1351" i="3"/>
  <c r="A2216" i="3"/>
  <c r="A2215" i="3"/>
  <c r="A2670" i="3"/>
  <c r="A1350" i="3"/>
  <c r="A2214" i="3"/>
  <c r="A2213" i="3"/>
  <c r="A2212" i="3"/>
  <c r="A2211" i="3"/>
  <c r="A1036" i="3"/>
  <c r="A1035" i="3"/>
  <c r="A2210" i="3"/>
  <c r="A2669" i="3"/>
  <c r="A1349" i="3"/>
  <c r="A2209" i="3"/>
  <c r="A265" i="3"/>
  <c r="A2208" i="3"/>
  <c r="A2668" i="3"/>
  <c r="A264" i="3"/>
  <c r="A1034" i="3"/>
  <c r="A2207" i="3"/>
  <c r="A1348" i="3"/>
  <c r="A2206" i="3"/>
  <c r="A2205" i="3"/>
  <c r="A1033" i="3"/>
  <c r="A1032" i="3"/>
  <c r="A2204" i="3"/>
  <c r="A1031" i="3"/>
  <c r="A2477" i="3"/>
  <c r="A2667" i="3"/>
  <c r="A1030" i="3"/>
  <c r="A2203" i="3"/>
  <c r="A2202" i="3"/>
  <c r="A2761" i="3"/>
  <c r="A2666" i="3"/>
  <c r="A353" i="3"/>
  <c r="A2833" i="3"/>
  <c r="A2201" i="3"/>
  <c r="A2200" i="3"/>
  <c r="A1029" i="3"/>
  <c r="A1028" i="3"/>
  <c r="A2199" i="3"/>
  <c r="A2198" i="3"/>
  <c r="A2197" i="3"/>
  <c r="A263" i="3"/>
  <c r="A1027" i="3"/>
  <c r="A2196" i="3"/>
  <c r="A1026" i="3"/>
  <c r="A1025" i="3"/>
  <c r="A2195" i="3"/>
  <c r="A2194" i="3"/>
  <c r="A2869" i="3"/>
  <c r="A1024" i="3"/>
  <c r="A2193" i="3"/>
  <c r="A2665" i="3"/>
  <c r="A1023" i="3"/>
  <c r="A2192" i="3"/>
  <c r="A262" i="3"/>
  <c r="A2191" i="3"/>
  <c r="A2190" i="3"/>
  <c r="A2832" i="3"/>
  <c r="A261" i="3"/>
  <c r="A2189" i="3"/>
  <c r="A260" i="3"/>
  <c r="A1022" i="3"/>
  <c r="A1021" i="3"/>
  <c r="A2188" i="3"/>
  <c r="A2476" i="3"/>
  <c r="A2831" i="3"/>
  <c r="A2830" i="3"/>
  <c r="A2187" i="3"/>
  <c r="A2186" i="3"/>
  <c r="A2185" i="3"/>
  <c r="A259" i="3"/>
  <c r="A1020" i="3"/>
  <c r="A1019" i="3"/>
  <c r="A1018" i="3"/>
  <c r="A2184" i="3"/>
  <c r="A2183" i="3"/>
  <c r="A2182" i="3"/>
  <c r="A2664" i="3"/>
  <c r="A1017" i="3"/>
  <c r="A2475" i="3"/>
  <c r="A2181" i="3"/>
  <c r="A2180" i="3"/>
  <c r="A1016" i="3"/>
  <c r="A2179" i="3"/>
  <c r="A258" i="3"/>
  <c r="A2829" i="3"/>
  <c r="A2178" i="3"/>
  <c r="A2177" i="3"/>
  <c r="A2176" i="3"/>
  <c r="A2175" i="3"/>
  <c r="A2174" i="3"/>
  <c r="A1015" i="3"/>
  <c r="A2663" i="3"/>
  <c r="A2173" i="3"/>
  <c r="A2172" i="3"/>
  <c r="A1014" i="3"/>
  <c r="A257" i="3"/>
  <c r="A1013" i="3"/>
  <c r="A2171" i="3"/>
  <c r="A1347" i="3"/>
  <c r="A2170" i="3"/>
  <c r="A2169" i="3"/>
  <c r="A1012" i="3"/>
  <c r="A1011" i="3"/>
  <c r="A1010" i="3"/>
  <c r="A2168" i="3"/>
  <c r="A2828" i="3"/>
  <c r="A1346" i="3"/>
  <c r="A1009" i="3"/>
  <c r="A256" i="3"/>
  <c r="A2167" i="3"/>
  <c r="A1008" i="3"/>
  <c r="A1007" i="3"/>
  <c r="A1006" i="3"/>
  <c r="A255" i="3"/>
  <c r="A2166" i="3"/>
  <c r="A2662" i="3"/>
  <c r="A2165" i="3"/>
  <c r="A1005" i="3"/>
  <c r="A1345" i="3"/>
  <c r="A2164" i="3"/>
  <c r="A254" i="3"/>
  <c r="A2760" i="3"/>
  <c r="A2163" i="3"/>
  <c r="A1004" i="3"/>
  <c r="A2661" i="3"/>
  <c r="A2162" i="3"/>
  <c r="A2759" i="3"/>
  <c r="A2161" i="3"/>
  <c r="A2160" i="3"/>
  <c r="A253" i="3"/>
  <c r="A1003" i="3"/>
  <c r="A1002" i="3"/>
  <c r="A2159" i="3"/>
  <c r="A1001" i="3"/>
  <c r="A2158" i="3"/>
  <c r="A252" i="3"/>
  <c r="A2157" i="3"/>
  <c r="A2660" i="3"/>
  <c r="A1000" i="3"/>
  <c r="A2474" i="3"/>
  <c r="A251" i="3"/>
  <c r="A2827" i="3"/>
  <c r="A250" i="3"/>
  <c r="A2659" i="3"/>
  <c r="A2156" i="3"/>
  <c r="A999" i="3"/>
  <c r="A2155" i="3"/>
  <c r="A352" i="3"/>
  <c r="A998" i="3"/>
  <c r="A2154" i="3"/>
  <c r="A2153" i="3"/>
  <c r="A2152" i="3"/>
  <c r="A1344" i="3"/>
  <c r="A2658" i="3"/>
  <c r="A997" i="3"/>
  <c r="A996" i="3"/>
  <c r="A2151" i="3"/>
  <c r="A2150" i="3"/>
  <c r="A995" i="3"/>
  <c r="A2473" i="3"/>
  <c r="A2149" i="3"/>
  <c r="A994" i="3"/>
  <c r="A2148" i="3"/>
  <c r="A2657" i="3"/>
  <c r="A993" i="3"/>
  <c r="A249" i="3"/>
  <c r="A248" i="3"/>
  <c r="A1343" i="3"/>
  <c r="A247" i="3"/>
  <c r="A2147" i="3"/>
  <c r="A992" i="3"/>
  <c r="A991" i="3"/>
  <c r="A2146" i="3"/>
  <c r="A2145" i="3"/>
  <c r="A2144" i="3"/>
  <c r="A1342" i="3"/>
  <c r="A990" i="3"/>
  <c r="A989" i="3"/>
  <c r="A988" i="3"/>
  <c r="A2143" i="3"/>
  <c r="A987" i="3"/>
  <c r="A986" i="3"/>
  <c r="A351" i="3"/>
  <c r="A2656" i="3"/>
  <c r="A985" i="3"/>
  <c r="A984" i="3"/>
  <c r="A983" i="3"/>
  <c r="A2142" i="3"/>
  <c r="A1341" i="3"/>
  <c r="A982" i="3"/>
  <c r="A2655" i="3"/>
  <c r="A981" i="3"/>
  <c r="A2141" i="3"/>
  <c r="A2140" i="3"/>
  <c r="A2139" i="3"/>
  <c r="A2138" i="3"/>
  <c r="A980" i="3"/>
  <c r="A979" i="3"/>
  <c r="A2137" i="3"/>
  <c r="A2136" i="3"/>
  <c r="A2135" i="3"/>
  <c r="A2654" i="3"/>
  <c r="A246" i="3"/>
  <c r="A2134" i="3"/>
  <c r="A978" i="3"/>
  <c r="A1340" i="3"/>
  <c r="A350" i="3"/>
  <c r="A2873" i="3"/>
  <c r="A245" i="3"/>
  <c r="A2133" i="3"/>
  <c r="A977" i="3"/>
  <c r="A2653" i="3"/>
  <c r="A244" i="3"/>
  <c r="A243" i="3"/>
  <c r="A976" i="3"/>
  <c r="A1339" i="3"/>
  <c r="A975" i="3"/>
  <c r="A2132" i="3"/>
  <c r="A974" i="3"/>
  <c r="A2131" i="3"/>
  <c r="A349" i="3"/>
  <c r="A2868" i="3"/>
  <c r="A2652" i="3"/>
  <c r="A973" i="3"/>
  <c r="A2130" i="3"/>
  <c r="A972" i="3"/>
  <c r="A242" i="3"/>
  <c r="A2826" i="3"/>
  <c r="A971" i="3"/>
  <c r="A241" i="3"/>
  <c r="A2129" i="3"/>
  <c r="A1338" i="3"/>
  <c r="A240" i="3"/>
  <c r="A970" i="3"/>
  <c r="A2651" i="3"/>
  <c r="A2472" i="3"/>
  <c r="A969" i="3"/>
  <c r="A2650" i="3"/>
  <c r="A1337" i="3"/>
  <c r="A1336" i="3"/>
  <c r="A2128" i="3"/>
  <c r="A239" i="3"/>
  <c r="A2127" i="3"/>
  <c r="A1335" i="3"/>
  <c r="A968" i="3"/>
  <c r="A967" i="3"/>
  <c r="A1334" i="3"/>
  <c r="A2825" i="3"/>
  <c r="A238" i="3"/>
  <c r="A237" i="3"/>
  <c r="A2126" i="3"/>
  <c r="A966" i="3"/>
  <c r="A2125" i="3"/>
  <c r="A965" i="3"/>
  <c r="A236" i="3"/>
  <c r="A2649" i="3"/>
  <c r="A2648" i="3"/>
  <c r="A2124" i="3"/>
  <c r="A235" i="3"/>
  <c r="A1333" i="3"/>
  <c r="A964" i="3"/>
  <c r="A2123" i="3"/>
  <c r="A963" i="3"/>
  <c r="A234" i="3"/>
  <c r="A962" i="3"/>
  <c r="A233" i="3"/>
  <c r="A2647" i="3"/>
  <c r="A961" i="3"/>
  <c r="A1332" i="3"/>
  <c r="A960" i="3"/>
  <c r="A1331" i="3"/>
  <c r="A2122" i="3"/>
  <c r="A232" i="3"/>
  <c r="A1330" i="3"/>
  <c r="A2121" i="3"/>
  <c r="A959" i="3"/>
  <c r="A2120" i="3"/>
  <c r="A2119" i="3"/>
  <c r="A231" i="3"/>
  <c r="A958" i="3"/>
  <c r="A2471" i="3"/>
  <c r="A2118" i="3"/>
  <c r="A957" i="3"/>
  <c r="A1329" i="3"/>
  <c r="A2117" i="3"/>
  <c r="A956" i="3"/>
  <c r="A348" i="3"/>
  <c r="A955" i="3"/>
  <c r="A347" i="3"/>
  <c r="A2116" i="3"/>
  <c r="A954" i="3"/>
  <c r="A2115" i="3"/>
  <c r="A2824" i="3"/>
  <c r="A2114" i="3"/>
  <c r="A2113" i="3"/>
  <c r="A1328" i="3"/>
  <c r="A2112" i="3"/>
  <c r="A230" i="3"/>
  <c r="A953" i="3"/>
  <c r="A952" i="3"/>
  <c r="A951" i="3"/>
  <c r="A950" i="3"/>
  <c r="A2111" i="3"/>
  <c r="A2110" i="3"/>
  <c r="A229" i="3"/>
  <c r="A2109" i="3"/>
  <c r="A949" i="3"/>
  <c r="A2108" i="3"/>
  <c r="A948" i="3"/>
  <c r="A1327" i="3"/>
  <c r="A1326" i="3"/>
  <c r="A1325" i="3"/>
  <c r="A2758" i="3"/>
  <c r="A2107" i="3"/>
  <c r="A947" i="3"/>
  <c r="A946" i="3"/>
  <c r="A1324" i="3"/>
  <c r="A2106" i="3"/>
  <c r="A2105" i="3"/>
  <c r="A2104" i="3"/>
  <c r="A2103" i="3"/>
  <c r="A945" i="3"/>
  <c r="A2102" i="3"/>
  <c r="A944" i="3"/>
  <c r="A2101" i="3"/>
  <c r="A228" i="3"/>
  <c r="A1323" i="3"/>
  <c r="A227" i="3"/>
  <c r="A2100" i="3"/>
  <c r="A943" i="3"/>
  <c r="A942" i="3"/>
  <c r="A2099" i="3"/>
  <c r="A941" i="3"/>
  <c r="A940" i="3"/>
  <c r="A2098" i="3"/>
  <c r="A2757" i="3"/>
  <c r="A226" i="3"/>
  <c r="A346" i="3"/>
  <c r="A2097" i="3"/>
  <c r="A2470" i="3"/>
  <c r="A2096" i="3"/>
  <c r="A2095" i="3"/>
  <c r="A939" i="3"/>
  <c r="A2646" i="3"/>
  <c r="A2094" i="3"/>
  <c r="A2093" i="3"/>
  <c r="A938" i="3"/>
  <c r="A2645" i="3"/>
  <c r="A2092" i="3"/>
  <c r="A2644" i="3"/>
  <c r="A937" i="3"/>
  <c r="A936" i="3"/>
  <c r="A935" i="3"/>
  <c r="A2643" i="3"/>
  <c r="A934" i="3"/>
  <c r="A2091" i="3"/>
  <c r="A933" i="3"/>
  <c r="A345" i="3"/>
  <c r="A2090" i="3"/>
  <c r="A225" i="3"/>
  <c r="A932" i="3"/>
  <c r="A2089" i="3"/>
  <c r="A2642" i="3"/>
  <c r="A1322" i="3"/>
  <c r="A931" i="3"/>
  <c r="A2088" i="3"/>
  <c r="A2087" i="3"/>
  <c r="A2641" i="3"/>
  <c r="A2823" i="3"/>
  <c r="A1321" i="3"/>
  <c r="A2086" i="3"/>
  <c r="A1320" i="3"/>
  <c r="A930" i="3"/>
  <c r="A2085" i="3"/>
  <c r="A2084" i="3"/>
  <c r="A2403" i="3"/>
  <c r="A929" i="3"/>
  <c r="A2083" i="3"/>
  <c r="A2082" i="3"/>
  <c r="A2081" i="3"/>
  <c r="A2080" i="3"/>
  <c r="A2079" i="3"/>
  <c r="A1319" i="3"/>
  <c r="A928" i="3"/>
  <c r="A2078" i="3"/>
  <c r="A2077" i="3"/>
  <c r="A927" i="3"/>
  <c r="A2076" i="3"/>
  <c r="A926" i="3"/>
  <c r="A1318" i="3"/>
  <c r="A925" i="3"/>
  <c r="A2640" i="3"/>
  <c r="A924" i="3"/>
  <c r="A1317" i="3"/>
  <c r="A1316" i="3"/>
  <c r="A344" i="3"/>
  <c r="A2075" i="3"/>
  <c r="A224" i="3"/>
  <c r="A2074" i="3"/>
  <c r="A2756" i="3"/>
  <c r="A923" i="3"/>
  <c r="A2639" i="3"/>
  <c r="A2073" i="3"/>
  <c r="A2072" i="3"/>
  <c r="A2071" i="3"/>
  <c r="A922" i="3"/>
  <c r="A2469" i="3"/>
  <c r="A2855" i="3"/>
  <c r="A1315" i="3"/>
  <c r="A921" i="3"/>
  <c r="A1314" i="3"/>
  <c r="A2638" i="3"/>
  <c r="A2822" i="3"/>
  <c r="A223" i="3"/>
  <c r="A2070" i="3"/>
  <c r="A920" i="3"/>
  <c r="A222" i="3"/>
  <c r="A2069" i="3"/>
  <c r="A2068" i="3"/>
  <c r="A2468" i="3"/>
  <c r="A2821" i="3"/>
  <c r="A2067" i="3"/>
  <c r="A919" i="3"/>
  <c r="A2066" i="3"/>
  <c r="A918" i="3"/>
  <c r="A2402" i="3"/>
  <c r="A917" i="3"/>
  <c r="A2065" i="3"/>
  <c r="A916" i="3"/>
  <c r="A915" i="3"/>
  <c r="A2064" i="3"/>
  <c r="A914" i="3"/>
  <c r="A2063" i="3"/>
  <c r="A913" i="3"/>
  <c r="A1313" i="3"/>
  <c r="A2062" i="3"/>
  <c r="A912" i="3"/>
  <c r="A911" i="3"/>
  <c r="A910" i="3"/>
  <c r="A343" i="3"/>
  <c r="A2061" i="3"/>
  <c r="A1312" i="3"/>
  <c r="A909" i="3"/>
  <c r="A221" i="3"/>
  <c r="A1311" i="3"/>
  <c r="A2637" i="3"/>
  <c r="A2636" i="3"/>
  <c r="A908" i="3"/>
  <c r="A907" i="3"/>
  <c r="A220" i="3"/>
  <c r="A906" i="3"/>
  <c r="A2060" i="3"/>
  <c r="A2755" i="3"/>
  <c r="A2059" i="3"/>
  <c r="A1310" i="3"/>
  <c r="A2058" i="3"/>
  <c r="A2057" i="3"/>
  <c r="A2056" i="3"/>
  <c r="A2754" i="3"/>
  <c r="A905" i="3"/>
  <c r="A1309" i="3"/>
  <c r="A2055" i="3"/>
  <c r="A2054" i="3"/>
  <c r="A219" i="3"/>
  <c r="A2053" i="3"/>
  <c r="A2052" i="3"/>
  <c r="A904" i="3"/>
  <c r="A903" i="3"/>
  <c r="A2635" i="3"/>
  <c r="A2820" i="3"/>
  <c r="A902" i="3"/>
  <c r="A901" i="3"/>
  <c r="A2634" i="3"/>
  <c r="A2051" i="3"/>
  <c r="A900" i="3"/>
  <c r="A2050" i="3"/>
  <c r="A899" i="3"/>
  <c r="A898" i="3"/>
  <c r="A218" i="3"/>
  <c r="A217" i="3"/>
  <c r="A897" i="3"/>
  <c r="A216" i="3"/>
  <c r="A215" i="3"/>
  <c r="A2633" i="3"/>
  <c r="A214" i="3"/>
  <c r="A2049" i="3"/>
  <c r="A2753" i="3"/>
  <c r="A896" i="3"/>
  <c r="A2819" i="3"/>
  <c r="A2048" i="3"/>
  <c r="A2047" i="3"/>
  <c r="A2046" i="3"/>
  <c r="A2045" i="3"/>
  <c r="A2044" i="3"/>
  <c r="A895" i="3"/>
  <c r="A894" i="3"/>
  <c r="A893" i="3"/>
  <c r="A2043" i="3"/>
  <c r="A892" i="3"/>
  <c r="A213" i="3"/>
  <c r="A2042" i="3"/>
  <c r="A891" i="3"/>
  <c r="A890" i="3"/>
  <c r="A2041" i="3"/>
  <c r="A2040" i="3"/>
  <c r="A2039" i="3"/>
  <c r="A2038" i="3"/>
  <c r="A1308" i="3"/>
  <c r="A1307" i="3"/>
  <c r="A2037" i="3"/>
  <c r="A2752" i="3"/>
  <c r="A212" i="3"/>
  <c r="A2467" i="3"/>
  <c r="A2036" i="3"/>
  <c r="A889" i="3"/>
  <c r="A2035" i="3"/>
  <c r="A888" i="3"/>
  <c r="A2632" i="3"/>
  <c r="A211" i="3"/>
  <c r="A887" i="3"/>
  <c r="A2751" i="3"/>
  <c r="A2631" i="3"/>
  <c r="A886" i="3"/>
  <c r="A210" i="3"/>
  <c r="A2034" i="3"/>
  <c r="A2630" i="3"/>
  <c r="A2629" i="3"/>
  <c r="A2033" i="3"/>
  <c r="A342" i="3"/>
  <c r="A885" i="3"/>
  <c r="A884" i="3"/>
  <c r="A2032" i="3"/>
  <c r="A209" i="3"/>
  <c r="A2628" i="3"/>
  <c r="A2627" i="3"/>
  <c r="A2626" i="3"/>
  <c r="A883" i="3"/>
  <c r="A2854" i="3"/>
  <c r="A2818" i="3"/>
  <c r="A2031" i="3"/>
  <c r="A2401" i="3"/>
  <c r="A2625" i="3"/>
  <c r="A341" i="3"/>
  <c r="A2030" i="3"/>
  <c r="A208" i="3"/>
  <c r="A2624" i="3"/>
  <c r="A882" i="3"/>
  <c r="A2750" i="3"/>
  <c r="A207" i="3"/>
  <c r="A2029" i="3"/>
  <c r="A2028" i="3"/>
  <c r="A2623" i="3"/>
  <c r="A2027" i="3"/>
  <c r="A881" i="3"/>
  <c r="A2026" i="3"/>
  <c r="A2622" i="3"/>
  <c r="A2817" i="3"/>
  <c r="A880" i="3"/>
  <c r="A2621" i="3"/>
  <c r="A2025" i="3"/>
  <c r="A2024" i="3"/>
  <c r="A2023" i="3"/>
  <c r="A879" i="3"/>
  <c r="A878" i="3"/>
  <c r="A2022" i="3"/>
  <c r="A2021" i="3"/>
  <c r="A2020" i="3"/>
  <c r="A877" i="3"/>
  <c r="A206" i="3"/>
  <c r="A2816" i="3"/>
  <c r="A205" i="3"/>
  <c r="A2466" i="3"/>
  <c r="A2019" i="3"/>
  <c r="A2749" i="3"/>
  <c r="A2018" i="3"/>
  <c r="A876" i="3"/>
  <c r="A875" i="3"/>
  <c r="A1306" i="3"/>
  <c r="A2815" i="3"/>
  <c r="A874" i="3"/>
  <c r="A2017" i="3"/>
  <c r="A204" i="3"/>
  <c r="A2016" i="3"/>
  <c r="A2015" i="3"/>
  <c r="A2014" i="3"/>
  <c r="A2620" i="3"/>
  <c r="A873" i="3"/>
  <c r="A2013" i="3"/>
  <c r="A2012" i="3"/>
  <c r="A2011" i="3"/>
  <c r="A203" i="3"/>
  <c r="A202" i="3"/>
  <c r="A2619" i="3"/>
  <c r="A2010" i="3"/>
  <c r="A872" i="3"/>
  <c r="A2465" i="3"/>
  <c r="A2814" i="3"/>
  <c r="A2009" i="3"/>
  <c r="A871" i="3"/>
  <c r="A2008" i="3"/>
  <c r="A2007" i="3"/>
  <c r="A201" i="3"/>
  <c r="A2006" i="3"/>
  <c r="A870" i="3"/>
  <c r="A2464" i="3"/>
  <c r="A2813" i="3"/>
  <c r="A869" i="3"/>
  <c r="A2005" i="3"/>
  <c r="A2004" i="3"/>
  <c r="A868" i="3"/>
  <c r="A2003" i="3"/>
  <c r="A2002" i="3"/>
  <c r="A2748" i="3"/>
  <c r="A2001" i="3"/>
  <c r="A867" i="3"/>
  <c r="A2618" i="3"/>
  <c r="A2000" i="3"/>
  <c r="A1999" i="3"/>
  <c r="A2747" i="3"/>
  <c r="A866" i="3"/>
  <c r="A2853" i="3"/>
  <c r="A340" i="3"/>
  <c r="A1998" i="3"/>
  <c r="A1997" i="3"/>
  <c r="A1305" i="3"/>
  <c r="A2812" i="3"/>
  <c r="A865" i="3"/>
  <c r="A1304" i="3"/>
  <c r="A1996" i="3"/>
  <c r="A864" i="3"/>
  <c r="A200" i="3"/>
  <c r="A2811" i="3"/>
  <c r="A1995" i="3"/>
  <c r="A1303" i="3"/>
  <c r="A863" i="3"/>
  <c r="A1994" i="3"/>
  <c r="A1993" i="3"/>
  <c r="A862" i="3"/>
  <c r="A1992" i="3"/>
  <c r="A1991" i="3"/>
  <c r="A1302" i="3"/>
  <c r="A1990" i="3"/>
  <c r="A2617" i="3"/>
  <c r="A2400" i="3"/>
  <c r="A861" i="3"/>
  <c r="A1301" i="3"/>
  <c r="A2810" i="3"/>
  <c r="A860" i="3"/>
  <c r="A1989" i="3"/>
  <c r="A1988" i="3"/>
  <c r="A339" i="3"/>
  <c r="A1987" i="3"/>
  <c r="A2616" i="3"/>
  <c r="A2746" i="3"/>
  <c r="A859" i="3"/>
  <c r="A1986" i="3"/>
  <c r="A858" i="3"/>
  <c r="A1985" i="3"/>
  <c r="A2615" i="3"/>
  <c r="A2809" i="3"/>
  <c r="A199" i="3"/>
  <c r="A857" i="3"/>
  <c r="A1984" i="3"/>
  <c r="A1983" i="3"/>
  <c r="A1300" i="3"/>
  <c r="A1299" i="3"/>
  <c r="A198" i="3"/>
  <c r="A2614" i="3"/>
  <c r="A856" i="3"/>
  <c r="A2808" i="3"/>
  <c r="A855" i="3"/>
  <c r="A2807" i="3"/>
  <c r="A854" i="3"/>
  <c r="A1982" i="3"/>
  <c r="A853" i="3"/>
  <c r="A852" i="3"/>
  <c r="A851" i="3"/>
  <c r="A1981" i="3"/>
  <c r="A1980" i="3"/>
  <c r="A1979" i="3"/>
  <c r="A2613" i="3"/>
  <c r="A1978" i="3"/>
  <c r="A197" i="3"/>
  <c r="A1977" i="3"/>
  <c r="A1298" i="3"/>
  <c r="A1976" i="3"/>
  <c r="A2806" i="3"/>
  <c r="A850" i="3"/>
  <c r="A2612" i="3"/>
  <c r="A1975" i="3"/>
  <c r="A2611" i="3"/>
  <c r="A1974" i="3"/>
  <c r="A1973" i="3"/>
  <c r="A849" i="3"/>
  <c r="A2610" i="3"/>
  <c r="A1297" i="3"/>
  <c r="A338" i="3"/>
  <c r="A848" i="3"/>
  <c r="A847" i="3"/>
  <c r="A1972" i="3"/>
  <c r="A2745" i="3"/>
  <c r="A846" i="3"/>
  <c r="A1296" i="3"/>
  <c r="A2609" i="3"/>
  <c r="A196" i="3"/>
  <c r="A1295" i="3"/>
  <c r="A195" i="3"/>
  <c r="A2805" i="3"/>
  <c r="A845" i="3"/>
  <c r="A1294" i="3"/>
  <c r="A1971" i="3"/>
  <c r="A1970" i="3"/>
  <c r="A844" i="3"/>
  <c r="A843" i="3"/>
  <c r="A842" i="3"/>
  <c r="A1293" i="3"/>
  <c r="A841" i="3"/>
  <c r="A2744" i="3"/>
  <c r="A1969" i="3"/>
  <c r="A840" i="3"/>
  <c r="A1968" i="3"/>
  <c r="A1967" i="3"/>
  <c r="A194" i="3"/>
  <c r="A839" i="3"/>
  <c r="A193" i="3"/>
  <c r="A838" i="3"/>
  <c r="A837" i="3"/>
  <c r="A2608" i="3"/>
  <c r="A1966" i="3"/>
  <c r="A836" i="3"/>
  <c r="A835" i="3"/>
  <c r="A2607" i="3"/>
  <c r="A1965" i="3"/>
  <c r="A1964" i="3"/>
  <c r="A1963" i="3"/>
  <c r="A192" i="3"/>
  <c r="A834" i="3"/>
  <c r="A2463" i="3"/>
  <c r="A833" i="3"/>
  <c r="A832" i="3"/>
  <c r="A2606" i="3"/>
  <c r="A831" i="3"/>
  <c r="A2462" i="3"/>
  <c r="A1962" i="3"/>
  <c r="A1961" i="3"/>
  <c r="A4" i="3"/>
  <c r="A830" i="3"/>
  <c r="A191" i="3"/>
  <c r="A190" i="3"/>
  <c r="A829" i="3"/>
  <c r="A2863" i="3"/>
  <c r="A1960" i="3"/>
  <c r="A189" i="3"/>
  <c r="A1292" i="3"/>
  <c r="A828" i="3"/>
  <c r="A1959" i="3"/>
  <c r="A188" i="3"/>
  <c r="A827" i="3"/>
  <c r="A826" i="3"/>
  <c r="A825" i="3"/>
  <c r="A2804" i="3"/>
  <c r="A824" i="3"/>
  <c r="A823" i="3"/>
  <c r="A1291" i="3"/>
  <c r="A1958" i="3"/>
  <c r="A187" i="3"/>
  <c r="A1290" i="3"/>
  <c r="A2461" i="3"/>
  <c r="A186" i="3"/>
  <c r="A2605" i="3"/>
  <c r="A2604" i="3"/>
  <c r="A1957" i="3"/>
  <c r="A1956" i="3"/>
  <c r="A2460" i="3"/>
  <c r="A2603" i="3"/>
  <c r="A822" i="3"/>
  <c r="A2602" i="3"/>
  <c r="A821" i="3"/>
  <c r="A1955" i="3"/>
  <c r="A185" i="3"/>
  <c r="A820" i="3"/>
  <c r="A1954" i="3"/>
  <c r="A1953" i="3"/>
  <c r="A1952" i="3"/>
  <c r="A1951" i="3"/>
  <c r="A819" i="3"/>
  <c r="A818" i="3"/>
  <c r="A817" i="3"/>
  <c r="A184" i="3"/>
  <c r="A816" i="3"/>
  <c r="A1950" i="3"/>
  <c r="A815" i="3"/>
  <c r="A1949" i="3"/>
  <c r="A1948" i="3"/>
  <c r="A1289" i="3"/>
  <c r="A2803" i="3"/>
  <c r="A1947" i="3"/>
  <c r="A1946" i="3"/>
  <c r="A814" i="3"/>
  <c r="A337" i="3"/>
  <c r="A813" i="3"/>
  <c r="A812" i="3"/>
  <c r="A811" i="3"/>
  <c r="A336" i="3"/>
  <c r="A183" i="3"/>
  <c r="A1945" i="3"/>
  <c r="A1288" i="3"/>
  <c r="A1287" i="3"/>
  <c r="A1944" i="3"/>
  <c r="A810" i="3"/>
  <c r="A2802" i="3"/>
  <c r="A809" i="3"/>
  <c r="A1943" i="3"/>
  <c r="A1286" i="3"/>
  <c r="A808" i="3"/>
  <c r="A2743" i="3"/>
  <c r="A1942" i="3"/>
  <c r="A1941" i="3"/>
  <c r="A807" i="3"/>
  <c r="A182" i="3"/>
  <c r="A2601" i="3"/>
  <c r="A1940" i="3"/>
  <c r="A181" i="3"/>
  <c r="A806" i="3"/>
  <c r="A1285" i="3"/>
  <c r="A805" i="3"/>
  <c r="A1284" i="3"/>
  <c r="A804" i="3"/>
  <c r="A803" i="3"/>
  <c r="A2459" i="3"/>
  <c r="A1939" i="3"/>
  <c r="A180" i="3"/>
  <c r="A1938" i="3"/>
  <c r="A2600" i="3"/>
  <c r="A802" i="3"/>
  <c r="A179" i="3"/>
  <c r="A1937" i="3"/>
  <c r="A801" i="3"/>
  <c r="A1936" i="3"/>
  <c r="A800" i="3"/>
  <c r="A1935" i="3"/>
  <c r="A799" i="3"/>
  <c r="A798" i="3"/>
  <c r="A797" i="3"/>
  <c r="A796" i="3"/>
  <c r="A1283" i="3"/>
  <c r="A795" i="3"/>
  <c r="A1934" i="3"/>
  <c r="A1933" i="3"/>
  <c r="A794" i="3"/>
  <c r="A2599" i="3"/>
  <c r="A793" i="3"/>
  <c r="A2458" i="3"/>
  <c r="A1932" i="3"/>
  <c r="A1931" i="3"/>
  <c r="A792" i="3"/>
  <c r="A791" i="3"/>
  <c r="A1930" i="3"/>
  <c r="A790" i="3"/>
  <c r="A789" i="3"/>
  <c r="A1929" i="3"/>
  <c r="A1928" i="3"/>
  <c r="A788" i="3"/>
  <c r="A1927" i="3"/>
  <c r="A787" i="3"/>
  <c r="A1926" i="3"/>
  <c r="A178" i="3"/>
  <c r="A1925" i="3"/>
  <c r="A1924" i="3"/>
  <c r="A1923" i="3"/>
  <c r="A1282" i="3"/>
  <c r="A1922" i="3"/>
  <c r="A786" i="3"/>
  <c r="A785" i="3"/>
  <c r="A784" i="3"/>
  <c r="A1921" i="3"/>
  <c r="A1920" i="3"/>
  <c r="A783" i="3"/>
  <c r="A2801" i="3"/>
  <c r="A782" i="3"/>
  <c r="A177" i="3"/>
  <c r="A1919" i="3"/>
  <c r="A2800" i="3"/>
  <c r="A781" i="3"/>
  <c r="A780" i="3"/>
  <c r="A779" i="3"/>
  <c r="A1918" i="3"/>
  <c r="A778" i="3"/>
  <c r="A1281" i="3"/>
  <c r="A777" i="3"/>
  <c r="A2457" i="3"/>
  <c r="A776" i="3"/>
  <c r="A1917" i="3"/>
  <c r="A1916" i="3"/>
  <c r="A1915" i="3"/>
  <c r="A775" i="3"/>
  <c r="A2598" i="3"/>
  <c r="A1914" i="3"/>
  <c r="A176" i="3"/>
  <c r="A774" i="3"/>
  <c r="A773" i="3"/>
  <c r="A1913" i="3"/>
  <c r="A175" i="3"/>
  <c r="A2456" i="3"/>
  <c r="A174" i="3"/>
  <c r="A2799" i="3"/>
  <c r="A1280" i="3"/>
  <c r="A1912" i="3"/>
  <c r="A1911" i="3"/>
  <c r="A173" i="3"/>
  <c r="A172" i="3"/>
  <c r="A772" i="3"/>
  <c r="A771" i="3"/>
  <c r="A2742" i="3"/>
  <c r="A1910" i="3"/>
  <c r="A1909" i="3"/>
  <c r="A770" i="3"/>
  <c r="A1279" i="3"/>
  <c r="A2798" i="3"/>
  <c r="A1908" i="3"/>
  <c r="A1907" i="3"/>
  <c r="A769" i="3"/>
  <c r="A2455" i="3"/>
  <c r="A2597" i="3"/>
  <c r="A768" i="3"/>
  <c r="A2596" i="3"/>
  <c r="A1906" i="3"/>
  <c r="A767" i="3"/>
  <c r="A1905" i="3"/>
  <c r="A2741" i="3"/>
  <c r="A1904" i="3"/>
  <c r="A2454" i="3"/>
  <c r="A1903" i="3"/>
  <c r="A1902" i="3"/>
  <c r="A1901" i="3"/>
  <c r="A1900" i="3"/>
  <c r="A766" i="3"/>
  <c r="A765" i="3"/>
  <c r="A1899" i="3"/>
  <c r="A171" i="3"/>
  <c r="A1898" i="3"/>
  <c r="A335" i="3"/>
  <c r="A1278" i="3"/>
  <c r="A1897" i="3"/>
  <c r="A2595" i="3"/>
  <c r="A1277" i="3"/>
  <c r="A170" i="3"/>
  <c r="A2594" i="3"/>
  <c r="A764" i="3"/>
  <c r="A169" i="3"/>
  <c r="A763" i="3"/>
  <c r="A2740" i="3"/>
  <c r="A1896" i="3"/>
  <c r="A762" i="3"/>
  <c r="A1895" i="3"/>
  <c r="A761" i="3"/>
  <c r="A1894" i="3"/>
  <c r="A1893" i="3"/>
  <c r="A1892" i="3"/>
  <c r="A760" i="3"/>
  <c r="A1891" i="3"/>
  <c r="A334" i="3"/>
  <c r="A2593" i="3"/>
  <c r="A168" i="3"/>
  <c r="A1890" i="3"/>
  <c r="A2453" i="3"/>
  <c r="A167" i="3"/>
  <c r="A166" i="3"/>
  <c r="A759" i="3"/>
  <c r="A1889" i="3"/>
  <c r="A1888" i="3"/>
  <c r="A2452" i="3"/>
  <c r="A165" i="3"/>
  <c r="A2592" i="3"/>
  <c r="A1887" i="3"/>
  <c r="A758" i="3"/>
  <c r="A2591" i="3"/>
  <c r="A164" i="3"/>
  <c r="A333" i="3"/>
  <c r="A2739" i="3"/>
  <c r="A163" i="3"/>
  <c r="A1886" i="3"/>
  <c r="A1885" i="3"/>
  <c r="A1884" i="3"/>
  <c r="A162" i="3"/>
  <c r="A757" i="3"/>
  <c r="A756" i="3"/>
  <c r="A755" i="3"/>
  <c r="A754" i="3"/>
  <c r="A753" i="3"/>
  <c r="A1883" i="3"/>
  <c r="A1882" i="3"/>
  <c r="A1276" i="3"/>
  <c r="A1881" i="3"/>
  <c r="A752" i="3"/>
  <c r="A161" i="3"/>
  <c r="A751" i="3"/>
  <c r="A1880" i="3"/>
  <c r="A750" i="3"/>
  <c r="A2399" i="3"/>
  <c r="A2451" i="3"/>
  <c r="A1275" i="3"/>
  <c r="A1879" i="3"/>
  <c r="A160" i="3"/>
  <c r="A749" i="3"/>
  <c r="A1878" i="3"/>
  <c r="A1274" i="3"/>
  <c r="A1877" i="3"/>
  <c r="A748" i="3"/>
  <c r="A1876" i="3"/>
  <c r="A747" i="3"/>
  <c r="A2590" i="3"/>
  <c r="A1875" i="3"/>
  <c r="A1874" i="3"/>
  <c r="A746" i="3"/>
  <c r="A1873" i="3"/>
  <c r="A1273" i="3"/>
  <c r="A1872" i="3"/>
  <c r="A745" i="3"/>
  <c r="A744" i="3"/>
  <c r="A1272" i="3"/>
  <c r="A332" i="3"/>
  <c r="A2589" i="3"/>
  <c r="A743" i="3"/>
  <c r="A742" i="3"/>
  <c r="A159" i="3"/>
  <c r="A158" i="3"/>
  <c r="A1871" i="3"/>
  <c r="A1870" i="3"/>
  <c r="A1271" i="3"/>
  <c r="A2797" i="3"/>
  <c r="A741" i="3"/>
  <c r="A1869" i="3"/>
  <c r="A740" i="3"/>
  <c r="A2588" i="3"/>
  <c r="A1868" i="3"/>
  <c r="A1867" i="3"/>
  <c r="A2587" i="3"/>
  <c r="A157" i="3"/>
  <c r="A739" i="3"/>
  <c r="A1866" i="3"/>
  <c r="A738" i="3"/>
  <c r="A2586" i="3"/>
  <c r="A1270" i="3"/>
  <c r="A1269" i="3"/>
  <c r="A2738" i="3"/>
  <c r="A737" i="3"/>
  <c r="A736" i="3"/>
  <c r="A2737" i="3"/>
  <c r="A2585" i="3"/>
  <c r="A2584" i="3"/>
  <c r="A2583" i="3"/>
  <c r="A735" i="3"/>
  <c r="A1865" i="3"/>
  <c r="A2582" i="3"/>
  <c r="A734" i="3"/>
  <c r="A2581" i="3"/>
  <c r="A733" i="3"/>
  <c r="A2580" i="3"/>
  <c r="A732" i="3"/>
  <c r="A1864" i="3"/>
  <c r="A1863" i="3"/>
  <c r="A2796" i="3"/>
  <c r="A1862" i="3"/>
  <c r="A731" i="3"/>
  <c r="A1861" i="3"/>
  <c r="A2736" i="3"/>
  <c r="A730" i="3"/>
  <c r="A1860" i="3"/>
  <c r="A729" i="3"/>
  <c r="A2579" i="3"/>
  <c r="A2578" i="3"/>
  <c r="A2795" i="3"/>
  <c r="A156" i="3"/>
  <c r="A331" i="3"/>
  <c r="A2450" i="3"/>
  <c r="A1859" i="3"/>
  <c r="A1858" i="3"/>
  <c r="A1857" i="3"/>
  <c r="A728" i="3"/>
  <c r="A155" i="3"/>
  <c r="A727" i="3"/>
  <c r="A154" i="3"/>
  <c r="A726" i="3"/>
  <c r="A1268" i="3"/>
  <c r="A1856" i="3"/>
  <c r="A725" i="3"/>
  <c r="A1855" i="3"/>
  <c r="A1854" i="3"/>
  <c r="A724" i="3"/>
  <c r="A1267" i="3"/>
  <c r="A1266" i="3"/>
  <c r="A723" i="3"/>
  <c r="A1265" i="3"/>
  <c r="A1853" i="3"/>
  <c r="A1852" i="3"/>
  <c r="A1851" i="3"/>
  <c r="A2449" i="3"/>
  <c r="A1850" i="3"/>
  <c r="A153" i="3"/>
  <c r="A2867" i="3"/>
  <c r="A2448" i="3"/>
  <c r="A2447" i="3"/>
  <c r="A722" i="3"/>
  <c r="A721" i="3"/>
  <c r="A2577" i="3"/>
  <c r="A152" i="3"/>
  <c r="A720" i="3"/>
  <c r="A1849" i="3"/>
  <c r="A2735" i="3"/>
  <c r="A719" i="3"/>
  <c r="A2576" i="3"/>
  <c r="A718" i="3"/>
  <c r="A1848" i="3"/>
  <c r="A2866" i="3"/>
  <c r="A1847" i="3"/>
  <c r="A717" i="3"/>
  <c r="A716" i="3"/>
  <c r="A715" i="3"/>
  <c r="A151" i="3"/>
  <c r="A1846" i="3"/>
  <c r="A2734" i="3"/>
  <c r="A1845" i="3"/>
  <c r="A1844" i="3"/>
  <c r="A1843" i="3"/>
  <c r="A1842" i="3"/>
  <c r="A714" i="3"/>
  <c r="A1841" i="3"/>
  <c r="A150" i="3"/>
  <c r="A1840" i="3"/>
  <c r="A149" i="3"/>
  <c r="A330" i="3"/>
  <c r="A148" i="3"/>
  <c r="A2575" i="3"/>
  <c r="A2862" i="3"/>
  <c r="A713" i="3"/>
  <c r="A1839" i="3"/>
  <c r="A712" i="3"/>
  <c r="A711" i="3"/>
  <c r="A1264" i="3"/>
  <c r="A1838" i="3"/>
  <c r="A710" i="3"/>
  <c r="A709" i="3"/>
  <c r="A1837" i="3"/>
  <c r="A147" i="3"/>
  <c r="A146" i="3"/>
  <c r="A1836" i="3"/>
  <c r="A145" i="3"/>
  <c r="A2794" i="3"/>
  <c r="A708" i="3"/>
  <c r="A144" i="3"/>
  <c r="A1835" i="3"/>
  <c r="A2574" i="3"/>
  <c r="A707" i="3"/>
  <c r="A2733" i="3"/>
  <c r="A1834" i="3"/>
  <c r="A2398" i="3"/>
  <c r="A1833" i="3"/>
  <c r="A143" i="3"/>
  <c r="A1832" i="3"/>
  <c r="A706" i="3"/>
  <c r="A705" i="3"/>
  <c r="A142" i="3"/>
  <c r="A141" i="3"/>
  <c r="A704" i="3"/>
  <c r="A1831" i="3"/>
  <c r="A2573" i="3"/>
  <c r="A1830" i="3"/>
  <c r="A2572" i="3"/>
  <c r="A140" i="3"/>
  <c r="A1829" i="3"/>
  <c r="A2446" i="3"/>
  <c r="A703" i="3"/>
  <c r="A702" i="3"/>
  <c r="A1828" i="3"/>
  <c r="A701" i="3"/>
  <c r="A2571" i="3"/>
  <c r="A1827" i="3"/>
  <c r="A139" i="3"/>
  <c r="A2445" i="3"/>
  <c r="A700" i="3"/>
  <c r="A1826" i="3"/>
  <c r="A699" i="3"/>
  <c r="A2732" i="3"/>
  <c r="A138" i="3"/>
  <c r="A698" i="3"/>
  <c r="A1825" i="3"/>
  <c r="A1824" i="3"/>
  <c r="A1823" i="3"/>
  <c r="A697" i="3"/>
  <c r="A1822" i="3"/>
  <c r="A1821" i="3"/>
  <c r="A1820" i="3"/>
  <c r="A696" i="3"/>
  <c r="A1819" i="3"/>
  <c r="A695" i="3"/>
  <c r="A137" i="3"/>
  <c r="A2570" i="3"/>
  <c r="A1818" i="3"/>
  <c r="A694" i="3"/>
  <c r="A693" i="3"/>
  <c r="A1263" i="3"/>
  <c r="A692" i="3"/>
  <c r="A691" i="3"/>
  <c r="A2569" i="3"/>
  <c r="A1817" i="3"/>
  <c r="A1816" i="3"/>
  <c r="A690" i="3"/>
  <c r="A136" i="3"/>
  <c r="A1262" i="3"/>
  <c r="A689" i="3"/>
  <c r="A329" i="3"/>
  <c r="A1261" i="3"/>
  <c r="A688" i="3"/>
  <c r="A687" i="3"/>
  <c r="A2861" i="3"/>
  <c r="A135" i="3"/>
  <c r="A134" i="3"/>
  <c r="A133" i="3"/>
  <c r="A686" i="3"/>
  <c r="A1815" i="3"/>
  <c r="A2568" i="3"/>
  <c r="A2567" i="3"/>
  <c r="A1260" i="3"/>
  <c r="A1814" i="3"/>
  <c r="A1813" i="3"/>
  <c r="A1812" i="3"/>
  <c r="A685" i="3"/>
  <c r="A1811" i="3"/>
  <c r="A2397" i="3"/>
  <c r="A132" i="3"/>
  <c r="A131" i="3"/>
  <c r="A2444" i="3"/>
  <c r="A684" i="3"/>
  <c r="A2566" i="3"/>
  <c r="A2565" i="3"/>
  <c r="A2564" i="3"/>
  <c r="A130" i="3"/>
  <c r="A683" i="3"/>
  <c r="A1810" i="3"/>
  <c r="A1259" i="3"/>
  <c r="A1809" i="3"/>
  <c r="A1808" i="3"/>
  <c r="A2563" i="3"/>
  <c r="A682" i="3"/>
  <c r="A1807" i="3"/>
  <c r="A1806" i="3"/>
  <c r="A681" i="3"/>
  <c r="A1805" i="3"/>
  <c r="A328" i="3"/>
  <c r="A1258" i="3"/>
  <c r="A1257" i="3"/>
  <c r="A680" i="3"/>
  <c r="A1256" i="3"/>
  <c r="A2443" i="3"/>
  <c r="A129" i="3"/>
  <c r="A2442" i="3"/>
  <c r="A679" i="3"/>
  <c r="A1804" i="3"/>
  <c r="A327" i="3"/>
  <c r="A678" i="3"/>
  <c r="A1803" i="3"/>
  <c r="A1802" i="3"/>
  <c r="A677" i="3"/>
  <c r="A1255" i="3"/>
  <c r="A676" i="3"/>
  <c r="A1801" i="3"/>
  <c r="A326" i="3"/>
  <c r="A128" i="3"/>
  <c r="A127" i="3"/>
  <c r="A675" i="3"/>
  <c r="A1800" i="3"/>
  <c r="A1799" i="3"/>
  <c r="A674" i="3"/>
  <c r="A673" i="3"/>
  <c r="A126" i="3"/>
  <c r="A672" i="3"/>
  <c r="A2441" i="3"/>
  <c r="A1798" i="3"/>
  <c r="A1797" i="3"/>
  <c r="A2731" i="3"/>
  <c r="A2562" i="3"/>
  <c r="A671" i="3"/>
  <c r="A1254" i="3"/>
  <c r="A1796" i="3"/>
  <c r="A1795" i="3"/>
  <c r="A670" i="3"/>
  <c r="A1794" i="3"/>
  <c r="A1793" i="3"/>
  <c r="A2730" i="3"/>
  <c r="A125" i="3"/>
  <c r="A669" i="3"/>
  <c r="A2561" i="3"/>
  <c r="A668" i="3"/>
  <c r="A1792" i="3"/>
  <c r="A124" i="3"/>
  <c r="A2729" i="3"/>
  <c r="A1791" i="3"/>
  <c r="A1790" i="3"/>
  <c r="A667" i="3"/>
  <c r="A666" i="3"/>
  <c r="A665" i="3"/>
  <c r="A1789" i="3"/>
  <c r="A2560" i="3"/>
  <c r="A1788" i="3"/>
  <c r="A2559" i="3"/>
  <c r="A1787" i="3"/>
  <c r="A1786" i="3"/>
  <c r="A2396" i="3"/>
  <c r="A1785" i="3"/>
  <c r="A664" i="3"/>
  <c r="A1784" i="3"/>
  <c r="A1783" i="3"/>
  <c r="A123" i="3"/>
  <c r="A663" i="3"/>
  <c r="A1782" i="3"/>
  <c r="A1781" i="3"/>
  <c r="A122" i="3"/>
  <c r="A1253" i="3"/>
  <c r="A2558" i="3"/>
  <c r="A662" i="3"/>
  <c r="A1780" i="3"/>
  <c r="A121" i="3"/>
  <c r="A2557" i="3"/>
  <c r="A2440" i="3"/>
  <c r="A1779" i="3"/>
  <c r="A2439" i="3"/>
  <c r="A1778" i="3"/>
  <c r="A661" i="3"/>
  <c r="A660" i="3"/>
  <c r="A120" i="3"/>
  <c r="A1777" i="3"/>
  <c r="A659" i="3"/>
  <c r="A119" i="3"/>
  <c r="A1776" i="3"/>
  <c r="A1775" i="3"/>
  <c r="A1774" i="3"/>
  <c r="A1773" i="3"/>
  <c r="A658" i="3"/>
  <c r="A1772" i="3"/>
  <c r="A2556" i="3"/>
  <c r="A1771" i="3"/>
  <c r="A118" i="3"/>
  <c r="A657" i="3"/>
  <c r="A656" i="3"/>
  <c r="A655" i="3"/>
  <c r="A654" i="3"/>
  <c r="A653" i="3"/>
  <c r="A117" i="3"/>
  <c r="A1770" i="3"/>
  <c r="A116" i="3"/>
  <c r="A652" i="3"/>
  <c r="A1769" i="3"/>
  <c r="A1768" i="3"/>
  <c r="A1252" i="3"/>
  <c r="A1767" i="3"/>
  <c r="A651" i="3"/>
  <c r="A650" i="3"/>
  <c r="A2793" i="3"/>
  <c r="A115" i="3"/>
  <c r="A649" i="3"/>
  <c r="A114" i="3"/>
  <c r="A2728" i="3"/>
  <c r="A1766" i="3"/>
  <c r="A113" i="3"/>
  <c r="A2555" i="3"/>
  <c r="A648" i="3"/>
  <c r="A1765" i="3"/>
  <c r="A1764" i="3"/>
  <c r="A1763" i="3"/>
  <c r="A112" i="3"/>
  <c r="A1762" i="3"/>
  <c r="A1761" i="3"/>
  <c r="A647" i="3"/>
  <c r="A1760" i="3"/>
  <c r="A111" i="3"/>
  <c r="A110" i="3"/>
  <c r="A1759" i="3"/>
  <c r="A2438" i="3"/>
  <c r="A646" i="3"/>
  <c r="A645" i="3"/>
  <c r="A109" i="3"/>
  <c r="A108" i="3"/>
  <c r="A644" i="3"/>
  <c r="A2792" i="3"/>
  <c r="A1758" i="3"/>
  <c r="A1757" i="3"/>
  <c r="A107" i="3"/>
  <c r="A1756" i="3"/>
  <c r="A2727" i="3"/>
  <c r="A2437" i="3"/>
  <c r="A643" i="3"/>
  <c r="A2436" i="3"/>
  <c r="A1755" i="3"/>
  <c r="A1754" i="3"/>
  <c r="A1753" i="3"/>
  <c r="A1752" i="3"/>
  <c r="A642" i="3"/>
  <c r="A1251" i="3"/>
  <c r="A1751" i="3"/>
  <c r="A1750" i="3"/>
  <c r="A1749" i="3"/>
  <c r="A1748" i="3"/>
  <c r="A2554" i="3"/>
  <c r="A641" i="3"/>
  <c r="A2553" i="3"/>
  <c r="A640" i="3"/>
  <c r="A1747" i="3"/>
  <c r="A639" i="3"/>
  <c r="A1746" i="3"/>
  <c r="A1745" i="3"/>
  <c r="A1744" i="3"/>
  <c r="A638" i="3"/>
  <c r="A2726" i="3"/>
  <c r="A637" i="3"/>
  <c r="A636" i="3"/>
  <c r="A1250" i="3"/>
  <c r="A2435" i="3"/>
  <c r="A1249" i="3"/>
  <c r="A2552" i="3"/>
  <c r="A635" i="3"/>
  <c r="A634" i="3"/>
  <c r="A1743" i="3"/>
  <c r="A633" i="3"/>
  <c r="A325" i="3"/>
  <c r="A1248" i="3"/>
  <c r="A632" i="3"/>
  <c r="A631" i="3"/>
  <c r="A1742" i="3"/>
  <c r="A1247" i="3"/>
  <c r="A106" i="3"/>
  <c r="A1741" i="3"/>
  <c r="A1246" i="3"/>
  <c r="A1245" i="3"/>
  <c r="A1740" i="3"/>
  <c r="A2551" i="3"/>
  <c r="A2791" i="3"/>
  <c r="A2550" i="3"/>
  <c r="A1739" i="3"/>
  <c r="A630" i="3"/>
  <c r="A629" i="3"/>
  <c r="A628" i="3"/>
  <c r="A627" i="3"/>
  <c r="A105" i="3"/>
  <c r="A1738" i="3"/>
  <c r="A104" i="3"/>
  <c r="A1737" i="3"/>
  <c r="A103" i="3"/>
  <c r="A2549" i="3"/>
  <c r="A626" i="3"/>
  <c r="A625" i="3"/>
  <c r="A1736" i="3"/>
  <c r="A1735" i="3"/>
  <c r="A624" i="3"/>
  <c r="A1734" i="3"/>
  <c r="A102" i="3"/>
  <c r="A2434" i="3"/>
  <c r="A1733" i="3"/>
  <c r="A2548" i="3"/>
  <c r="A623" i="3"/>
  <c r="A622" i="3"/>
  <c r="A1732" i="3"/>
  <c r="A101" i="3"/>
  <c r="A621" i="3"/>
  <c r="A1731" i="3"/>
  <c r="A620" i="3"/>
  <c r="A1244" i="3"/>
  <c r="A1243" i="3"/>
  <c r="A1730" i="3"/>
  <c r="A100" i="3"/>
  <c r="A99" i="3"/>
  <c r="A2790" i="3"/>
  <c r="A2547" i="3"/>
  <c r="A1729" i="3"/>
  <c r="A619" i="3"/>
  <c r="A1242" i="3"/>
  <c r="A98" i="3"/>
  <c r="A618" i="3"/>
  <c r="A1241" i="3"/>
  <c r="A617" i="3"/>
  <c r="A2789" i="3"/>
  <c r="A97" i="3"/>
  <c r="A1728" i="3"/>
  <c r="A1727" i="3"/>
  <c r="A2433" i="3"/>
  <c r="A1726" i="3"/>
  <c r="A1725" i="3"/>
  <c r="A1724" i="3"/>
  <c r="A1723" i="3"/>
  <c r="A1722" i="3"/>
  <c r="A1721" i="3"/>
  <c r="A1720" i="3"/>
  <c r="A616" i="3"/>
  <c r="A615" i="3"/>
  <c r="A2546" i="3"/>
  <c r="A614" i="3"/>
  <c r="A1240" i="3"/>
  <c r="A1719" i="3"/>
  <c r="A2545" i="3"/>
  <c r="A613" i="3"/>
  <c r="A1718" i="3"/>
  <c r="A612" i="3"/>
  <c r="A611" i="3"/>
  <c r="A610" i="3"/>
  <c r="A1717" i="3"/>
  <c r="A2544" i="3"/>
  <c r="A609" i="3"/>
  <c r="A608" i="3"/>
  <c r="A1239" i="3"/>
  <c r="A607" i="3"/>
  <c r="A606" i="3"/>
  <c r="A96" i="3"/>
  <c r="A605" i="3"/>
  <c r="A1716" i="3"/>
  <c r="A1715" i="3"/>
  <c r="A1714" i="3"/>
  <c r="A1713" i="3"/>
  <c r="A1712" i="3"/>
  <c r="A324" i="3"/>
  <c r="A604" i="3"/>
  <c r="A95" i="3"/>
  <c r="A1238" i="3"/>
  <c r="A94" i="3"/>
  <c r="A1237" i="3"/>
  <c r="A2543" i="3"/>
  <c r="A1711" i="3"/>
  <c r="A603" i="3"/>
  <c r="A602" i="3"/>
  <c r="A1710" i="3"/>
  <c r="A1709" i="3"/>
  <c r="A1708" i="3"/>
  <c r="A1707" i="3"/>
  <c r="A1236" i="3"/>
  <c r="A1706" i="3"/>
  <c r="A2542" i="3"/>
  <c r="A93" i="3"/>
  <c r="A92" i="3"/>
  <c r="A1705" i="3"/>
  <c r="A91" i="3"/>
  <c r="A1704" i="3"/>
  <c r="A2541" i="3"/>
  <c r="A1703" i="3"/>
  <c r="A323" i="3"/>
  <c r="A601" i="3"/>
  <c r="A600" i="3"/>
  <c r="A1702" i="3"/>
  <c r="A1235" i="3"/>
  <c r="A1234" i="3"/>
  <c r="A599" i="3"/>
  <c r="A1701" i="3"/>
  <c r="A90" i="3"/>
  <c r="A89" i="3"/>
  <c r="A2788" i="3"/>
  <c r="A2540" i="3"/>
  <c r="A1700" i="3"/>
  <c r="A598" i="3"/>
  <c r="A1699" i="3"/>
  <c r="A1698" i="3"/>
  <c r="A2860" i="3"/>
  <c r="A597" i="3"/>
  <c r="A1697" i="3"/>
  <c r="A596" i="3"/>
  <c r="A1696" i="3"/>
  <c r="A1695" i="3"/>
  <c r="A595" i="3"/>
  <c r="A1233" i="3"/>
  <c r="A594" i="3"/>
  <c r="A1694" i="3"/>
  <c r="A593" i="3"/>
  <c r="A2432" i="3"/>
  <c r="A1693" i="3"/>
  <c r="A2725" i="3"/>
  <c r="A2539" i="3"/>
  <c r="A592" i="3"/>
  <c r="A591" i="3"/>
  <c r="A1692" i="3"/>
  <c r="A2431" i="3"/>
  <c r="A1691" i="3"/>
  <c r="A1690" i="3"/>
  <c r="A1689" i="3"/>
  <c r="A1688" i="3"/>
  <c r="A2430" i="3"/>
  <c r="A590" i="3"/>
  <c r="A1687" i="3"/>
  <c r="A589" i="3"/>
  <c r="A588" i="3"/>
  <c r="A1686" i="3"/>
  <c r="A587" i="3"/>
  <c r="A1685" i="3"/>
  <c r="A586" i="3"/>
  <c r="A2859" i="3"/>
  <c r="A585" i="3"/>
  <c r="A584" i="3"/>
  <c r="A1232" i="3"/>
  <c r="A1231" i="3"/>
  <c r="A2538" i="3"/>
  <c r="A1230" i="3"/>
  <c r="A1229" i="3"/>
  <c r="A583" i="3"/>
  <c r="A582" i="3"/>
  <c r="A1684" i="3"/>
  <c r="A581" i="3"/>
  <c r="A1228" i="3"/>
  <c r="A580" i="3"/>
  <c r="A1683" i="3"/>
  <c r="A579" i="3"/>
  <c r="A1682" i="3"/>
  <c r="A1681" i="3"/>
  <c r="A2395" i="3"/>
  <c r="A1680" i="3"/>
  <c r="A578" i="3"/>
  <c r="A88" i="3"/>
  <c r="A1679" i="3"/>
  <c r="A1227" i="3"/>
  <c r="A1226" i="3"/>
  <c r="A87" i="3"/>
  <c r="A577" i="3"/>
  <c r="A576" i="3"/>
  <c r="A86" i="3"/>
  <c r="A1225" i="3"/>
  <c r="A1678" i="3"/>
  <c r="A1677" i="3"/>
  <c r="A1676" i="3"/>
  <c r="A1224" i="3"/>
  <c r="A1675" i="3"/>
  <c r="A575" i="3"/>
  <c r="A85" i="3"/>
  <c r="A322" i="3"/>
  <c r="A1674" i="3"/>
  <c r="A1673" i="3"/>
  <c r="A84" i="3"/>
  <c r="A1672" i="3"/>
  <c r="A1223" i="3"/>
  <c r="A2537" i="3"/>
  <c r="A574" i="3"/>
  <c r="A1671" i="3"/>
  <c r="A1222" i="3"/>
  <c r="A2724" i="3"/>
  <c r="A1670" i="3"/>
  <c r="A1669" i="3"/>
  <c r="A2536" i="3"/>
  <c r="A2723" i="3"/>
  <c r="A573" i="3"/>
  <c r="A83" i="3"/>
  <c r="A572" i="3"/>
  <c r="A1221" i="3"/>
  <c r="A571" i="3"/>
  <c r="A1668" i="3"/>
  <c r="A2535" i="3"/>
  <c r="A2534" i="3"/>
  <c r="A570" i="3"/>
  <c r="A569" i="3"/>
  <c r="A2429" i="3"/>
  <c r="A2533" i="3"/>
  <c r="A2722" i="3"/>
  <c r="A1667" i="3"/>
  <c r="A1666" i="3"/>
  <c r="A1665" i="3"/>
  <c r="A82" i="3"/>
  <c r="A568" i="3"/>
  <c r="A1220" i="3"/>
  <c r="A1664" i="3"/>
  <c r="A1663" i="3"/>
  <c r="A567" i="3"/>
  <c r="A81" i="3"/>
  <c r="A1662" i="3"/>
  <c r="A1661" i="3"/>
  <c r="A1660" i="3"/>
  <c r="A1659" i="3"/>
  <c r="A1658" i="3"/>
  <c r="A80" i="3"/>
  <c r="A1657" i="3"/>
  <c r="A79" i="3"/>
  <c r="A566" i="3"/>
  <c r="A78" i="3"/>
  <c r="A2532" i="3"/>
  <c r="A1656" i="3"/>
  <c r="A2787" i="3"/>
  <c r="A565" i="3"/>
  <c r="A77" i="3"/>
  <c r="A2428" i="3"/>
  <c r="A2427" i="3"/>
  <c r="A564" i="3"/>
  <c r="A563" i="3"/>
  <c r="A1219" i="3"/>
  <c r="A562" i="3"/>
  <c r="A2531" i="3"/>
  <c r="A1655" i="3"/>
  <c r="A76" i="3"/>
  <c r="A2786" i="3"/>
  <c r="A2530" i="3"/>
  <c r="A561" i="3"/>
  <c r="A560" i="3"/>
  <c r="A1654" i="3"/>
  <c r="A559" i="3"/>
  <c r="A75" i="3"/>
  <c r="A1653" i="3"/>
  <c r="A74" i="3"/>
  <c r="A558" i="3"/>
  <c r="A1218" i="3"/>
  <c r="A1652" i="3"/>
  <c r="A2529" i="3"/>
  <c r="A2785" i="3"/>
  <c r="A1651" i="3"/>
  <c r="A1650" i="3"/>
  <c r="A1649" i="3"/>
  <c r="A1648" i="3"/>
  <c r="A1647" i="3"/>
  <c r="A1646" i="3"/>
  <c r="A1217" i="3"/>
  <c r="A1645" i="3"/>
  <c r="A557" i="3"/>
  <c r="A556" i="3"/>
  <c r="A2528" i="3"/>
  <c r="A1644" i="3"/>
  <c r="A555" i="3"/>
  <c r="A1643" i="3"/>
  <c r="A2527" i="3"/>
  <c r="A1642" i="3"/>
  <c r="A2721" i="3"/>
  <c r="A1641" i="3"/>
  <c r="A73" i="3"/>
  <c r="A1640" i="3"/>
  <c r="A1216" i="3"/>
  <c r="A1639" i="3"/>
  <c r="A2720" i="3"/>
  <c r="A554" i="3"/>
  <c r="A72" i="3"/>
  <c r="A1638" i="3"/>
  <c r="A553" i="3"/>
  <c r="A1637" i="3"/>
  <c r="A1636" i="3"/>
  <c r="A552" i="3"/>
  <c r="A551" i="3"/>
  <c r="A1635" i="3"/>
  <c r="A1634" i="3"/>
  <c r="A550" i="3"/>
  <c r="A1633" i="3"/>
  <c r="A1632" i="3"/>
  <c r="A549" i="3"/>
  <c r="A548" i="3"/>
  <c r="A71" i="3"/>
  <c r="A547" i="3"/>
  <c r="A546" i="3"/>
  <c r="A545" i="3"/>
  <c r="A70" i="3"/>
  <c r="A1631" i="3"/>
  <c r="A1630" i="3"/>
  <c r="A2394" i="3"/>
  <c r="A544" i="3"/>
  <c r="A2526" i="3"/>
  <c r="A543" i="3"/>
  <c r="A69" i="3"/>
  <c r="A68" i="3"/>
  <c r="A542" i="3"/>
  <c r="A1629" i="3"/>
  <c r="A67" i="3"/>
  <c r="A321" i="3"/>
  <c r="A1628" i="3"/>
  <c r="A541" i="3"/>
  <c r="A1627" i="3"/>
  <c r="A1626" i="3"/>
  <c r="A1625" i="3"/>
  <c r="A1624" i="3"/>
  <c r="A1623" i="3"/>
  <c r="A1622" i="3"/>
  <c r="A540" i="3"/>
  <c r="A539" i="3"/>
  <c r="A2426" i="3"/>
  <c r="A538" i="3"/>
  <c r="A537" i="3"/>
  <c r="A536" i="3"/>
  <c r="A535" i="3"/>
  <c r="A1621" i="3"/>
  <c r="A66" i="3"/>
  <c r="A1215" i="3"/>
  <c r="A534" i="3"/>
  <c r="A533" i="3"/>
  <c r="A65" i="3"/>
  <c r="A532" i="3"/>
  <c r="A64" i="3"/>
  <c r="A63" i="3"/>
  <c r="A531" i="3"/>
  <c r="A530" i="3"/>
  <c r="A2525" i="3"/>
  <c r="A529" i="3"/>
  <c r="A528" i="3"/>
  <c r="A527" i="3"/>
  <c r="A526" i="3"/>
  <c r="A525" i="3"/>
  <c r="A524" i="3"/>
  <c r="A1620" i="3"/>
  <c r="A523" i="3"/>
  <c r="A522" i="3"/>
  <c r="A1619" i="3"/>
  <c r="A2784" i="3"/>
  <c r="A1618" i="3"/>
  <c r="A521" i="3"/>
  <c r="A520" i="3"/>
  <c r="A519" i="3"/>
  <c r="A1617" i="3"/>
  <c r="A518" i="3"/>
  <c r="A517" i="3"/>
  <c r="A1616" i="3"/>
  <c r="A2783" i="3"/>
  <c r="A2524" i="3"/>
  <c r="A516" i="3"/>
  <c r="A1615" i="3"/>
  <c r="A62" i="3"/>
  <c r="A1614" i="3"/>
  <c r="A515" i="3"/>
  <c r="A1613" i="3"/>
  <c r="A61" i="3"/>
  <c r="A1612" i="3"/>
  <c r="A514" i="3"/>
  <c r="A60" i="3"/>
  <c r="A1214" i="3"/>
  <c r="A2523" i="3"/>
  <c r="A1611" i="3"/>
  <c r="A513" i="3"/>
  <c r="A512" i="3"/>
  <c r="A2425" i="3"/>
  <c r="A511" i="3"/>
  <c r="A1610" i="3"/>
  <c r="A1609" i="3"/>
  <c r="A510" i="3"/>
  <c r="A59" i="3"/>
  <c r="A2782" i="3"/>
  <c r="A509" i="3"/>
  <c r="A1213" i="3"/>
  <c r="A1212" i="3"/>
  <c r="A1608" i="3"/>
  <c r="A1211" i="3"/>
  <c r="A508" i="3"/>
  <c r="A1607" i="3"/>
  <c r="A507" i="3"/>
  <c r="A1606" i="3"/>
  <c r="A1605" i="3"/>
  <c r="A506" i="3"/>
  <c r="A1604" i="3"/>
  <c r="A505" i="3"/>
  <c r="A1603" i="3"/>
  <c r="A2522" i="3"/>
  <c r="A1210" i="3"/>
  <c r="A1602" i="3"/>
  <c r="A504" i="3"/>
  <c r="A1601" i="3"/>
  <c r="A503" i="3"/>
  <c r="A1600" i="3"/>
  <c r="A1599" i="3"/>
  <c r="A502" i="3"/>
  <c r="A58" i="3"/>
  <c r="A1598" i="3"/>
  <c r="A1209" i="3"/>
  <c r="A1597" i="3"/>
  <c r="A501" i="3"/>
  <c r="A1208" i="3"/>
  <c r="A1596" i="3"/>
  <c r="A57" i="3"/>
  <c r="A500" i="3"/>
  <c r="A1207" i="3"/>
  <c r="A1206" i="3"/>
  <c r="A499" i="3"/>
  <c r="A1595" i="3"/>
  <c r="A1594" i="3"/>
  <c r="A56" i="3"/>
  <c r="A55" i="3"/>
  <c r="A498" i="3"/>
  <c r="A1593" i="3"/>
  <c r="A2781" i="3"/>
  <c r="A1205" i="3"/>
  <c r="A1592" i="3"/>
  <c r="A54" i="3"/>
  <c r="A1591" i="3"/>
  <c r="A53" i="3"/>
  <c r="A52" i="3"/>
  <c r="A497" i="3"/>
  <c r="A1590" i="3"/>
  <c r="A1204" i="3"/>
  <c r="A2521" i="3"/>
  <c r="A51" i="3"/>
  <c r="A1589" i="3"/>
  <c r="A1203" i="3"/>
  <c r="A1588" i="3"/>
  <c r="A1587" i="3"/>
  <c r="A320" i="3"/>
  <c r="A1586" i="3"/>
  <c r="A1585" i="3"/>
  <c r="A1584" i="3"/>
  <c r="A496" i="3"/>
  <c r="A1583" i="3"/>
  <c r="A2858" i="3"/>
  <c r="A1582" i="3"/>
  <c r="A1581" i="3"/>
  <c r="A1580" i="3"/>
  <c r="A1579" i="3"/>
  <c r="A495" i="3"/>
  <c r="A1578" i="3"/>
  <c r="A494" i="3"/>
  <c r="A493" i="3"/>
  <c r="A2780" i="3"/>
  <c r="A2779" i="3"/>
  <c r="A1577" i="3"/>
  <c r="A1576" i="3"/>
  <c r="A492" i="3"/>
  <c r="A1575" i="3"/>
  <c r="A1574" i="3"/>
  <c r="A1573" i="3"/>
  <c r="A1202" i="3"/>
  <c r="A1572" i="3"/>
  <c r="A491" i="3"/>
  <c r="A1201" i="3"/>
  <c r="A2424" i="3"/>
  <c r="A490" i="3"/>
  <c r="A1571" i="3"/>
  <c r="A1570" i="3"/>
  <c r="A489" i="3"/>
  <c r="A1200" i="3"/>
  <c r="A488" i="3"/>
  <c r="A2778" i="3"/>
  <c r="A1569" i="3"/>
  <c r="A487" i="3"/>
  <c r="A486" i="3"/>
  <c r="A2520" i="3"/>
  <c r="A1568" i="3"/>
  <c r="A485" i="3"/>
  <c r="A1567" i="3"/>
  <c r="A1566" i="3"/>
  <c r="A1565" i="3"/>
  <c r="A1199" i="3"/>
  <c r="A1564" i="3"/>
  <c r="A2519" i="3"/>
  <c r="A1563" i="3"/>
  <c r="A2777" i="3"/>
  <c r="A1198" i="3"/>
  <c r="A1562" i="3"/>
  <c r="A484" i="3"/>
  <c r="A1561" i="3"/>
  <c r="A483" i="3"/>
  <c r="A482" i="3"/>
  <c r="A481" i="3"/>
  <c r="A1560" i="3"/>
  <c r="A1559" i="3"/>
  <c r="A50" i="3"/>
  <c r="A1558" i="3"/>
  <c r="A1197" i="3"/>
  <c r="A1196" i="3"/>
  <c r="A480" i="3"/>
  <c r="A2776" i="3"/>
  <c r="A49" i="3"/>
  <c r="A479" i="3"/>
  <c r="A1557" i="3"/>
  <c r="A2518" i="3"/>
  <c r="A478" i="3"/>
  <c r="A1556" i="3"/>
  <c r="A477" i="3"/>
  <c r="A2775" i="3"/>
  <c r="A1555" i="3"/>
  <c r="A48" i="3"/>
  <c r="A476" i="3"/>
  <c r="A1554" i="3"/>
  <c r="A475" i="3"/>
  <c r="A2517" i="3"/>
  <c r="A2516" i="3"/>
  <c r="A474" i="3"/>
  <c r="A1553" i="3"/>
  <c r="A47" i="3"/>
  <c r="A1552" i="3"/>
  <c r="A473" i="3"/>
  <c r="A472" i="3"/>
  <c r="A471" i="3"/>
  <c r="A2423" i="3"/>
  <c r="A1195" i="3"/>
  <c r="A470" i="3"/>
  <c r="A1551" i="3"/>
  <c r="A469" i="3"/>
  <c r="A1550" i="3"/>
  <c r="A46" i="3"/>
  <c r="A1194" i="3"/>
  <c r="A468" i="3"/>
  <c r="A467" i="3"/>
  <c r="A466" i="3"/>
  <c r="A45" i="3"/>
  <c r="A44" i="3"/>
  <c r="A465" i="3"/>
  <c r="A1193" i="3"/>
  <c r="A464" i="3"/>
  <c r="A2515" i="3"/>
  <c r="A2719" i="3"/>
  <c r="A1192" i="3"/>
  <c r="A2422" i="3"/>
  <c r="A1549" i="3"/>
  <c r="A463" i="3"/>
  <c r="A1548" i="3"/>
  <c r="A1547" i="3"/>
  <c r="A43" i="3"/>
  <c r="A462" i="3"/>
  <c r="A461" i="3"/>
  <c r="A1546" i="3"/>
  <c r="A1191" i="3"/>
  <c r="A1190" i="3"/>
  <c r="A1189" i="3"/>
  <c r="A1545" i="3"/>
  <c r="A2421" i="3"/>
  <c r="A1544" i="3"/>
  <c r="A1543" i="3"/>
  <c r="A2514" i="3"/>
  <c r="A1542" i="3"/>
  <c r="A1541" i="3"/>
  <c r="A460" i="3"/>
  <c r="A1540" i="3"/>
  <c r="A319" i="3"/>
  <c r="A1539" i="3"/>
  <c r="A1538" i="3"/>
  <c r="A2513" i="3"/>
  <c r="A1188" i="3"/>
  <c r="A459" i="3"/>
  <c r="A1187" i="3"/>
  <c r="A458" i="3"/>
  <c r="A2512" i="3"/>
  <c r="A1537" i="3"/>
  <c r="A2774" i="3"/>
  <c r="A457" i="3"/>
  <c r="A1186" i="3"/>
  <c r="A1536" i="3"/>
  <c r="A42" i="3"/>
  <c r="A2718" i="3"/>
  <c r="A2857" i="3"/>
  <c r="A456" i="3"/>
  <c r="A1535" i="3"/>
  <c r="A1534" i="3"/>
  <c r="A2420" i="3"/>
  <c r="A1533" i="3"/>
  <c r="A455" i="3"/>
  <c r="A1532" i="3"/>
  <c r="A454" i="3"/>
  <c r="A453" i="3"/>
  <c r="A452" i="3"/>
  <c r="A1531" i="3"/>
  <c r="A1185" i="3"/>
  <c r="A1530" i="3"/>
  <c r="A2511" i="3"/>
  <c r="A2510" i="3"/>
  <c r="A2717" i="3"/>
  <c r="A451" i="3"/>
  <c r="A450" i="3"/>
  <c r="A449" i="3"/>
  <c r="A41" i="3"/>
  <c r="A2509" i="3"/>
  <c r="A1529" i="3"/>
  <c r="A1184" i="3"/>
  <c r="A1528" i="3"/>
  <c r="A448" i="3"/>
  <c r="A1527" i="3"/>
  <c r="A2716" i="3"/>
  <c r="A2715" i="3"/>
  <c r="A447" i="3"/>
  <c r="A1526" i="3"/>
  <c r="A2508" i="3"/>
  <c r="A1525" i="3"/>
  <c r="A2419" i="3"/>
  <c r="A1524" i="3"/>
  <c r="A446" i="3"/>
  <c r="A40" i="3"/>
  <c r="A2507" i="3"/>
  <c r="A445" i="3"/>
  <c r="A444" i="3"/>
  <c r="A1523" i="3"/>
  <c r="A443" i="3"/>
  <c r="A1183" i="3"/>
  <c r="A1522" i="3"/>
  <c r="A1521" i="3"/>
  <c r="A1182" i="3"/>
  <c r="A2418" i="3"/>
  <c r="A1520" i="3"/>
  <c r="A1519" i="3"/>
  <c r="A442" i="3"/>
  <c r="A1181" i="3"/>
  <c r="A1518" i="3"/>
  <c r="A39" i="3"/>
  <c r="A1517" i="3"/>
  <c r="A441" i="3"/>
  <c r="A440" i="3"/>
  <c r="A1516" i="3"/>
  <c r="A2417" i="3"/>
  <c r="A38" i="3"/>
  <c r="A439" i="3"/>
  <c r="A1180" i="3"/>
  <c r="A2416" i="3"/>
  <c r="A438" i="3"/>
  <c r="A1515" i="3"/>
  <c r="A2506" i="3"/>
  <c r="A437" i="3"/>
  <c r="A1514" i="3"/>
  <c r="A2505" i="3"/>
  <c r="A436" i="3"/>
  <c r="A1513" i="3"/>
  <c r="A2415" i="3"/>
  <c r="A1512" i="3"/>
  <c r="A1511" i="3"/>
  <c r="A435" i="3"/>
  <c r="A1510" i="3"/>
  <c r="A434" i="3"/>
  <c r="A1509" i="3"/>
  <c r="A1508" i="3"/>
  <c r="A433" i="3"/>
  <c r="A1507" i="3"/>
  <c r="A1506" i="3"/>
  <c r="A1505" i="3"/>
  <c r="A1179" i="3"/>
  <c r="A432" i="3"/>
  <c r="A1504" i="3"/>
  <c r="A37" i="3"/>
  <c r="A1503" i="3"/>
  <c r="A431" i="3"/>
  <c r="A1502" i="3"/>
  <c r="A1501" i="3"/>
  <c r="A36" i="3"/>
  <c r="A2393" i="3"/>
  <c r="A430" i="3"/>
  <c r="A2773" i="3"/>
  <c r="A1500" i="3"/>
  <c r="A2414" i="3"/>
  <c r="A2413" i="3"/>
  <c r="A1499" i="3"/>
  <c r="A1178" i="3"/>
  <c r="A2504" i="3"/>
  <c r="A2872" i="3"/>
  <c r="A35" i="3"/>
  <c r="A1498" i="3"/>
  <c r="A429" i="3"/>
  <c r="A428" i="3"/>
  <c r="A427" i="3"/>
  <c r="A1497" i="3"/>
  <c r="A426" i="3"/>
  <c r="A425" i="3"/>
  <c r="A424" i="3"/>
  <c r="A2503" i="3"/>
  <c r="A34" i="3"/>
  <c r="A33" i="3"/>
  <c r="A2502" i="3"/>
  <c r="A423" i="3"/>
  <c r="A32" i="3"/>
  <c r="A422" i="3"/>
  <c r="A31" i="3"/>
  <c r="A421" i="3"/>
  <c r="A1496" i="3"/>
  <c r="A1177" i="3"/>
  <c r="A1495" i="3"/>
  <c r="A1494" i="3"/>
  <c r="A1493" i="3"/>
  <c r="A2412" i="3"/>
  <c r="A1492" i="3"/>
  <c r="A420" i="3"/>
  <c r="A2411" i="3"/>
  <c r="A1491" i="3"/>
  <c r="A1490" i="3"/>
  <c r="A30" i="3"/>
  <c r="A1489" i="3"/>
  <c r="A1488" i="3"/>
  <c r="A1176" i="3"/>
  <c r="A1487" i="3"/>
  <c r="A1175" i="3"/>
  <c r="A1174" i="3"/>
  <c r="A419" i="3"/>
  <c r="A1486" i="3"/>
  <c r="A418" i="3"/>
  <c r="A1485" i="3"/>
  <c r="A2501" i="3"/>
  <c r="A417" i="3"/>
  <c r="A1484" i="3"/>
  <c r="A1483" i="3"/>
  <c r="A2500" i="3"/>
  <c r="A29" i="3"/>
  <c r="A416" i="3"/>
  <c r="A1173" i="3"/>
  <c r="A1482" i="3"/>
  <c r="A415" i="3"/>
  <c r="A1481" i="3"/>
  <c r="A1480" i="3"/>
  <c r="A1479" i="3"/>
  <c r="A315" i="3"/>
  <c r="A1478" i="3"/>
  <c r="A1477" i="3"/>
  <c r="A2410" i="3"/>
  <c r="A414" i="3"/>
  <c r="A413" i="3"/>
  <c r="A412" i="3"/>
  <c r="A1476" i="3"/>
  <c r="A1475" i="3"/>
  <c r="A1474" i="3"/>
  <c r="A1473" i="3"/>
  <c r="A411" i="3"/>
  <c r="A410" i="3"/>
  <c r="A2499" i="3"/>
  <c r="A409" i="3"/>
  <c r="A1472" i="3"/>
  <c r="A28" i="3"/>
  <c r="A1172" i="3"/>
  <c r="A1471" i="3"/>
  <c r="A1470" i="3"/>
  <c r="A2772" i="3"/>
  <c r="A408" i="3"/>
  <c r="A1171" i="3"/>
  <c r="A2771" i="3"/>
  <c r="A1469" i="3"/>
  <c r="A1468" i="3"/>
  <c r="A1467" i="3"/>
  <c r="A27" i="3"/>
  <c r="A2498" i="3"/>
  <c r="A26" i="3"/>
  <c r="A25" i="3"/>
  <c r="A2392" i="3"/>
  <c r="A24" i="3"/>
  <c r="A407" i="3"/>
  <c r="A406" i="3"/>
  <c r="A1466" i="3"/>
  <c r="A2770" i="3"/>
  <c r="A1465" i="3"/>
  <c r="A1464" i="3"/>
  <c r="A405" i="3"/>
  <c r="A23" i="3"/>
  <c r="A1463" i="3"/>
  <c r="A2852" i="3"/>
  <c r="A404" i="3"/>
  <c r="A1462" i="3"/>
  <c r="A2497" i="3"/>
  <c r="A1461" i="3"/>
  <c r="A22" i="3"/>
  <c r="A403" i="3"/>
  <c r="A1170" i="3"/>
  <c r="A1460" i="3"/>
  <c r="A402" i="3"/>
  <c r="A401" i="3"/>
  <c r="A2409" i="3"/>
  <c r="A400" i="3"/>
  <c r="A1459" i="3"/>
  <c r="A1458" i="3"/>
  <c r="A399" i="3"/>
  <c r="A398" i="3"/>
  <c r="A1457" i="3"/>
  <c r="A2496" i="3"/>
  <c r="A2871" i="3"/>
  <c r="A1456" i="3"/>
  <c r="A1455" i="3"/>
  <c r="A2769" i="3"/>
  <c r="A397" i="3"/>
  <c r="A1454" i="3"/>
  <c r="A2408" i="3"/>
  <c r="A2495" i="3"/>
  <c r="A1453" i="3"/>
  <c r="A2494" i="3"/>
  <c r="A2493" i="3"/>
  <c r="A2492" i="3"/>
  <c r="A1452" i="3"/>
  <c r="A1451" i="3"/>
  <c r="A2714" i="3"/>
  <c r="A2865" i="3"/>
  <c r="A396" i="3"/>
  <c r="A395" i="3"/>
  <c r="A21" i="3"/>
  <c r="A394" i="3"/>
  <c r="A1450" i="3"/>
  <c r="A2491" i="3"/>
  <c r="A1449" i="3"/>
  <c r="A2768" i="3"/>
  <c r="A1448" i="3"/>
  <c r="A1169" i="3"/>
  <c r="A1447" i="3"/>
  <c r="A20" i="3"/>
  <c r="A1446" i="3"/>
  <c r="A1168" i="3"/>
  <c r="A1167" i="3"/>
  <c r="A1445" i="3"/>
  <c r="A2490" i="3"/>
  <c r="A393" i="3"/>
  <c r="A19" i="3"/>
  <c r="A1444" i="3"/>
  <c r="A1443" i="3"/>
  <c r="A2407" i="3"/>
  <c r="A1442" i="3"/>
  <c r="A18" i="3"/>
  <c r="A1166" i="3"/>
  <c r="A1441" i="3"/>
  <c r="A392" i="3"/>
  <c r="A1165" i="3"/>
  <c r="A1440" i="3"/>
  <c r="A391" i="3"/>
  <c r="A1439" i="3"/>
  <c r="A17" i="3"/>
  <c r="A318" i="3"/>
  <c r="A1438" i="3"/>
  <c r="A1437" i="3"/>
  <c r="A1436" i="3"/>
  <c r="A16" i="3"/>
  <c r="A1435" i="3"/>
  <c r="A15" i="3"/>
  <c r="A1434" i="3"/>
  <c r="A390" i="3"/>
  <c r="A389" i="3"/>
  <c r="A1164" i="3"/>
  <c r="A1163" i="3"/>
  <c r="A388" i="3"/>
  <c r="A2713" i="3"/>
  <c r="A1433" i="3"/>
  <c r="A1432" i="3"/>
  <c r="A1431" i="3"/>
  <c r="A387" i="3"/>
  <c r="A386" i="3"/>
  <c r="A1430" i="3"/>
  <c r="A1429" i="3"/>
  <c r="A1428" i="3"/>
  <c r="A1162" i="3"/>
  <c r="A385" i="3"/>
  <c r="A1427" i="3"/>
  <c r="A2489" i="3"/>
  <c r="A384" i="3"/>
  <c r="A2406" i="3"/>
  <c r="A2391" i="3"/>
  <c r="A1426" i="3"/>
  <c r="A1425" i="3"/>
  <c r="A2712" i="3"/>
  <c r="A317" i="3"/>
  <c r="A14" i="3"/>
  <c r="A1424" i="3"/>
  <c r="A2711" i="3"/>
  <c r="A1423" i="3"/>
  <c r="A1422" i="3"/>
  <c r="A1421" i="3"/>
  <c r="A1420" i="3"/>
  <c r="A383" i="3"/>
  <c r="A382" i="3"/>
  <c r="A381" i="3"/>
  <c r="A380" i="3"/>
  <c r="A379" i="3"/>
  <c r="A1419" i="3"/>
  <c r="A378" i="3"/>
  <c r="A1418" i="3"/>
  <c r="A377" i="3"/>
  <c r="A1417" i="3"/>
  <c r="A13" i="3"/>
  <c r="A1416" i="3"/>
  <c r="A1415" i="3"/>
  <c r="A1414" i="3"/>
  <c r="A2488" i="3"/>
  <c r="A1413" i="3"/>
  <c r="A1412" i="3"/>
  <c r="A316" i="3"/>
  <c r="A1161" i="3"/>
  <c r="A1160" i="3"/>
  <c r="A1411" i="3"/>
  <c r="A12" i="3"/>
  <c r="A376" i="3"/>
  <c r="A1410" i="3"/>
  <c r="A375" i="3"/>
  <c r="A1409" i="3"/>
  <c r="A374" i="3"/>
  <c r="A1408" i="3"/>
  <c r="A373" i="3"/>
  <c r="A1407" i="3"/>
  <c r="A372" i="3"/>
  <c r="A1406" i="3"/>
  <c r="A1405" i="3"/>
  <c r="A2870" i="3"/>
  <c r="A371" i="3"/>
  <c r="A370" i="3"/>
  <c r="A1159" i="3"/>
  <c r="A1404" i="3"/>
  <c r="A11" i="3"/>
  <c r="A1403" i="3"/>
  <c r="A369" i="3"/>
  <c r="A368" i="3"/>
  <c r="A1402" i="3"/>
  <c r="A367" i="3"/>
  <c r="A1401" i="3"/>
  <c r="A10" i="3"/>
  <c r="A366" i="3"/>
  <c r="A9" i="3"/>
  <c r="A8" i="3"/>
  <c r="A365" i="3"/>
  <c r="A2864" i="3"/>
  <c r="A364" i="3"/>
  <c r="A1400" i="3"/>
  <c r="A1399" i="3"/>
  <c r="A7" i="3"/>
  <c r="A1398" i="3"/>
  <c r="A363" i="3"/>
  <c r="A362" i="3"/>
  <c r="G101" i="2"/>
  <c r="F101" i="2"/>
  <c r="H101" i="2" s="1"/>
  <c r="G100" i="2"/>
  <c r="F100" i="2"/>
  <c r="H100" i="2" s="1"/>
  <c r="I100" i="2" s="1"/>
  <c r="G99" i="2"/>
  <c r="F99" i="2"/>
  <c r="H99" i="2" s="1"/>
  <c r="G98" i="2"/>
  <c r="F98" i="2"/>
  <c r="H98" i="2" s="1"/>
  <c r="I98" i="2" s="1"/>
  <c r="L98" i="2" s="1"/>
  <c r="G97" i="2"/>
  <c r="F97" i="2"/>
  <c r="H97" i="2" s="1"/>
  <c r="G96" i="2"/>
  <c r="F96" i="2"/>
  <c r="H96" i="2" s="1"/>
  <c r="I96" i="2" s="1"/>
  <c r="G95" i="2"/>
  <c r="F95" i="2"/>
  <c r="H95" i="2" s="1"/>
  <c r="G94" i="2"/>
  <c r="F94" i="2"/>
  <c r="H94" i="2" s="1"/>
  <c r="I94" i="2" s="1"/>
  <c r="G93" i="2"/>
  <c r="F93" i="2"/>
  <c r="H93" i="2" s="1"/>
  <c r="G92" i="2"/>
  <c r="F92" i="2"/>
  <c r="H92" i="2" s="1"/>
  <c r="I92" i="2" s="1"/>
  <c r="G91" i="2"/>
  <c r="F91" i="2"/>
  <c r="H91" i="2" s="1"/>
  <c r="G90" i="2"/>
  <c r="F90" i="2"/>
  <c r="H90" i="2" s="1"/>
  <c r="I90" i="2" s="1"/>
  <c r="L90" i="2" s="1"/>
  <c r="G89" i="2"/>
  <c r="F89" i="2"/>
  <c r="H89" i="2" s="1"/>
  <c r="G88" i="2"/>
  <c r="F88" i="2"/>
  <c r="H88" i="2" s="1"/>
  <c r="I88" i="2" s="1"/>
  <c r="H87" i="2"/>
  <c r="G87" i="2"/>
  <c r="F87" i="2"/>
  <c r="H86" i="2"/>
  <c r="I86" i="2" s="1"/>
  <c r="G86" i="2"/>
  <c r="F86" i="2"/>
  <c r="G85" i="2"/>
  <c r="F85" i="2"/>
  <c r="H85" i="2" s="1"/>
  <c r="G84" i="2"/>
  <c r="F84" i="2"/>
  <c r="H84" i="2" s="1"/>
  <c r="I84" i="2" s="1"/>
  <c r="L84" i="2" s="1"/>
  <c r="G83" i="2"/>
  <c r="F83" i="2"/>
  <c r="H83" i="2" s="1"/>
  <c r="G82" i="2"/>
  <c r="F82" i="2"/>
  <c r="H82" i="2" s="1"/>
  <c r="I82" i="2" s="1"/>
  <c r="G81" i="2"/>
  <c r="F81" i="2"/>
  <c r="H81" i="2" s="1"/>
  <c r="G80" i="2"/>
  <c r="F80" i="2"/>
  <c r="H80" i="2" s="1"/>
  <c r="I80" i="2" s="1"/>
  <c r="G79" i="2"/>
  <c r="F79" i="2"/>
  <c r="H79" i="2" s="1"/>
  <c r="G78" i="2"/>
  <c r="F78" i="2"/>
  <c r="H78" i="2" s="1"/>
  <c r="I78" i="2" s="1"/>
  <c r="G77" i="2"/>
  <c r="F77" i="2"/>
  <c r="H77" i="2" s="1"/>
  <c r="H76" i="2"/>
  <c r="I76" i="2" s="1"/>
  <c r="L76" i="2" s="1"/>
  <c r="G76" i="2"/>
  <c r="F76" i="2"/>
  <c r="G75" i="2"/>
  <c r="F75" i="2"/>
  <c r="H75" i="2" s="1"/>
  <c r="G74" i="2"/>
  <c r="F74" i="2"/>
  <c r="H74" i="2" s="1"/>
  <c r="I74" i="2" s="1"/>
  <c r="G73" i="2"/>
  <c r="F73" i="2"/>
  <c r="H73" i="2" s="1"/>
  <c r="G72" i="2"/>
  <c r="F72" i="2"/>
  <c r="H72" i="2" s="1"/>
  <c r="I72" i="2" s="1"/>
  <c r="G71" i="2"/>
  <c r="F71" i="2"/>
  <c r="H71" i="2" s="1"/>
  <c r="H70" i="2"/>
  <c r="I70" i="2" s="1"/>
  <c r="G70" i="2"/>
  <c r="F70" i="2"/>
  <c r="H69" i="2"/>
  <c r="G69" i="2"/>
  <c r="F69" i="2"/>
  <c r="G68" i="2"/>
  <c r="F68" i="2"/>
  <c r="H68" i="2" s="1"/>
  <c r="I68" i="2" s="1"/>
  <c r="L68" i="2" s="1"/>
  <c r="H67" i="2"/>
  <c r="G67" i="2"/>
  <c r="F67" i="2"/>
  <c r="G66" i="2"/>
  <c r="F66" i="2"/>
  <c r="H66" i="2" s="1"/>
  <c r="I66" i="2" s="1"/>
  <c r="G65" i="2"/>
  <c r="F65" i="2"/>
  <c r="H65" i="2" s="1"/>
  <c r="G64" i="2"/>
  <c r="F64" i="2"/>
  <c r="H64" i="2" s="1"/>
  <c r="I64" i="2" s="1"/>
  <c r="G63" i="2"/>
  <c r="F63" i="2"/>
  <c r="H63" i="2" s="1"/>
  <c r="G62" i="2"/>
  <c r="F62" i="2"/>
  <c r="H62" i="2" s="1"/>
  <c r="I62" i="2" s="1"/>
  <c r="G61" i="2"/>
  <c r="F61" i="2"/>
  <c r="H61" i="2" s="1"/>
  <c r="G60" i="2"/>
  <c r="F60" i="2"/>
  <c r="H60" i="2" s="1"/>
  <c r="I60" i="2" s="1"/>
  <c r="G59" i="2"/>
  <c r="F59" i="2"/>
  <c r="H59" i="2" s="1"/>
  <c r="G58" i="2"/>
  <c r="F58" i="2"/>
  <c r="H58" i="2" s="1"/>
  <c r="I58" i="2" s="1"/>
  <c r="L58" i="2" s="1"/>
  <c r="G57" i="2"/>
  <c r="I57" i="2" s="1"/>
  <c r="F57" i="2"/>
  <c r="H57" i="2" s="1"/>
  <c r="G56" i="2"/>
  <c r="F56" i="2"/>
  <c r="H56" i="2" s="1"/>
  <c r="I56" i="2" s="1"/>
  <c r="G55" i="2"/>
  <c r="F55" i="2"/>
  <c r="H55" i="2" s="1"/>
  <c r="H54" i="2"/>
  <c r="I54" i="2" s="1"/>
  <c r="G54" i="2"/>
  <c r="F54" i="2"/>
  <c r="H53" i="2"/>
  <c r="G53" i="2"/>
  <c r="F53" i="2"/>
  <c r="G52" i="2"/>
  <c r="F52" i="2"/>
  <c r="H52" i="2" s="1"/>
  <c r="I52" i="2" s="1"/>
  <c r="L52" i="2" s="1"/>
  <c r="H51" i="2"/>
  <c r="G51" i="2"/>
  <c r="F51" i="2"/>
  <c r="G50" i="2"/>
  <c r="F50" i="2"/>
  <c r="H50" i="2" s="1"/>
  <c r="I50" i="2" s="1"/>
  <c r="G49" i="2"/>
  <c r="F49" i="2"/>
  <c r="H49" i="2" s="1"/>
  <c r="G48" i="2"/>
  <c r="F48" i="2"/>
  <c r="H48" i="2" s="1"/>
  <c r="I48" i="2" s="1"/>
  <c r="G47" i="2"/>
  <c r="F47" i="2"/>
  <c r="H47" i="2" s="1"/>
  <c r="H46" i="2"/>
  <c r="I46" i="2" s="1"/>
  <c r="G46" i="2"/>
  <c r="F46" i="2"/>
  <c r="G45" i="2"/>
  <c r="F45" i="2"/>
  <c r="H45" i="2" s="1"/>
  <c r="G44" i="2"/>
  <c r="F44" i="2"/>
  <c r="H44" i="2" s="1"/>
  <c r="I44" i="2" s="1"/>
  <c r="G43" i="2"/>
  <c r="F43" i="2"/>
  <c r="H43" i="2" s="1"/>
  <c r="G42" i="2"/>
  <c r="F42" i="2"/>
  <c r="H42" i="2" s="1"/>
  <c r="I42" i="2" s="1"/>
  <c r="L42" i="2" s="1"/>
  <c r="G41" i="2"/>
  <c r="F41" i="2"/>
  <c r="H41" i="2" s="1"/>
  <c r="G40" i="2"/>
  <c r="F40" i="2"/>
  <c r="H40" i="2" s="1"/>
  <c r="I40" i="2" s="1"/>
  <c r="G39" i="2"/>
  <c r="F39" i="2"/>
  <c r="H39" i="2" s="1"/>
  <c r="G38" i="2"/>
  <c r="F38" i="2"/>
  <c r="H38" i="2" s="1"/>
  <c r="I38" i="2" s="1"/>
  <c r="H37" i="2"/>
  <c r="G37" i="2"/>
  <c r="F37" i="2"/>
  <c r="G36" i="2"/>
  <c r="F36" i="2"/>
  <c r="H36" i="2" s="1"/>
  <c r="I36" i="2" s="1"/>
  <c r="H35" i="2"/>
  <c r="G35" i="2"/>
  <c r="F35" i="2"/>
  <c r="G34" i="2"/>
  <c r="F34" i="2"/>
  <c r="H34" i="2" s="1"/>
  <c r="I34" i="2" s="1"/>
  <c r="G33" i="2"/>
  <c r="F33" i="2"/>
  <c r="H33" i="2" s="1"/>
  <c r="G32" i="2"/>
  <c r="F32" i="2"/>
  <c r="H32" i="2" s="1"/>
  <c r="I32" i="2" s="1"/>
  <c r="G31" i="2"/>
  <c r="F31" i="2"/>
  <c r="H31" i="2" s="1"/>
  <c r="G30" i="2"/>
  <c r="F30" i="2"/>
  <c r="H30" i="2" s="1"/>
  <c r="I30" i="2" s="1"/>
  <c r="G29" i="2"/>
  <c r="F29" i="2"/>
  <c r="H29" i="2" s="1"/>
  <c r="J28" i="2"/>
  <c r="H28" i="2"/>
  <c r="I28" i="2" s="1"/>
  <c r="L28" i="2" s="1"/>
  <c r="G28" i="2"/>
  <c r="F28" i="2"/>
  <c r="G27" i="2"/>
  <c r="F27" i="2"/>
  <c r="H27" i="2" s="1"/>
  <c r="G26" i="2"/>
  <c r="F26" i="2"/>
  <c r="H26" i="2" s="1"/>
  <c r="I26" i="2" s="1"/>
  <c r="L26" i="2" s="1"/>
  <c r="G25" i="2"/>
  <c r="F25" i="2"/>
  <c r="H25" i="2" s="1"/>
  <c r="G24" i="2"/>
  <c r="F24" i="2"/>
  <c r="H24" i="2" s="1"/>
  <c r="I24" i="2" s="1"/>
  <c r="H23" i="2"/>
  <c r="G23" i="2"/>
  <c r="F23" i="2"/>
  <c r="G22" i="2"/>
  <c r="F22" i="2"/>
  <c r="H22" i="2" s="1"/>
  <c r="I22" i="2" s="1"/>
  <c r="G21" i="2"/>
  <c r="F21" i="2"/>
  <c r="H21" i="2" s="1"/>
  <c r="G20" i="2"/>
  <c r="F20" i="2"/>
  <c r="H20" i="2" s="1"/>
  <c r="I20" i="2" s="1"/>
  <c r="J19" i="2"/>
  <c r="H19" i="2"/>
  <c r="G19" i="2"/>
  <c r="I19" i="2" s="1"/>
  <c r="L19" i="2" s="1"/>
  <c r="F19" i="2"/>
  <c r="G18" i="2"/>
  <c r="F18" i="2"/>
  <c r="H18" i="2" s="1"/>
  <c r="I18" i="2" s="1"/>
  <c r="G17" i="2"/>
  <c r="F17" i="2"/>
  <c r="H17" i="2" s="1"/>
  <c r="G16" i="2"/>
  <c r="F16" i="2"/>
  <c r="H16" i="2" s="1"/>
  <c r="I16" i="2" s="1"/>
  <c r="G15" i="2"/>
  <c r="F15" i="2"/>
  <c r="H15" i="2" s="1"/>
  <c r="H14" i="2"/>
  <c r="I14" i="2" s="1"/>
  <c r="G14" i="2"/>
  <c r="F14" i="2"/>
  <c r="G13" i="2"/>
  <c r="F13" i="2"/>
  <c r="H13" i="2" s="1"/>
  <c r="G12" i="2"/>
  <c r="F12" i="2"/>
  <c r="H12" i="2" s="1"/>
  <c r="I12" i="2" s="1"/>
  <c r="G11" i="2"/>
  <c r="F11" i="2"/>
  <c r="H11" i="2" s="1"/>
  <c r="G10" i="2"/>
  <c r="F10" i="2"/>
  <c r="H10" i="2" s="1"/>
  <c r="I10" i="2" s="1"/>
  <c r="L10" i="2" s="1"/>
  <c r="G9" i="2"/>
  <c r="F9" i="2"/>
  <c r="H9" i="2" s="1"/>
  <c r="G8" i="2"/>
  <c r="F8" i="2"/>
  <c r="H8" i="2" s="1"/>
  <c r="I8" i="2" s="1"/>
  <c r="G7" i="2"/>
  <c r="F7" i="2"/>
  <c r="H7" i="2" s="1"/>
  <c r="G6" i="2"/>
  <c r="F6" i="2"/>
  <c r="H6" i="2" s="1"/>
  <c r="I6" i="2" s="1"/>
  <c r="G5" i="2"/>
  <c r="F5" i="2"/>
  <c r="H5" i="2" s="1"/>
  <c r="G4" i="2"/>
  <c r="F4" i="2"/>
  <c r="H4" i="2" s="1"/>
  <c r="I4" i="2" s="1"/>
  <c r="G3" i="2"/>
  <c r="F3" i="2"/>
  <c r="H3" i="2" s="1"/>
  <c r="G2" i="2"/>
  <c r="F2" i="2"/>
  <c r="H2" i="2" s="1"/>
  <c r="I2" i="2" s="1"/>
  <c r="G101" i="1"/>
  <c r="F101" i="1"/>
  <c r="H101" i="1" s="1"/>
  <c r="G100" i="1"/>
  <c r="F100" i="1"/>
  <c r="H100" i="1" s="1"/>
  <c r="I100" i="1" s="1"/>
  <c r="G99" i="1"/>
  <c r="F99" i="1"/>
  <c r="H99" i="1" s="1"/>
  <c r="G98" i="1"/>
  <c r="F98" i="1"/>
  <c r="H98" i="1" s="1"/>
  <c r="I98" i="1" s="1"/>
  <c r="G97" i="1"/>
  <c r="F97" i="1"/>
  <c r="H97" i="1" s="1"/>
  <c r="G96" i="1"/>
  <c r="F96" i="1"/>
  <c r="H96" i="1" s="1"/>
  <c r="I96" i="1" s="1"/>
  <c r="L96" i="1" s="1"/>
  <c r="G95" i="1"/>
  <c r="F95" i="1"/>
  <c r="H95" i="1" s="1"/>
  <c r="G94" i="1"/>
  <c r="F94" i="1"/>
  <c r="H94" i="1" s="1"/>
  <c r="I94" i="1" s="1"/>
  <c r="L94" i="1" s="1"/>
  <c r="G93" i="1"/>
  <c r="F93" i="1"/>
  <c r="H93" i="1" s="1"/>
  <c r="G92" i="1"/>
  <c r="F92" i="1"/>
  <c r="H92" i="1" s="1"/>
  <c r="I92" i="1" s="1"/>
  <c r="G91" i="1"/>
  <c r="F91" i="1"/>
  <c r="H91" i="1" s="1"/>
  <c r="G90" i="1"/>
  <c r="F90" i="1"/>
  <c r="H90" i="1" s="1"/>
  <c r="I90" i="1" s="1"/>
  <c r="G89" i="1"/>
  <c r="F89" i="1"/>
  <c r="H89" i="1" s="1"/>
  <c r="G88" i="1"/>
  <c r="F88" i="1"/>
  <c r="H88" i="1" s="1"/>
  <c r="I88" i="1" s="1"/>
  <c r="G87" i="1"/>
  <c r="F87" i="1"/>
  <c r="H87" i="1" s="1"/>
  <c r="G86" i="1"/>
  <c r="F86" i="1"/>
  <c r="H86" i="1" s="1"/>
  <c r="I86" i="1" s="1"/>
  <c r="G85" i="1"/>
  <c r="F85" i="1"/>
  <c r="H85" i="1" s="1"/>
  <c r="G84" i="1"/>
  <c r="F84" i="1"/>
  <c r="H84" i="1" s="1"/>
  <c r="I84" i="1" s="1"/>
  <c r="G83" i="1"/>
  <c r="F83" i="1"/>
  <c r="H83" i="1" s="1"/>
  <c r="G82" i="1"/>
  <c r="F82" i="1"/>
  <c r="H82" i="1" s="1"/>
  <c r="I82" i="1" s="1"/>
  <c r="L82" i="1" s="1"/>
  <c r="G81" i="1"/>
  <c r="F81" i="1"/>
  <c r="H81" i="1" s="1"/>
  <c r="G80" i="1"/>
  <c r="F80" i="1"/>
  <c r="H80" i="1" s="1"/>
  <c r="I80" i="1" s="1"/>
  <c r="G79" i="1"/>
  <c r="F79" i="1"/>
  <c r="H79" i="1" s="1"/>
  <c r="G78" i="1"/>
  <c r="F78" i="1"/>
  <c r="H78" i="1" s="1"/>
  <c r="I78" i="1" s="1"/>
  <c r="G77" i="1"/>
  <c r="F77" i="1"/>
  <c r="H77" i="1" s="1"/>
  <c r="G76" i="1"/>
  <c r="F76" i="1"/>
  <c r="H76" i="1" s="1"/>
  <c r="I76" i="1" s="1"/>
  <c r="G75" i="1"/>
  <c r="F75" i="1"/>
  <c r="H75" i="1" s="1"/>
  <c r="G74" i="1"/>
  <c r="F74" i="1"/>
  <c r="H74" i="1" s="1"/>
  <c r="I74" i="1" s="1"/>
  <c r="G73" i="1"/>
  <c r="F73" i="1"/>
  <c r="H73" i="1" s="1"/>
  <c r="G72" i="1"/>
  <c r="F72" i="1"/>
  <c r="H72" i="1" s="1"/>
  <c r="I72" i="1" s="1"/>
  <c r="G71" i="1"/>
  <c r="F71" i="1"/>
  <c r="H71" i="1" s="1"/>
  <c r="G70" i="1"/>
  <c r="F70" i="1"/>
  <c r="H70" i="1" s="1"/>
  <c r="I70" i="1" s="1"/>
  <c r="G69" i="1"/>
  <c r="F69" i="1"/>
  <c r="H69" i="1" s="1"/>
  <c r="G68" i="1"/>
  <c r="F68" i="1"/>
  <c r="H68" i="1" s="1"/>
  <c r="I68" i="1" s="1"/>
  <c r="G67" i="1"/>
  <c r="F67" i="1"/>
  <c r="H67" i="1" s="1"/>
  <c r="G66" i="1"/>
  <c r="F66" i="1"/>
  <c r="H66" i="1" s="1"/>
  <c r="I66" i="1" s="1"/>
  <c r="G65" i="1"/>
  <c r="F65" i="1"/>
  <c r="H65" i="1" s="1"/>
  <c r="G64" i="1"/>
  <c r="F64" i="1"/>
  <c r="H64" i="1" s="1"/>
  <c r="I64" i="1" s="1"/>
  <c r="G63" i="1"/>
  <c r="F63" i="1"/>
  <c r="H63" i="1" s="1"/>
  <c r="G62" i="1"/>
  <c r="F62" i="1"/>
  <c r="H62" i="1" s="1"/>
  <c r="I62" i="1" s="1"/>
  <c r="G61" i="1"/>
  <c r="F61" i="1"/>
  <c r="H61" i="1" s="1"/>
  <c r="G60" i="1"/>
  <c r="F60" i="1"/>
  <c r="H60" i="1" s="1"/>
  <c r="I60" i="1" s="1"/>
  <c r="G59" i="1"/>
  <c r="F59" i="1"/>
  <c r="H59" i="1" s="1"/>
  <c r="G58" i="1"/>
  <c r="F58" i="1"/>
  <c r="H58" i="1" s="1"/>
  <c r="I58" i="1" s="1"/>
  <c r="L58" i="1" s="1"/>
  <c r="G57" i="1"/>
  <c r="F57" i="1"/>
  <c r="H57" i="1" s="1"/>
  <c r="G56" i="1"/>
  <c r="F56" i="1"/>
  <c r="H56" i="1" s="1"/>
  <c r="I56" i="1" s="1"/>
  <c r="G55" i="1"/>
  <c r="F55" i="1"/>
  <c r="H55" i="1" s="1"/>
  <c r="G54" i="1"/>
  <c r="F54" i="1"/>
  <c r="H54" i="1" s="1"/>
  <c r="I54" i="1" s="1"/>
  <c r="G53" i="1"/>
  <c r="F53" i="1"/>
  <c r="H53" i="1" s="1"/>
  <c r="H52" i="1"/>
  <c r="I52" i="1" s="1"/>
  <c r="G52" i="1"/>
  <c r="F52" i="1"/>
  <c r="G51" i="1"/>
  <c r="F51" i="1"/>
  <c r="H51" i="1" s="1"/>
  <c r="G50" i="1"/>
  <c r="F50" i="1"/>
  <c r="H50" i="1" s="1"/>
  <c r="I50" i="1" s="1"/>
  <c r="G49" i="1"/>
  <c r="F49" i="1"/>
  <c r="H49" i="1" s="1"/>
  <c r="G48" i="1"/>
  <c r="F48" i="1"/>
  <c r="H48" i="1" s="1"/>
  <c r="I48" i="1" s="1"/>
  <c r="L48" i="1" s="1"/>
  <c r="G47" i="1"/>
  <c r="F47" i="1"/>
  <c r="H47" i="1" s="1"/>
  <c r="G46" i="1"/>
  <c r="F46" i="1"/>
  <c r="H46" i="1" s="1"/>
  <c r="I46" i="1" s="1"/>
  <c r="G45" i="1"/>
  <c r="F45" i="1"/>
  <c r="H45" i="1" s="1"/>
  <c r="G44" i="1"/>
  <c r="F44" i="1"/>
  <c r="H44" i="1" s="1"/>
  <c r="I44" i="1" s="1"/>
  <c r="G43" i="1"/>
  <c r="F43" i="1"/>
  <c r="H43" i="1" s="1"/>
  <c r="G42" i="1"/>
  <c r="F42" i="1"/>
  <c r="H42" i="1" s="1"/>
  <c r="I42" i="1" s="1"/>
  <c r="G41" i="1"/>
  <c r="F41" i="1"/>
  <c r="H41" i="1" s="1"/>
  <c r="G40" i="1"/>
  <c r="F40" i="1"/>
  <c r="H40" i="1" s="1"/>
  <c r="I40" i="1" s="1"/>
  <c r="G39" i="1"/>
  <c r="F39" i="1"/>
  <c r="H39" i="1" s="1"/>
  <c r="G38" i="1"/>
  <c r="F38" i="1"/>
  <c r="H38" i="1" s="1"/>
  <c r="I38" i="1" s="1"/>
  <c r="G37" i="1"/>
  <c r="F37" i="1"/>
  <c r="H37" i="1" s="1"/>
  <c r="G36" i="1"/>
  <c r="F36" i="1"/>
  <c r="H36" i="1" s="1"/>
  <c r="I36" i="1" s="1"/>
  <c r="G35" i="1"/>
  <c r="F35" i="1"/>
  <c r="H35" i="1" s="1"/>
  <c r="G34" i="1"/>
  <c r="F34" i="1"/>
  <c r="H34" i="1" s="1"/>
  <c r="I34" i="1" s="1"/>
  <c r="G33" i="1"/>
  <c r="F33" i="1"/>
  <c r="H33" i="1" s="1"/>
  <c r="G32" i="1"/>
  <c r="F32" i="1"/>
  <c r="H32" i="1" s="1"/>
  <c r="G31" i="1"/>
  <c r="F31" i="1"/>
  <c r="H31" i="1" s="1"/>
  <c r="I31" i="1" s="1"/>
  <c r="G30" i="1"/>
  <c r="F30" i="1"/>
  <c r="H30" i="1" s="1"/>
  <c r="G29" i="1"/>
  <c r="F29" i="1"/>
  <c r="H29" i="1" s="1"/>
  <c r="G28" i="1"/>
  <c r="F28" i="1"/>
  <c r="H28" i="1" s="1"/>
  <c r="G27" i="1"/>
  <c r="F27" i="1"/>
  <c r="H27" i="1" s="1"/>
  <c r="I27" i="1" s="1"/>
  <c r="G26" i="1"/>
  <c r="F26" i="1"/>
  <c r="H26" i="1" s="1"/>
  <c r="G25" i="1"/>
  <c r="F25" i="1"/>
  <c r="H25" i="1" s="1"/>
  <c r="G24" i="1"/>
  <c r="F24" i="1"/>
  <c r="H24" i="1" s="1"/>
  <c r="G23" i="1"/>
  <c r="F23" i="1"/>
  <c r="H23" i="1" s="1"/>
  <c r="I23" i="1" s="1"/>
  <c r="G22" i="1"/>
  <c r="F22" i="1"/>
  <c r="H22" i="1" s="1"/>
  <c r="G21" i="1"/>
  <c r="F21" i="1"/>
  <c r="H21" i="1" s="1"/>
  <c r="G20" i="1"/>
  <c r="F20" i="1"/>
  <c r="H20" i="1" s="1"/>
  <c r="G19" i="1"/>
  <c r="F19" i="1"/>
  <c r="H19" i="1" s="1"/>
  <c r="I19" i="1" s="1"/>
  <c r="G18" i="1"/>
  <c r="F18" i="1"/>
  <c r="H18" i="1" s="1"/>
  <c r="G17" i="1"/>
  <c r="F17" i="1"/>
  <c r="H17" i="1" s="1"/>
  <c r="G16" i="1"/>
  <c r="F16" i="1"/>
  <c r="H16" i="1" s="1"/>
  <c r="G15" i="1"/>
  <c r="F15" i="1"/>
  <c r="H15" i="1" s="1"/>
  <c r="I15" i="1" s="1"/>
  <c r="H14" i="1"/>
  <c r="G14" i="1"/>
  <c r="F14" i="1"/>
  <c r="G13" i="1"/>
  <c r="F13" i="1"/>
  <c r="H13" i="1" s="1"/>
  <c r="G12" i="1"/>
  <c r="F12" i="1"/>
  <c r="H12" i="1" s="1"/>
  <c r="G11" i="1"/>
  <c r="F11" i="1"/>
  <c r="H11" i="1" s="1"/>
  <c r="I11" i="1" s="1"/>
  <c r="G10" i="1"/>
  <c r="F10" i="1"/>
  <c r="H10" i="1" s="1"/>
  <c r="G9" i="1"/>
  <c r="F9" i="1"/>
  <c r="H9" i="1" s="1"/>
  <c r="G8" i="1"/>
  <c r="F8" i="1"/>
  <c r="H8" i="1" s="1"/>
  <c r="G7" i="1"/>
  <c r="F7" i="1"/>
  <c r="H7" i="1" s="1"/>
  <c r="G6" i="1"/>
  <c r="F6" i="1"/>
  <c r="H6" i="1" s="1"/>
  <c r="G5" i="1"/>
  <c r="F5" i="1"/>
  <c r="H5" i="1" s="1"/>
  <c r="G4" i="1"/>
  <c r="F4" i="1"/>
  <c r="H4" i="1" s="1"/>
  <c r="G3" i="1"/>
  <c r="F3" i="1"/>
  <c r="H3" i="1" s="1"/>
  <c r="I3" i="1" s="1"/>
  <c r="G2" i="1"/>
  <c r="F2" i="1"/>
  <c r="H2" i="1" s="1"/>
  <c r="L12" i="2" l="1"/>
  <c r="J12" i="2"/>
  <c r="L44" i="2"/>
  <c r="J44" i="2"/>
  <c r="L92" i="2"/>
  <c r="J92" i="2"/>
  <c r="L74" i="2"/>
  <c r="J74" i="2"/>
  <c r="L60" i="2"/>
  <c r="J60" i="2"/>
  <c r="I9" i="2"/>
  <c r="I35" i="2"/>
  <c r="I67" i="2"/>
  <c r="I89" i="2"/>
  <c r="I55" i="2"/>
  <c r="I23" i="2"/>
  <c r="J26" i="2"/>
  <c r="I51" i="2"/>
  <c r="I39" i="2"/>
  <c r="I83" i="2"/>
  <c r="I59" i="1"/>
  <c r="L59" i="1" s="1"/>
  <c r="I7" i="1"/>
  <c r="L7" i="1" s="1"/>
  <c r="L42" i="1"/>
  <c r="J42" i="1"/>
  <c r="L78" i="1"/>
  <c r="J78" i="1"/>
  <c r="I16" i="1"/>
  <c r="L16" i="1" s="1"/>
  <c r="I33" i="1"/>
  <c r="L33" i="1" s="1"/>
  <c r="I79" i="1"/>
  <c r="I77" i="1"/>
  <c r="I67" i="1"/>
  <c r="L67" i="1" s="1"/>
  <c r="I24" i="1"/>
  <c r="L24" i="1" s="1"/>
  <c r="I8" i="1"/>
  <c r="J8" i="1" s="1"/>
  <c r="I35" i="1"/>
  <c r="L35" i="1" s="1"/>
  <c r="I39" i="1"/>
  <c r="L39" i="1" s="1"/>
  <c r="I75" i="1"/>
  <c r="L75" i="1" s="1"/>
  <c r="J94" i="1"/>
  <c r="L3" i="1"/>
  <c r="J3" i="1"/>
  <c r="L98" i="1"/>
  <c r="J98" i="1"/>
  <c r="L66" i="1"/>
  <c r="J66" i="1"/>
  <c r="L11" i="1"/>
  <c r="J11" i="1"/>
  <c r="L23" i="1"/>
  <c r="J23" i="1"/>
  <c r="L27" i="1"/>
  <c r="J27" i="1"/>
  <c r="L34" i="1"/>
  <c r="J34" i="1"/>
  <c r="L38" i="1"/>
  <c r="J38" i="1"/>
  <c r="L50" i="1"/>
  <c r="J50" i="1"/>
  <c r="L54" i="1"/>
  <c r="J54" i="1"/>
  <c r="L70" i="1"/>
  <c r="J70" i="1"/>
  <c r="L74" i="1"/>
  <c r="J74" i="1"/>
  <c r="L86" i="1"/>
  <c r="J86" i="1"/>
  <c r="L64" i="1"/>
  <c r="J64" i="1"/>
  <c r="L80" i="1"/>
  <c r="J80" i="1"/>
  <c r="L31" i="1"/>
  <c r="J31" i="1"/>
  <c r="L14" i="2"/>
  <c r="J14" i="2"/>
  <c r="L15" i="1"/>
  <c r="J15" i="1"/>
  <c r="L19" i="1"/>
  <c r="J19" i="1"/>
  <c r="L36" i="1"/>
  <c r="J36" i="1"/>
  <c r="L40" i="1"/>
  <c r="J40" i="1"/>
  <c r="L56" i="1"/>
  <c r="J56" i="1"/>
  <c r="L72" i="1"/>
  <c r="J72" i="1"/>
  <c r="L88" i="1"/>
  <c r="J88" i="1"/>
  <c r="L30" i="2"/>
  <c r="J30" i="2"/>
  <c r="L62" i="2"/>
  <c r="J62" i="2"/>
  <c r="L94" i="2"/>
  <c r="J94" i="2"/>
  <c r="L46" i="1"/>
  <c r="J46" i="1"/>
  <c r="L62" i="1"/>
  <c r="J62" i="1"/>
  <c r="L76" i="1"/>
  <c r="J76" i="1"/>
  <c r="I18" i="1"/>
  <c r="J24" i="1"/>
  <c r="I28" i="1"/>
  <c r="I5" i="1"/>
  <c r="L8" i="1"/>
  <c r="I14" i="1"/>
  <c r="I21" i="1"/>
  <c r="I30" i="1"/>
  <c r="I45" i="1"/>
  <c r="J58" i="1"/>
  <c r="I63" i="1"/>
  <c r="I83" i="1"/>
  <c r="I91" i="1"/>
  <c r="J96" i="1"/>
  <c r="I41" i="2"/>
  <c r="L50" i="2"/>
  <c r="J50" i="2"/>
  <c r="L54" i="2"/>
  <c r="J54" i="2"/>
  <c r="J76" i="2"/>
  <c r="I87" i="2"/>
  <c r="J90" i="2"/>
  <c r="L96" i="2"/>
  <c r="J96" i="2"/>
  <c r="I32" i="1"/>
  <c r="I43" i="1"/>
  <c r="I61" i="1"/>
  <c r="L100" i="1"/>
  <c r="J100" i="1"/>
  <c r="L6" i="2"/>
  <c r="J6" i="2"/>
  <c r="L9" i="2"/>
  <c r="J9" i="2"/>
  <c r="L24" i="2"/>
  <c r="J24" i="2"/>
  <c r="L36" i="2"/>
  <c r="J36" i="2"/>
  <c r="L38" i="2"/>
  <c r="J38" i="2"/>
  <c r="L46" i="2"/>
  <c r="J46" i="2"/>
  <c r="I71" i="2"/>
  <c r="I9" i="1"/>
  <c r="L55" i="2"/>
  <c r="J55" i="2"/>
  <c r="L88" i="2"/>
  <c r="J88" i="2"/>
  <c r="I2" i="1"/>
  <c r="L52" i="1"/>
  <c r="J52" i="1"/>
  <c r="L80" i="2"/>
  <c r="J80" i="2"/>
  <c r="I4" i="1"/>
  <c r="I55" i="1"/>
  <c r="L68" i="1"/>
  <c r="J68" i="1"/>
  <c r="L84" i="1"/>
  <c r="J84" i="1"/>
  <c r="L92" i="1"/>
  <c r="J92" i="1"/>
  <c r="L4" i="2"/>
  <c r="J4" i="2"/>
  <c r="L16" i="2"/>
  <c r="J16" i="2"/>
  <c r="L39" i="2"/>
  <c r="J39" i="2"/>
  <c r="J58" i="2"/>
  <c r="L64" i="2"/>
  <c r="J64" i="2"/>
  <c r="L72" i="2"/>
  <c r="J72" i="2"/>
  <c r="J100" i="2"/>
  <c r="L100" i="2"/>
  <c r="I25" i="1"/>
  <c r="L77" i="1"/>
  <c r="J77" i="1"/>
  <c r="L34" i="2"/>
  <c r="J34" i="2"/>
  <c r="I20" i="1"/>
  <c r="I6" i="1"/>
  <c r="I13" i="1"/>
  <c r="I22" i="1"/>
  <c r="I29" i="1"/>
  <c r="J48" i="1"/>
  <c r="J59" i="1"/>
  <c r="I71" i="1"/>
  <c r="I95" i="1"/>
  <c r="I7" i="2"/>
  <c r="J10" i="2"/>
  <c r="L22" i="2"/>
  <c r="J22" i="2"/>
  <c r="I25" i="2"/>
  <c r="J42" i="2"/>
  <c r="L48" i="2"/>
  <c r="J48" i="2"/>
  <c r="L56" i="2"/>
  <c r="J56" i="2"/>
  <c r="J75" i="1"/>
  <c r="L90" i="1"/>
  <c r="J90" i="1"/>
  <c r="L2" i="2"/>
  <c r="J2" i="2"/>
  <c r="L40" i="2"/>
  <c r="J40" i="2"/>
  <c r="L89" i="2"/>
  <c r="J89" i="2"/>
  <c r="I10" i="1"/>
  <c r="I17" i="1"/>
  <c r="I26" i="1"/>
  <c r="J33" i="1"/>
  <c r="J35" i="1"/>
  <c r="L44" i="1"/>
  <c r="J44" i="1"/>
  <c r="I51" i="1"/>
  <c r="J82" i="1"/>
  <c r="I93" i="1"/>
  <c r="L8" i="2"/>
  <c r="J8" i="2"/>
  <c r="L20" i="2"/>
  <c r="J20" i="2"/>
  <c r="L32" i="2"/>
  <c r="J32" i="2"/>
  <c r="I73" i="2"/>
  <c r="L82" i="2"/>
  <c r="J82" i="2"/>
  <c r="L86" i="2"/>
  <c r="J86" i="2"/>
  <c r="I12" i="1"/>
  <c r="I47" i="1"/>
  <c r="L60" i="1"/>
  <c r="J60" i="1"/>
  <c r="L18" i="2"/>
  <c r="J18" i="2"/>
  <c r="L23" i="2"/>
  <c r="J23" i="2"/>
  <c r="L57" i="2"/>
  <c r="J57" i="2"/>
  <c r="L66" i="2"/>
  <c r="J66" i="2"/>
  <c r="L70" i="2"/>
  <c r="J70" i="2"/>
  <c r="L78" i="2"/>
  <c r="J78" i="2"/>
  <c r="I99" i="2"/>
  <c r="I87" i="1"/>
  <c r="I3" i="2"/>
  <c r="I41" i="1"/>
  <c r="I57" i="1"/>
  <c r="I73" i="1"/>
  <c r="I89" i="1"/>
  <c r="I5" i="2"/>
  <c r="I21" i="2"/>
  <c r="I37" i="2"/>
  <c r="I53" i="2"/>
  <c r="I69" i="2"/>
  <c r="I85" i="2"/>
  <c r="I11" i="2"/>
  <c r="I27" i="2"/>
  <c r="I43" i="2"/>
  <c r="I59" i="2"/>
  <c r="I75" i="2"/>
  <c r="I91" i="2"/>
  <c r="I49" i="1"/>
  <c r="I65" i="1"/>
  <c r="I81" i="1"/>
  <c r="I97" i="1"/>
  <c r="I13" i="2"/>
  <c r="I29" i="2"/>
  <c r="I45" i="2"/>
  <c r="I61" i="2"/>
  <c r="I77" i="2"/>
  <c r="I93" i="2"/>
  <c r="I15" i="2"/>
  <c r="I31" i="2"/>
  <c r="I47" i="2"/>
  <c r="I63" i="2"/>
  <c r="I79" i="2"/>
  <c r="I95" i="2"/>
  <c r="J98" i="2"/>
  <c r="I101" i="2"/>
  <c r="I99" i="1"/>
  <c r="I37" i="1"/>
  <c r="I53" i="1"/>
  <c r="I69" i="1"/>
  <c r="I85" i="1"/>
  <c r="I101" i="1"/>
  <c r="I17" i="2"/>
  <c r="I33" i="2"/>
  <c r="I49" i="2"/>
  <c r="J52" i="2"/>
  <c r="I65" i="2"/>
  <c r="J68" i="2"/>
  <c r="I81" i="2"/>
  <c r="J84" i="2"/>
  <c r="I97" i="2"/>
  <c r="L67" i="2" l="1"/>
  <c r="J67" i="2"/>
  <c r="J83" i="2"/>
  <c r="L83" i="2"/>
  <c r="L35" i="2"/>
  <c r="J35" i="2"/>
  <c r="L51" i="2"/>
  <c r="J51" i="2"/>
  <c r="J16" i="1"/>
  <c r="J39" i="1"/>
  <c r="J67" i="1"/>
  <c r="J7" i="1"/>
  <c r="L79" i="1"/>
  <c r="J79" i="1"/>
  <c r="L29" i="2"/>
  <c r="J29" i="2"/>
  <c r="L65" i="2"/>
  <c r="J65" i="2"/>
  <c r="L43" i="2"/>
  <c r="J43" i="2"/>
  <c r="L32" i="1"/>
  <c r="J32" i="1"/>
  <c r="L37" i="1"/>
  <c r="J37" i="1"/>
  <c r="L31" i="2"/>
  <c r="J31" i="2"/>
  <c r="L97" i="1"/>
  <c r="J97" i="1"/>
  <c r="L27" i="2"/>
  <c r="J27" i="2"/>
  <c r="L89" i="1"/>
  <c r="J89" i="1"/>
  <c r="L71" i="1"/>
  <c r="J71" i="1"/>
  <c r="L2" i="1"/>
  <c r="J2" i="1"/>
  <c r="L45" i="1"/>
  <c r="J45" i="1"/>
  <c r="L18" i="1"/>
  <c r="J18" i="1"/>
  <c r="L63" i="2"/>
  <c r="J63" i="2"/>
  <c r="L47" i="2"/>
  <c r="J47" i="2"/>
  <c r="L49" i="2"/>
  <c r="J49" i="2"/>
  <c r="L99" i="1"/>
  <c r="J99" i="1"/>
  <c r="L15" i="2"/>
  <c r="J15" i="2"/>
  <c r="L81" i="1"/>
  <c r="J81" i="1"/>
  <c r="L11" i="2"/>
  <c r="J11" i="2"/>
  <c r="L73" i="1"/>
  <c r="J73" i="1"/>
  <c r="L26" i="1"/>
  <c r="J26" i="1"/>
  <c r="L55" i="1"/>
  <c r="J55" i="1"/>
  <c r="L41" i="2"/>
  <c r="J41" i="2"/>
  <c r="L30" i="1"/>
  <c r="J30" i="1"/>
  <c r="L69" i="1"/>
  <c r="J69" i="1"/>
  <c r="L53" i="1"/>
  <c r="J53" i="1"/>
  <c r="L5" i="2"/>
  <c r="J5" i="2"/>
  <c r="L95" i="1"/>
  <c r="J95" i="1"/>
  <c r="L101" i="2"/>
  <c r="J101" i="2"/>
  <c r="L65" i="1"/>
  <c r="J65" i="1"/>
  <c r="L85" i="2"/>
  <c r="J85" i="2"/>
  <c r="L93" i="1"/>
  <c r="J93" i="1"/>
  <c r="L17" i="1"/>
  <c r="J17" i="1"/>
  <c r="L25" i="2"/>
  <c r="J25" i="2"/>
  <c r="L21" i="1"/>
  <c r="J21" i="1"/>
  <c r="L21" i="2"/>
  <c r="J21" i="2"/>
  <c r="L13" i="2"/>
  <c r="J13" i="2"/>
  <c r="L20" i="1"/>
  <c r="J20" i="1"/>
  <c r="L33" i="2"/>
  <c r="J33" i="2"/>
  <c r="L93" i="2"/>
  <c r="J93" i="2"/>
  <c r="L57" i="1"/>
  <c r="J57" i="1"/>
  <c r="L97" i="2"/>
  <c r="J97" i="2"/>
  <c r="L17" i="2"/>
  <c r="J17" i="2"/>
  <c r="L77" i="2"/>
  <c r="J77" i="2"/>
  <c r="L49" i="1"/>
  <c r="J49" i="1"/>
  <c r="L69" i="2"/>
  <c r="J69" i="2"/>
  <c r="L41" i="1"/>
  <c r="J41" i="1"/>
  <c r="L73" i="2"/>
  <c r="J73" i="2"/>
  <c r="L10" i="1"/>
  <c r="J10" i="1"/>
  <c r="L29" i="1"/>
  <c r="J29" i="1"/>
  <c r="L4" i="1"/>
  <c r="J4" i="1"/>
  <c r="L87" i="2"/>
  <c r="J87" i="2"/>
  <c r="L91" i="1"/>
  <c r="J91" i="1"/>
  <c r="L14" i="1"/>
  <c r="J14" i="1"/>
  <c r="L101" i="1"/>
  <c r="J101" i="1"/>
  <c r="L91" i="2"/>
  <c r="J91" i="2"/>
  <c r="L51" i="1"/>
  <c r="J51" i="1"/>
  <c r="L22" i="1"/>
  <c r="J22" i="1"/>
  <c r="J99" i="2"/>
  <c r="L99" i="2"/>
  <c r="L95" i="2"/>
  <c r="J95" i="2"/>
  <c r="L61" i="2"/>
  <c r="J61" i="2"/>
  <c r="L53" i="2"/>
  <c r="J53" i="2"/>
  <c r="L3" i="2"/>
  <c r="J3" i="2"/>
  <c r="L83" i="1"/>
  <c r="J83" i="1"/>
  <c r="L81" i="2"/>
  <c r="J81" i="2"/>
  <c r="L85" i="1"/>
  <c r="J85" i="1"/>
  <c r="L79" i="2"/>
  <c r="J79" i="2"/>
  <c r="L45" i="2"/>
  <c r="J45" i="2"/>
  <c r="L75" i="2"/>
  <c r="J75" i="2"/>
  <c r="L37" i="2"/>
  <c r="J37" i="2"/>
  <c r="L87" i="1"/>
  <c r="J87" i="1"/>
  <c r="L47" i="1"/>
  <c r="J47" i="1"/>
  <c r="L13" i="1"/>
  <c r="J13" i="1"/>
  <c r="L25" i="1"/>
  <c r="J25" i="1"/>
  <c r="L9" i="1"/>
  <c r="J9" i="1"/>
  <c r="L61" i="1"/>
  <c r="J61" i="1"/>
  <c r="L5" i="1"/>
  <c r="J5" i="1"/>
  <c r="L59" i="2"/>
  <c r="J59" i="2"/>
  <c r="J12" i="1"/>
  <c r="L12" i="1"/>
  <c r="L7" i="2"/>
  <c r="J7" i="2"/>
  <c r="L6" i="1"/>
  <c r="J6" i="1"/>
  <c r="L71" i="2"/>
  <c r="J71" i="2"/>
  <c r="L43" i="1"/>
  <c r="J43" i="1"/>
  <c r="L63" i="1"/>
  <c r="J63" i="1"/>
  <c r="L28" i="1"/>
  <c r="J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10"/>
            <color rgb="FF000000"/>
            <rFont val="Arial"/>
            <scheme val="minor"/>
          </rPr>
          <t xml:space="preserve">Обязательное поле
</t>
        </r>
      </text>
    </comment>
    <comment ref="C1" authorId="0" shapeId="0" xr:uid="{00000000-0006-0000-0000-000002000000}">
      <text>
        <r>
          <rPr>
            <sz val="10"/>
            <color rgb="FF000000"/>
            <rFont val="Arial"/>
            <scheme val="minor"/>
          </rPr>
          <t xml:space="preserve">Необязательное поле
 </t>
        </r>
      </text>
    </comment>
    <comment ref="D1" authorId="0" shapeId="0" xr:uid="{00000000-0006-0000-0000-000003000000}">
      <text>
        <r>
          <rPr>
            <sz val="10"/>
            <color rgb="FF000000"/>
            <rFont val="Arial"/>
            <scheme val="minor"/>
          </rPr>
          <t>Обязательное поле. Нужно скопировать из листа "Комиссия за продажу"</t>
        </r>
      </text>
    </comment>
    <comment ref="E1" authorId="0" shapeId="0" xr:uid="{00000000-0006-0000-0000-000004000000}">
      <text>
        <r>
          <rPr>
            <sz val="10"/>
            <color rgb="FF000000"/>
            <rFont val="Arial"/>
            <scheme val="minor"/>
          </rPr>
          <t xml:space="preserve">Обязательное поле
Мелкогабаритный товар (мгт). Товар, длина, ширина и высота которого - по сумме трех измерений составляет не более 50 см.
Среднегабаритный товар (сгт). Товар, длина, ширина и высота которого - по сумме трех измерений составляет более 50 см., но менее 170 см.
Крупногабаритный товар (кгт). Товар, длина, ширина и высота которого - по сумме трех измерений составляет более 170 см., при этом, высота которого в транспортном положении более 50 см.
</t>
        </r>
      </text>
    </comment>
    <comment ref="F1" authorId="0" shapeId="0" xr:uid="{00000000-0006-0000-0000-000005000000}">
      <text>
        <r>
          <rPr>
            <sz val="10"/>
            <color rgb="FF000000"/>
            <rFont val="Arial"/>
            <scheme val="minor"/>
          </rPr>
          <t>Не трогать</t>
        </r>
      </text>
    </comment>
    <comment ref="G1" authorId="0" shapeId="0" xr:uid="{00000000-0006-0000-0000-000006000000}">
      <text>
        <r>
          <rPr>
            <sz val="10"/>
            <color rgb="FF000000"/>
            <rFont val="Arial"/>
            <scheme val="minor"/>
          </rPr>
          <t>Не трогать</t>
        </r>
      </text>
    </comment>
    <comment ref="H1" authorId="0" shapeId="0" xr:uid="{00000000-0006-0000-0000-000007000000}">
      <text>
        <r>
          <rPr>
            <sz val="10"/>
            <color rgb="FF000000"/>
            <rFont val="Arial"/>
            <scheme val="minor"/>
          </rPr>
          <t>Не трогать</t>
        </r>
      </text>
    </comment>
    <comment ref="I1" authorId="0" shapeId="0" xr:uid="{00000000-0006-0000-0000-000008000000}">
      <text>
        <r>
          <rPr>
            <sz val="10"/>
            <color rgb="FF000000"/>
            <rFont val="Arial"/>
            <scheme val="minor"/>
          </rPr>
          <t>Не трогать</t>
        </r>
      </text>
    </comment>
    <comment ref="J1" authorId="0" shapeId="0" xr:uid="{00000000-0006-0000-0000-000009000000}">
      <text>
        <r>
          <rPr>
            <sz val="10"/>
            <color rgb="FF000000"/>
            <rFont val="Arial"/>
            <scheme val="minor"/>
          </rPr>
          <t>Не трогать</t>
        </r>
      </text>
    </comment>
    <comment ref="K1" authorId="0" shapeId="0" xr:uid="{00000000-0006-0000-0000-00000A000000}">
      <text>
        <r>
          <rPr>
            <sz val="10"/>
            <color rgb="FF000000"/>
            <rFont val="Arial"/>
            <scheme val="minor"/>
          </rPr>
          <t>Необязательное поле, заполняете самостоятельно</t>
        </r>
      </text>
    </comment>
    <comment ref="L1" authorId="0" shapeId="0" xr:uid="{00000000-0006-0000-0000-00000B000000}">
      <text>
        <r>
          <rPr>
            <sz val="10"/>
            <color rgb="FF000000"/>
            <rFont val="Arial"/>
            <scheme val="minor"/>
          </rPr>
          <t>Не трогать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1000000}">
      <text>
        <r>
          <rPr>
            <sz val="10"/>
            <color rgb="FF000000"/>
            <rFont val="Arial"/>
            <scheme val="minor"/>
          </rPr>
          <t>Majburiy maydon</t>
        </r>
      </text>
    </comment>
    <comment ref="C1" authorId="0" shapeId="0" xr:uid="{00000000-0006-0000-0100-000002000000}">
      <text>
        <r>
          <rPr>
            <sz val="10"/>
            <color rgb="FF000000"/>
            <rFont val="Arial"/>
            <scheme val="minor"/>
          </rPr>
          <t>Majburiy maydon emas</t>
        </r>
      </text>
    </comment>
    <comment ref="D1" authorId="0" shapeId="0" xr:uid="{00000000-0006-0000-0100-000003000000}">
      <text>
        <r>
          <rPr>
            <sz val="10"/>
            <color rgb="FF000000"/>
            <rFont val="Arial"/>
            <scheme val="minor"/>
          </rPr>
          <t>Majburiy maydon. “Savdo komissiyasi” varag‘idan nusxa olish kerak</t>
        </r>
      </text>
    </comment>
    <comment ref="E1" authorId="0" shapeId="0" xr:uid="{00000000-0006-0000-0100-000004000000}">
      <text>
        <r>
          <rPr>
            <sz val="10"/>
            <color rgb="FF000000"/>
            <rFont val="Arial"/>
            <scheme val="minor"/>
          </rPr>
          <t xml:space="preserve">Majburiy maydon
Mayda gabaritli tоvar (mgt). Uchta o’lchоv summasi bo’yicha eni, balandligi va chuqurligi kamida 50 sm
O’rtacha gabaritli tоvar (ogt). Uchta o’lchоv summasi bo’yicha eni, balandligi va chuqurligi 50 sm dan ortiq bo`lishi kerak
Yirik gabaritli tоvar (ygt). Uchta o’lchоv summasi bo’yicha eni, balandligi va chuqurligi 170 sm dan оrtiq, bunda transpоrt hоlatida balandligi 50 sm dan оshadigan
</t>
        </r>
      </text>
    </comment>
    <comment ref="F1" authorId="0" shapeId="0" xr:uid="{00000000-0006-0000-0100-000005000000}">
      <text>
        <r>
          <rPr>
            <sz val="10"/>
            <color rgb="FF000000"/>
            <rFont val="Arial"/>
            <scheme val="minor"/>
          </rPr>
          <t>tegish mumkin emas</t>
        </r>
      </text>
    </comment>
    <comment ref="G1" authorId="0" shapeId="0" xr:uid="{00000000-0006-0000-0100-000006000000}">
      <text>
        <r>
          <rPr>
            <sz val="10"/>
            <color rgb="FF000000"/>
            <rFont val="Arial"/>
            <scheme val="minor"/>
          </rPr>
          <t>tegish mumkin emas</t>
        </r>
      </text>
    </comment>
    <comment ref="H1" authorId="0" shapeId="0" xr:uid="{00000000-0006-0000-0100-000007000000}">
      <text>
        <r>
          <rPr>
            <sz val="10"/>
            <color rgb="FF000000"/>
            <rFont val="Arial"/>
            <scheme val="minor"/>
          </rPr>
          <t>tegish mumkin emas</t>
        </r>
      </text>
    </comment>
    <comment ref="I1" authorId="0" shapeId="0" xr:uid="{00000000-0006-0000-0100-000008000000}">
      <text>
        <r>
          <rPr>
            <sz val="10"/>
            <color rgb="FF000000"/>
            <rFont val="Arial"/>
            <scheme val="minor"/>
          </rPr>
          <t>tegish mumkin emas</t>
        </r>
      </text>
    </comment>
    <comment ref="J1" authorId="0" shapeId="0" xr:uid="{00000000-0006-0000-0100-000009000000}">
      <text>
        <r>
          <rPr>
            <sz val="10"/>
            <color rgb="FF000000"/>
            <rFont val="Arial"/>
            <scheme val="minor"/>
          </rPr>
          <t>tegish mumkin emas</t>
        </r>
      </text>
    </comment>
    <comment ref="K1" authorId="0" shapeId="0" xr:uid="{00000000-0006-0000-0100-00000A000000}">
      <text>
        <r>
          <rPr>
            <sz val="10"/>
            <color rgb="FF000000"/>
            <rFont val="Arial"/>
            <scheme val="minor"/>
          </rPr>
          <t>Majburiy maydon emas, o‘zingiz to‘ldirasiz</t>
        </r>
      </text>
    </comment>
    <comment ref="L1" authorId="0" shapeId="0" xr:uid="{00000000-0006-0000-0100-00000B000000}">
      <text>
        <r>
          <rPr>
            <sz val="10"/>
            <color rgb="FF000000"/>
            <rFont val="Arial"/>
            <scheme val="minor"/>
          </rPr>
          <t>tegish mumkin emas</t>
        </r>
      </text>
    </comment>
  </commentList>
</comments>
</file>

<file path=xl/sharedStrings.xml><?xml version="1.0" encoding="utf-8"?>
<sst xmlns="http://schemas.openxmlformats.org/spreadsheetml/2006/main" count="23509" uniqueCount="6246">
  <si>
    <t>№</t>
  </si>
  <si>
    <t>Цена на единицу товара</t>
  </si>
  <si>
    <t>Категория 1</t>
  </si>
  <si>
    <t>Категория 4</t>
  </si>
  <si>
    <t>Габаритная группа (мгт/сгт/кгт)</t>
  </si>
  <si>
    <t>Процент Комиссии (%)</t>
  </si>
  <si>
    <t>Логистический Сбор</t>
  </si>
  <si>
    <t>Сумма комиссии</t>
  </si>
  <si>
    <t>Итоговая сумма (комиссия и логистика)</t>
  </si>
  <si>
    <t>Выручка на единицу товара с учетом комиссии и логистики</t>
  </si>
  <si>
    <t>Себестоимость товара</t>
  </si>
  <si>
    <t>Чистая выручка на единицу товара с учетом себестоимости и всех расходов</t>
  </si>
  <si>
    <t>Автотовары</t>
  </si>
  <si>
    <t>Чехлы для колес</t>
  </si>
  <si>
    <t>СГТ</t>
  </si>
  <si>
    <t>не трогать</t>
  </si>
  <si>
    <t>Умные часы</t>
  </si>
  <si>
    <t>МГТ</t>
  </si>
  <si>
    <t>обязательно к заполнению</t>
  </si>
  <si>
    <t>Холодильники</t>
  </si>
  <si>
    <t>КГТ</t>
  </si>
  <si>
    <t>необязательно к заполнению</t>
  </si>
  <si>
    <t>Xbox</t>
  </si>
  <si>
    <t>Геймпады, джойстики и триггеры</t>
  </si>
  <si>
    <t>Tovar birligining narxi</t>
  </si>
  <si>
    <t>1-toifa</t>
  </si>
  <si>
    <t>4-toifa</t>
  </si>
  <si>
    <t>Gabarit guruhi (mgt/o‘gt/ygt)</t>
  </si>
  <si>
    <t>Komissiya Foizi (%)</t>
  </si>
  <si>
    <t>Logistika yig‘imi</t>
  </si>
  <si>
    <t>Komissiya summasi</t>
  </si>
  <si>
    <t>Umumiy summa (komissiya va logistika)</t>
  </si>
  <si>
    <t>Komissiya va logistikani hisobga olgan holda tovar birligidan olingan daromad</t>
  </si>
  <si>
    <t>Tovar tannarxi</t>
  </si>
  <si>
    <t>Tannarx va barcha xarajatlarni hisobga olgan holda tovar birligidan olingan sof daromad</t>
  </si>
  <si>
    <t>Aksessuarlar</t>
  </si>
  <si>
    <t>Uzuklar</t>
  </si>
  <si>
    <t>MGT</t>
  </si>
  <si>
    <t>tegish mumkin emas</t>
  </si>
  <si>
    <t>Avtotovarlar</t>
  </si>
  <si>
    <t>Avtoturargoh uchun uskunalar</t>
  </si>
  <si>
    <t>O'GT</t>
  </si>
  <si>
    <t>to‘ldirish shart</t>
  </si>
  <si>
    <t>Sport va hordiq</t>
  </si>
  <si>
    <t>Mini trenajorlar</t>
  </si>
  <si>
    <t>to‘ldirish shart emas</t>
  </si>
  <si>
    <t>Samokatlar</t>
  </si>
  <si>
    <t>YGT</t>
  </si>
  <si>
    <t>Maishiy texnika</t>
  </si>
  <si>
    <t>Robot changyutgichlar</t>
  </si>
  <si>
    <t>cat_code</t>
  </si>
  <si>
    <t>category1</t>
  </si>
  <si>
    <t>category2</t>
  </si>
  <si>
    <t>category3</t>
  </si>
  <si>
    <t>category4</t>
  </si>
  <si>
    <t>comm %</t>
  </si>
  <si>
    <t>Красота и уход</t>
  </si>
  <si>
    <t>Маникюр и педикюр</t>
  </si>
  <si>
    <t>Базы и топы</t>
  </si>
  <si>
    <t>Товары для дома</t>
  </si>
  <si>
    <t>Товары для кухни</t>
  </si>
  <si>
    <t>Формы для приготовления</t>
  </si>
  <si>
    <t>Формы для пельменей</t>
  </si>
  <si>
    <t>Книги</t>
  </si>
  <si>
    <t>Религиозные книги</t>
  </si>
  <si>
    <t>Ислам</t>
  </si>
  <si>
    <t>Сийрат</t>
  </si>
  <si>
    <t>Электроника</t>
  </si>
  <si>
    <t>Офисная техника</t>
  </si>
  <si>
    <t>Комплектующие для офисной техники</t>
  </si>
  <si>
    <t>Фотобарабаны</t>
  </si>
  <si>
    <t>Для мужчин</t>
  </si>
  <si>
    <t>Для волос</t>
  </si>
  <si>
    <t>Средства для укладки</t>
  </si>
  <si>
    <t>Наушники и аудиотехника</t>
  </si>
  <si>
    <t>Наушники</t>
  </si>
  <si>
    <t>Игровые наушники</t>
  </si>
  <si>
    <t>Строительство и ремонт</t>
  </si>
  <si>
    <t>Инструменты</t>
  </si>
  <si>
    <t>Сварочное оборудование</t>
  </si>
  <si>
    <t>Комплектующие для сварки</t>
  </si>
  <si>
    <t>Игровые приставки</t>
  </si>
  <si>
    <t>Приставки</t>
  </si>
  <si>
    <t>Playstation</t>
  </si>
  <si>
    <t>Маски и краги сварщика</t>
  </si>
  <si>
    <t>Товары для праздников</t>
  </si>
  <si>
    <t>Оформление праздника</t>
  </si>
  <si>
    <t>Фотобутафория</t>
  </si>
  <si>
    <t>Аксессуары</t>
  </si>
  <si>
    <t>Мужские аксессуары</t>
  </si>
  <si>
    <t>Кошельки, ключницы и визитницы</t>
  </si>
  <si>
    <t>Зажимы для денег</t>
  </si>
  <si>
    <t>Одежда</t>
  </si>
  <si>
    <t>Женская одежда</t>
  </si>
  <si>
    <t>Платья и сарафаны</t>
  </si>
  <si>
    <t>Платья-футболки</t>
  </si>
  <si>
    <t>Смартфоны и телефоны</t>
  </si>
  <si>
    <t>Аксессуары для смартфонов</t>
  </si>
  <si>
    <t>Шнурки</t>
  </si>
  <si>
    <t>Профессиональная косметика</t>
  </si>
  <si>
    <t>Уход за телом</t>
  </si>
  <si>
    <t>Спорт и отдых</t>
  </si>
  <si>
    <t>Бассейны и аксессуары</t>
  </si>
  <si>
    <t>Аксессуары для бассейнов</t>
  </si>
  <si>
    <t>Ремонтные комплекты</t>
  </si>
  <si>
    <t>Детские товары</t>
  </si>
  <si>
    <t>Гигиена и подгузники</t>
  </si>
  <si>
    <t>Пеленки и клеенки для малышей</t>
  </si>
  <si>
    <t>Пеленки-коконы</t>
  </si>
  <si>
    <t>Уход за волосами</t>
  </si>
  <si>
    <t>Аксессуары для ухода за волосами</t>
  </si>
  <si>
    <t>Шапочки для душа</t>
  </si>
  <si>
    <t>Мужская одежда</t>
  </si>
  <si>
    <t>Нижнее бельё</t>
  </si>
  <si>
    <t>Откровенное бельё и костюмы</t>
  </si>
  <si>
    <t>Товары для наращённых волос</t>
  </si>
  <si>
    <t>Здоровье</t>
  </si>
  <si>
    <t>Ортопедические изделия</t>
  </si>
  <si>
    <t>Компрессионный трикотаж</t>
  </si>
  <si>
    <t>Компрессионные чулки</t>
  </si>
  <si>
    <t>Личная гигиена</t>
  </si>
  <si>
    <t>Гигиена полости рта</t>
  </si>
  <si>
    <t>Межзубные ершики</t>
  </si>
  <si>
    <t>Хобби и творчество</t>
  </si>
  <si>
    <t>Рисование</t>
  </si>
  <si>
    <t>Графика</t>
  </si>
  <si>
    <t>Пастель</t>
  </si>
  <si>
    <t>Ручной инструмент и оснастка</t>
  </si>
  <si>
    <t>Малярные и отделочные инструменты</t>
  </si>
  <si>
    <t>Валики и малярные ванночки</t>
  </si>
  <si>
    <t>Товары для консервирования</t>
  </si>
  <si>
    <t>Закаточные машинки</t>
  </si>
  <si>
    <t>Товары для реабилитации</t>
  </si>
  <si>
    <t>Ходунки</t>
  </si>
  <si>
    <t>Увлажнение и питание</t>
  </si>
  <si>
    <t>Концентраты и бальзамы</t>
  </si>
  <si>
    <t>Телевизоры и видеотехника</t>
  </si>
  <si>
    <t>Проекторы и аксессуары</t>
  </si>
  <si>
    <t>Пульты для презентаций</t>
  </si>
  <si>
    <t>Столярно-слесарные инструменты</t>
  </si>
  <si>
    <t>Метчики</t>
  </si>
  <si>
    <t>Нехудожественная литература</t>
  </si>
  <si>
    <t>Юридическая литература</t>
  </si>
  <si>
    <t>Право</t>
  </si>
  <si>
    <t>Верхняя одежда</t>
  </si>
  <si>
    <t>Плащи и тренчи</t>
  </si>
  <si>
    <t>Бытовая химия</t>
  </si>
  <si>
    <t>Средства для ухода за бытовой техникой</t>
  </si>
  <si>
    <t>Для крупной бытовой техники</t>
  </si>
  <si>
    <t>Монтажные инструменты</t>
  </si>
  <si>
    <t>Нож строительный</t>
  </si>
  <si>
    <t>Макияж</t>
  </si>
  <si>
    <t>Губы</t>
  </si>
  <si>
    <t>Помады</t>
  </si>
  <si>
    <t>Измельчители и соковыжималки</t>
  </si>
  <si>
    <t>Прессы для картофеля</t>
  </si>
  <si>
    <t>Аксессуары для телевизоров</t>
  </si>
  <si>
    <t>Прочие аксессуары для телевизоров</t>
  </si>
  <si>
    <t>Спортивная одежда</t>
  </si>
  <si>
    <t>Спортивные майки</t>
  </si>
  <si>
    <t>Бытовая техника</t>
  </si>
  <si>
    <t>Прочая кухонная техника</t>
  </si>
  <si>
    <t>Ланчбоксы с подогревом</t>
  </si>
  <si>
    <t>Канцтовары</t>
  </si>
  <si>
    <t>Калькуляторы</t>
  </si>
  <si>
    <t>Карманные калькуляторы</t>
  </si>
  <si>
    <t>Отдых на природе, рыбалка и охота</t>
  </si>
  <si>
    <t>Рыбалка</t>
  </si>
  <si>
    <t>Приманки и наживки рыболовные</t>
  </si>
  <si>
    <t>Фитнес и йога</t>
  </si>
  <si>
    <t>Фитнес</t>
  </si>
  <si>
    <t>Доски и диски балансировочные</t>
  </si>
  <si>
    <t>Хранение вещей</t>
  </si>
  <si>
    <t>Чехлы для одежды</t>
  </si>
  <si>
    <t>Фото и видеотехника</t>
  </si>
  <si>
    <t>Аксессуары для фото- и видеокамер</t>
  </si>
  <si>
    <t>Аксессуары для экшн камер</t>
  </si>
  <si>
    <t>Аккумуляторы и аксессуары</t>
  </si>
  <si>
    <t>Принадлежности для АКБ</t>
  </si>
  <si>
    <t>Аппараты для сварки труб</t>
  </si>
  <si>
    <t>Обувь</t>
  </si>
  <si>
    <t>Женская обувь</t>
  </si>
  <si>
    <t>Балетки</t>
  </si>
  <si>
    <t>Балетки с квадратным носом</t>
  </si>
  <si>
    <t>Игрушки и игры</t>
  </si>
  <si>
    <t>Робототехника и Stem-игрушки</t>
  </si>
  <si>
    <t>Материалы для наращивания ногтей</t>
  </si>
  <si>
    <t>Гели и пудры для наращивания ногтей</t>
  </si>
  <si>
    <t>Аксессуары для макияжа</t>
  </si>
  <si>
    <t>Повязки косметические</t>
  </si>
  <si>
    <t>Сапоги и угги</t>
  </si>
  <si>
    <t>Ботфорты</t>
  </si>
  <si>
    <t>Спортивные костюмы</t>
  </si>
  <si>
    <t>Хозяйственные товары</t>
  </si>
  <si>
    <t>Аксессуары для ванной</t>
  </si>
  <si>
    <t>Сиденье на унитаз</t>
  </si>
  <si>
    <t>Столовые приборы</t>
  </si>
  <si>
    <t>Палочки для еды</t>
  </si>
  <si>
    <t>Эзотерика и спиритизм</t>
  </si>
  <si>
    <t>Инструменты для маникюра</t>
  </si>
  <si>
    <t>Пемза, терки</t>
  </si>
  <si>
    <t>Уход за автомобилем</t>
  </si>
  <si>
    <t>Автомобильные пылесосы</t>
  </si>
  <si>
    <t>Термобельё</t>
  </si>
  <si>
    <t>Туризм и отдых на природе</t>
  </si>
  <si>
    <t>Палатки, тенты и шатры</t>
  </si>
  <si>
    <t>Флаконы дорожные</t>
  </si>
  <si>
    <t>Измерительные инструменты</t>
  </si>
  <si>
    <t>Мультиметры и тестеры</t>
  </si>
  <si>
    <t>Букинистика</t>
  </si>
  <si>
    <t>Учебная литература</t>
  </si>
  <si>
    <t>Корейская косметика</t>
  </si>
  <si>
    <t>Брови</t>
  </si>
  <si>
    <t>Прочие измерительные инструменты</t>
  </si>
  <si>
    <t>Зоотовары</t>
  </si>
  <si>
    <t>Для грызунов</t>
  </si>
  <si>
    <t>Корма и лакомства для грызунов</t>
  </si>
  <si>
    <t>Корма</t>
  </si>
  <si>
    <t>Развивающие и обучающие игрушки</t>
  </si>
  <si>
    <t>Сюжетно-ролевые игры</t>
  </si>
  <si>
    <t>Чернила</t>
  </si>
  <si>
    <t>Женские аксессуары</t>
  </si>
  <si>
    <t>Аксессуары для волос</t>
  </si>
  <si>
    <t>Шпильки и невидимки</t>
  </si>
  <si>
    <t>Для птиц</t>
  </si>
  <si>
    <t>Поилки, кормушки</t>
  </si>
  <si>
    <t>Сумки хозяйственные</t>
  </si>
  <si>
    <t>Офисные принадлежности</t>
  </si>
  <si>
    <t>Лотки и накопители для бумаг</t>
  </si>
  <si>
    <t>Техника для дома</t>
  </si>
  <si>
    <t>Пылесосы и аксессуары</t>
  </si>
  <si>
    <t>Запчасти и аксессуары для пылесосов</t>
  </si>
  <si>
    <t>Техника для жарки и варки</t>
  </si>
  <si>
    <t>Прочая техника для жарки и варки</t>
  </si>
  <si>
    <t>Компьютерная техника</t>
  </si>
  <si>
    <t>Аксессуары для компьютеров</t>
  </si>
  <si>
    <t>Графические планшеты и аксессуары</t>
  </si>
  <si>
    <t>Веб-камеры</t>
  </si>
  <si>
    <t>Уход за лицом</t>
  </si>
  <si>
    <t>Маски</t>
  </si>
  <si>
    <t>Глина</t>
  </si>
  <si>
    <t>Отделочные материалы</t>
  </si>
  <si>
    <t>Аксессуары и расходные материалы для отделочных работ</t>
  </si>
  <si>
    <t>Рукоделие</t>
  </si>
  <si>
    <t>Шитье</t>
  </si>
  <si>
    <t>Нитки</t>
  </si>
  <si>
    <t>Бумажная и ватная продукция</t>
  </si>
  <si>
    <t>Ватные диски</t>
  </si>
  <si>
    <t>Продукты питания</t>
  </si>
  <si>
    <t>Шоколад, конфеты, сладости</t>
  </si>
  <si>
    <t>Шоколад</t>
  </si>
  <si>
    <t>Публицистика</t>
  </si>
  <si>
    <t>Биографии известных людей</t>
  </si>
  <si>
    <t>Аксессуары и принадлежности</t>
  </si>
  <si>
    <t>Тюнинг и внешний декор</t>
  </si>
  <si>
    <t>Рамки для номеров</t>
  </si>
  <si>
    <t>Обустройство салона</t>
  </si>
  <si>
    <t>Коврики на торпеду</t>
  </si>
  <si>
    <t>Детям и родителям</t>
  </si>
  <si>
    <t>Развитие детей</t>
  </si>
  <si>
    <t>Учимся читать</t>
  </si>
  <si>
    <t>Бумажная продукция</t>
  </si>
  <si>
    <t>Закладки</t>
  </si>
  <si>
    <t>Закладка</t>
  </si>
  <si>
    <t>Аксессуары для мобильной съемки</t>
  </si>
  <si>
    <t>Для рыб и рептилий</t>
  </si>
  <si>
    <t>Террариумы и аксессуары</t>
  </si>
  <si>
    <t>Спальные мешки</t>
  </si>
  <si>
    <t>Скейтбординг</t>
  </si>
  <si>
    <t>Круизеры, пенни борды, роллерсерфы</t>
  </si>
  <si>
    <t>Хранение и переноски для рыбалки</t>
  </si>
  <si>
    <t>Перевозка багажа</t>
  </si>
  <si>
    <t>Ремни и резинки</t>
  </si>
  <si>
    <t>Кухонные аксессуары</t>
  </si>
  <si>
    <t>Скатерти и подставки под горячее</t>
  </si>
  <si>
    <t>Концентраты</t>
  </si>
  <si>
    <t>Ноутбуки, планшеты и электронные книги</t>
  </si>
  <si>
    <t>Аксессуары для ноутбуков</t>
  </si>
  <si>
    <t>Запчасти для ноутбуков</t>
  </si>
  <si>
    <t>Мужская обувь</t>
  </si>
  <si>
    <t>Туфли</t>
  </si>
  <si>
    <t>Броги</t>
  </si>
  <si>
    <t>Кнопочные телефоны</t>
  </si>
  <si>
    <t>Для кошек</t>
  </si>
  <si>
    <t>Корма и лакомства</t>
  </si>
  <si>
    <t>Влажные корма</t>
  </si>
  <si>
    <t>Блокноты и записные книжки</t>
  </si>
  <si>
    <t>Блокноты</t>
  </si>
  <si>
    <t>Лампы и фонарики для маникюра</t>
  </si>
  <si>
    <t>Вешалки</t>
  </si>
  <si>
    <t>Вешалки-плечики</t>
  </si>
  <si>
    <t>Планшеты и электронные книги</t>
  </si>
  <si>
    <t>Аксессуары для планшетов и электронных книг</t>
  </si>
  <si>
    <t>Папки и файлы</t>
  </si>
  <si>
    <t>Пленки для ламинирования</t>
  </si>
  <si>
    <t>Аксессуары для ухода за телом</t>
  </si>
  <si>
    <t>Щетки для сухого массажа</t>
  </si>
  <si>
    <t>Автозвук</t>
  </si>
  <si>
    <t>Автомобильные антенны</t>
  </si>
  <si>
    <t>Катушки для рыбалки</t>
  </si>
  <si>
    <t>Порядок на кухне</t>
  </si>
  <si>
    <t>Подставки для зубочисток</t>
  </si>
  <si>
    <t>Мебель</t>
  </si>
  <si>
    <t>Этажерки и обувницы</t>
  </si>
  <si>
    <t>Йога и пилатес</t>
  </si>
  <si>
    <t>Блоки для йоги</t>
  </si>
  <si>
    <t>Ювелирные украшения</t>
  </si>
  <si>
    <t>Браслеты</t>
  </si>
  <si>
    <t>Инвентарь для уборки</t>
  </si>
  <si>
    <t>Стекломои и скребки</t>
  </si>
  <si>
    <t>Гараж и автосервис</t>
  </si>
  <si>
    <t>Специнструменты для слесарных работ</t>
  </si>
  <si>
    <t>Вода для расчесывания</t>
  </si>
  <si>
    <t>Полки и подставки</t>
  </si>
  <si>
    <t>Бижутерные украшения</t>
  </si>
  <si>
    <t>Броши</t>
  </si>
  <si>
    <t>Для сельскохозяйственных животных</t>
  </si>
  <si>
    <t>Для лошадей</t>
  </si>
  <si>
    <t>Масла и соусы</t>
  </si>
  <si>
    <t>Соусы</t>
  </si>
  <si>
    <t>Майонез</t>
  </si>
  <si>
    <t>Цифровое и спутниковое ТВ</t>
  </si>
  <si>
    <t>CAM модули</t>
  </si>
  <si>
    <t>Товары для бани и сауны</t>
  </si>
  <si>
    <t>Соль и камни для бани</t>
  </si>
  <si>
    <t>Текстиль</t>
  </si>
  <si>
    <t>Кухонный текстиль</t>
  </si>
  <si>
    <t>Полотенца кухонные</t>
  </si>
  <si>
    <t>Столовая посуда</t>
  </si>
  <si>
    <t>Кувшины и графины</t>
  </si>
  <si>
    <t>Подарочная упаковка, открытки</t>
  </si>
  <si>
    <t>Пакеты и мешочки</t>
  </si>
  <si>
    <t>Уход за одеждой и обувью</t>
  </si>
  <si>
    <t>Аксессуары для стирки</t>
  </si>
  <si>
    <t>Шторы и карнизы</t>
  </si>
  <si>
    <t>Тюли и гардины</t>
  </si>
  <si>
    <t>Сандалии</t>
  </si>
  <si>
    <t>Повседневные сандалии</t>
  </si>
  <si>
    <t>Крупная бытовая техника</t>
  </si>
  <si>
    <t>Холодильники и морозильники</t>
  </si>
  <si>
    <t>Холодильные шкафы</t>
  </si>
  <si>
    <t>Балетки с острым носом</t>
  </si>
  <si>
    <t>Электроинструменты</t>
  </si>
  <si>
    <t>Прочие электроинструменты</t>
  </si>
  <si>
    <t>Средства по уходу за обувью</t>
  </si>
  <si>
    <t>Краска для обуви</t>
  </si>
  <si>
    <t>Аксессуары для напитков</t>
  </si>
  <si>
    <t>Ведерки для льда</t>
  </si>
  <si>
    <t>Аксессуары и уход за офисной техникой</t>
  </si>
  <si>
    <t>Запчасти и аксессуары для офисной техникой</t>
  </si>
  <si>
    <t>Крепеж</t>
  </si>
  <si>
    <t>Винты и болты</t>
  </si>
  <si>
    <t>Дача, сад и огород</t>
  </si>
  <si>
    <t>Садовый инструмент</t>
  </si>
  <si>
    <t>Уход за территорией</t>
  </si>
  <si>
    <t>Товары для полива</t>
  </si>
  <si>
    <t>Умные часы и фитнес браслеты</t>
  </si>
  <si>
    <t>Умные часы Apple Watch</t>
  </si>
  <si>
    <t>Приготовление кофе</t>
  </si>
  <si>
    <t>Кофемашины автоматические</t>
  </si>
  <si>
    <t>Электроника для авто</t>
  </si>
  <si>
    <t>Вентиляторы и увлажнители воздуха</t>
  </si>
  <si>
    <t>Окрашивание и химическая завивка</t>
  </si>
  <si>
    <t>Краски</t>
  </si>
  <si>
    <t>Спортивное питание</t>
  </si>
  <si>
    <t>Витамины и минеральные комплексы</t>
  </si>
  <si>
    <t>Послетренировочные комплексы</t>
  </si>
  <si>
    <t>Горчица и хрен</t>
  </si>
  <si>
    <t>Масла</t>
  </si>
  <si>
    <t>Хлопковое масло</t>
  </si>
  <si>
    <t>Комплекты спутникового ТВ</t>
  </si>
  <si>
    <t>Шлифмашины</t>
  </si>
  <si>
    <t>Паяльное оборудование</t>
  </si>
  <si>
    <t>Припои</t>
  </si>
  <si>
    <t>Художественная литература</t>
  </si>
  <si>
    <t>Античная литература</t>
  </si>
  <si>
    <t>Спортивные комбинезоны</t>
  </si>
  <si>
    <t>Швейные машины и аксессуары</t>
  </si>
  <si>
    <t>Мешкозашивочные машины</t>
  </si>
  <si>
    <t>Молодежная и подростковая литература</t>
  </si>
  <si>
    <t>Трости и костыли</t>
  </si>
  <si>
    <t>Медицинские приборы</t>
  </si>
  <si>
    <t>Глюкометры и аксессуары</t>
  </si>
  <si>
    <t>Глюкометры</t>
  </si>
  <si>
    <t>Средства от насекомых и грызунов</t>
  </si>
  <si>
    <t>Ратициды</t>
  </si>
  <si>
    <t>Освещение</t>
  </si>
  <si>
    <t>Ночники</t>
  </si>
  <si>
    <t>Сантехника</t>
  </si>
  <si>
    <t>Комплектующие для душевых кабин</t>
  </si>
  <si>
    <t>Фикх</t>
  </si>
  <si>
    <t>Дом и хобби</t>
  </si>
  <si>
    <t>Кроссворды. Сканворды. Головоломки. Игры</t>
  </si>
  <si>
    <t>Обработка почвы</t>
  </si>
  <si>
    <t>Вилы, кирки, культиваторы</t>
  </si>
  <si>
    <t>Чай, кофе, горячие напитки</t>
  </si>
  <si>
    <t>Чай травяной</t>
  </si>
  <si>
    <t>Детская комната</t>
  </si>
  <si>
    <t>Защита и безопасность</t>
  </si>
  <si>
    <t>Блокираторы</t>
  </si>
  <si>
    <t>Чайники и кофейники</t>
  </si>
  <si>
    <t>Ситечки для заварки</t>
  </si>
  <si>
    <t>Настольные подставки и визитницы</t>
  </si>
  <si>
    <t>Подставки для карандашей и ручек</t>
  </si>
  <si>
    <t>Антикварные книги</t>
  </si>
  <si>
    <t>Спортивные брюки</t>
  </si>
  <si>
    <t>Сумки и рюкзаки</t>
  </si>
  <si>
    <t>Шины и диски</t>
  </si>
  <si>
    <t>Колпаки на диски</t>
  </si>
  <si>
    <t>Аудиотехника</t>
  </si>
  <si>
    <t>Портативная акустика</t>
  </si>
  <si>
    <t>Умный дом и безопасность</t>
  </si>
  <si>
    <t>Безопасность дома</t>
  </si>
  <si>
    <t>Охранное оборудование для дома и дачи</t>
  </si>
  <si>
    <t>Автомобильные мониторы</t>
  </si>
  <si>
    <t>Пеленки многоразовые</t>
  </si>
  <si>
    <t>Часы</t>
  </si>
  <si>
    <t>Ручные измельчители</t>
  </si>
  <si>
    <t>Измерительные приборы</t>
  </si>
  <si>
    <t>Измерение параметров тока</t>
  </si>
  <si>
    <t>Мочалки</t>
  </si>
  <si>
    <t>Оверлоки</t>
  </si>
  <si>
    <t>Детекторы металла и склерометры</t>
  </si>
  <si>
    <t>Туники</t>
  </si>
  <si>
    <t>Джемперы, свитеры и кардиганы</t>
  </si>
  <si>
    <t>Джемперы и пуловеры</t>
  </si>
  <si>
    <t>Насосы для шариков</t>
  </si>
  <si>
    <t>Детский спорт и активный отдых</t>
  </si>
  <si>
    <t>Детский транспорт</t>
  </si>
  <si>
    <t>Самокаты детские</t>
  </si>
  <si>
    <t>Портмоне и косметички</t>
  </si>
  <si>
    <t>Портмоне</t>
  </si>
  <si>
    <t>Хранение данных</t>
  </si>
  <si>
    <t>Картридеры</t>
  </si>
  <si>
    <t>Вода, соки, напитки</t>
  </si>
  <si>
    <t>Соки, нектары, смузи</t>
  </si>
  <si>
    <t>Медицинские изделия и расходные материалы</t>
  </si>
  <si>
    <t>Дезинфицирующие средства</t>
  </si>
  <si>
    <t>Деревянные игрушки</t>
  </si>
  <si>
    <t>Счетчики электроэнергии</t>
  </si>
  <si>
    <t>Детское творчество</t>
  </si>
  <si>
    <t>Настольные и карточные игры</t>
  </si>
  <si>
    <t>Настольные игры для детей</t>
  </si>
  <si>
    <t>Подгузники и трусики</t>
  </si>
  <si>
    <t>Многоразовые подгузники и вкладыши</t>
  </si>
  <si>
    <t>Прихватки</t>
  </si>
  <si>
    <t>Виды спорта</t>
  </si>
  <si>
    <t>Баскетбол</t>
  </si>
  <si>
    <t>Баскетбольные мячи</t>
  </si>
  <si>
    <t>Бумага для печати</t>
  </si>
  <si>
    <t>Компьютерные технологии</t>
  </si>
  <si>
    <t>Компьютерные сети</t>
  </si>
  <si>
    <t>Саморазвитие</t>
  </si>
  <si>
    <t>Пьесы и драматургия</t>
  </si>
  <si>
    <t>Спонжи и аппликаторы</t>
  </si>
  <si>
    <t>Декор и освещение</t>
  </si>
  <si>
    <t>Корзины и органайзеры</t>
  </si>
  <si>
    <t>Футболки и поло</t>
  </si>
  <si>
    <t>Комплекты футболок и поло</t>
  </si>
  <si>
    <t>Сабельные пилы</t>
  </si>
  <si>
    <t>Брюки</t>
  </si>
  <si>
    <t>Классические брюки</t>
  </si>
  <si>
    <t>Ключи</t>
  </si>
  <si>
    <t>Динамометрические ключи</t>
  </si>
  <si>
    <t>Депиляция и эпиляция</t>
  </si>
  <si>
    <t>Аксессуары для депиляции и эпиляции</t>
  </si>
  <si>
    <t>Подставки для учебников</t>
  </si>
  <si>
    <t>Бейджи и аксессуары</t>
  </si>
  <si>
    <t>Папки-планшеты</t>
  </si>
  <si>
    <t>Домашняя одежда</t>
  </si>
  <si>
    <t>Домашние брюки и шорты</t>
  </si>
  <si>
    <t>Бомберы</t>
  </si>
  <si>
    <t>Диспенсеры для напитков</t>
  </si>
  <si>
    <t>Утюги и отпариватели</t>
  </si>
  <si>
    <t>Утюги</t>
  </si>
  <si>
    <t>Познавательная литература</t>
  </si>
  <si>
    <t>Энциклопедии и атласы</t>
  </si>
  <si>
    <t>Угги</t>
  </si>
  <si>
    <t>Зарядные устройства</t>
  </si>
  <si>
    <t>Инструменты и оборудование</t>
  </si>
  <si>
    <t>Домкраты</t>
  </si>
  <si>
    <t>Оптические приборы</t>
  </si>
  <si>
    <t>Театральные бинокли</t>
  </si>
  <si>
    <t>Интимная гигиена</t>
  </si>
  <si>
    <t>Средства для интимной гигиены</t>
  </si>
  <si>
    <t>Футболки</t>
  </si>
  <si>
    <t>Термальная вода, тоники и спреи</t>
  </si>
  <si>
    <t>Посуда для приготовления</t>
  </si>
  <si>
    <t>Казаны, жаровни и тажины</t>
  </si>
  <si>
    <t>Вешалки автомобильные</t>
  </si>
  <si>
    <t>Точилки и трафареты</t>
  </si>
  <si>
    <t>Соевый соус</t>
  </si>
  <si>
    <t>Чертежные принадлежности</t>
  </si>
  <si>
    <t>Транспортиры</t>
  </si>
  <si>
    <t>Мусорные ведра и баки</t>
  </si>
  <si>
    <t>Массажеры и массажное оборудование</t>
  </si>
  <si>
    <t>Банки массажные</t>
  </si>
  <si>
    <t>Продукты для выпечки и десертов</t>
  </si>
  <si>
    <t>Пищевые добавки</t>
  </si>
  <si>
    <t>Пищевые красители и ароматизаторы</t>
  </si>
  <si>
    <t>Зубные нити</t>
  </si>
  <si>
    <t>Термосы и термокружки</t>
  </si>
  <si>
    <t>Термосы</t>
  </si>
  <si>
    <t>Глаза</t>
  </si>
  <si>
    <t>Праймеры для век</t>
  </si>
  <si>
    <t>Изготовление игрушек</t>
  </si>
  <si>
    <t>Создание картин, фоторамок, открыток</t>
  </si>
  <si>
    <t>Картины по номерам</t>
  </si>
  <si>
    <t>Пейзажи и природа</t>
  </si>
  <si>
    <t>Для собак</t>
  </si>
  <si>
    <t>Матрасы и лежаки</t>
  </si>
  <si>
    <t>Эспандеры</t>
  </si>
  <si>
    <t>Дистилляторы</t>
  </si>
  <si>
    <t>Средства для очищения и ухода</t>
  </si>
  <si>
    <t>Сумки и рюкзаки для ноутбуков</t>
  </si>
  <si>
    <t>Ботинки</t>
  </si>
  <si>
    <t>Высокие ботинки</t>
  </si>
  <si>
    <t>Искусство и культура</t>
  </si>
  <si>
    <t>Артбуки</t>
  </si>
  <si>
    <t>Попкорн-мейкеры</t>
  </si>
  <si>
    <t>Повседневные брюки</t>
  </si>
  <si>
    <t>Пульты дистанционного управления</t>
  </si>
  <si>
    <t>Пневмоинструменты</t>
  </si>
  <si>
    <t>Гели и муссы</t>
  </si>
  <si>
    <t>Проводные наушники</t>
  </si>
  <si>
    <t>Ланцеты для глюкометра</t>
  </si>
  <si>
    <t>Охота и стрельба</t>
  </si>
  <si>
    <t>Снаряжение для охоты</t>
  </si>
  <si>
    <t>Аварийные принадлежности</t>
  </si>
  <si>
    <t>Автомобильные фонари</t>
  </si>
  <si>
    <t>Головные уборы</t>
  </si>
  <si>
    <t>Комплекты головных уборов</t>
  </si>
  <si>
    <t>Одежда больших размеров</t>
  </si>
  <si>
    <t>Майки</t>
  </si>
  <si>
    <t>Карнавальные товары</t>
  </si>
  <si>
    <t>Карнавальные костюмы</t>
  </si>
  <si>
    <t>Накладки на задний бампер</t>
  </si>
  <si>
    <t>Строительные миксеры и венчики</t>
  </si>
  <si>
    <t>Коробки</t>
  </si>
  <si>
    <t>Уход за шинами и дисками</t>
  </si>
  <si>
    <t>Фрезерные машины</t>
  </si>
  <si>
    <t>Зажимные инструменты</t>
  </si>
  <si>
    <t>Стеклодомкрат</t>
  </si>
  <si>
    <t>Платья-футляр</t>
  </si>
  <si>
    <t>Джинсы</t>
  </si>
  <si>
    <t>Зауженные джинсы</t>
  </si>
  <si>
    <t>Рулетки и мерные ленты</t>
  </si>
  <si>
    <t>Освещение для сада</t>
  </si>
  <si>
    <t>Вентиляция</t>
  </si>
  <si>
    <t>Канальные вентиляторы</t>
  </si>
  <si>
    <t>Топы и майки</t>
  </si>
  <si>
    <t>Топы на бретелях</t>
  </si>
  <si>
    <t>Сказки, фольклор и мифы</t>
  </si>
  <si>
    <t>Комплекты украшений</t>
  </si>
  <si>
    <t>Мочеприемники</t>
  </si>
  <si>
    <t>Кунжутное масло</t>
  </si>
  <si>
    <t>Кисти</t>
  </si>
  <si>
    <t>Манометры</t>
  </si>
  <si>
    <t>Аппараты для сахарной ваты</t>
  </si>
  <si>
    <t>Химия для пайки</t>
  </si>
  <si>
    <t>Уход за ребенком</t>
  </si>
  <si>
    <t>Детские грелки и пояса</t>
  </si>
  <si>
    <t>Одноразовые подгузники и трусики</t>
  </si>
  <si>
    <t>Теннис и бадминтон</t>
  </si>
  <si>
    <t>Настольный теннис</t>
  </si>
  <si>
    <t>Рации и радиостанции</t>
  </si>
  <si>
    <t>Аксессуары для сумок</t>
  </si>
  <si>
    <t>Чистящие и моющие средства</t>
  </si>
  <si>
    <t>Средства для чистки стекол</t>
  </si>
  <si>
    <t>Спреи</t>
  </si>
  <si>
    <t>Юбки</t>
  </si>
  <si>
    <t>Кожаные юбки</t>
  </si>
  <si>
    <t>Массажные масла</t>
  </si>
  <si>
    <t>Аксессуары для путешествий</t>
  </si>
  <si>
    <t>Органайзеры для путешествий</t>
  </si>
  <si>
    <t>Оборудование для фотографов</t>
  </si>
  <si>
    <t>Свет для фотостудии</t>
  </si>
  <si>
    <t>Шестигранные ключи</t>
  </si>
  <si>
    <t>Лепка</t>
  </si>
  <si>
    <t>Наборы для создания слепков</t>
  </si>
  <si>
    <t>Кремы для рук</t>
  </si>
  <si>
    <t>Товары для сна</t>
  </si>
  <si>
    <t>Подушки для сна</t>
  </si>
  <si>
    <t>Ватные палочки для детей</t>
  </si>
  <si>
    <t>Миски, поилки и кормушки для грызунов</t>
  </si>
  <si>
    <t>Кормушки</t>
  </si>
  <si>
    <t>Детская косметика</t>
  </si>
  <si>
    <t>Детская декоративная косметика</t>
  </si>
  <si>
    <t>Эссенции</t>
  </si>
  <si>
    <t>Освещение для жилого помещения</t>
  </si>
  <si>
    <t>Еженедельники и ежедневники, планнеры</t>
  </si>
  <si>
    <t>Ежедневники</t>
  </si>
  <si>
    <t>Шубы и дубленки</t>
  </si>
  <si>
    <t>Резиновая обувь</t>
  </si>
  <si>
    <t>Сабо</t>
  </si>
  <si>
    <t>Лечебные и уходовые средства</t>
  </si>
  <si>
    <t>Гели для ногтей</t>
  </si>
  <si>
    <t>Настольные плиты</t>
  </si>
  <si>
    <t>Усилители яркости цвета</t>
  </si>
  <si>
    <t>Блузы и рубашки</t>
  </si>
  <si>
    <t>Электрика</t>
  </si>
  <si>
    <t>Батарейки</t>
  </si>
  <si>
    <t>Лицо</t>
  </si>
  <si>
    <t>Основы под макияж</t>
  </si>
  <si>
    <t>Домашние комплекты</t>
  </si>
  <si>
    <t>Консервация</t>
  </si>
  <si>
    <t>Овощная икра и закуски</t>
  </si>
  <si>
    <t>Задания, головоломки и загадки</t>
  </si>
  <si>
    <t>Джинсовые куртки</t>
  </si>
  <si>
    <t>Шланги воздушные для компрессора</t>
  </si>
  <si>
    <t>Домино</t>
  </si>
  <si>
    <t>Спортивная гимнастика</t>
  </si>
  <si>
    <t>Оборудование для гимнастики</t>
  </si>
  <si>
    <t>Очки</t>
  </si>
  <si>
    <t>Очки для компьютера</t>
  </si>
  <si>
    <t>Расходные элементы</t>
  </si>
  <si>
    <t>Насадки для граверов</t>
  </si>
  <si>
    <t>Детская мебель</t>
  </si>
  <si>
    <t>Мольберты детские</t>
  </si>
  <si>
    <t>Средства индивидуальной защиты</t>
  </si>
  <si>
    <t>Очки строительные</t>
  </si>
  <si>
    <t>Климатическая техника</t>
  </si>
  <si>
    <t>Вентиляторы</t>
  </si>
  <si>
    <t>Мини-Вентиляторы</t>
  </si>
  <si>
    <t>Проза</t>
  </si>
  <si>
    <t>Классическая проза</t>
  </si>
  <si>
    <t>Ключницы</t>
  </si>
  <si>
    <t>Снасти и аксессуары для рыбалки</t>
  </si>
  <si>
    <t>Режущие и пильные инструменты</t>
  </si>
  <si>
    <t>Стамески и долота</t>
  </si>
  <si>
    <t>Бальзамы и кондиционеры</t>
  </si>
  <si>
    <t>Эхолоты и навигация</t>
  </si>
  <si>
    <t>Измельчение и смешивание</t>
  </si>
  <si>
    <t>Насадки и аксессуары для измельчения</t>
  </si>
  <si>
    <t>Солнцезащитные и статические пленки</t>
  </si>
  <si>
    <t>Бумажные полотенца</t>
  </si>
  <si>
    <t>Учим иностранные языки</t>
  </si>
  <si>
    <t>Украшения</t>
  </si>
  <si>
    <t>Рейлинги</t>
  </si>
  <si>
    <t>Товары для кормления</t>
  </si>
  <si>
    <t>Посуда и принадлежности для кормления</t>
  </si>
  <si>
    <t>Детские столовые приборы</t>
  </si>
  <si>
    <t>Бег</t>
  </si>
  <si>
    <t>Аксессуары для бега</t>
  </si>
  <si>
    <t>Умные гаджеты</t>
  </si>
  <si>
    <t>Аксессуары и запчасти для игровых приставок</t>
  </si>
  <si>
    <t>Аккумуляторы и зарядки</t>
  </si>
  <si>
    <t>Панамы</t>
  </si>
  <si>
    <t>Фото- и видеокамеры</t>
  </si>
  <si>
    <t>Компактные фотоаппараты</t>
  </si>
  <si>
    <t>Наборы корейской косметики</t>
  </si>
  <si>
    <t>Набор для ухода за лицом</t>
  </si>
  <si>
    <t>Кофе зерновой</t>
  </si>
  <si>
    <t>Дизайн ногтей</t>
  </si>
  <si>
    <t>Наклейки для ногтей</t>
  </si>
  <si>
    <t>Товары для мам</t>
  </si>
  <si>
    <t>Наборы в роддом</t>
  </si>
  <si>
    <t>Линейки и угольники</t>
  </si>
  <si>
    <t>Корма и Лакомства</t>
  </si>
  <si>
    <t>Сухие корма</t>
  </si>
  <si>
    <t>Проекторы</t>
  </si>
  <si>
    <t>Шаблон плиточника</t>
  </si>
  <si>
    <t>Стеклорезы</t>
  </si>
  <si>
    <t>Детские маникюрные наборы</t>
  </si>
  <si>
    <t>Энциклопедии и справочники</t>
  </si>
  <si>
    <t>Для бритья</t>
  </si>
  <si>
    <t>Средства для бритья</t>
  </si>
  <si>
    <t>BCAA и аминокислоты</t>
  </si>
  <si>
    <t>GABA</t>
  </si>
  <si>
    <t>Аксессуары для швейных машин</t>
  </si>
  <si>
    <t>Фильтры для воды</t>
  </si>
  <si>
    <t>Сменные картриджи для фильтров-кувшинов</t>
  </si>
  <si>
    <t>Зеркала заднего вида</t>
  </si>
  <si>
    <t>Аксессуары и расходные материалы</t>
  </si>
  <si>
    <t>Мешки и сумки</t>
  </si>
  <si>
    <t>Для коз и овец</t>
  </si>
  <si>
    <t>Водоснабжение для дома и сада</t>
  </si>
  <si>
    <t>Для откачивания из резервуаров</t>
  </si>
  <si>
    <t>Коляски и автокресла</t>
  </si>
  <si>
    <t>Велокресла для малышей</t>
  </si>
  <si>
    <t>ТВ-приставки и медиаплееры</t>
  </si>
  <si>
    <t>DVD-плееры</t>
  </si>
  <si>
    <t>Петли, лестницы, барьеры для кроссфита</t>
  </si>
  <si>
    <t>Утяжелители</t>
  </si>
  <si>
    <t>Письменные принадлежности</t>
  </si>
  <si>
    <t>Маркеры</t>
  </si>
  <si>
    <t>Аксессуары для выпечки</t>
  </si>
  <si>
    <t>Ролики для теста</t>
  </si>
  <si>
    <t>Карты памяти и флешки</t>
  </si>
  <si>
    <t>Широкие и расклешенные джинсы</t>
  </si>
  <si>
    <t>Демонстрационные доски</t>
  </si>
  <si>
    <t>Маркерные доски</t>
  </si>
  <si>
    <t>Леггинсы и лосины</t>
  </si>
  <si>
    <t>Держатели для бумаг</t>
  </si>
  <si>
    <t>Техника для красоты</t>
  </si>
  <si>
    <t>Укладка волос</t>
  </si>
  <si>
    <t>Мультистайлеры</t>
  </si>
  <si>
    <t>Органайзеры в кроватку</t>
  </si>
  <si>
    <t>Печати и штампы</t>
  </si>
  <si>
    <t>Оснастки и футляры для штампов</t>
  </si>
  <si>
    <t>Горелки, походные печи и газовые обогреватели</t>
  </si>
  <si>
    <t>Электронные книги</t>
  </si>
  <si>
    <t>Электрокары</t>
  </si>
  <si>
    <t>Офисное оборудование</t>
  </si>
  <si>
    <t>Ламинаторы и брошюровщики</t>
  </si>
  <si>
    <t>Купание ребенка</t>
  </si>
  <si>
    <t>Термометры для воды</t>
  </si>
  <si>
    <t>Витамины и БАДы</t>
  </si>
  <si>
    <t>От диабета</t>
  </si>
  <si>
    <t>Размораживатели замков и стекол</t>
  </si>
  <si>
    <t>Колонки для авто</t>
  </si>
  <si>
    <t>Штангенциркули</t>
  </si>
  <si>
    <t>Специальные препараты</t>
  </si>
  <si>
    <t>Препараты для связок и суставов</t>
  </si>
  <si>
    <t>Аксессуары для бюстгальтеров</t>
  </si>
  <si>
    <t>Пледы и покрывала</t>
  </si>
  <si>
    <t>Покрывала</t>
  </si>
  <si>
    <t>Лампочки</t>
  </si>
  <si>
    <t>Фитболы</t>
  </si>
  <si>
    <t>Шуруповерты</t>
  </si>
  <si>
    <t>Аксессуары для сушки</t>
  </si>
  <si>
    <t>Домики и лежаки для кошек</t>
  </si>
  <si>
    <t>Домики</t>
  </si>
  <si>
    <t>Декор и интерьер</t>
  </si>
  <si>
    <t>Ароматы для дома</t>
  </si>
  <si>
    <t>Средства для ухода за мебелью и полом</t>
  </si>
  <si>
    <t>Уход за стеклами и фарами</t>
  </si>
  <si>
    <t>Массажные подушки</t>
  </si>
  <si>
    <t>Очищение и умывание</t>
  </si>
  <si>
    <t>Пенка для умывания</t>
  </si>
  <si>
    <t>Энергетики и изотоники</t>
  </si>
  <si>
    <t>Вкладыши от пота</t>
  </si>
  <si>
    <t>Чай зеленый</t>
  </si>
  <si>
    <t>Автоматические выключатели, УЗО, дифференциальные автоматы</t>
  </si>
  <si>
    <t>Свободные веса</t>
  </si>
  <si>
    <t>Гантели</t>
  </si>
  <si>
    <t>Прочие хобби</t>
  </si>
  <si>
    <t>Оригами</t>
  </si>
  <si>
    <t>Комплекты для кухни</t>
  </si>
  <si>
    <t>Освежители и нейтрализаторы</t>
  </si>
  <si>
    <t>Ароматизаторы для дома</t>
  </si>
  <si>
    <t>Оптика</t>
  </si>
  <si>
    <t>Растворы для контактных линз</t>
  </si>
  <si>
    <t>Велоспорт</t>
  </si>
  <si>
    <t>Аксессуары для велоспорта</t>
  </si>
  <si>
    <t>Шляпы</t>
  </si>
  <si>
    <t>Поэзия</t>
  </si>
  <si>
    <t>Классическая поэзия</t>
  </si>
  <si>
    <t>Шампуни</t>
  </si>
  <si>
    <t>Хранение продуктов</t>
  </si>
  <si>
    <t>Очищение лица</t>
  </si>
  <si>
    <t>Масла гидрофильные</t>
  </si>
  <si>
    <t>Диагностическое оборудование</t>
  </si>
  <si>
    <t>Ковры и ковровые дорожки</t>
  </si>
  <si>
    <t>Коврики придверные</t>
  </si>
  <si>
    <t>Радионяня</t>
  </si>
  <si>
    <t>Макароны, крупы и сухие завтраки</t>
  </si>
  <si>
    <t>Сухие завтраки</t>
  </si>
  <si>
    <t>Орехоколы</t>
  </si>
  <si>
    <t>Операционные системы</t>
  </si>
  <si>
    <t>Купальники и пляжная одежда</t>
  </si>
  <si>
    <t>Раздельные купальники</t>
  </si>
  <si>
    <t>Спортивные сумки</t>
  </si>
  <si>
    <t>Периферия и аксессуары</t>
  </si>
  <si>
    <t>Антивибрационные подставки</t>
  </si>
  <si>
    <t>Брызговики</t>
  </si>
  <si>
    <t>Вакуумные насосы</t>
  </si>
  <si>
    <t>Крючки, поводки и грузила</t>
  </si>
  <si>
    <t>Ремни и подтяжки</t>
  </si>
  <si>
    <t>Подтяжки</t>
  </si>
  <si>
    <t>Обогреватели</t>
  </si>
  <si>
    <t>Водный спорт и отдых на воде</t>
  </si>
  <si>
    <t>Плавание</t>
  </si>
  <si>
    <t>Трубки для плавания</t>
  </si>
  <si>
    <t>Измерители длин и углов</t>
  </si>
  <si>
    <t>Парео</t>
  </si>
  <si>
    <t>Аппликации</t>
  </si>
  <si>
    <t>Набор для пайки</t>
  </si>
  <si>
    <t>Светодиодное освещение</t>
  </si>
  <si>
    <t>Щипцы для льда</t>
  </si>
  <si>
    <t>Спецодежда</t>
  </si>
  <si>
    <t>Влагозащитная одежда</t>
  </si>
  <si>
    <t>Наука, техника и космос</t>
  </si>
  <si>
    <t>Навигаторы</t>
  </si>
  <si>
    <t>GPS-трекеры и GPS-маяки</t>
  </si>
  <si>
    <t>Хранение игрушек</t>
  </si>
  <si>
    <t>Настольные светильники</t>
  </si>
  <si>
    <t>Подсолнечное масло</t>
  </si>
  <si>
    <t>Электродрели</t>
  </si>
  <si>
    <t>Внешние аккумуляторы</t>
  </si>
  <si>
    <t>Современная проза</t>
  </si>
  <si>
    <t>Оборудование и материалы для тату-салона</t>
  </si>
  <si>
    <t>Тату-наборы</t>
  </si>
  <si>
    <t>Магнитные доски</t>
  </si>
  <si>
    <t>Компьютерная периферия</t>
  </si>
  <si>
    <t>Модемы и мосты</t>
  </si>
  <si>
    <t>Подставки для зонтов</t>
  </si>
  <si>
    <t>Средства для стирки</t>
  </si>
  <si>
    <t>Отбеливатели и пятновыводители</t>
  </si>
  <si>
    <t>Нагрудники и слюнявчики</t>
  </si>
  <si>
    <t>Средства для снижения веса</t>
  </si>
  <si>
    <t>Диктофоны</t>
  </si>
  <si>
    <t>Термокружки</t>
  </si>
  <si>
    <t>Монетницы</t>
  </si>
  <si>
    <t>Аппараты для влажной уборки</t>
  </si>
  <si>
    <t>Пароочистители</t>
  </si>
  <si>
    <t>Прочие элементы тюнинга</t>
  </si>
  <si>
    <t>Удочки, удилища и спининги</t>
  </si>
  <si>
    <t>Изготовление свечей</t>
  </si>
  <si>
    <t>Наборы автоинструментов</t>
  </si>
  <si>
    <t>Серьги</t>
  </si>
  <si>
    <t>Очищающие полоски</t>
  </si>
  <si>
    <t>Акида</t>
  </si>
  <si>
    <t>Страховочное оборудование</t>
  </si>
  <si>
    <t>Тарелки и блюда</t>
  </si>
  <si>
    <t>Тарелки</t>
  </si>
  <si>
    <t>Одежда для беременных</t>
  </si>
  <si>
    <t>Полки</t>
  </si>
  <si>
    <t>Шорты</t>
  </si>
  <si>
    <t>Джинсовые шорты</t>
  </si>
  <si>
    <t>Постельное белье</t>
  </si>
  <si>
    <t>Коврики</t>
  </si>
  <si>
    <t>Электротранспорт</t>
  </si>
  <si>
    <t>Гироскутеры и гироролики</t>
  </si>
  <si>
    <t>Парфюмерия</t>
  </si>
  <si>
    <t>Атомайзеры и флаконы для духов</t>
  </si>
  <si>
    <t>Коммутаторы</t>
  </si>
  <si>
    <t>Эндоскопы</t>
  </si>
  <si>
    <t>Религия</t>
  </si>
  <si>
    <t>Досуг и творчество детей</t>
  </si>
  <si>
    <t>Интерактивные книги</t>
  </si>
  <si>
    <t>Кремы для ног</t>
  </si>
  <si>
    <t>Амуниция</t>
  </si>
  <si>
    <t>Бутылочки и поильники</t>
  </si>
  <si>
    <t>Пластыри и вкладыши для груди</t>
  </si>
  <si>
    <t>Национальная одежда</t>
  </si>
  <si>
    <t>Комплекты национальной одежды</t>
  </si>
  <si>
    <t>Консоли в авто</t>
  </si>
  <si>
    <t>Проза XX века</t>
  </si>
  <si>
    <t>Садовая техника</t>
  </si>
  <si>
    <t>Культиваторы и мотоблоки</t>
  </si>
  <si>
    <t>Мотоблоки</t>
  </si>
  <si>
    <t>Ударно-рычажные инструменты</t>
  </si>
  <si>
    <t>Кувалда</t>
  </si>
  <si>
    <t>Раскраски, наборы для росписи</t>
  </si>
  <si>
    <t>Гвозди</t>
  </si>
  <si>
    <t>Балетки с круглым носом</t>
  </si>
  <si>
    <t>Воск</t>
  </si>
  <si>
    <t>Масла и автохимия</t>
  </si>
  <si>
    <t>Смазки</t>
  </si>
  <si>
    <t>Микроволновые печи</t>
  </si>
  <si>
    <t>Лото</t>
  </si>
  <si>
    <t>Спортивные футболки и лонгсливы</t>
  </si>
  <si>
    <t>Маски и обертывание</t>
  </si>
  <si>
    <t>Жалюзи и плиссе</t>
  </si>
  <si>
    <t>Жидкости для быстрого запуска</t>
  </si>
  <si>
    <t>Мужская парфюмерия</t>
  </si>
  <si>
    <t>Одеколоны</t>
  </si>
  <si>
    <t>Стулья и табуретки</t>
  </si>
  <si>
    <t>Малярные кисти</t>
  </si>
  <si>
    <t>FM-трансмиттеры</t>
  </si>
  <si>
    <t>Дыроколы</t>
  </si>
  <si>
    <t>Кухонные вытяжки</t>
  </si>
  <si>
    <t>Очищение и увлажнение воздуха</t>
  </si>
  <si>
    <t>Мойки воздуха</t>
  </si>
  <si>
    <t>Корректирующее бельё</t>
  </si>
  <si>
    <t>Бисеры, стразы и блёстки</t>
  </si>
  <si>
    <t>Контактные линзы</t>
  </si>
  <si>
    <t>Детские наборы гигиенических средств</t>
  </si>
  <si>
    <t>Одеяла, пледы, покрывала</t>
  </si>
  <si>
    <t>Конфеты</t>
  </si>
  <si>
    <t>Карамельные конфеты</t>
  </si>
  <si>
    <t>Беруши для сна</t>
  </si>
  <si>
    <t>Ноутбуки</t>
  </si>
  <si>
    <t>Пеленальные столики и доски</t>
  </si>
  <si>
    <t>Художественная гимнастика и танцы</t>
  </si>
  <si>
    <t>Гимнастические мячи</t>
  </si>
  <si>
    <t>Батончики</t>
  </si>
  <si>
    <t>Туалетная бумага</t>
  </si>
  <si>
    <t>Оформление интерьера</t>
  </si>
  <si>
    <t>Шкатулки</t>
  </si>
  <si>
    <t>Временные татуировки и хна для мехенди</t>
  </si>
  <si>
    <t>Средства для снятия макияжа</t>
  </si>
  <si>
    <t>Кастрюли, ковши</t>
  </si>
  <si>
    <t>Оттеночные и тонирующие средства</t>
  </si>
  <si>
    <t>Аксессуары для электроники</t>
  </si>
  <si>
    <t>Удлинители</t>
  </si>
  <si>
    <t>Тренировочные комплексы</t>
  </si>
  <si>
    <t>Красота, здоровье и спорт</t>
  </si>
  <si>
    <t>Шахматы и шашки</t>
  </si>
  <si>
    <t>Влажные салфетки</t>
  </si>
  <si>
    <t>Жилеты</t>
  </si>
  <si>
    <t>Наборы для путешествий</t>
  </si>
  <si>
    <t>Дорожные сумки</t>
  </si>
  <si>
    <t>Канцелярские наборы</t>
  </si>
  <si>
    <t>Ниблеры</t>
  </si>
  <si>
    <t>Полусапоги</t>
  </si>
  <si>
    <t>Тушь</t>
  </si>
  <si>
    <t>Комплектующие для компьютерной техники</t>
  </si>
  <si>
    <t>Видеокарты и карты видеозахвата</t>
  </si>
  <si>
    <t>Прочая садовая техника</t>
  </si>
  <si>
    <t>Комплекты нижнего белья</t>
  </si>
  <si>
    <t>Кабели и зарядные устройства</t>
  </si>
  <si>
    <t>Подарочные сертификаты, ваучеры</t>
  </si>
  <si>
    <t>Роликовые коньки, экипировка и запчасти</t>
  </si>
  <si>
    <t>Роликовые коньки</t>
  </si>
  <si>
    <t>Запчасти для телевизоров</t>
  </si>
  <si>
    <t>Звуковые сигналы</t>
  </si>
  <si>
    <t>Аквагрим</t>
  </si>
  <si>
    <t>Гадания и эзотерика</t>
  </si>
  <si>
    <t>Аксессуары и атрибутика для гаданий</t>
  </si>
  <si>
    <t>Гигиена</t>
  </si>
  <si>
    <t>Косметика для животных</t>
  </si>
  <si>
    <t>Шампуни и кондиционеры</t>
  </si>
  <si>
    <t>Массажные накидки</t>
  </si>
  <si>
    <t>Коллаген</t>
  </si>
  <si>
    <t>Термометры медицинские</t>
  </si>
  <si>
    <t>Наборы для опытов и экспериментов</t>
  </si>
  <si>
    <t>Уголь</t>
  </si>
  <si>
    <t>Куклы и аксессуары</t>
  </si>
  <si>
    <t>USB хабы</t>
  </si>
  <si>
    <t>Пилы и ножовки</t>
  </si>
  <si>
    <t>Канцелярские ножницы и ножи</t>
  </si>
  <si>
    <t>Коврики в холодильник</t>
  </si>
  <si>
    <t>Мебельная фурнитура</t>
  </si>
  <si>
    <t>Носки, чулки и колготки</t>
  </si>
  <si>
    <t>Носки</t>
  </si>
  <si>
    <t>Стойки и кронштейны для телевизоров</t>
  </si>
  <si>
    <t>Кронштейны для телевизора</t>
  </si>
  <si>
    <t>Прочие аксессуары для шитья</t>
  </si>
  <si>
    <t>Тетради</t>
  </si>
  <si>
    <t>Тетрадь нотная</t>
  </si>
  <si>
    <t>Аксессуары для телескопов</t>
  </si>
  <si>
    <t>Спортивные куртки</t>
  </si>
  <si>
    <t>Игрушки - антистресс</t>
  </si>
  <si>
    <t>Велозапчасти</t>
  </si>
  <si>
    <t>Цепи велосипедные</t>
  </si>
  <si>
    <t>Песок и песочницы</t>
  </si>
  <si>
    <t>Песочницы для лепки</t>
  </si>
  <si>
    <t>Дутая обувь</t>
  </si>
  <si>
    <t>Слипоны</t>
  </si>
  <si>
    <t>Активные виды отдыха</t>
  </si>
  <si>
    <t>Инвентарь для активного отдыха</t>
  </si>
  <si>
    <t>Оборудование для торговли</t>
  </si>
  <si>
    <t>Ценники</t>
  </si>
  <si>
    <t>Презервативы и лубриканты</t>
  </si>
  <si>
    <t>Лубриканты</t>
  </si>
  <si>
    <t>Наборы столового белья</t>
  </si>
  <si>
    <t>Коробки почтовые</t>
  </si>
  <si>
    <t>Музыкальные инструменты</t>
  </si>
  <si>
    <t>Ударные и перкуссия</t>
  </si>
  <si>
    <t>История</t>
  </si>
  <si>
    <t>История городов. Краеведение</t>
  </si>
  <si>
    <t>Светоотражащие жилеты</t>
  </si>
  <si>
    <t>Паровые швабры</t>
  </si>
  <si>
    <t>Массажеры для головы</t>
  </si>
  <si>
    <t>Восковая эпиляция</t>
  </si>
  <si>
    <t>Щетки и ершики для чистки бутылочек</t>
  </si>
  <si>
    <t>Джемперы и кардиганы</t>
  </si>
  <si>
    <t>Паяльники</t>
  </si>
  <si>
    <t>Массажные подушки для авто</t>
  </si>
  <si>
    <t>Дозаторы для напитков</t>
  </si>
  <si>
    <t>Лакомства</t>
  </si>
  <si>
    <t>Продукты быстрого приготовления</t>
  </si>
  <si>
    <t>Супы и бульоны</t>
  </si>
  <si>
    <t>Упоры для отжиманий и степ платформы</t>
  </si>
  <si>
    <t>Обустройство дачи и сада</t>
  </si>
  <si>
    <t>Антимоскитные сетки</t>
  </si>
  <si>
    <t>Тяпки, мотыги, совки садовые</t>
  </si>
  <si>
    <t>Дневные кремы</t>
  </si>
  <si>
    <t>Зажимы для купюр</t>
  </si>
  <si>
    <t>Карандаши для бровей</t>
  </si>
  <si>
    <t>Средства ориентирования</t>
  </si>
  <si>
    <t>Конфеты драже</t>
  </si>
  <si>
    <t>Док-станции</t>
  </si>
  <si>
    <t>Антибактериальные средства</t>
  </si>
  <si>
    <t>Зауженные брюки</t>
  </si>
  <si>
    <t>Эпиляторы и аксессуары</t>
  </si>
  <si>
    <t>Автозапчасти</t>
  </si>
  <si>
    <t>Топливная система</t>
  </si>
  <si>
    <t>Духи</t>
  </si>
  <si>
    <t>Наборы автохимии</t>
  </si>
  <si>
    <t>Краскопульты и аэрографы</t>
  </si>
  <si>
    <t>Средства по уходу для кофемашин</t>
  </si>
  <si>
    <t>Чулки</t>
  </si>
  <si>
    <t>Принадлежности для мытья посуды</t>
  </si>
  <si>
    <t>Детские бальзамы и спреи для волос</t>
  </si>
  <si>
    <t>Аппаратная косметология</t>
  </si>
  <si>
    <t>Аппараты для маникюра и педикюра</t>
  </si>
  <si>
    <t>Инструменты для чистки ушей и носа</t>
  </si>
  <si>
    <t>Кернер</t>
  </si>
  <si>
    <t>Платья-толстовки</t>
  </si>
  <si>
    <t>Календари</t>
  </si>
  <si>
    <t>Хранение инструментов и инвентаря</t>
  </si>
  <si>
    <t>Ручки и опоры</t>
  </si>
  <si>
    <t>Буксировочные тросы</t>
  </si>
  <si>
    <t>Наборы столовых приборов</t>
  </si>
  <si>
    <t>Козырьки солнцезащитные</t>
  </si>
  <si>
    <t>Настольные вентиляторы</t>
  </si>
  <si>
    <t>Сырный соус</t>
  </si>
  <si>
    <t>Средства для очистки рук</t>
  </si>
  <si>
    <t>Защита кузова авто</t>
  </si>
  <si>
    <t>Защита картера и КПП</t>
  </si>
  <si>
    <t>Украшения на шею</t>
  </si>
  <si>
    <t>Перчатки и варежки</t>
  </si>
  <si>
    <t>Перчатки</t>
  </si>
  <si>
    <t>Кухонные инструменты</t>
  </si>
  <si>
    <t>Ложки кулинарные</t>
  </si>
  <si>
    <t>Средства для очищения косметических принадлежностей</t>
  </si>
  <si>
    <t>Дуршлаги и сита</t>
  </si>
  <si>
    <t>Уход за татуировками</t>
  </si>
  <si>
    <t>Пледы</t>
  </si>
  <si>
    <t>Зеркала косметические</t>
  </si>
  <si>
    <t>Румяна и бронзеры</t>
  </si>
  <si>
    <t>Штативы</t>
  </si>
  <si>
    <t>Пиджаки и костюмы</t>
  </si>
  <si>
    <t>Костюмы с брюками</t>
  </si>
  <si>
    <t>Кухонные наборы</t>
  </si>
  <si>
    <t>Кожаные куртки и косухи</t>
  </si>
  <si>
    <t>Электрические чайники и термопоты</t>
  </si>
  <si>
    <t>Термопоты</t>
  </si>
  <si>
    <t>Беззеркальные фотоаппараты</t>
  </si>
  <si>
    <t>Отопление</t>
  </si>
  <si>
    <t>Шаровые краны</t>
  </si>
  <si>
    <t>Мойки высокого давления и аксессуары</t>
  </si>
  <si>
    <t>Аксессуары для моек высокого давления</t>
  </si>
  <si>
    <t>Шапочки и козырьки для купания</t>
  </si>
  <si>
    <t>Конструкторы</t>
  </si>
  <si>
    <t>Металлические</t>
  </si>
  <si>
    <t>Подушки</t>
  </si>
  <si>
    <t>Бильярд</t>
  </si>
  <si>
    <t>Бильярдные кии</t>
  </si>
  <si>
    <t>Бизнес-литература</t>
  </si>
  <si>
    <t>Экономика</t>
  </si>
  <si>
    <t>Ремни безопасности</t>
  </si>
  <si>
    <t>Посуда</t>
  </si>
  <si>
    <t>Миски</t>
  </si>
  <si>
    <t>Новогодние товары</t>
  </si>
  <si>
    <t>Гирлянды</t>
  </si>
  <si>
    <t>Аксессуары для проигрывателей</t>
  </si>
  <si>
    <t>DJ-оборудование</t>
  </si>
  <si>
    <t>Аксессуары для перевозки собак</t>
  </si>
  <si>
    <t>Аксессуары для перевозки</t>
  </si>
  <si>
    <t>Аксессуары для маникюра и педикюра</t>
  </si>
  <si>
    <t>Конфетти и серпантин</t>
  </si>
  <si>
    <t>Демисезонные куртки</t>
  </si>
  <si>
    <t>Камеры заднего вида</t>
  </si>
  <si>
    <t>Автомобильные аптечки</t>
  </si>
  <si>
    <t>Пикник, барбекю, гриль</t>
  </si>
  <si>
    <t>Очаги и дровницы для костра</t>
  </si>
  <si>
    <t>Пленка самоклеящаяся, наклейки и этикетки</t>
  </si>
  <si>
    <t>Этикетки</t>
  </si>
  <si>
    <t>Диагностические тесты</t>
  </si>
  <si>
    <t>Экспресс-тесты</t>
  </si>
  <si>
    <t>Средства по уходу за животными</t>
  </si>
  <si>
    <t>Щетки для лап</t>
  </si>
  <si>
    <t>Лопатки кулинарные</t>
  </si>
  <si>
    <t>Лотки для столовых приборов</t>
  </si>
  <si>
    <t>Спортивные леггинсы</t>
  </si>
  <si>
    <t>Варежки</t>
  </si>
  <si>
    <t>Тайтсы</t>
  </si>
  <si>
    <t>Пиджаки</t>
  </si>
  <si>
    <t>Языки программирования</t>
  </si>
  <si>
    <t>Детские гели для душа</t>
  </si>
  <si>
    <t>Джинсы-бойфренды</t>
  </si>
  <si>
    <t>Планинги</t>
  </si>
  <si>
    <t>Алкотестеры</t>
  </si>
  <si>
    <t>Трафареты для выпечки</t>
  </si>
  <si>
    <t>Бокс и единоборства</t>
  </si>
  <si>
    <t>Инвентарь для борьбы</t>
  </si>
  <si>
    <t>Бизнес образование и развитие карьеры</t>
  </si>
  <si>
    <t>Автокормушки и автопоилки</t>
  </si>
  <si>
    <t>Строительное оборудование</t>
  </si>
  <si>
    <t>Прочее строительное оборудование</t>
  </si>
  <si>
    <t>Еженедельники</t>
  </si>
  <si>
    <t>Аксессуары для обуви</t>
  </si>
  <si>
    <t>Джибитсы</t>
  </si>
  <si>
    <t>Решетки и аксессуары для мангала, коптильни</t>
  </si>
  <si>
    <t>Жесткие диски, SSD и сетевые накопители</t>
  </si>
  <si>
    <t>Сабо и мюли</t>
  </si>
  <si>
    <t>Мюли</t>
  </si>
  <si>
    <t>Пазлы, мозаика и фреска</t>
  </si>
  <si>
    <t>Алмазные мозаики</t>
  </si>
  <si>
    <t>3 класс</t>
  </si>
  <si>
    <t>Кулеры для воды и аксессуары</t>
  </si>
  <si>
    <t>Помпы для воды</t>
  </si>
  <si>
    <t>Средства до и после депиляции</t>
  </si>
  <si>
    <t>Для бороды и усов</t>
  </si>
  <si>
    <t>Сыворотки и масла для бороды и усов</t>
  </si>
  <si>
    <t>Радиаторы</t>
  </si>
  <si>
    <t>Аксессуары для ванной и кухни</t>
  </si>
  <si>
    <t>Коврики на стол</t>
  </si>
  <si>
    <t>Орехи, сухофрукты, семечки</t>
  </si>
  <si>
    <t>Сушеные фрукты и овощи</t>
  </si>
  <si>
    <t>Шапочки</t>
  </si>
  <si>
    <t>Средства для укладки бровей</t>
  </si>
  <si>
    <t>Лески и шнуры</t>
  </si>
  <si>
    <t>Штампы</t>
  </si>
  <si>
    <t>Окуляры</t>
  </si>
  <si>
    <t>Электронные ключи и пульты</t>
  </si>
  <si>
    <t>Настольные калькуляторы</t>
  </si>
  <si>
    <t>Домино для детей</t>
  </si>
  <si>
    <t>Гидравлические жидкости и масла</t>
  </si>
  <si>
    <t>Электросамокаты</t>
  </si>
  <si>
    <t>Терияки соус</t>
  </si>
  <si>
    <t>Аксессуары для музыкальных инструментов</t>
  </si>
  <si>
    <t>Болеро</t>
  </si>
  <si>
    <t>Чехлы для плееров и аудиосистем</t>
  </si>
  <si>
    <t>Бумага миллиметровая</t>
  </si>
  <si>
    <t>Футляры и чехлы для очков</t>
  </si>
  <si>
    <t>Расходные материалы</t>
  </si>
  <si>
    <t>Изолента</t>
  </si>
  <si>
    <t>Комиксы</t>
  </si>
  <si>
    <t>Кюлоты</t>
  </si>
  <si>
    <t>Защита тела</t>
  </si>
  <si>
    <t>Ретро-приставки</t>
  </si>
  <si>
    <t>Музыкальные центры</t>
  </si>
  <si>
    <t>Религиозные аксессуары</t>
  </si>
  <si>
    <t>Религиозные наборы</t>
  </si>
  <si>
    <t>Пенки для умывания</t>
  </si>
  <si>
    <t>Орехи</t>
  </si>
  <si>
    <t>Корсеты</t>
  </si>
  <si>
    <t>Наборы для рисования</t>
  </si>
  <si>
    <t>Анатомические и ортопедические подушки</t>
  </si>
  <si>
    <t>Коврики для детской</t>
  </si>
  <si>
    <t>Гладильные системы и прессы</t>
  </si>
  <si>
    <t>Блендеры стационарные</t>
  </si>
  <si>
    <t>Аксессуары для крупной бытовой техники</t>
  </si>
  <si>
    <t>Чехлы</t>
  </si>
  <si>
    <t>Спортивные платья и юбки</t>
  </si>
  <si>
    <t>Бумага цветная</t>
  </si>
  <si>
    <t>Подкормки</t>
  </si>
  <si>
    <t>Воздушные шары и аксессуары</t>
  </si>
  <si>
    <t>Пижамы</t>
  </si>
  <si>
    <t>Боксы для проводов</t>
  </si>
  <si>
    <t>Для детей до 3 лет</t>
  </si>
  <si>
    <t>Средства гигиены</t>
  </si>
  <si>
    <t>Влажные салфетки по уходу</t>
  </si>
  <si>
    <t>Средства для депиляции</t>
  </si>
  <si>
    <t>Видеонаблюдение</t>
  </si>
  <si>
    <t>Муляжи камер видеонаблюдения</t>
  </si>
  <si>
    <t>Наклейки для коррекции век</t>
  </si>
  <si>
    <t>Энциклопедии, справочники</t>
  </si>
  <si>
    <t>Автомобильные системы видеонаблюдения</t>
  </si>
  <si>
    <t>Игрушки для купания</t>
  </si>
  <si>
    <t>Ароматизаторы кухонные</t>
  </si>
  <si>
    <t>Тональные кремы</t>
  </si>
  <si>
    <t>Сандалии на завязках</t>
  </si>
  <si>
    <t>Железо</t>
  </si>
  <si>
    <t>Худи и свитшоты</t>
  </si>
  <si>
    <t>Лечебные согревающие изделия</t>
  </si>
  <si>
    <t>Наборы для мужчин</t>
  </si>
  <si>
    <t>Аксессуары для глажки</t>
  </si>
  <si>
    <t>Шугаринг</t>
  </si>
  <si>
    <t>Крупы и бобовые</t>
  </si>
  <si>
    <t>Гречка</t>
  </si>
  <si>
    <t>Мед, варенье, сладкая консервация</t>
  </si>
  <si>
    <t>Мед и продукты пчеловодства</t>
  </si>
  <si>
    <t>Аксессуары для увлажнителей и очистителей</t>
  </si>
  <si>
    <t>Прямые брюки</t>
  </si>
  <si>
    <t>Детское питание</t>
  </si>
  <si>
    <t>Детские смеси</t>
  </si>
  <si>
    <t>Снеки</t>
  </si>
  <si>
    <t>Сухарики, сухари, баранки, сушки</t>
  </si>
  <si>
    <t>Детское рисование</t>
  </si>
  <si>
    <t>Клетки и домики</t>
  </si>
  <si>
    <t>Клетки</t>
  </si>
  <si>
    <t>Подушки на стул</t>
  </si>
  <si>
    <t>Сифоны для газирования</t>
  </si>
  <si>
    <t>Зонты</t>
  </si>
  <si>
    <t>Воздуховоды и комплектующие</t>
  </si>
  <si>
    <t>Корма и лакомства для птиц</t>
  </si>
  <si>
    <t>Чехлы для игровых приставок</t>
  </si>
  <si>
    <t>Зимний спорт</t>
  </si>
  <si>
    <t>Горнолыжные маски и очки</t>
  </si>
  <si>
    <t>Удобрения и уход за растениями</t>
  </si>
  <si>
    <t>Укрывной материал</t>
  </si>
  <si>
    <t>Перловка</t>
  </si>
  <si>
    <t>Пододеяльники</t>
  </si>
  <si>
    <t>Сушилки для овощей и фруктов</t>
  </si>
  <si>
    <t>Домашние рубашки</t>
  </si>
  <si>
    <t>Готовые завтраки</t>
  </si>
  <si>
    <t>Руны</t>
  </si>
  <si>
    <t>Медицина</t>
  </si>
  <si>
    <t>Народная медицина</t>
  </si>
  <si>
    <t>Запчасти и ремонт</t>
  </si>
  <si>
    <t>Аккумуляторы</t>
  </si>
  <si>
    <t>Умный дом</t>
  </si>
  <si>
    <t>Литература на иностранных языках</t>
  </si>
  <si>
    <t>Немецкий язык</t>
  </si>
  <si>
    <t>Украшение интерьера</t>
  </si>
  <si>
    <t>Товары к Пасхе</t>
  </si>
  <si>
    <t>Свитшоты</t>
  </si>
  <si>
    <t>Духовые инструменты</t>
  </si>
  <si>
    <t>Минеральные камни</t>
  </si>
  <si>
    <t>Аксессуары для микроскопов</t>
  </si>
  <si>
    <t>Розетки и креманки</t>
  </si>
  <si>
    <t>Выжигание, поделки из дерева</t>
  </si>
  <si>
    <t>Инструменты для ремонта</t>
  </si>
  <si>
    <t>Ароматизаторы автомобильные</t>
  </si>
  <si>
    <t>Парики и шиньоны</t>
  </si>
  <si>
    <t>Поясные сумки</t>
  </si>
  <si>
    <t>Создание украшений</t>
  </si>
  <si>
    <t>Наматрасники и чехлы</t>
  </si>
  <si>
    <t>Чехлы для мебели</t>
  </si>
  <si>
    <t>Средства для душа и ванны</t>
  </si>
  <si>
    <t>Гели для душа</t>
  </si>
  <si>
    <t>Имиджевые очки</t>
  </si>
  <si>
    <t>Электроды и проволки</t>
  </si>
  <si>
    <t>Лидерство, переговоры и публичные выступления</t>
  </si>
  <si>
    <t>Системы видеонаблюдения</t>
  </si>
  <si>
    <t>Пудры</t>
  </si>
  <si>
    <t>Лоферы</t>
  </si>
  <si>
    <t>Сигнальная одежда</t>
  </si>
  <si>
    <t>Походная посуда</t>
  </si>
  <si>
    <t>Сковороды</t>
  </si>
  <si>
    <t>Трансмиссионные масла</t>
  </si>
  <si>
    <t>Дозаторы для смеси и лекарств</t>
  </si>
  <si>
    <t>Контейнеры и ланч-боксы</t>
  </si>
  <si>
    <t>Чехлы и органайзеры</t>
  </si>
  <si>
    <t>Чехлы и накидки на сиденья</t>
  </si>
  <si>
    <t>Шторы и портьеры</t>
  </si>
  <si>
    <t>Скрапбукинг</t>
  </si>
  <si>
    <t>Фены-щетки и термощетки</t>
  </si>
  <si>
    <t>Научная литература</t>
  </si>
  <si>
    <t>Гуманитарные науки</t>
  </si>
  <si>
    <t>Краски, пигменты</t>
  </si>
  <si>
    <t>Сетевые экраны и шлюзы</t>
  </si>
  <si>
    <t>Багажные системы</t>
  </si>
  <si>
    <t>Компьютеры</t>
  </si>
  <si>
    <t>Неттопы и Мини ПК</t>
  </si>
  <si>
    <t>Рыбочистки и зажимы</t>
  </si>
  <si>
    <t>Итоговое тестирование и ВПР</t>
  </si>
  <si>
    <t>Платья-рубашки</t>
  </si>
  <si>
    <t>Швабры</t>
  </si>
  <si>
    <t>Крышки</t>
  </si>
  <si>
    <t>Пуховики и зимние куртки</t>
  </si>
  <si>
    <t>Магнитные</t>
  </si>
  <si>
    <t>Низ термобелья</t>
  </si>
  <si>
    <t>Пилки для электролобзиков</t>
  </si>
  <si>
    <t>Образовательные программы</t>
  </si>
  <si>
    <t>Лаковые полоски</t>
  </si>
  <si>
    <t>Маркетинг и продажи</t>
  </si>
  <si>
    <t>Капсулы для стирки</t>
  </si>
  <si>
    <t>Мультиварки и рисоварки</t>
  </si>
  <si>
    <t>Учебно-методическая литература</t>
  </si>
  <si>
    <t>Щетки, губки, салфетки</t>
  </si>
  <si>
    <t>Гольфы и гетры</t>
  </si>
  <si>
    <t>Щипцы для завивки</t>
  </si>
  <si>
    <t>Ветаптека</t>
  </si>
  <si>
    <t>Витамины и добавки для животных</t>
  </si>
  <si>
    <t>Витамины</t>
  </si>
  <si>
    <t>Студийное оборудование</t>
  </si>
  <si>
    <t>Сверла</t>
  </si>
  <si>
    <t>Веревки, шпагаты</t>
  </si>
  <si>
    <t>Скрабы и пилинг</t>
  </si>
  <si>
    <t>Оптика и прицелы</t>
  </si>
  <si>
    <t>Плавки и шорты для плавания</t>
  </si>
  <si>
    <t>Плавки</t>
  </si>
  <si>
    <t>Струнные инструменты</t>
  </si>
  <si>
    <t>Туалеты для собак</t>
  </si>
  <si>
    <t>Тормоза велосипедные</t>
  </si>
  <si>
    <t>Низкие ботинки</t>
  </si>
  <si>
    <t>Спортивные шорты</t>
  </si>
  <si>
    <t>Системные блоки</t>
  </si>
  <si>
    <t>Перчатки хозяйственные</t>
  </si>
  <si>
    <t>Средства для посудомоечных машин</t>
  </si>
  <si>
    <t>Ополаскиватели для пмм</t>
  </si>
  <si>
    <t>Развитие речи</t>
  </si>
  <si>
    <t>Электробигуди</t>
  </si>
  <si>
    <t>Роботы-пылесосы</t>
  </si>
  <si>
    <t>Стационарные телефоны</t>
  </si>
  <si>
    <t>Проводные телефоны</t>
  </si>
  <si>
    <t>Наклейка декоративная</t>
  </si>
  <si>
    <t>Гель-лаки</t>
  </si>
  <si>
    <t>Фартуки кухонные</t>
  </si>
  <si>
    <t>Аксессуары для йоги и пилатеса</t>
  </si>
  <si>
    <t>Сапоги</t>
  </si>
  <si>
    <t>Водолазки</t>
  </si>
  <si>
    <t>Наборы аксессуаров для выпечки</t>
  </si>
  <si>
    <t>Часы и метеостанции</t>
  </si>
  <si>
    <t>Салфетницы</t>
  </si>
  <si>
    <t>Смеси для приготовления десертов и выпечки</t>
  </si>
  <si>
    <t>Домашняя обувь</t>
  </si>
  <si>
    <t>Товары для ухода</t>
  </si>
  <si>
    <t>Щетки и сметки</t>
  </si>
  <si>
    <t>Парики и аксессуары</t>
  </si>
  <si>
    <t>Папричи соус</t>
  </si>
  <si>
    <t>Кондиционеры и ополаскиватели</t>
  </si>
  <si>
    <t>Графика и дизайн</t>
  </si>
  <si>
    <t>Сухие и твердые шампуни</t>
  </si>
  <si>
    <t>Манежи</t>
  </si>
  <si>
    <t>Кремеры и баллоны</t>
  </si>
  <si>
    <t>Молоковарки</t>
  </si>
  <si>
    <t>Бумага газетная</t>
  </si>
  <si>
    <t>Жиросжигатели</t>
  </si>
  <si>
    <t>Кожевенное дело</t>
  </si>
  <si>
    <t>Запонки и зажимы</t>
  </si>
  <si>
    <t>Наборы для фитнеса</t>
  </si>
  <si>
    <t>Визитницы и кредитницы</t>
  </si>
  <si>
    <t>Картины и панно</t>
  </si>
  <si>
    <t>Детские наборы инструментов для чистки ушей</t>
  </si>
  <si>
    <t>Мокасины и топсайдеры</t>
  </si>
  <si>
    <t>Мокасины</t>
  </si>
  <si>
    <t>Психология</t>
  </si>
  <si>
    <t>Счастье</t>
  </si>
  <si>
    <t>Ужасы, триллеры</t>
  </si>
  <si>
    <t>Фольклор</t>
  </si>
  <si>
    <t>Сказки и басни</t>
  </si>
  <si>
    <t>Уплотнители между сидениями</t>
  </si>
  <si>
    <t>Шармы</t>
  </si>
  <si>
    <t>Самокаты и аксессуары</t>
  </si>
  <si>
    <t>Запчасти для самокатов</t>
  </si>
  <si>
    <t>Садовая мебель и декор</t>
  </si>
  <si>
    <t>Садовый декор</t>
  </si>
  <si>
    <t>Прикормки, насадки, ароматизаторы для рыбалки</t>
  </si>
  <si>
    <t>Аксессуары и запчасти для роликовых коньков</t>
  </si>
  <si>
    <t>Строительные фены</t>
  </si>
  <si>
    <t>Сандалии и сабо</t>
  </si>
  <si>
    <t>Очки и маски для плавания</t>
  </si>
  <si>
    <t>Детские музыкальные инструменты</t>
  </si>
  <si>
    <t>Пуфики и банкетки</t>
  </si>
  <si>
    <t>Наколенники гимнастические</t>
  </si>
  <si>
    <t>Аккумуляторные отвертки</t>
  </si>
  <si>
    <t>Кресла</t>
  </si>
  <si>
    <t>Детское постельное бельё</t>
  </si>
  <si>
    <t>Средства для розжига</t>
  </si>
  <si>
    <t>Бандажи для беременных</t>
  </si>
  <si>
    <t>Рубанки</t>
  </si>
  <si>
    <t>Футбол</t>
  </si>
  <si>
    <t>Тренировочный инвентарь и аксессуары</t>
  </si>
  <si>
    <t>Аспираторы назальные</t>
  </si>
  <si>
    <t>Туфли и лоферы</t>
  </si>
  <si>
    <t>Средства для ванной и туалета</t>
  </si>
  <si>
    <t>Кассы</t>
  </si>
  <si>
    <t>Карандаши</t>
  </si>
  <si>
    <t>Уровни и отвесы</t>
  </si>
  <si>
    <t>Мыльницы, стаканы</t>
  </si>
  <si>
    <t>Прочие инструменты</t>
  </si>
  <si>
    <t>Английский язык</t>
  </si>
  <si>
    <t>Сыворотки</t>
  </si>
  <si>
    <t>Ресиверы</t>
  </si>
  <si>
    <t>Парогенераторы</t>
  </si>
  <si>
    <t>Игры на улице</t>
  </si>
  <si>
    <t>Фрисби</t>
  </si>
  <si>
    <t>Парфюмерная вода</t>
  </si>
  <si>
    <t>Рюкзаки</t>
  </si>
  <si>
    <t>Простыни</t>
  </si>
  <si>
    <t>Пальто</t>
  </si>
  <si>
    <t>Осветлители</t>
  </si>
  <si>
    <t>Крафтовый шоколад</t>
  </si>
  <si>
    <t>Рулевое управление</t>
  </si>
  <si>
    <t>Брелоки</t>
  </si>
  <si>
    <t>Крепления</t>
  </si>
  <si>
    <t>Средства для проблемной кожи</t>
  </si>
  <si>
    <t>Кремы</t>
  </si>
  <si>
    <t>Скетчбуки</t>
  </si>
  <si>
    <t>Дефлекторы капота</t>
  </si>
  <si>
    <t>Лупы</t>
  </si>
  <si>
    <t>Грипсы и ручки</t>
  </si>
  <si>
    <t>Для холодильников</t>
  </si>
  <si>
    <t>Компрессионные повязки и рукава</t>
  </si>
  <si>
    <t>Рубашки</t>
  </si>
  <si>
    <t>Респираторы</t>
  </si>
  <si>
    <t>Бильярдные шары</t>
  </si>
  <si>
    <t>Видеокамеры</t>
  </si>
  <si>
    <t>Чай черный</t>
  </si>
  <si>
    <t>Ремни, пояса и портупеи</t>
  </si>
  <si>
    <t>Ремни</t>
  </si>
  <si>
    <t>Философия</t>
  </si>
  <si>
    <t>Автомобильные ведра</t>
  </si>
  <si>
    <t>Детские пирамидки</t>
  </si>
  <si>
    <t>Наборы для красоты</t>
  </si>
  <si>
    <t>Наборы для маникюра и педикюра</t>
  </si>
  <si>
    <t>Вилки</t>
  </si>
  <si>
    <t>Топы в бельевом стиле</t>
  </si>
  <si>
    <t>Мочегонные средства</t>
  </si>
  <si>
    <t>Ремешки</t>
  </si>
  <si>
    <t>Инсектициды</t>
  </si>
  <si>
    <t>Подставки для ноутбуков</t>
  </si>
  <si>
    <t>Маски и сыворотки</t>
  </si>
  <si>
    <t>Значки</t>
  </si>
  <si>
    <t>Массажные матрасы</t>
  </si>
  <si>
    <t>Религиозная одежда для мужчин</t>
  </si>
  <si>
    <t>Спортивные толстовки</t>
  </si>
  <si>
    <t>Наборы посуды</t>
  </si>
  <si>
    <t>Устройства для хранения паролей</t>
  </si>
  <si>
    <t>Nintendo</t>
  </si>
  <si>
    <t>Томатная паста</t>
  </si>
  <si>
    <t>Коврики для намаза</t>
  </si>
  <si>
    <t>Шнуры и шнурки</t>
  </si>
  <si>
    <t>Аксессуары и расходники для карандашей</t>
  </si>
  <si>
    <t>Подставки и держатели</t>
  </si>
  <si>
    <t>Альтернативная история</t>
  </si>
  <si>
    <t>Мусс для ухода за кожей</t>
  </si>
  <si>
    <t>Картриджи</t>
  </si>
  <si>
    <t>Носки и гетры</t>
  </si>
  <si>
    <t>Йод</t>
  </si>
  <si>
    <t>Искусственный снег</t>
  </si>
  <si>
    <t>Велосумки и велоочки</t>
  </si>
  <si>
    <t>Уход за губами</t>
  </si>
  <si>
    <t>Гигиенические помады</t>
  </si>
  <si>
    <t>Вентиляционные установки</t>
  </si>
  <si>
    <t>Детские фотоаппараты</t>
  </si>
  <si>
    <t>Мука, сахар и соль</t>
  </si>
  <si>
    <t>Мука</t>
  </si>
  <si>
    <t>Мольберты</t>
  </si>
  <si>
    <t>Биты</t>
  </si>
  <si>
    <t>1С</t>
  </si>
  <si>
    <t>Вытяжные вентиляторы</t>
  </si>
  <si>
    <t>Джоггеры</t>
  </si>
  <si>
    <t>Инкубаторы для яиц</t>
  </si>
  <si>
    <t>Аксессуары для колясок и автокресел</t>
  </si>
  <si>
    <t>Штамп-пудры для бровей</t>
  </si>
  <si>
    <t>Детские матрасы</t>
  </si>
  <si>
    <t>Пазлы для детей</t>
  </si>
  <si>
    <t>Дуги кузова</t>
  </si>
  <si>
    <t>Предметы сервировки</t>
  </si>
  <si>
    <t>Часы и ремешки</t>
  </si>
  <si>
    <t>Сиропы и топпинги</t>
  </si>
  <si>
    <t>Радиотелефоны DECT</t>
  </si>
  <si>
    <t>Сменные блоки для визитниц</t>
  </si>
  <si>
    <t>Освещение для детской</t>
  </si>
  <si>
    <t>Наращивание ресниц</t>
  </si>
  <si>
    <t>Журнальные столики</t>
  </si>
  <si>
    <t>Анатомические подушки</t>
  </si>
  <si>
    <t>Ножницы по металлу</t>
  </si>
  <si>
    <t>Низкие слипоны</t>
  </si>
  <si>
    <t>Репелленты</t>
  </si>
  <si>
    <t>Парфюмированный набор</t>
  </si>
  <si>
    <t>Современная поэзия</t>
  </si>
  <si>
    <t>Шлифовальные круги</t>
  </si>
  <si>
    <t>Костюмы</t>
  </si>
  <si>
    <t>Фильтры для кофемашин</t>
  </si>
  <si>
    <t>1 класс</t>
  </si>
  <si>
    <t>Стилусы для телефонов</t>
  </si>
  <si>
    <t>4 класс</t>
  </si>
  <si>
    <t>Ламинирование ресниц</t>
  </si>
  <si>
    <t>Батуты</t>
  </si>
  <si>
    <t>Щитки футбольные</t>
  </si>
  <si>
    <t>Шапочки, чепчики и рукавички для новорождённых</t>
  </si>
  <si>
    <t>Стельки и вставки</t>
  </si>
  <si>
    <t>Олимпийки</t>
  </si>
  <si>
    <t>Поло</t>
  </si>
  <si>
    <t>Вафельницы и сэндвичницы</t>
  </si>
  <si>
    <t>Кормушки и подставки для мисок</t>
  </si>
  <si>
    <t>Перчатки для сенсорных экранов</t>
  </si>
  <si>
    <t>Беспроводные наушники</t>
  </si>
  <si>
    <t>Налокотники, перчатки, носочки</t>
  </si>
  <si>
    <t>Моторные масла</t>
  </si>
  <si>
    <t>Естественные науки</t>
  </si>
  <si>
    <t>Пряжки</t>
  </si>
  <si>
    <t>Математика</t>
  </si>
  <si>
    <t>Домофоны, звонки и системы безопасности</t>
  </si>
  <si>
    <t>История войн</t>
  </si>
  <si>
    <t>Киянка</t>
  </si>
  <si>
    <t>Фитнес-питание</t>
  </si>
  <si>
    <t>Корзины для бумаг</t>
  </si>
  <si>
    <t>Сварочные аппараты</t>
  </si>
  <si>
    <t>Одноразовая посуда и упаковка</t>
  </si>
  <si>
    <t>Наборы одноразовой посуды</t>
  </si>
  <si>
    <t>Кружки, стаканы и бокалы</t>
  </si>
  <si>
    <t>Подстаканники</t>
  </si>
  <si>
    <t>Банданы</t>
  </si>
  <si>
    <t>Туристические рюкзаки и сумки</t>
  </si>
  <si>
    <t>Джинсовые рубашки</t>
  </si>
  <si>
    <t>2 класс</t>
  </si>
  <si>
    <t>Боевики</t>
  </si>
  <si>
    <t>Инженерные калькуляторы</t>
  </si>
  <si>
    <t>Аксессуары для чистки</t>
  </si>
  <si>
    <t>Волейбол</t>
  </si>
  <si>
    <t>Волейбольные сетки</t>
  </si>
  <si>
    <t>Защитные накладки и наклейки для клавиатуры</t>
  </si>
  <si>
    <t>Аксессуары для автозвука</t>
  </si>
  <si>
    <t>Топперы для торта</t>
  </si>
  <si>
    <t>Фурнитура</t>
  </si>
  <si>
    <t>Дверная фурнитура</t>
  </si>
  <si>
    <t>Термосумки, изотермические контейнеры</t>
  </si>
  <si>
    <t>Барьеры на кроватки</t>
  </si>
  <si>
    <t>Защита радиатора</t>
  </si>
  <si>
    <t>Пакеты для мусора</t>
  </si>
  <si>
    <t>Аксессуары для очков</t>
  </si>
  <si>
    <t>Комплекты детской мебели</t>
  </si>
  <si>
    <t>Электро- и бензопилы цепные</t>
  </si>
  <si>
    <t>Мотивация</t>
  </si>
  <si>
    <t>Охлаждение напитков</t>
  </si>
  <si>
    <t>Товары для мототехники, мотоэкипировка</t>
  </si>
  <si>
    <t>Экипировка для мотоциклистов</t>
  </si>
  <si>
    <t>Скраб</t>
  </si>
  <si>
    <t>Лосьоны и молочко</t>
  </si>
  <si>
    <t>Обложки для переплета</t>
  </si>
  <si>
    <t>Шапки</t>
  </si>
  <si>
    <t>Суппорты</t>
  </si>
  <si>
    <t>Абитуриентам, студентам и аспирантам</t>
  </si>
  <si>
    <t>Свадебные аксессуары</t>
  </si>
  <si>
    <t>Сумки и клатчи</t>
  </si>
  <si>
    <t>Семена и саженцы</t>
  </si>
  <si>
    <t>Семена грибов</t>
  </si>
  <si>
    <t>Аксессуары для танцев</t>
  </si>
  <si>
    <t>Альгинатные, гелевые и кремовые маски</t>
  </si>
  <si>
    <t>Кипятильники</t>
  </si>
  <si>
    <t>Блочные</t>
  </si>
  <si>
    <t>Лодки и аксессуары</t>
  </si>
  <si>
    <t>Конопляное масло</t>
  </si>
  <si>
    <t>Балаклавы</t>
  </si>
  <si>
    <t>Трудовые и медицинские книжки, удостоверения</t>
  </si>
  <si>
    <t>Бланк для удостоверения</t>
  </si>
  <si>
    <t>Домашние футболки и лонгсливы</t>
  </si>
  <si>
    <t>Прочие ремесла</t>
  </si>
  <si>
    <t>Китайские фонарики</t>
  </si>
  <si>
    <t>Лежаки и кровати</t>
  </si>
  <si>
    <t>Разработка и алгоритмы</t>
  </si>
  <si>
    <t>Аварийные наборы</t>
  </si>
  <si>
    <t>Разветвители</t>
  </si>
  <si>
    <t>Эликсиры для лица</t>
  </si>
  <si>
    <t>Сланцы</t>
  </si>
  <si>
    <t>Гладилки</t>
  </si>
  <si>
    <t>Кулинарные книги</t>
  </si>
  <si>
    <t>Запчасти и аксессуары для утюгов</t>
  </si>
  <si>
    <t>Подушки штемпельные</t>
  </si>
  <si>
    <t>Радиоуправляемые модели и игрушки</t>
  </si>
  <si>
    <t>Косметика и уход</t>
  </si>
  <si>
    <t>Тонеры</t>
  </si>
  <si>
    <t>Вода, соки и чай для детей</t>
  </si>
  <si>
    <t>Маски и скрабы для губ</t>
  </si>
  <si>
    <t>Хлебницы и сухарницы</t>
  </si>
  <si>
    <t>Прочие велозапчасти</t>
  </si>
  <si>
    <t>Бриджи и капри</t>
  </si>
  <si>
    <t>Самооценка и уверенность в себе</t>
  </si>
  <si>
    <t>Коннекторы</t>
  </si>
  <si>
    <t>Средства против целлюлита и растяжек</t>
  </si>
  <si>
    <t>Средство антицеллюлитное</t>
  </si>
  <si>
    <t>Дюбели</t>
  </si>
  <si>
    <t>Игры</t>
  </si>
  <si>
    <t>Узкие юбки</t>
  </si>
  <si>
    <t>Тюбетейки</t>
  </si>
  <si>
    <t>Миски, поилки</t>
  </si>
  <si>
    <t>Казаки</t>
  </si>
  <si>
    <t>Эмульсии</t>
  </si>
  <si>
    <t>Разводные ключи</t>
  </si>
  <si>
    <t>Клеенки и наматрасники</t>
  </si>
  <si>
    <t>Противопаразитарные средства</t>
  </si>
  <si>
    <t>Прямые джинсы</t>
  </si>
  <si>
    <t>Граверы</t>
  </si>
  <si>
    <t>Система питания</t>
  </si>
  <si>
    <t>Диеты</t>
  </si>
  <si>
    <t>Профессиональные инструменты парикмахера</t>
  </si>
  <si>
    <t>Ножницы</t>
  </si>
  <si>
    <t>Соковыжималки</t>
  </si>
  <si>
    <t>Бумага для выпечки</t>
  </si>
  <si>
    <t>Фокусы</t>
  </si>
  <si>
    <t>Торкс ключи</t>
  </si>
  <si>
    <t>Автомобильные очистители воздуха</t>
  </si>
  <si>
    <t>Кремы для глаз</t>
  </si>
  <si>
    <t>Психология общения</t>
  </si>
  <si>
    <t>Чиносы</t>
  </si>
  <si>
    <t>Чехлы и кейсы</t>
  </si>
  <si>
    <t>Зубные щетки для животных</t>
  </si>
  <si>
    <t>Шайки и ушаты</t>
  </si>
  <si>
    <t>Мыло</t>
  </si>
  <si>
    <t>Сувенирное мыло</t>
  </si>
  <si>
    <t>Бигуди</t>
  </si>
  <si>
    <t>Обручи</t>
  </si>
  <si>
    <t>Журналы, газеты</t>
  </si>
  <si>
    <t>Когтеточки и игровые комплексы</t>
  </si>
  <si>
    <t>Игровые комплексы</t>
  </si>
  <si>
    <t>Флиски</t>
  </si>
  <si>
    <t>Сувениры и подарки</t>
  </si>
  <si>
    <t>Товары для школы и обучения</t>
  </si>
  <si>
    <t>Карты мира</t>
  </si>
  <si>
    <t>Географическая карта</t>
  </si>
  <si>
    <t>Винные аксессуары</t>
  </si>
  <si>
    <t>Штопоры</t>
  </si>
  <si>
    <t>Аксессуары для пайки</t>
  </si>
  <si>
    <t>Портупеи</t>
  </si>
  <si>
    <t>Аэрогрили и фритюрницы</t>
  </si>
  <si>
    <t>Укрепление иммунитета</t>
  </si>
  <si>
    <t>Ножи столовые</t>
  </si>
  <si>
    <t>Специализированное питание</t>
  </si>
  <si>
    <t>Юбки под елку</t>
  </si>
  <si>
    <t>Щупы и термопары</t>
  </si>
  <si>
    <t>Лопатки кондитерские</t>
  </si>
  <si>
    <t>Челси</t>
  </si>
  <si>
    <t>История Ислама</t>
  </si>
  <si>
    <t>Комплекты клавиатур и мышей</t>
  </si>
  <si>
    <t>Анаболики, тестостероны, бустеры</t>
  </si>
  <si>
    <t>Анаболический комплекс</t>
  </si>
  <si>
    <t>Средства для снятия цвета</t>
  </si>
  <si>
    <t>Менструальные чаши</t>
  </si>
  <si>
    <t>История, искусство и культура</t>
  </si>
  <si>
    <t>Гели для умывания</t>
  </si>
  <si>
    <t>Кофеварки и кофемолки</t>
  </si>
  <si>
    <t>Игровые контроллеры</t>
  </si>
  <si>
    <t>Детское пюре</t>
  </si>
  <si>
    <t>Автомобильные навигаторы</t>
  </si>
  <si>
    <t>Спортивные носки и гольфы</t>
  </si>
  <si>
    <t>Отпариватели</t>
  </si>
  <si>
    <t>Зубочистки</t>
  </si>
  <si>
    <t>Интимная косметика</t>
  </si>
  <si>
    <t>Грили, барбекю и коптильни</t>
  </si>
  <si>
    <t>Динамометры</t>
  </si>
  <si>
    <t>Перчатки садовые</t>
  </si>
  <si>
    <t>Подарочные наборы для автомобилистов</t>
  </si>
  <si>
    <t>Виммельбухи и находилки</t>
  </si>
  <si>
    <t>Микроскопы</t>
  </si>
  <si>
    <t>Подушки, покрывала, полотенца для йоги и пилатеса</t>
  </si>
  <si>
    <t>Аксессуары для игровых контроллеров</t>
  </si>
  <si>
    <t>Пыльца</t>
  </si>
  <si>
    <t>Пена для ванны</t>
  </si>
  <si>
    <t>Игрушки</t>
  </si>
  <si>
    <t>Тарелки одноразовые</t>
  </si>
  <si>
    <t>Сахар</t>
  </si>
  <si>
    <t>Груши и мешки</t>
  </si>
  <si>
    <t>Складная походная мебель</t>
  </si>
  <si>
    <t>Анализ данных</t>
  </si>
  <si>
    <t>Зеркала</t>
  </si>
  <si>
    <t>Инвентарь для художественной гимнастики и танцев</t>
  </si>
  <si>
    <t>Вязание</t>
  </si>
  <si>
    <t>Спицы и крючки</t>
  </si>
  <si>
    <t>Фейерверки и салюты</t>
  </si>
  <si>
    <t>Римские свечи и фонтаны</t>
  </si>
  <si>
    <t>Вязаные топы</t>
  </si>
  <si>
    <t>Столы</t>
  </si>
  <si>
    <t>Пасты и помады</t>
  </si>
  <si>
    <t>Ферменты, релаксанты, антиоксиданты</t>
  </si>
  <si>
    <t>Верх термобелья</t>
  </si>
  <si>
    <t>Средства для снятия лака</t>
  </si>
  <si>
    <t>Эпоксидная смола</t>
  </si>
  <si>
    <t>Духи сухие</t>
  </si>
  <si>
    <t>Моноподы для селфи</t>
  </si>
  <si>
    <t>Усилители ТВ сигнала</t>
  </si>
  <si>
    <t>Игровые рули и педали</t>
  </si>
  <si>
    <t>Органайзеры для кабелей</t>
  </si>
  <si>
    <t>Миниатюры и пробники</t>
  </si>
  <si>
    <t>Борьба с вредными привычками</t>
  </si>
  <si>
    <t>Клетки и лестницы</t>
  </si>
  <si>
    <t>Чехлы и колеса для клеток</t>
  </si>
  <si>
    <t>Масла и сыворотки для ногтей</t>
  </si>
  <si>
    <t>Крем для ухода за кожей</t>
  </si>
  <si>
    <t>5 класс</t>
  </si>
  <si>
    <t>Вечерние платья</t>
  </si>
  <si>
    <t>Инструменты для постижа</t>
  </si>
  <si>
    <t>Аксессуары для бритья</t>
  </si>
  <si>
    <t>Чемоданы</t>
  </si>
  <si>
    <t>Коврики и наколенники для садовых работ</t>
  </si>
  <si>
    <t>Электровеники</t>
  </si>
  <si>
    <t>Подставки для столовых приборов</t>
  </si>
  <si>
    <t>Аксессуар для блокнота, ежедневника</t>
  </si>
  <si>
    <t>Аксессуары для плавания</t>
  </si>
  <si>
    <t>Паста-машины</t>
  </si>
  <si>
    <t>Футляры и пеналы</t>
  </si>
  <si>
    <t>Информационная безопасность</t>
  </si>
  <si>
    <t>Консервированные фрукты</t>
  </si>
  <si>
    <t>Рейлинг</t>
  </si>
  <si>
    <t>Управление для умного дома</t>
  </si>
  <si>
    <t>Аксессуары для бильярда</t>
  </si>
  <si>
    <t>Упоры капота и багажника</t>
  </si>
  <si>
    <t>Инструменты для кузовных работ</t>
  </si>
  <si>
    <t>Машинки для стрижки</t>
  </si>
  <si>
    <t>Подушки для беременных</t>
  </si>
  <si>
    <t>Тоники</t>
  </si>
  <si>
    <t>Воски и полироли</t>
  </si>
  <si>
    <t>Галстуки, бабочки, карманные платки</t>
  </si>
  <si>
    <t>Галстуки</t>
  </si>
  <si>
    <t>Упаковочная бумага, бирки и ленты</t>
  </si>
  <si>
    <t>Защита</t>
  </si>
  <si>
    <t>Трекболы</t>
  </si>
  <si>
    <t>Ремешки, застежки для часов</t>
  </si>
  <si>
    <t>Радиоприемники</t>
  </si>
  <si>
    <t>Средства очистки</t>
  </si>
  <si>
    <t>Кремы и воски для обуви</t>
  </si>
  <si>
    <t>Ручные пылесосы</t>
  </si>
  <si>
    <t>Сумки и рюкзаки для мам</t>
  </si>
  <si>
    <t>Оксид азота, углеводы, кислоты</t>
  </si>
  <si>
    <t>Кроссовки и кеды</t>
  </si>
  <si>
    <t>Кроссовки</t>
  </si>
  <si>
    <t>Оптические носители и аксессуары</t>
  </si>
  <si>
    <t>Брюки и комбинезоны</t>
  </si>
  <si>
    <t>Подвеска</t>
  </si>
  <si>
    <t>Четки</t>
  </si>
  <si>
    <t>Скрабы</t>
  </si>
  <si>
    <t>Пляжные сумки</t>
  </si>
  <si>
    <t>Платки и шарфы</t>
  </si>
  <si>
    <t>Шарфы</t>
  </si>
  <si>
    <t>Таблетки и капсулы для пмм</t>
  </si>
  <si>
    <t>Лопаты</t>
  </si>
  <si>
    <t>Национальные платья и халаты</t>
  </si>
  <si>
    <t>Одноразовая одежда</t>
  </si>
  <si>
    <t>Осушители для автомобилей</t>
  </si>
  <si>
    <t>Футбольные ворота</t>
  </si>
  <si>
    <t>Клавишные инструменты</t>
  </si>
  <si>
    <t>Формы для выпечки</t>
  </si>
  <si>
    <t>Моноблоки</t>
  </si>
  <si>
    <t>Чайные наборы</t>
  </si>
  <si>
    <t>Фоторамки и фотоальбомы</t>
  </si>
  <si>
    <t>Бенгальские огни</t>
  </si>
  <si>
    <t>Зубные пасты и гели</t>
  </si>
  <si>
    <t>Конверты</t>
  </si>
  <si>
    <t>Кинетический песок</t>
  </si>
  <si>
    <t>Косы и серпы</t>
  </si>
  <si>
    <t>Карандаши для губ</t>
  </si>
  <si>
    <t>Инвестиции и недвижимость</t>
  </si>
  <si>
    <t>Развитие общих способностей</t>
  </si>
  <si>
    <t>CC кремы</t>
  </si>
  <si>
    <t>Семена</t>
  </si>
  <si>
    <t>Венчики</t>
  </si>
  <si>
    <t>Расчески и щетки</t>
  </si>
  <si>
    <t>Молочко косметическое</t>
  </si>
  <si>
    <t>Наушники Apple AirPods</t>
  </si>
  <si>
    <t>HDMI оборудование</t>
  </si>
  <si>
    <t>Наборы для выращивания растений</t>
  </si>
  <si>
    <t>Лапша и пюре</t>
  </si>
  <si>
    <t>Надувная мебель</t>
  </si>
  <si>
    <t>Рис</t>
  </si>
  <si>
    <t>Картон</t>
  </si>
  <si>
    <t>Тату-машинки и аксессуары</t>
  </si>
  <si>
    <t>Кондиционеры и сплит-системы</t>
  </si>
  <si>
    <t>Аксессуары и запчасти для кондиционеров</t>
  </si>
  <si>
    <t>Кетчуп</t>
  </si>
  <si>
    <t>Фонари и аксессуары</t>
  </si>
  <si>
    <t>Подложки и решетки</t>
  </si>
  <si>
    <t>Кантователи и держатели</t>
  </si>
  <si>
    <t>Какао, горячий шоколад</t>
  </si>
  <si>
    <t>Смартфоны</t>
  </si>
  <si>
    <t>Смартфоны Apple iPhone(iOS)</t>
  </si>
  <si>
    <t>Запчасти для игровых приставок</t>
  </si>
  <si>
    <t>Детские тарелки и миски</t>
  </si>
  <si>
    <t>Осушители воздуха</t>
  </si>
  <si>
    <t>Линейки</t>
  </si>
  <si>
    <t>Веники и метлы</t>
  </si>
  <si>
    <t>Ирригаторы</t>
  </si>
  <si>
    <t>Подушки и наволочки декоративные</t>
  </si>
  <si>
    <t>Рыбий жир и омега-3</t>
  </si>
  <si>
    <t>Планшеты для рисования</t>
  </si>
  <si>
    <t>Ремкомплекты и расходные материалы</t>
  </si>
  <si>
    <t>Бутсы</t>
  </si>
  <si>
    <t>Менеджмент и управление</t>
  </si>
  <si>
    <t>Комплекты термобелья</t>
  </si>
  <si>
    <t>Арабский язык</t>
  </si>
  <si>
    <t>Мужское здоровье</t>
  </si>
  <si>
    <t>Ортопедическая обувь</t>
  </si>
  <si>
    <t>Свадебные товары</t>
  </si>
  <si>
    <t>Карго</t>
  </si>
  <si>
    <t>Муфты и кольца для платка</t>
  </si>
  <si>
    <t>Визитницы настольные</t>
  </si>
  <si>
    <t>Научно-популярная литература</t>
  </si>
  <si>
    <t>Контейнеры для детского питания</t>
  </si>
  <si>
    <t>Станки и комплектующие</t>
  </si>
  <si>
    <t>Таблички, номера и крючки</t>
  </si>
  <si>
    <t>Осветители и вспышки</t>
  </si>
  <si>
    <t>Сплит-системы</t>
  </si>
  <si>
    <t>L-карнитины</t>
  </si>
  <si>
    <t>Электроточила</t>
  </si>
  <si>
    <t>Бермуды</t>
  </si>
  <si>
    <t>Развивающие мозаики и коврики</t>
  </si>
  <si>
    <t>Средства от блох и клещей</t>
  </si>
  <si>
    <t>Бритвы, станки и сменные кассеты</t>
  </si>
  <si>
    <t>Запчасти</t>
  </si>
  <si>
    <t>Переходники и адаптеры</t>
  </si>
  <si>
    <t>Фломастеры</t>
  </si>
  <si>
    <t>Стиральные машины</t>
  </si>
  <si>
    <t>Автоматические стиральные машины</t>
  </si>
  <si>
    <t>Бальзамы и гели для лица</t>
  </si>
  <si>
    <t>Товары для дрессировки собак и аммуниция</t>
  </si>
  <si>
    <t>Другой садовый инструмент</t>
  </si>
  <si>
    <t>Сеялки для семян</t>
  </si>
  <si>
    <t>Квас, холодный чай, комбуча</t>
  </si>
  <si>
    <t>Изоляционные материалы</t>
  </si>
  <si>
    <t>ИБП и аксессуары</t>
  </si>
  <si>
    <t>Яйцерезки</t>
  </si>
  <si>
    <t>Аккумуляторы и зарядные устройства</t>
  </si>
  <si>
    <t>Персональные сигнализации</t>
  </si>
  <si>
    <t>Молоток</t>
  </si>
  <si>
    <t>5-HTP</t>
  </si>
  <si>
    <t>Вакуумные упаковщики</t>
  </si>
  <si>
    <t>Ёлки искусственные</t>
  </si>
  <si>
    <t>Лонгсливы</t>
  </si>
  <si>
    <t>Половники</t>
  </si>
  <si>
    <t>Вертикальные пылесосы</t>
  </si>
  <si>
    <t>Гадальные карты</t>
  </si>
  <si>
    <t>Крышки для посуды</t>
  </si>
  <si>
    <t>Мед</t>
  </si>
  <si>
    <t>Клещи и бокорезы</t>
  </si>
  <si>
    <t>Слаймы</t>
  </si>
  <si>
    <t>Домашние джемперы и кардиганы</t>
  </si>
  <si>
    <t>Ложки для обуви</t>
  </si>
  <si>
    <t>Энергетические напитки</t>
  </si>
  <si>
    <t>Детские шампуни</t>
  </si>
  <si>
    <t>Кремы для тела</t>
  </si>
  <si>
    <t>Сабвуферы</t>
  </si>
  <si>
    <t>Колготки</t>
  </si>
  <si>
    <t>Пленка самоклеящаяся</t>
  </si>
  <si>
    <t>Карнавальная одежда</t>
  </si>
  <si>
    <t>Планшеты</t>
  </si>
  <si>
    <t>Города и архитектура</t>
  </si>
  <si>
    <t>Детские кремы</t>
  </si>
  <si>
    <t>Наборы для макияжа</t>
  </si>
  <si>
    <t>Кепки, бейсболки и кепи</t>
  </si>
  <si>
    <t>Кабели и адаптеры для телефонов</t>
  </si>
  <si>
    <t>Утеплённые брюки</t>
  </si>
  <si>
    <t>Сухие сливки и молоко</t>
  </si>
  <si>
    <t>Заколки и гребни</t>
  </si>
  <si>
    <t>Индустрии</t>
  </si>
  <si>
    <t>Плавание и игры на воде</t>
  </si>
  <si>
    <t>Надувные мячи</t>
  </si>
  <si>
    <t>Дайвинг</t>
  </si>
  <si>
    <t>Маски, трубки и регуляторы</t>
  </si>
  <si>
    <t>Пульты ДУ для TV</t>
  </si>
  <si>
    <t>Пряжа</t>
  </si>
  <si>
    <t>Мыло косметическое</t>
  </si>
  <si>
    <t>Дартс</t>
  </si>
  <si>
    <t>Дартсные стрелы</t>
  </si>
  <si>
    <t>Светофильтры</t>
  </si>
  <si>
    <t>Изучение иностранных языков</t>
  </si>
  <si>
    <t>Газированные напитки</t>
  </si>
  <si>
    <t>Терки строительные</t>
  </si>
  <si>
    <t>Шоколадная, ореховая паста</t>
  </si>
  <si>
    <t>Прямые юбки</t>
  </si>
  <si>
    <t>Тормозные жидкости</t>
  </si>
  <si>
    <t>Наборы для рисования песком</t>
  </si>
  <si>
    <t>Аксессуары для видеорегистраторов</t>
  </si>
  <si>
    <t>Оправы</t>
  </si>
  <si>
    <t>Пружины для переплета</t>
  </si>
  <si>
    <t>Инструменты и принадлежности</t>
  </si>
  <si>
    <t>Оборудование для авторемонта</t>
  </si>
  <si>
    <t>Мангалы</t>
  </si>
  <si>
    <t>Веревка для выпечки</t>
  </si>
  <si>
    <t>BB и DD кремы</t>
  </si>
  <si>
    <t>Аквафитнес и водное поло</t>
  </si>
  <si>
    <t>Пояса для аквааэробики</t>
  </si>
  <si>
    <t>Цветной дым</t>
  </si>
  <si>
    <t>Топы со спущенными плечами</t>
  </si>
  <si>
    <t>Бальзамы и сиропы</t>
  </si>
  <si>
    <t>Штампы для стемпинга</t>
  </si>
  <si>
    <t>Маски, мыло и сыворотки для волос</t>
  </si>
  <si>
    <t>Опрыскиватели и аксессуары</t>
  </si>
  <si>
    <t>Мультитулы</t>
  </si>
  <si>
    <t>Пледы и покрывала для пикника</t>
  </si>
  <si>
    <t>Супницы и бульонницы</t>
  </si>
  <si>
    <t>Праймеры и обезжириватели</t>
  </si>
  <si>
    <t>Биотуалеты, септики и аксессуары</t>
  </si>
  <si>
    <t>Фольга и втирки для ногтей</t>
  </si>
  <si>
    <t>Патчи</t>
  </si>
  <si>
    <t>Кулоны и подвески</t>
  </si>
  <si>
    <t>Новогодние сувениры и подарки</t>
  </si>
  <si>
    <t>Консервированные блюда</t>
  </si>
  <si>
    <t>Джеггинсы</t>
  </si>
  <si>
    <t>Классные журналы</t>
  </si>
  <si>
    <t>Бассейны</t>
  </si>
  <si>
    <t>Украшения для тела</t>
  </si>
  <si>
    <t>Миксеры</t>
  </si>
  <si>
    <t>Телескопы</t>
  </si>
  <si>
    <t>Блюда</t>
  </si>
  <si>
    <t>Лосьоны</t>
  </si>
  <si>
    <t>Кепки и бейсболки</t>
  </si>
  <si>
    <t>Электрогрили</t>
  </si>
  <si>
    <t>Диспенсеры, дозаторы</t>
  </si>
  <si>
    <t>Средства для интимной косметики</t>
  </si>
  <si>
    <t>Формы для наращивания ногтей</t>
  </si>
  <si>
    <t>Разделочные доски</t>
  </si>
  <si>
    <t>Садовые дорожки и ограждения</t>
  </si>
  <si>
    <t>Щетки и губки для обуви</t>
  </si>
  <si>
    <t>Унитазы</t>
  </si>
  <si>
    <t>Навыки</t>
  </si>
  <si>
    <t>Замки</t>
  </si>
  <si>
    <t>Романы</t>
  </si>
  <si>
    <t>Кузовные запчасти</t>
  </si>
  <si>
    <t>Перчатки для вратарей</t>
  </si>
  <si>
    <t>Пластик для 3D принтера</t>
  </si>
  <si>
    <t>Соль</t>
  </si>
  <si>
    <t>Системы охлаждения для компьютеров</t>
  </si>
  <si>
    <t>Гаджеты для фитнеса</t>
  </si>
  <si>
    <t>Усилители беспроводного сигнала</t>
  </si>
  <si>
    <t>Разделители и стеллажи</t>
  </si>
  <si>
    <t>Витаминно-минеральные комплексы</t>
  </si>
  <si>
    <t>Органайзеры и разделители</t>
  </si>
  <si>
    <t>Мойки высокого давления</t>
  </si>
  <si>
    <t>Органайзеры</t>
  </si>
  <si>
    <t>Поделки</t>
  </si>
  <si>
    <t>Септики и грунтовки</t>
  </si>
  <si>
    <t>Шорты для плавания</t>
  </si>
  <si>
    <t>Флипчарты</t>
  </si>
  <si>
    <t>Сахарницы и молочники</t>
  </si>
  <si>
    <t>Электробритвы</t>
  </si>
  <si>
    <t>Маски для ног</t>
  </si>
  <si>
    <t>Подшипники</t>
  </si>
  <si>
    <t>Наборы инструментов</t>
  </si>
  <si>
    <t>Чехлы и утеплители</t>
  </si>
  <si>
    <t>Инструменты и наборы для лепки</t>
  </si>
  <si>
    <t>Сода пищевая</t>
  </si>
  <si>
    <t>Наборы для вина</t>
  </si>
  <si>
    <t>Набор тетрадей</t>
  </si>
  <si>
    <t>Кофемолки</t>
  </si>
  <si>
    <t>Знаки аварийной остановки</t>
  </si>
  <si>
    <t>Тесты на беременность и овуляцию</t>
  </si>
  <si>
    <t>Стулья, табуретки и кресла</t>
  </si>
  <si>
    <t>Швейные машины</t>
  </si>
  <si>
    <t>Наборы посуды для приготовления</t>
  </si>
  <si>
    <t>Костюмы и комплекты</t>
  </si>
  <si>
    <t>Классические костюмы</t>
  </si>
  <si>
    <t>Провода и кабели</t>
  </si>
  <si>
    <t>Бобовые</t>
  </si>
  <si>
    <t>Велокосметика и средства для ухода</t>
  </si>
  <si>
    <t>Спортивная атрибутика и аксессуары</t>
  </si>
  <si>
    <t>Шприцы, инъекторы, пипетки, дозаторы</t>
  </si>
  <si>
    <t>Кабели и переходники</t>
  </si>
  <si>
    <t>Аудио кабели</t>
  </si>
  <si>
    <t>Матрасы</t>
  </si>
  <si>
    <t>Для сердца и сосудов</t>
  </si>
  <si>
    <t>Тормозная система</t>
  </si>
  <si>
    <t>Сумки</t>
  </si>
  <si>
    <t>Пильные диски</t>
  </si>
  <si>
    <t>Антенные кабели и адаптеры</t>
  </si>
  <si>
    <t>Ведра и тазы</t>
  </si>
  <si>
    <t>Терки</t>
  </si>
  <si>
    <t>Воронки</t>
  </si>
  <si>
    <t>Преобразователи напряжения</t>
  </si>
  <si>
    <t>Ботильоны</t>
  </si>
  <si>
    <t>Низкие ботильоны</t>
  </si>
  <si>
    <t>Стульчики для кормления</t>
  </si>
  <si>
    <t>Сувениры автомобильные</t>
  </si>
  <si>
    <t>Чехлы для автомобильных брелков</t>
  </si>
  <si>
    <t>Смесители</t>
  </si>
  <si>
    <t>СКУД</t>
  </si>
  <si>
    <t>Огнетушители</t>
  </si>
  <si>
    <t>Пильно-отрезные инструменты</t>
  </si>
  <si>
    <t>Реноваторы</t>
  </si>
  <si>
    <t>Защитные стекла</t>
  </si>
  <si>
    <t>Тело человека</t>
  </si>
  <si>
    <t>Доски, подушки, колобашки</t>
  </si>
  <si>
    <t>Бальзамы для губ</t>
  </si>
  <si>
    <t>Кинезиотейпы</t>
  </si>
  <si>
    <t>Патроны и переходники</t>
  </si>
  <si>
    <t>Религиозная одежда для женщин</t>
  </si>
  <si>
    <t>Материнские платы</t>
  </si>
  <si>
    <t>Шампуни для волос</t>
  </si>
  <si>
    <t>Кошельки</t>
  </si>
  <si>
    <t>Лестницы</t>
  </si>
  <si>
    <t>Трансмиссия</t>
  </si>
  <si>
    <t>Мадлеры</t>
  </si>
  <si>
    <t>Тинты</t>
  </si>
  <si>
    <t>Груминг</t>
  </si>
  <si>
    <t>Пробки</t>
  </si>
  <si>
    <t>Историческая проза</t>
  </si>
  <si>
    <t>Наволочки</t>
  </si>
  <si>
    <t>Автомобильные инверторы</t>
  </si>
  <si>
    <t>Топсайдеры</t>
  </si>
  <si>
    <t>Садовые светильники</t>
  </si>
  <si>
    <t>Проекционные экраны</t>
  </si>
  <si>
    <t>Боди</t>
  </si>
  <si>
    <t>Боди-блузы</t>
  </si>
  <si>
    <t>Лаки</t>
  </si>
  <si>
    <t>Напильники и надфили</t>
  </si>
  <si>
    <t>Пены - очистители для обуви</t>
  </si>
  <si>
    <t>Уход и защита</t>
  </si>
  <si>
    <t>Держатели для ножей</t>
  </si>
  <si>
    <t>Перевязочные материалы</t>
  </si>
  <si>
    <t>Пластыри</t>
  </si>
  <si>
    <t>Прочие автомобильные аксессуары</t>
  </si>
  <si>
    <t>Перчатки защитные</t>
  </si>
  <si>
    <t>Качели и шезлонги для малышей</t>
  </si>
  <si>
    <t>Датчики для охранных систем</t>
  </si>
  <si>
    <t>Кофе молотый</t>
  </si>
  <si>
    <t>Коврики для выпечки</t>
  </si>
  <si>
    <t>Бальзамический соус</t>
  </si>
  <si>
    <t>Отражатели и рефлекторы</t>
  </si>
  <si>
    <t>Краски для бровей и ресниц</t>
  </si>
  <si>
    <t>Материалы для рукоделия</t>
  </si>
  <si>
    <t>Большой теннис</t>
  </si>
  <si>
    <t>Специальные масла</t>
  </si>
  <si>
    <t>Худи</t>
  </si>
  <si>
    <t>Ластики</t>
  </si>
  <si>
    <t>Щетки металлические</t>
  </si>
  <si>
    <t>Ручные инструменты</t>
  </si>
  <si>
    <t>Записные книжки</t>
  </si>
  <si>
    <t>Подследники</t>
  </si>
  <si>
    <t>Мясные консервы</t>
  </si>
  <si>
    <t>Стабилизаторы</t>
  </si>
  <si>
    <t>Аксессуары для чемоданов</t>
  </si>
  <si>
    <t>Ремни для чемоданов</t>
  </si>
  <si>
    <t>Пневмоинструменты для авто</t>
  </si>
  <si>
    <t>Посуда для духовки</t>
  </si>
  <si>
    <t>Инструменты для пирсинга</t>
  </si>
  <si>
    <t>Шахматы, шашки, нарды</t>
  </si>
  <si>
    <t>Шприц плунжерный</t>
  </si>
  <si>
    <t>Чехлы для наушников</t>
  </si>
  <si>
    <t>Бустеры</t>
  </si>
  <si>
    <t>Для стиральных машин</t>
  </si>
  <si>
    <t>Монтажные пистолеты</t>
  </si>
  <si>
    <t>Сумки и чехлы для грилей, мангалов</t>
  </si>
  <si>
    <t>Пасты и гели</t>
  </si>
  <si>
    <t>Аксессуары для спецодежды</t>
  </si>
  <si>
    <t>Карнизы</t>
  </si>
  <si>
    <t>Защитная экипировка для детей</t>
  </si>
  <si>
    <t>Толстовки</t>
  </si>
  <si>
    <t>Тренажеры</t>
  </si>
  <si>
    <t>Степперы</t>
  </si>
  <si>
    <t>Дартс-доски</t>
  </si>
  <si>
    <t>Освежители воздуха</t>
  </si>
  <si>
    <t>Мыловарение</t>
  </si>
  <si>
    <t>Физика</t>
  </si>
  <si>
    <t>Средства для мытья посуды</t>
  </si>
  <si>
    <t>Сканеры штрих-кода</t>
  </si>
  <si>
    <t>Напольные вешалки</t>
  </si>
  <si>
    <t>Чашки и блюдца</t>
  </si>
  <si>
    <t>Клавиатуры</t>
  </si>
  <si>
    <t>Платья со спущенными плечами</t>
  </si>
  <si>
    <t>Возбуждающие средства и пролонгаторы</t>
  </si>
  <si>
    <t>Туалетная вода</t>
  </si>
  <si>
    <t>История медицины и организация здравоохранения</t>
  </si>
  <si>
    <t>Аксессуары и запчасти для электротранспорта</t>
  </si>
  <si>
    <t>Полуавтоматические cтиральные машины</t>
  </si>
  <si>
    <t>Защитные коврики для пола</t>
  </si>
  <si>
    <t>Монки</t>
  </si>
  <si>
    <t>Наборы посуды для кормления</t>
  </si>
  <si>
    <t>Принадлежности для барбекю</t>
  </si>
  <si>
    <t>Портфолио</t>
  </si>
  <si>
    <t>Прочие товары для обустройства</t>
  </si>
  <si>
    <t>Клеи и герметики</t>
  </si>
  <si>
    <t>Бейсбол</t>
  </si>
  <si>
    <t>Бейсбольные аксессуары</t>
  </si>
  <si>
    <t>Очки для зрения</t>
  </si>
  <si>
    <t>Скандинавская ходьба</t>
  </si>
  <si>
    <t>Терапия. Общая практика</t>
  </si>
  <si>
    <t>Ветеринария</t>
  </si>
  <si>
    <t>Эмульсии и эликсиры</t>
  </si>
  <si>
    <t>11 класс</t>
  </si>
  <si>
    <t>Духи масляные</t>
  </si>
  <si>
    <t>Пластилин</t>
  </si>
  <si>
    <t>Стики для тела</t>
  </si>
  <si>
    <t>Плиссированные юбки</t>
  </si>
  <si>
    <t>Прочие приставки</t>
  </si>
  <si>
    <t>Дрожжи</t>
  </si>
  <si>
    <t>Паяльная станция</t>
  </si>
  <si>
    <t>Фольга цветная</t>
  </si>
  <si>
    <t>Чистящие средства и салфетки для экранов</t>
  </si>
  <si>
    <t>Глютамины</t>
  </si>
  <si>
    <t>Триптофан</t>
  </si>
  <si>
    <t>Мясорубки</t>
  </si>
  <si>
    <t>Для печени</t>
  </si>
  <si>
    <t>Гелий в баллоне</t>
  </si>
  <si>
    <t>Бальзамы для бороды и усов</t>
  </si>
  <si>
    <t>Праздники и подвижные игры</t>
  </si>
  <si>
    <t>Круги и матрасы</t>
  </si>
  <si>
    <t>Товары для комнатных растений</t>
  </si>
  <si>
    <t>Подставки и крепления для растений</t>
  </si>
  <si>
    <t>Косметологические аппараты</t>
  </si>
  <si>
    <t>Бумеранги</t>
  </si>
  <si>
    <t>Ласты</t>
  </si>
  <si>
    <t>Средства от засоров</t>
  </si>
  <si>
    <t>Ножи, лопаты, пилы туристические</t>
  </si>
  <si>
    <t>Биология</t>
  </si>
  <si>
    <t>Платки и палантины</t>
  </si>
  <si>
    <t>Клетки и ограждения</t>
  </si>
  <si>
    <t>Мониторы</t>
  </si>
  <si>
    <t>Анкерные болты</t>
  </si>
  <si>
    <t>Карманные платки</t>
  </si>
  <si>
    <t>Зарядные устройства для аккумуляторов</t>
  </si>
  <si>
    <t>Повседневные шорты</t>
  </si>
  <si>
    <t>Аксессуары для линз</t>
  </si>
  <si>
    <t>Скрабы и пилинги</t>
  </si>
  <si>
    <t>Оборудование для парковки</t>
  </si>
  <si>
    <t>BCAA</t>
  </si>
  <si>
    <t>Формы для мороженого</t>
  </si>
  <si>
    <t>Обои</t>
  </si>
  <si>
    <t>Фотообои</t>
  </si>
  <si>
    <t>Замена жидкостей автомобиля</t>
  </si>
  <si>
    <t>Вязанные костюмы</t>
  </si>
  <si>
    <t>Сыворотки и масла для ухода за ресницами</t>
  </si>
  <si>
    <t>Веб-разработка</t>
  </si>
  <si>
    <t>Конфеты в коробках, подарочные наборы</t>
  </si>
  <si>
    <t>Саундбары</t>
  </si>
  <si>
    <t>Абразивные материалы</t>
  </si>
  <si>
    <t>Тени</t>
  </si>
  <si>
    <t>Игровые мыши</t>
  </si>
  <si>
    <t>Блузки и рубашки</t>
  </si>
  <si>
    <t>Гвоздодер</t>
  </si>
  <si>
    <t>Крышки для СВЧ и аксессуары</t>
  </si>
  <si>
    <t>Пластины для стемпинга</t>
  </si>
  <si>
    <t>Решетки и сетки радиаторов</t>
  </si>
  <si>
    <t>Рукоятки для фотокамер</t>
  </si>
  <si>
    <t>Булгур, киноа, кускус</t>
  </si>
  <si>
    <t>Скамейки</t>
  </si>
  <si>
    <t>Кожа, волосы и ногти</t>
  </si>
  <si>
    <t>Струбцины и тиски</t>
  </si>
  <si>
    <t>Спортивная одежда для плавания</t>
  </si>
  <si>
    <t>Вечерняя обувь</t>
  </si>
  <si>
    <t>Косметические наборы для волос</t>
  </si>
  <si>
    <t>Скейтборды</t>
  </si>
  <si>
    <t>Емкости для сыпучих продуктов</t>
  </si>
  <si>
    <t>Оперативная память</t>
  </si>
  <si>
    <t>Обложки для документов</t>
  </si>
  <si>
    <t>Наборы для создания фоторамок</t>
  </si>
  <si>
    <t>Салфетки и ватные палочки</t>
  </si>
  <si>
    <t>Для почек</t>
  </si>
  <si>
    <t>Электрические зубные щетки</t>
  </si>
  <si>
    <t>Подогреватели бутылочек и Стерилизаторы</t>
  </si>
  <si>
    <t>Термоноски</t>
  </si>
  <si>
    <t>Настенные вешалки и крючки</t>
  </si>
  <si>
    <t>Наборы для йоги и пилатеса</t>
  </si>
  <si>
    <t>DSL модемы и трансиверы</t>
  </si>
  <si>
    <t>Ступки с пестиком</t>
  </si>
  <si>
    <t>Стрижка волос</t>
  </si>
  <si>
    <t>Триммеры для волос</t>
  </si>
  <si>
    <t>Пудра для умывания</t>
  </si>
  <si>
    <t>Фитококтейли</t>
  </si>
  <si>
    <t>Стетоскопы</t>
  </si>
  <si>
    <t>Приправы и специи</t>
  </si>
  <si>
    <t>Приправы</t>
  </si>
  <si>
    <t>Плиты</t>
  </si>
  <si>
    <t>Газовые плиты</t>
  </si>
  <si>
    <t>Маски гигиенические и медицинские</t>
  </si>
  <si>
    <t>Скакалки</t>
  </si>
  <si>
    <t>Конфеты пралине</t>
  </si>
  <si>
    <t>Сетевые фильтры</t>
  </si>
  <si>
    <t>Бумага для черчения и рисования</t>
  </si>
  <si>
    <t>Лимонный сок</t>
  </si>
  <si>
    <t>Бланки, визитки и сертификаты</t>
  </si>
  <si>
    <t>Визитные карточки</t>
  </si>
  <si>
    <t>Маркерно-меловые доски</t>
  </si>
  <si>
    <t>Очистители для языка</t>
  </si>
  <si>
    <t>Светильники USB</t>
  </si>
  <si>
    <t>Перья</t>
  </si>
  <si>
    <t>Степлер мебельный</t>
  </si>
  <si>
    <t>Воскоплавы и парафиновые ванны</t>
  </si>
  <si>
    <t>Домашние халаты</t>
  </si>
  <si>
    <t>Радар-детекторы</t>
  </si>
  <si>
    <t>Грелки для чайников</t>
  </si>
  <si>
    <t>Стабилизаторы напряжения</t>
  </si>
  <si>
    <t>Подушки и матрасы</t>
  </si>
  <si>
    <t>Тонометры и аксессуары</t>
  </si>
  <si>
    <t>Контейнеры для анализов, губки, жгуты, мерные стаканы медицинские</t>
  </si>
  <si>
    <t>Тренировочные петли</t>
  </si>
  <si>
    <t>Одеяла</t>
  </si>
  <si>
    <t>Лото для детей</t>
  </si>
  <si>
    <t>Циркули</t>
  </si>
  <si>
    <t>Круги для плавания</t>
  </si>
  <si>
    <t>Квадрокоптеры и аксессуары</t>
  </si>
  <si>
    <t>Аксессуары для квадрокоптеров</t>
  </si>
  <si>
    <t>Автозапчасти автомобильные</t>
  </si>
  <si>
    <t>Съедобный декор для выпечки</t>
  </si>
  <si>
    <t>Проекторы для авто</t>
  </si>
  <si>
    <t>Ножи кухонные</t>
  </si>
  <si>
    <t>Финансы</t>
  </si>
  <si>
    <t>Костюмы с шортами</t>
  </si>
  <si>
    <t>Запчасти для ТО</t>
  </si>
  <si>
    <t>Игровые картриджи</t>
  </si>
  <si>
    <t>Умные розетки</t>
  </si>
  <si>
    <t>Полки и скамьи</t>
  </si>
  <si>
    <t>Чехлы для пультов ДУ</t>
  </si>
  <si>
    <t>Средства после бритья</t>
  </si>
  <si>
    <t>Скутеры</t>
  </si>
  <si>
    <t>Усилители для авто</t>
  </si>
  <si>
    <t>Иглы</t>
  </si>
  <si>
    <t>Комбинезоны</t>
  </si>
  <si>
    <t>Комбинезоны вечерние</t>
  </si>
  <si>
    <t>Борды и доски</t>
  </si>
  <si>
    <t>Уксус</t>
  </si>
  <si>
    <t>Бизнес-тетрадь</t>
  </si>
  <si>
    <t>Для костей и суставов</t>
  </si>
  <si>
    <t>Пеналы</t>
  </si>
  <si>
    <t>Комплекты умного дома</t>
  </si>
  <si>
    <t>Покрышки и камеры</t>
  </si>
  <si>
    <t>Игрушечное оружие и бластеры</t>
  </si>
  <si>
    <t>Мягкие игрушки</t>
  </si>
  <si>
    <t>Аксессуары для кормления</t>
  </si>
  <si>
    <t>Декоративные ленты</t>
  </si>
  <si>
    <t>Афоризмы, цитаты, пословицы</t>
  </si>
  <si>
    <t>Кардиотренажеры</t>
  </si>
  <si>
    <t>Гребные тренажеры</t>
  </si>
  <si>
    <t>Кольца и перстни</t>
  </si>
  <si>
    <t>Рашгарды</t>
  </si>
  <si>
    <t>Наборы косметики для ухода за телом</t>
  </si>
  <si>
    <t>Цинк</t>
  </si>
  <si>
    <t>Котелки и костровые треноги</t>
  </si>
  <si>
    <t>Системы очистки стекол и фар</t>
  </si>
  <si>
    <t>Кино и мультфильмы</t>
  </si>
  <si>
    <t>Обрезка деревьев и кустарников</t>
  </si>
  <si>
    <t>Сумки-тележки</t>
  </si>
  <si>
    <t>Копилки</t>
  </si>
  <si>
    <t>Автосигнализации</t>
  </si>
  <si>
    <t>Овсяная</t>
  </si>
  <si>
    <t>Крючки и держатели</t>
  </si>
  <si>
    <t>Увлажняющие капли</t>
  </si>
  <si>
    <t>Линолевая кислота CLA</t>
  </si>
  <si>
    <t>Вспениватели молока</t>
  </si>
  <si>
    <t>Шампуни для бороды и усов</t>
  </si>
  <si>
    <t>Пшено</t>
  </si>
  <si>
    <t>CD проигрыватели и плееры</t>
  </si>
  <si>
    <t>Политика</t>
  </si>
  <si>
    <t>Полировальные насадки</t>
  </si>
  <si>
    <t>Ночные кремы</t>
  </si>
  <si>
    <t>Манга</t>
  </si>
  <si>
    <t>Часы и электронные будильники</t>
  </si>
  <si>
    <t>Проекционные часы</t>
  </si>
  <si>
    <t>Мини-печи</t>
  </si>
  <si>
    <t>Классические жилеты</t>
  </si>
  <si>
    <t>Солнцезащитные очки</t>
  </si>
  <si>
    <t>Аксессуары и расходные материалы для садовой техники</t>
  </si>
  <si>
    <t>Кондуктометры и измерители pH, ОВП</t>
  </si>
  <si>
    <t>Защита внешних частей</t>
  </si>
  <si>
    <t>Аксессуары для умного дома</t>
  </si>
  <si>
    <t>Процессоры</t>
  </si>
  <si>
    <t>Полотна для сабельных пил</t>
  </si>
  <si>
    <t>Миски и салатницы</t>
  </si>
  <si>
    <t>Smart-TV приставки</t>
  </si>
  <si>
    <t>Гейнеры и протеины</t>
  </si>
  <si>
    <t>Гейнеры</t>
  </si>
  <si>
    <t>Кисти и cиликоновые кисти-шпатели</t>
  </si>
  <si>
    <t>Дерби</t>
  </si>
  <si>
    <t>Тепловизоры и температурные сканеры</t>
  </si>
  <si>
    <t>Велосипеды</t>
  </si>
  <si>
    <t>Кулинарные термометры</t>
  </si>
  <si>
    <t>Термальная вода и спреи</t>
  </si>
  <si>
    <t>Загар и защита от солнца</t>
  </si>
  <si>
    <t>Бабочки</t>
  </si>
  <si>
    <t>Информационное оборудование</t>
  </si>
  <si>
    <t>Медицинская одежда</t>
  </si>
  <si>
    <t>Водонагреватели и котлы отопления</t>
  </si>
  <si>
    <t>Котлы отопления</t>
  </si>
  <si>
    <t>Стикеры и бумага для заметок</t>
  </si>
  <si>
    <t>Стикеры</t>
  </si>
  <si>
    <t>Подвязки и пояса для чулок</t>
  </si>
  <si>
    <t>Товары для чая матча</t>
  </si>
  <si>
    <t>Административная карта</t>
  </si>
  <si>
    <t>Скворечники и гнезда</t>
  </si>
  <si>
    <t>Муссы и пенки</t>
  </si>
  <si>
    <t>Выпрямители для волос</t>
  </si>
  <si>
    <t>Аккумуляторные батарейки</t>
  </si>
  <si>
    <t>Головные устройства</t>
  </si>
  <si>
    <t>Пинцеты</t>
  </si>
  <si>
    <t>Комплекты</t>
  </si>
  <si>
    <t>Детские зубные пасты</t>
  </si>
  <si>
    <t>Бумага для заметок</t>
  </si>
  <si>
    <t>Жидкое мыло</t>
  </si>
  <si>
    <t>Юбки-трапеции и широкие</t>
  </si>
  <si>
    <t>Пеленки и простыни медицинские</t>
  </si>
  <si>
    <t>Антенны для сетевого оборудования</t>
  </si>
  <si>
    <t>Раскраски и рисование</t>
  </si>
  <si>
    <t>Специи</t>
  </si>
  <si>
    <t>Рубашки с длинным рукавом</t>
  </si>
  <si>
    <t>Посудомоечные машины</t>
  </si>
  <si>
    <t>Маринады</t>
  </si>
  <si>
    <t>Пеленки одноразовые</t>
  </si>
  <si>
    <t>Автомобильные зарядные устройства</t>
  </si>
  <si>
    <t>Сахарная пудра</t>
  </si>
  <si>
    <t>Коран</t>
  </si>
  <si>
    <t>Политология</t>
  </si>
  <si>
    <t>Одежда и обувь для собак</t>
  </si>
  <si>
    <t>Суспензии</t>
  </si>
  <si>
    <t>Ножницы кухонные</t>
  </si>
  <si>
    <t>Надувные бассейны</t>
  </si>
  <si>
    <t>Розетки и разветвители прикуривателя</t>
  </si>
  <si>
    <t>Банный текстиль</t>
  </si>
  <si>
    <t>Ролики детские</t>
  </si>
  <si>
    <t>Психосоматика</t>
  </si>
  <si>
    <t>Мобильные кондиционеры</t>
  </si>
  <si>
    <t>Смартфоны Android</t>
  </si>
  <si>
    <t>Рюмки и стопки</t>
  </si>
  <si>
    <t>Напальчники и накладки</t>
  </si>
  <si>
    <t>Семечки</t>
  </si>
  <si>
    <t>Тонометры</t>
  </si>
  <si>
    <t>Свадебные украшения</t>
  </si>
  <si>
    <t>Клей для ресниц</t>
  </si>
  <si>
    <t>Канистры для бензина</t>
  </si>
  <si>
    <t>Кофейники</t>
  </si>
  <si>
    <t>Держатели, подставки и подносы</t>
  </si>
  <si>
    <t>Палетки и стики для контуринга</t>
  </si>
  <si>
    <t>Здоровое питание</t>
  </si>
  <si>
    <t>Хлебцы</t>
  </si>
  <si>
    <t>Лестницы и стремянки</t>
  </si>
  <si>
    <t>Браслеты на ногу</t>
  </si>
  <si>
    <t>Майки и бельевые топы</t>
  </si>
  <si>
    <t>Изделия для электромонтажа</t>
  </si>
  <si>
    <t>Отопитель и кондиционирование</t>
  </si>
  <si>
    <t>Слитные купальники и монокини</t>
  </si>
  <si>
    <t>Чалма</t>
  </si>
  <si>
    <t>Льняное масло</t>
  </si>
  <si>
    <t>Пепельницы автомобильные</t>
  </si>
  <si>
    <t>Масла, лосьоны и молочко для детей</t>
  </si>
  <si>
    <t>Одежда для поваров и официантов</t>
  </si>
  <si>
    <t>Женские дезодоранты и антиперспиранты</t>
  </si>
  <si>
    <t>Кофе растворимый</t>
  </si>
  <si>
    <t>Фильтрация воды</t>
  </si>
  <si>
    <t>Наборы средств для лица</t>
  </si>
  <si>
    <t>Пэчворк и квилтинг</t>
  </si>
  <si>
    <t>Военное дело</t>
  </si>
  <si>
    <t>Сейфы</t>
  </si>
  <si>
    <t>Интерьерные наклейки и плакаты</t>
  </si>
  <si>
    <t>Пилки и бафы для ногтей</t>
  </si>
  <si>
    <t>Ватные палочки</t>
  </si>
  <si>
    <t>Платья</t>
  </si>
  <si>
    <t>Насосы</t>
  </si>
  <si>
    <t>Печати канцелярские</t>
  </si>
  <si>
    <t>Пластины крепежные</t>
  </si>
  <si>
    <t>Оборудование для бассейнов</t>
  </si>
  <si>
    <t>Фильтры, насосы, хлоргенераторы</t>
  </si>
  <si>
    <t>Органайзеры и сумки</t>
  </si>
  <si>
    <t>Оплетки и ручки на руль</t>
  </si>
  <si>
    <t>Оконная фурнитура</t>
  </si>
  <si>
    <t>Аксессуары для микрофонов</t>
  </si>
  <si>
    <t>7 класс</t>
  </si>
  <si>
    <t>Шлепанцы</t>
  </si>
  <si>
    <t>Бальзамы и гели</t>
  </si>
  <si>
    <t>Средства для загара</t>
  </si>
  <si>
    <t>Онлайн кассы</t>
  </si>
  <si>
    <t>Аксессуары для прицепов</t>
  </si>
  <si>
    <t>Топоры</t>
  </si>
  <si>
    <t>Коврики для мыши</t>
  </si>
  <si>
    <t>Креатины</t>
  </si>
  <si>
    <t>Косметички</t>
  </si>
  <si>
    <t>Чехлы и ледоступы</t>
  </si>
  <si>
    <t>Защита кабеля</t>
  </si>
  <si>
    <t>Каски</t>
  </si>
  <si>
    <t>Кухонные весы</t>
  </si>
  <si>
    <t>Крекеры</t>
  </si>
  <si>
    <t>Дождевики</t>
  </si>
  <si>
    <t>Шарики для сухих бассейнов</t>
  </si>
  <si>
    <t>Эллиптические тренажеры</t>
  </si>
  <si>
    <t>Игровые клавиатуры</t>
  </si>
  <si>
    <t>Варежки для парафинотерапии</t>
  </si>
  <si>
    <t>Твердые чернила</t>
  </si>
  <si>
    <t>Джойстики и триггеры для смартфонов</t>
  </si>
  <si>
    <t>Автомобильные компрессоры</t>
  </si>
  <si>
    <t>Софтбоксы</t>
  </si>
  <si>
    <t>Молды</t>
  </si>
  <si>
    <t>Футболки с коротким рукавом</t>
  </si>
  <si>
    <t>Воротники и лечебные ошейники</t>
  </si>
  <si>
    <t>Воротники</t>
  </si>
  <si>
    <t>Бизиборды</t>
  </si>
  <si>
    <t>Комоды</t>
  </si>
  <si>
    <t>Коллекционирование</t>
  </si>
  <si>
    <t>Апельсиновые палочки и салфетки для ногтей</t>
  </si>
  <si>
    <t>Макароны</t>
  </si>
  <si>
    <t>Фигурки и аксессуары</t>
  </si>
  <si>
    <t>Накладки на педали</t>
  </si>
  <si>
    <t>Запасные части для смартфонов</t>
  </si>
  <si>
    <t>Аксессуары для коктейлей</t>
  </si>
  <si>
    <t>Лаки и краски</t>
  </si>
  <si>
    <t>Товары для грудного вскармливания</t>
  </si>
  <si>
    <t>Гранола</t>
  </si>
  <si>
    <t>Полотенца</t>
  </si>
  <si>
    <t>Праздничный декор</t>
  </si>
  <si>
    <t>Купалки и песок</t>
  </si>
  <si>
    <t>Средства для коррекции веса</t>
  </si>
  <si>
    <t>Кушоны</t>
  </si>
  <si>
    <t>Термометры, барометры</t>
  </si>
  <si>
    <t>Столики и полки</t>
  </si>
  <si>
    <t>Фрукто-овощечистки</t>
  </si>
  <si>
    <t>Масло гидрофильное</t>
  </si>
  <si>
    <t>Настольные игры</t>
  </si>
  <si>
    <t>Ковры автомобильные</t>
  </si>
  <si>
    <t>Стеклоочистители</t>
  </si>
  <si>
    <t>Платья-свитеры</t>
  </si>
  <si>
    <t>Матирующие салфетки</t>
  </si>
  <si>
    <t>Плодосборники</t>
  </si>
  <si>
    <t>Бадминтон</t>
  </si>
  <si>
    <t>Окислители</t>
  </si>
  <si>
    <t>Велосипеды детские</t>
  </si>
  <si>
    <t>Товары для бритья</t>
  </si>
  <si>
    <t>Женские бритвы, станки и сменные кассеты</t>
  </si>
  <si>
    <t>Фляги и питьевые системы</t>
  </si>
  <si>
    <t>Дезодоранты и спреи для ног</t>
  </si>
  <si>
    <t>Установка автозвука</t>
  </si>
  <si>
    <t>Клеммы аккумуляторные</t>
  </si>
  <si>
    <t>Оксфорды</t>
  </si>
  <si>
    <t>Кольца</t>
  </si>
  <si>
    <t>Магнитные инструменты</t>
  </si>
  <si>
    <t>Пряники, вафли</t>
  </si>
  <si>
    <t>GPS-навигаторы</t>
  </si>
  <si>
    <t>Чипсы, попкорн</t>
  </si>
  <si>
    <t>Фитнес-резинки</t>
  </si>
  <si>
    <t>Телевизоры</t>
  </si>
  <si>
    <t>Овощерезки и электротерки</t>
  </si>
  <si>
    <t>Инструменты для удаления затирки</t>
  </si>
  <si>
    <t>Наборы для депиляции</t>
  </si>
  <si>
    <t>Ингаляторы и аксессуары</t>
  </si>
  <si>
    <t>Подарочные издания</t>
  </si>
  <si>
    <t>Маски тканевые</t>
  </si>
  <si>
    <t>Жилеты и нарукавники</t>
  </si>
  <si>
    <t>Аквариумы и аксессуары</t>
  </si>
  <si>
    <t>Напольные весы</t>
  </si>
  <si>
    <t>Пеленки и подгузники</t>
  </si>
  <si>
    <t>Картофелечистки и рыбочистки</t>
  </si>
  <si>
    <t>Вакуумные пакеты и запайщики</t>
  </si>
  <si>
    <t>Кастрюли-пароварки</t>
  </si>
  <si>
    <t>Витамины А и Е</t>
  </si>
  <si>
    <t>Предтренировочные комплексы</t>
  </si>
  <si>
    <t>Молотки для мяса</t>
  </si>
  <si>
    <t>Люди</t>
  </si>
  <si>
    <t>Маски защитные</t>
  </si>
  <si>
    <t>Автозагар</t>
  </si>
  <si>
    <t>Топы свободного кроя</t>
  </si>
  <si>
    <t>Головоломки</t>
  </si>
  <si>
    <t>Оксфорды и дерби</t>
  </si>
  <si>
    <t>Детские подушки</t>
  </si>
  <si>
    <t>Берцы</t>
  </si>
  <si>
    <t>Анкеты и дневники личные</t>
  </si>
  <si>
    <t>Анкеты</t>
  </si>
  <si>
    <t>Эспадрильи и слипоны</t>
  </si>
  <si>
    <t>Эспадрильи</t>
  </si>
  <si>
    <t>Скотч</t>
  </si>
  <si>
    <t>Громкоговорители</t>
  </si>
  <si>
    <t>Переноски для собак</t>
  </si>
  <si>
    <t>Аксессуары для электрических зубных щеток и ирригаторов</t>
  </si>
  <si>
    <t>Блоки питания для авто</t>
  </si>
  <si>
    <t>Консервные ножи и открывашки</t>
  </si>
  <si>
    <t>Запарки и ароматизаторы</t>
  </si>
  <si>
    <t>Дневники личные</t>
  </si>
  <si>
    <t>Принадлежности для швейных машин</t>
  </si>
  <si>
    <t>Водонагреватели</t>
  </si>
  <si>
    <t>Электрический теплый пол и регуляторы</t>
  </si>
  <si>
    <t>Геометрические наборы</t>
  </si>
  <si>
    <t>Классика</t>
  </si>
  <si>
    <t>Щипцы кухонные</t>
  </si>
  <si>
    <t>Молоко растительное</t>
  </si>
  <si>
    <t>Помады для бровей</t>
  </si>
  <si>
    <t>Пончо и кейпы</t>
  </si>
  <si>
    <t>Брелоки для чемоданов</t>
  </si>
  <si>
    <t>Счетчики и детекторы банкнот</t>
  </si>
  <si>
    <t>Веники для бань</t>
  </si>
  <si>
    <t>Отвертка</t>
  </si>
  <si>
    <t>Программное обеспечение</t>
  </si>
  <si>
    <t>Каркасные бассейны</t>
  </si>
  <si>
    <t>Платья-майки</t>
  </si>
  <si>
    <t>Комплекты верхней одежды</t>
  </si>
  <si>
    <t>Повседневные платья</t>
  </si>
  <si>
    <t>Вода</t>
  </si>
  <si>
    <t>Хадис</t>
  </si>
  <si>
    <t>Консервированные овощи</t>
  </si>
  <si>
    <t>Личная эффективность</t>
  </si>
  <si>
    <t>Провода прикуривания</t>
  </si>
  <si>
    <t>Для полива участка</t>
  </si>
  <si>
    <t>Малярные ленты</t>
  </si>
  <si>
    <t>Корректоры для текста</t>
  </si>
  <si>
    <t>Масленки, сырницы и лимонницы</t>
  </si>
  <si>
    <t>Фрезы</t>
  </si>
  <si>
    <t>Книги пожеланий</t>
  </si>
  <si>
    <t>Ритуальные товары</t>
  </si>
  <si>
    <t>Зажимы и расчески для ресниц и бровей</t>
  </si>
  <si>
    <t>Для с/х птиц</t>
  </si>
  <si>
    <t>Искусствоведение</t>
  </si>
  <si>
    <t>Садовые ножи и ножницы</t>
  </si>
  <si>
    <t>Туши для ресниц</t>
  </si>
  <si>
    <t>Кружки</t>
  </si>
  <si>
    <t>Очищающие гели для бороды и усов</t>
  </si>
  <si>
    <t>Защитные стекла и пленки</t>
  </si>
  <si>
    <t>Тонизирующие и общеукрепляющие</t>
  </si>
  <si>
    <t>Компрессионные гольфы, гетры, носки</t>
  </si>
  <si>
    <t>Хна</t>
  </si>
  <si>
    <t>Зажимы кухонные</t>
  </si>
  <si>
    <t>Глиттеры</t>
  </si>
  <si>
    <t>Автовизитки</t>
  </si>
  <si>
    <t>Масло косметическое</t>
  </si>
  <si>
    <t>Инструменты косметологические</t>
  </si>
  <si>
    <t>Фантастика и фэнтези</t>
  </si>
  <si>
    <t>Витамины D</t>
  </si>
  <si>
    <t>Шторки солнцезащитные</t>
  </si>
  <si>
    <t>Домашние xалаты</t>
  </si>
  <si>
    <t>Солнцезащитные кремы</t>
  </si>
  <si>
    <t>Пылесосы</t>
  </si>
  <si>
    <t>Сотейники</t>
  </si>
  <si>
    <t>Ткани</t>
  </si>
  <si>
    <t>Спортивные массажеры</t>
  </si>
  <si>
    <t>Кардиганы</t>
  </si>
  <si>
    <t>Наклейка для банковской карты</t>
  </si>
  <si>
    <t>Зажимы и беруши</t>
  </si>
  <si>
    <t>Уход за собой</t>
  </si>
  <si>
    <t>Спорт и фитнес</t>
  </si>
  <si>
    <t>Стиратели для доски</t>
  </si>
  <si>
    <t>Спортивный нудл</t>
  </si>
  <si>
    <t>Парки</t>
  </si>
  <si>
    <t>Держатель для страниц</t>
  </si>
  <si>
    <t>Хайлайтеры</t>
  </si>
  <si>
    <t>Подушки и матрасы автомобильные</t>
  </si>
  <si>
    <t>Медитация</t>
  </si>
  <si>
    <t>Мыло-скраб</t>
  </si>
  <si>
    <t>Компрессорная станция</t>
  </si>
  <si>
    <t>Дневники</t>
  </si>
  <si>
    <t>Дневники школьные</t>
  </si>
  <si>
    <t>Опоры и подвязки для растений</t>
  </si>
  <si>
    <t>Елочные игрушки и украшения</t>
  </si>
  <si>
    <t>Ленты для художественной гимнастики</t>
  </si>
  <si>
    <t>Спортивные бутылки и шейкеры</t>
  </si>
  <si>
    <t>Шкафы, тумбы, комоды</t>
  </si>
  <si>
    <t>Глина полимерная</t>
  </si>
  <si>
    <t>Наклейки и знаки</t>
  </si>
  <si>
    <t>Полки кухонные</t>
  </si>
  <si>
    <t>Защита для часов и фитнес браслетов</t>
  </si>
  <si>
    <t>Стекла</t>
  </si>
  <si>
    <t>Туши для бровей</t>
  </si>
  <si>
    <t>Датчики давления шин</t>
  </si>
  <si>
    <t>Сырорезки</t>
  </si>
  <si>
    <t>Кулеры для воды</t>
  </si>
  <si>
    <t>Вышивание</t>
  </si>
  <si>
    <t>Солнечные панели и батареи</t>
  </si>
  <si>
    <t>Камеры</t>
  </si>
  <si>
    <t>Упоры для отжиманий</t>
  </si>
  <si>
    <t>Пакеты и мешочки многоразовые</t>
  </si>
  <si>
    <t>Перчатки и пояса для фитнеса</t>
  </si>
  <si>
    <t>Дефлекторы окон и зеркал</t>
  </si>
  <si>
    <t>Носовые платки</t>
  </si>
  <si>
    <t>Тесто для лепки</t>
  </si>
  <si>
    <t>Емкости для специй и мельницы</t>
  </si>
  <si>
    <t>Парикмахерские принадлежности</t>
  </si>
  <si>
    <t>Массажеры для тела</t>
  </si>
  <si>
    <t>Детское здоровье</t>
  </si>
  <si>
    <t>Цепи и ленты антипробуксовочные</t>
  </si>
  <si>
    <t>Защитные пленки</t>
  </si>
  <si>
    <t>Видеорегистраторы</t>
  </si>
  <si>
    <t>Для газовых плит</t>
  </si>
  <si>
    <t>Бланк подарочного сертификата</t>
  </si>
  <si>
    <t>Костюмы и жакеты</t>
  </si>
  <si>
    <t>Зонты и вееры</t>
  </si>
  <si>
    <t>Средства для ухода</t>
  </si>
  <si>
    <t>Духовые шкафы</t>
  </si>
  <si>
    <t>Валики</t>
  </si>
  <si>
    <t>Платья с запахом</t>
  </si>
  <si>
    <t>Краски Холи</t>
  </si>
  <si>
    <t>Безмены и весы</t>
  </si>
  <si>
    <t>Разветвители электрические</t>
  </si>
  <si>
    <t>Воспитание детей</t>
  </si>
  <si>
    <t>Детоксикация и очищение организма</t>
  </si>
  <si>
    <t>Скороварки</t>
  </si>
  <si>
    <t>Роутеры</t>
  </si>
  <si>
    <t>Домашние платья и туники</t>
  </si>
  <si>
    <t>Шиномонтажное оборудование</t>
  </si>
  <si>
    <t>Сгущенное молоко</t>
  </si>
  <si>
    <t>Спортивные купальники</t>
  </si>
  <si>
    <t>Повязки</t>
  </si>
  <si>
    <t>Фотошторы</t>
  </si>
  <si>
    <t>Бортовые компьютеры</t>
  </si>
  <si>
    <t>Ниппели, вентили и секретки</t>
  </si>
  <si>
    <t>Наколенники и налокотники волейбольные</t>
  </si>
  <si>
    <t>Звуковые карты</t>
  </si>
  <si>
    <t>Береты</t>
  </si>
  <si>
    <t>Утепленные брюки</t>
  </si>
  <si>
    <t>Картриджи и фотопленка</t>
  </si>
  <si>
    <t>Переноски и шлейки для грызунов</t>
  </si>
  <si>
    <t>Переноски для грызунов</t>
  </si>
  <si>
    <t>Ноутбуки Apple MacBook</t>
  </si>
  <si>
    <t>Вазы</t>
  </si>
  <si>
    <t>Игрушечный транспорт</t>
  </si>
  <si>
    <t>Чайники</t>
  </si>
  <si>
    <t>Детские прорезыватели</t>
  </si>
  <si>
    <t>Ролики для пресса</t>
  </si>
  <si>
    <t>Мобильные VR-гарнитуры</t>
  </si>
  <si>
    <t>Чехлы для чемоданов</t>
  </si>
  <si>
    <t>Каши</t>
  </si>
  <si>
    <t>Освещение для технического помещения</t>
  </si>
  <si>
    <t>10 класс</t>
  </si>
  <si>
    <t>Ракеты</t>
  </si>
  <si>
    <t>Слуховые аппараты и усилители звука</t>
  </si>
  <si>
    <t>Резинки</t>
  </si>
  <si>
    <t>Фитопрепараты и чаи</t>
  </si>
  <si>
    <t>Топы</t>
  </si>
  <si>
    <t>Ванночки и горки</t>
  </si>
  <si>
    <t>Ремешки для часов</t>
  </si>
  <si>
    <t>Фитнес браслеты</t>
  </si>
  <si>
    <t>Специальная медицина</t>
  </si>
  <si>
    <t>Детские присыпки</t>
  </si>
  <si>
    <t>Мемуары. Автобиографии</t>
  </si>
  <si>
    <t>Баскетбольные кольца</t>
  </si>
  <si>
    <t>Средства для ремонта царапин</t>
  </si>
  <si>
    <t>Блоки питания</t>
  </si>
  <si>
    <t>Стиральные порошки</t>
  </si>
  <si>
    <t>Универсальные чистящие средства</t>
  </si>
  <si>
    <t>Грунт и удобрения</t>
  </si>
  <si>
    <t>Фотоаппараты мгновенной печати</t>
  </si>
  <si>
    <t>Воки</t>
  </si>
  <si>
    <t>Ручки</t>
  </si>
  <si>
    <t>Комбинезоны повседневные</t>
  </si>
  <si>
    <t>Жакеты</t>
  </si>
  <si>
    <t>Поясные сумки и рюкзаки-гидраторы для бега</t>
  </si>
  <si>
    <t>Десерты для детей</t>
  </si>
  <si>
    <t>Детское печенье</t>
  </si>
  <si>
    <t>Статуэтки и фигурки</t>
  </si>
  <si>
    <t>Шейкеры для напитков</t>
  </si>
  <si>
    <t>Форменная одежда</t>
  </si>
  <si>
    <t>Тальк для тела</t>
  </si>
  <si>
    <t>Термокружки и подстаканники</t>
  </si>
  <si>
    <t>Массажеры для ног</t>
  </si>
  <si>
    <t>Волейбольные мячи</t>
  </si>
  <si>
    <t>Диски и блины для штанг</t>
  </si>
  <si>
    <t>Специализированная обувь</t>
  </si>
  <si>
    <t>Спортивные игры</t>
  </si>
  <si>
    <t>Средство от растяжек</t>
  </si>
  <si>
    <t>Таймеры кухонные</t>
  </si>
  <si>
    <t>Корсеты и корректоры осанки</t>
  </si>
  <si>
    <t>Картины из пайеток</t>
  </si>
  <si>
    <t>Наборы аксессуаров</t>
  </si>
  <si>
    <t>Кроп-топы</t>
  </si>
  <si>
    <t>Перфораторы</t>
  </si>
  <si>
    <t>Зубные порошки</t>
  </si>
  <si>
    <t>Крылья и брызговики</t>
  </si>
  <si>
    <t>Фильтры, насосы и хлоргенераторы</t>
  </si>
  <si>
    <t>Чай с добавками</t>
  </si>
  <si>
    <t>Емкости для жидкостей</t>
  </si>
  <si>
    <t>Ходунки и прыгунки</t>
  </si>
  <si>
    <t>Фантастика</t>
  </si>
  <si>
    <t>Тазы и ведра строительные</t>
  </si>
  <si>
    <t>Пляжные платья и туники</t>
  </si>
  <si>
    <t>Сахарозаменители</t>
  </si>
  <si>
    <t>Животные и птицы</t>
  </si>
  <si>
    <t>Другие языки</t>
  </si>
  <si>
    <t>Дрессировка собак</t>
  </si>
  <si>
    <t>Фитинги и комплектующие</t>
  </si>
  <si>
    <t>Ободки и диадемы</t>
  </si>
  <si>
    <t>Маски для сна</t>
  </si>
  <si>
    <t>Сентиментальная проза</t>
  </si>
  <si>
    <t>Фруктовые чипсы</t>
  </si>
  <si>
    <t>Держатели для кабелей</t>
  </si>
  <si>
    <t>Комбинированные плиты</t>
  </si>
  <si>
    <t>Аромадиффузоры</t>
  </si>
  <si>
    <t>Формы для леденцов и конфет</t>
  </si>
  <si>
    <t>Зарядные станции для электромобилей</t>
  </si>
  <si>
    <t>Мыло туалетное</t>
  </si>
  <si>
    <t>Bluetooth-метки, брелки и умные визитки</t>
  </si>
  <si>
    <t>Солнцезащитные средства</t>
  </si>
  <si>
    <t>Пропитки воздушных фильтров</t>
  </si>
  <si>
    <t>Подставки для компьютеров</t>
  </si>
  <si>
    <t>Турники и брусья</t>
  </si>
  <si>
    <t>Туалеты и наполнители</t>
  </si>
  <si>
    <t>Магниты для досок</t>
  </si>
  <si>
    <t>Точки доступа</t>
  </si>
  <si>
    <t>Трусы</t>
  </si>
  <si>
    <t>Автомобильная громкая связь</t>
  </si>
  <si>
    <t>Таблетки для животных</t>
  </si>
  <si>
    <t>Погодные станции</t>
  </si>
  <si>
    <t>Регистраторы</t>
  </si>
  <si>
    <t>Игральные карты</t>
  </si>
  <si>
    <t>Плододержатели</t>
  </si>
  <si>
    <t>Шахматы и шашки для детей</t>
  </si>
  <si>
    <t>Экшн-камеры</t>
  </si>
  <si>
    <t>Бумага для факса</t>
  </si>
  <si>
    <t>Стаканы и чашки одноразовые</t>
  </si>
  <si>
    <t>Прочие кухонные инструменты</t>
  </si>
  <si>
    <t>Мешки, шприцы и насадки</t>
  </si>
  <si>
    <t>Пила ручная</t>
  </si>
  <si>
    <t>Зубные щетки</t>
  </si>
  <si>
    <t>Bluetooth-гарнитуры</t>
  </si>
  <si>
    <t>Свитеры</t>
  </si>
  <si>
    <t>Декупаж</t>
  </si>
  <si>
    <t>3D-принтеры</t>
  </si>
  <si>
    <t>Фотофоны</t>
  </si>
  <si>
    <t>Накладки на пороги</t>
  </si>
  <si>
    <t>Текстиль с электроподогревом</t>
  </si>
  <si>
    <t>Электроодеяла</t>
  </si>
  <si>
    <t>Файлы и разделители</t>
  </si>
  <si>
    <t>Когтеточки</t>
  </si>
  <si>
    <t>Карты Таро</t>
  </si>
  <si>
    <t>Бегущая строка</t>
  </si>
  <si>
    <t>Электроматрасы</t>
  </si>
  <si>
    <t>Флипперы и эмблемы</t>
  </si>
  <si>
    <t>Инструменты для очистки</t>
  </si>
  <si>
    <t>Щетки для бассейнов</t>
  </si>
  <si>
    <t>Точилки для карандашей</t>
  </si>
  <si>
    <t>Пустышки, соски и аксессуары</t>
  </si>
  <si>
    <t>Увлажнители воздуха</t>
  </si>
  <si>
    <t>Кисти кулинарные</t>
  </si>
  <si>
    <t>Шоколадные конфеты</t>
  </si>
  <si>
    <t>Датчики для авто</t>
  </si>
  <si>
    <t>Аксессуары для автоинструмента</t>
  </si>
  <si>
    <t>Кольца для тетради</t>
  </si>
  <si>
    <t>Души и рукомойники</t>
  </si>
  <si>
    <t>Графические планшеты</t>
  </si>
  <si>
    <t>Чистящие средства</t>
  </si>
  <si>
    <t>Накладные ресницы</t>
  </si>
  <si>
    <t>Фартуки и пояса</t>
  </si>
  <si>
    <t>Путешествия, путеводители</t>
  </si>
  <si>
    <t>Ремонтные лежаки</t>
  </si>
  <si>
    <t>Шурупы и саморезы</t>
  </si>
  <si>
    <t>Для повышения давления</t>
  </si>
  <si>
    <t>Полоскание и уход за полостью рта</t>
  </si>
  <si>
    <t>Флюиды, эликсиры, эссенции</t>
  </si>
  <si>
    <t>Прокладки и тампоны</t>
  </si>
  <si>
    <t>Вилки кулинарные</t>
  </si>
  <si>
    <t>Лопатки для плавания</t>
  </si>
  <si>
    <t>Глобусы</t>
  </si>
  <si>
    <t>Торты, рулеты, кексы</t>
  </si>
  <si>
    <t>Вышивальные машины</t>
  </si>
  <si>
    <t>Цикорий</t>
  </si>
  <si>
    <t>Тряпки, салфетки и губки</t>
  </si>
  <si>
    <t>Клей и герметики</t>
  </si>
  <si>
    <t>Ручки для посуды</t>
  </si>
  <si>
    <t>Грелки</t>
  </si>
  <si>
    <t>Тележки и тачки</t>
  </si>
  <si>
    <t>Лейки и опрыскиватели</t>
  </si>
  <si>
    <t>Велотренажеры</t>
  </si>
  <si>
    <t>Wi-Fi контроллеры</t>
  </si>
  <si>
    <t>Коврики резиновые</t>
  </si>
  <si>
    <t>Брелоки и декоративные элементы</t>
  </si>
  <si>
    <t>Гайковерты</t>
  </si>
  <si>
    <t>Корпуса</t>
  </si>
  <si>
    <t>Квадрокоптеры</t>
  </si>
  <si>
    <t>Планшеты Apple iPad</t>
  </si>
  <si>
    <t>Мешки для мусора</t>
  </si>
  <si>
    <t>Восточные сладости</t>
  </si>
  <si>
    <t>Фильтр-кувшины</t>
  </si>
  <si>
    <t>Автоматика для ворот</t>
  </si>
  <si>
    <t>Кабели для видео</t>
  </si>
  <si>
    <t>Наборы для ванной комнаты</t>
  </si>
  <si>
    <t>Блески</t>
  </si>
  <si>
    <t>Журналистские расследования</t>
  </si>
  <si>
    <t>Сарафаны</t>
  </si>
  <si>
    <t>Медицинские браслеты и пульсоксиметры</t>
  </si>
  <si>
    <t>Приключения</t>
  </si>
  <si>
    <t>Электровелосипеды</t>
  </si>
  <si>
    <t>Баки для белья</t>
  </si>
  <si>
    <t>Беспроводные адаптеры</t>
  </si>
  <si>
    <t>Капли для животных</t>
  </si>
  <si>
    <t>Игровые комплексы и детские площадки</t>
  </si>
  <si>
    <t>Стаканы</t>
  </si>
  <si>
    <t>Наборы электроинструментов</t>
  </si>
  <si>
    <t>Тостеры</t>
  </si>
  <si>
    <t>Легкие куртки и ветровки</t>
  </si>
  <si>
    <t>Ручные соковыжималки</t>
  </si>
  <si>
    <t>Папки подвесные</t>
  </si>
  <si>
    <t>Отбеливание зубов</t>
  </si>
  <si>
    <t>Комплекты постельного белья</t>
  </si>
  <si>
    <t>Компьютерная акустика</t>
  </si>
  <si>
    <t>Крепления и сетки</t>
  </si>
  <si>
    <t>Рукава</t>
  </si>
  <si>
    <t>Детские каши</t>
  </si>
  <si>
    <t>Тюнеры и ресиверы</t>
  </si>
  <si>
    <t>DVB-T2 тюнеры</t>
  </si>
  <si>
    <t>Пазлы</t>
  </si>
  <si>
    <t>Omega 3, жирные кислоты, коэнзимы</t>
  </si>
  <si>
    <t>Металлоискатели и аксессуары</t>
  </si>
  <si>
    <t>Защита переднего бампера</t>
  </si>
  <si>
    <t>Компостеры и активаторы компоста</t>
  </si>
  <si>
    <t>Флюиды</t>
  </si>
  <si>
    <t>Чайники электрические</t>
  </si>
  <si>
    <t>Дезодоранты для обуви</t>
  </si>
  <si>
    <t>Инструменты для рукоделия</t>
  </si>
  <si>
    <t>Для канализации</t>
  </si>
  <si>
    <t>Внешние оптические приводы</t>
  </si>
  <si>
    <t>Учимся писать</t>
  </si>
  <si>
    <t>Коврики прикроватные</t>
  </si>
  <si>
    <t>Улучшение памяти</t>
  </si>
  <si>
    <t>Электронные будильники</t>
  </si>
  <si>
    <t>Вентиляционные решетки и ревизионные люки</t>
  </si>
  <si>
    <t>Кухонные мойки</t>
  </si>
  <si>
    <t>Клатчи и косметички</t>
  </si>
  <si>
    <t>Фольга, пленка, рукава для запекания</t>
  </si>
  <si>
    <t>Гель для умывания</t>
  </si>
  <si>
    <t>Лотки и наполнители</t>
  </si>
  <si>
    <t>Наполнители</t>
  </si>
  <si>
    <t>Совки</t>
  </si>
  <si>
    <t>Психиатрия. Психотерапия</t>
  </si>
  <si>
    <t>Холсты</t>
  </si>
  <si>
    <t>Бюстгальтеры</t>
  </si>
  <si>
    <t>Крахмал</t>
  </si>
  <si>
    <t>Поплавки для бассейнов</t>
  </si>
  <si>
    <t>Точилки для ножей</t>
  </si>
  <si>
    <t>Гипс и масса для лепки</t>
  </si>
  <si>
    <t>Салфетки для детей</t>
  </si>
  <si>
    <t>Тени для бровей</t>
  </si>
  <si>
    <t>Животные и растения</t>
  </si>
  <si>
    <t>Очистители воздуха</t>
  </si>
  <si>
    <t>Напольные вентиляторы</t>
  </si>
  <si>
    <t>Защита растений от вредителей и болезней</t>
  </si>
  <si>
    <t>Свечи для торта</t>
  </si>
  <si>
    <t>Моделирование</t>
  </si>
  <si>
    <t>8 класс</t>
  </si>
  <si>
    <t>Накладные ногти, типсы и клей для ногтей</t>
  </si>
  <si>
    <t>Гели, мази</t>
  </si>
  <si>
    <t>Прочие аксессуары для вязания</t>
  </si>
  <si>
    <t>Фэнтези</t>
  </si>
  <si>
    <t>Аромабудильники и картриджи</t>
  </si>
  <si>
    <t>Рубашки с коротким рукавом</t>
  </si>
  <si>
    <t>Умные колонки</t>
  </si>
  <si>
    <t>Массажные столы</t>
  </si>
  <si>
    <t>Формы для льда</t>
  </si>
  <si>
    <t>Столы детские</t>
  </si>
  <si>
    <t>Бомбочки для ванны</t>
  </si>
  <si>
    <t>Бумага копировальная</t>
  </si>
  <si>
    <t>Промывки и очистители</t>
  </si>
  <si>
    <t>Сабвуферы для авто</t>
  </si>
  <si>
    <t>Карты памяти для телефонов</t>
  </si>
  <si>
    <t>Зарядные устройства и блоки питания</t>
  </si>
  <si>
    <t>Хна для ногтей</t>
  </si>
  <si>
    <t>Деревянные</t>
  </si>
  <si>
    <t>Электрорубанки</t>
  </si>
  <si>
    <t>Фотобоксы</t>
  </si>
  <si>
    <t>Акустические системы</t>
  </si>
  <si>
    <t>Салфетки</t>
  </si>
  <si>
    <t>Мультипекари</t>
  </si>
  <si>
    <t>Масло для душа</t>
  </si>
  <si>
    <t>Измерение длин и углов наклона</t>
  </si>
  <si>
    <t>Прочая электротехника</t>
  </si>
  <si>
    <t>Формы для яичницы</t>
  </si>
  <si>
    <t>Аргинины</t>
  </si>
  <si>
    <t>Химия для бассейнов</t>
  </si>
  <si>
    <t>Наборы для квиллинга</t>
  </si>
  <si>
    <t>Наматрасники и чехлы для матрасов</t>
  </si>
  <si>
    <t>Популярная медицина</t>
  </si>
  <si>
    <t>Средства для кухни</t>
  </si>
  <si>
    <t>Наборы аксессуаров для волос</t>
  </si>
  <si>
    <t>Смартфоны на других ОС</t>
  </si>
  <si>
    <t>Шампуры</t>
  </si>
  <si>
    <t>Наборы для создания открыток</t>
  </si>
  <si>
    <t>Переходные кольца/адаптеры для объективов</t>
  </si>
  <si>
    <t>Марли</t>
  </si>
  <si>
    <t>Распошивальные машины</t>
  </si>
  <si>
    <t>Капы</t>
  </si>
  <si>
    <t>Аксессуары для тренажеров</t>
  </si>
  <si>
    <t>Витамины группы В</t>
  </si>
  <si>
    <t>Телефонные книги</t>
  </si>
  <si>
    <t>Аксессуары для наушников</t>
  </si>
  <si>
    <t>Магнитофоны</t>
  </si>
  <si>
    <t>Свадебные платья</t>
  </si>
  <si>
    <t>Электрогрелки</t>
  </si>
  <si>
    <t>Гольф</t>
  </si>
  <si>
    <t>Аксессуары для гольфа</t>
  </si>
  <si>
    <t>Травяные</t>
  </si>
  <si>
    <t>Пробки для ванны и раковины</t>
  </si>
  <si>
    <t>Желейные конфеты</t>
  </si>
  <si>
    <t>Блузки</t>
  </si>
  <si>
    <t>Ростомеры</t>
  </si>
  <si>
    <t>Боди-топы</t>
  </si>
  <si>
    <t>Протеины</t>
  </si>
  <si>
    <t>Средства ухода за лежачими больными</t>
  </si>
  <si>
    <t>Судна и утки</t>
  </si>
  <si>
    <t>Кожаные брюки</t>
  </si>
  <si>
    <t>Наборы садовых инструментов</t>
  </si>
  <si>
    <t>Экипировка для велоспорта</t>
  </si>
  <si>
    <t>Датчики</t>
  </si>
  <si>
    <t>Кисти и аксессуары для окрашивания</t>
  </si>
  <si>
    <t>Папки для диплома</t>
  </si>
  <si>
    <t>Корректоры и консилеры</t>
  </si>
  <si>
    <t>Для глаз</t>
  </si>
  <si>
    <t>Пеленки и подгузники для взрослых</t>
  </si>
  <si>
    <t>Аксессуары и расходники для ручек</t>
  </si>
  <si>
    <t>Сыворотки и масла для ухода за бровями</t>
  </si>
  <si>
    <t>Аксессуары для штор и карнизов</t>
  </si>
  <si>
    <t>Тяжелая атлетика</t>
  </si>
  <si>
    <t>Экипировка для тяжелой атлетики</t>
  </si>
  <si>
    <t>Блеск</t>
  </si>
  <si>
    <t>Водные игровые центры</t>
  </si>
  <si>
    <t>Магические аксессуары и материалы</t>
  </si>
  <si>
    <t>Платья офисные</t>
  </si>
  <si>
    <t>Коконы и позиционеры</t>
  </si>
  <si>
    <t>Дизайн-бумага</t>
  </si>
  <si>
    <t>Кофемашины капсульные</t>
  </si>
  <si>
    <t>Трубные ключи</t>
  </si>
  <si>
    <t>Для автоматического водоснабжения</t>
  </si>
  <si>
    <t>Наклейки для консервации, хранения</t>
  </si>
  <si>
    <t>Корзины для цветов</t>
  </si>
  <si>
    <t>6 класс</t>
  </si>
  <si>
    <t>Оповещатели</t>
  </si>
  <si>
    <t>Бандажи</t>
  </si>
  <si>
    <t>Краски и грунтовки</t>
  </si>
  <si>
    <t>Морсы, кисели, компоты</t>
  </si>
  <si>
    <t>Ковры</t>
  </si>
  <si>
    <t>Розетки и выключатели</t>
  </si>
  <si>
    <t>Скамьи и стойки</t>
  </si>
  <si>
    <t>Трусы дородовые и послеродовые</t>
  </si>
  <si>
    <t>Игрушки и аксессуары для птиц</t>
  </si>
  <si>
    <t>Аксессуары для стерилизации</t>
  </si>
  <si>
    <t>Стихи</t>
  </si>
  <si>
    <t>Гели</t>
  </si>
  <si>
    <t>Хозяйственное мыло</t>
  </si>
  <si>
    <t>Искусственные цветы</t>
  </si>
  <si>
    <t>Подъемное оборудование</t>
  </si>
  <si>
    <t>Мелкие инструменты</t>
  </si>
  <si>
    <t>Выключатели зажигания</t>
  </si>
  <si>
    <t>Нервная система</t>
  </si>
  <si>
    <t>Успокоительные</t>
  </si>
  <si>
    <t>Защита от воды, от соли и реагентов</t>
  </si>
  <si>
    <t>Джинсовые платья</t>
  </si>
  <si>
    <t>Лодочки</t>
  </si>
  <si>
    <t>Любовь и отношения</t>
  </si>
  <si>
    <t>Эмоциональный интеллект</t>
  </si>
  <si>
    <t>Соус песто</t>
  </si>
  <si>
    <t>Кофейные и молочные напитки</t>
  </si>
  <si>
    <t>Средства для купания</t>
  </si>
  <si>
    <t>Для мелкой бытовой техники</t>
  </si>
  <si>
    <t>Наборы ключей</t>
  </si>
  <si>
    <t>Валенки</t>
  </si>
  <si>
    <t>Звонки и гонги</t>
  </si>
  <si>
    <t>Гели и жидкости для стирки</t>
  </si>
  <si>
    <t>Пакеты фасовочные</t>
  </si>
  <si>
    <t>Свободные джинсы</t>
  </si>
  <si>
    <t>Награды, кубки, ленты</t>
  </si>
  <si>
    <t>Аккумуляторные батареи</t>
  </si>
  <si>
    <t>Машинное обучение</t>
  </si>
  <si>
    <t>Ведра и кадки</t>
  </si>
  <si>
    <t>Варочные панели</t>
  </si>
  <si>
    <t>Презервативы</t>
  </si>
  <si>
    <t>Базы данных</t>
  </si>
  <si>
    <t>Коробки, корзины, контейнеры</t>
  </si>
  <si>
    <t>Фиксаторы макияжа</t>
  </si>
  <si>
    <t>Подводки для глаз, контур</t>
  </si>
  <si>
    <t>Губки и мочалки</t>
  </si>
  <si>
    <t>Прессы для чеснока</t>
  </si>
  <si>
    <t>Комплектующие и расходные материалы</t>
  </si>
  <si>
    <t>Сетевые адаптеры и PoE-инжекторы</t>
  </si>
  <si>
    <t>Диски</t>
  </si>
  <si>
    <t>Кусторезы, сучкорезы, секаторы</t>
  </si>
  <si>
    <t>Краски штемпельные</t>
  </si>
  <si>
    <t>Подавители сигнала GPS</t>
  </si>
  <si>
    <t>Товары для перевозки</t>
  </si>
  <si>
    <t>Платки</t>
  </si>
  <si>
    <t>Чехлы и ручки для бутылей</t>
  </si>
  <si>
    <t>Шредеры</t>
  </si>
  <si>
    <t>Триммеры и ножницы для бровей</t>
  </si>
  <si>
    <t>Этикет</t>
  </si>
  <si>
    <t>Кусачки</t>
  </si>
  <si>
    <t>Электрические плиты</t>
  </si>
  <si>
    <t>Карандаши для глаз, контур</t>
  </si>
  <si>
    <t>Открытки</t>
  </si>
  <si>
    <t>Прочие облицовочные материалы</t>
  </si>
  <si>
    <t>Масло для ванны</t>
  </si>
  <si>
    <t>Амулеты, обереги и талисманы</t>
  </si>
  <si>
    <t>Наборы для досок и флипчартов</t>
  </si>
  <si>
    <t>Нейтрализаторы запахов</t>
  </si>
  <si>
    <t>Платья-пиджаки</t>
  </si>
  <si>
    <t>Сквош</t>
  </si>
  <si>
    <t>Балетки с открытым носом</t>
  </si>
  <si>
    <t>Коврики для ванной</t>
  </si>
  <si>
    <t>Полотенцесушители и комплектующие</t>
  </si>
  <si>
    <t>Автокресла</t>
  </si>
  <si>
    <t>Мишура, дождик, растяжки</t>
  </si>
  <si>
    <t>Заварочные чайники</t>
  </si>
  <si>
    <t>Электронные замки</t>
  </si>
  <si>
    <t>Скалки</t>
  </si>
  <si>
    <t>Салфетки, спреи для очков</t>
  </si>
  <si>
    <t>Автомагнитолы</t>
  </si>
  <si>
    <t>Гантели для аквааэробики</t>
  </si>
  <si>
    <t>Степлеры и скобы</t>
  </si>
  <si>
    <t>Электропростыни</t>
  </si>
  <si>
    <t>3G/4G роутеры</t>
  </si>
  <si>
    <t>Развитие мозга</t>
  </si>
  <si>
    <t>Кофеварки</t>
  </si>
  <si>
    <t>Кальсоны</t>
  </si>
  <si>
    <t>Упаковка и переезд</t>
  </si>
  <si>
    <t>Подводки для бровей</t>
  </si>
  <si>
    <t>Всемирная история</t>
  </si>
  <si>
    <t>Папки для бумаги</t>
  </si>
  <si>
    <t>Митенки</t>
  </si>
  <si>
    <t>Душевые системы и лейки</t>
  </si>
  <si>
    <t>Уход за зубными протезами</t>
  </si>
  <si>
    <t>Тонировка автомобиля</t>
  </si>
  <si>
    <t>Принтеры</t>
  </si>
  <si>
    <t>Промышленные и строительные пылесосы</t>
  </si>
  <si>
    <t>Скатерти</t>
  </si>
  <si>
    <t>Измельчители и воздуходувки</t>
  </si>
  <si>
    <t>Цветы и натюрморты</t>
  </si>
  <si>
    <t>Переходники и адаптеры для видео</t>
  </si>
  <si>
    <t>Тетрадь</t>
  </si>
  <si>
    <t>Детективы</t>
  </si>
  <si>
    <t>Ключи и адаптеры для SIM карт</t>
  </si>
  <si>
    <t>Воздушные змеи</t>
  </si>
  <si>
    <t>Китайский язык</t>
  </si>
  <si>
    <t>Адаптеры для индукционных плит</t>
  </si>
  <si>
    <t>Фрезы и триммеры для кутикул</t>
  </si>
  <si>
    <t>Технические ленты</t>
  </si>
  <si>
    <t>Вантузы и тросы</t>
  </si>
  <si>
    <t>Жевательные конфеты</t>
  </si>
  <si>
    <t>Баскетбольные аксессуары</t>
  </si>
  <si>
    <t>Ароматерапия</t>
  </si>
  <si>
    <t>Эфирные масла</t>
  </si>
  <si>
    <t>Саженцы</t>
  </si>
  <si>
    <t>Медицинские инструменты</t>
  </si>
  <si>
    <t>Соус чили</t>
  </si>
  <si>
    <t>Микрофоны</t>
  </si>
  <si>
    <t>Инвалидные коляски</t>
  </si>
  <si>
    <t>Средства от сорняков</t>
  </si>
  <si>
    <t>Манная</t>
  </si>
  <si>
    <t>Миксеры и разбавители косметики</t>
  </si>
  <si>
    <t>Романтика и любовь</t>
  </si>
  <si>
    <t>Бортики для кроватки</t>
  </si>
  <si>
    <t>Джинсы-мом</t>
  </si>
  <si>
    <t>Двигатель</t>
  </si>
  <si>
    <t>Стерилизаторы</t>
  </si>
  <si>
    <t>Балдахины и москитные сетки</t>
  </si>
  <si>
    <t>Зефир, пастила, мармелад</t>
  </si>
  <si>
    <t>Бинты</t>
  </si>
  <si>
    <t>Комплекс аминокислот</t>
  </si>
  <si>
    <t>Измерители стопы</t>
  </si>
  <si>
    <t>Чистящие средства для автомобиля</t>
  </si>
  <si>
    <t>Горшки и детские сиденья на унитаз</t>
  </si>
  <si>
    <t>Пояса</t>
  </si>
  <si>
    <t>Прочие автомобильные сувениры</t>
  </si>
  <si>
    <t>Беговелы и каталки</t>
  </si>
  <si>
    <t>Вата</t>
  </si>
  <si>
    <t>Аксессуары для туризма и отдыха</t>
  </si>
  <si>
    <t>Указки</t>
  </si>
  <si>
    <t>Жевательные резинки</t>
  </si>
  <si>
    <t>Электролобзики</t>
  </si>
  <si>
    <t>Плоскогубцы</t>
  </si>
  <si>
    <t>Светоотражатели</t>
  </si>
  <si>
    <t>Подлокотники</t>
  </si>
  <si>
    <t>Контроллеры интерфейсов</t>
  </si>
  <si>
    <t>Строительные ленты</t>
  </si>
  <si>
    <t>Кимоно</t>
  </si>
  <si>
    <t>Ортопедические стельки и полустельки, корректоры стопы</t>
  </si>
  <si>
    <t>Шпатели</t>
  </si>
  <si>
    <t>Прочие аксессуары и запчасти для бытовой техники</t>
  </si>
  <si>
    <t>Лечебные ошейники</t>
  </si>
  <si>
    <t>Книги учета</t>
  </si>
  <si>
    <t>Горшки и кашпо</t>
  </si>
  <si>
    <t>Арт-терапия</t>
  </si>
  <si>
    <t>Моющие пылесосы</t>
  </si>
  <si>
    <t>Удлинители и пилоты</t>
  </si>
  <si>
    <t>Ложки</t>
  </si>
  <si>
    <t>Управление стрессом</t>
  </si>
  <si>
    <t>Бокалы и фужеры</t>
  </si>
  <si>
    <t>Тетрадь для записи иностранных слов</t>
  </si>
  <si>
    <t>3D очки</t>
  </si>
  <si>
    <t>Насадки для электрических зубных щеток и ирригаторов</t>
  </si>
  <si>
    <t>Обручи гимнастические</t>
  </si>
  <si>
    <t>Френч-прессы</t>
  </si>
  <si>
    <t>Накладки и крышки на углы и розетки</t>
  </si>
  <si>
    <t>Мужчинам</t>
  </si>
  <si>
    <t>Антенны для телевизоров</t>
  </si>
  <si>
    <t>Столовые приборы одноразовые</t>
  </si>
  <si>
    <t>Кофе в капсулах</t>
  </si>
  <si>
    <t>Детские зубные щетки</t>
  </si>
  <si>
    <t>Джинсовые юбки</t>
  </si>
  <si>
    <t>Серфинг, виндсерфинг, водные лыжи, кайтсерфинг</t>
  </si>
  <si>
    <t>Детское мыло</t>
  </si>
  <si>
    <t>Пончо</t>
  </si>
  <si>
    <t>Аптечки, таблетницы и медицинские сумки</t>
  </si>
  <si>
    <t>Наборы для пикника</t>
  </si>
  <si>
    <t>Высокие ботильоны</t>
  </si>
  <si>
    <t>Зажигалки кухонные</t>
  </si>
  <si>
    <t>Подносы</t>
  </si>
  <si>
    <t>Трещоточные ключи</t>
  </si>
  <si>
    <t>Фены и насадки</t>
  </si>
  <si>
    <t>Коляски</t>
  </si>
  <si>
    <t>Уголки и держатели</t>
  </si>
  <si>
    <t>Ночные сорочки</t>
  </si>
  <si>
    <t>Спортивные топы</t>
  </si>
  <si>
    <t>Булавы</t>
  </si>
  <si>
    <t>Детские расчески и щетки</t>
  </si>
  <si>
    <t>Тестостероны</t>
  </si>
  <si>
    <t>Шумовки</t>
  </si>
  <si>
    <t>Учимся считать</t>
  </si>
  <si>
    <t>Антигравий</t>
  </si>
  <si>
    <t>Молнии</t>
  </si>
  <si>
    <t>Свечи и подсвечники</t>
  </si>
  <si>
    <t>Планнеры</t>
  </si>
  <si>
    <t>Плетение</t>
  </si>
  <si>
    <t>Замки для чемоданов</t>
  </si>
  <si>
    <t>Суперфуды</t>
  </si>
  <si>
    <t>Обувь с увеличенной полнотой</t>
  </si>
  <si>
    <t>Бинты эластичные</t>
  </si>
  <si>
    <t>Наборы для покера</t>
  </si>
  <si>
    <t>Крышки для напитков</t>
  </si>
  <si>
    <t>Бинты и бандажи</t>
  </si>
  <si>
    <t>Спецодежда рабочая</t>
  </si>
  <si>
    <t>Массажеры для лица и тела</t>
  </si>
  <si>
    <t>Бодибары</t>
  </si>
  <si>
    <t>Коврики для купания</t>
  </si>
  <si>
    <t>Сыворотки для волос</t>
  </si>
  <si>
    <t>Мелки и пастель</t>
  </si>
  <si>
    <t>Перчатки медицинские</t>
  </si>
  <si>
    <t>Носки и обувь для дайвинга</t>
  </si>
  <si>
    <t>Велосипедки</t>
  </si>
  <si>
    <t>Наклейки для телефонов</t>
  </si>
  <si>
    <t>Лотки</t>
  </si>
  <si>
    <t>Электрооборудование</t>
  </si>
  <si>
    <t>Рыбные консервы</t>
  </si>
  <si>
    <t>Селен</t>
  </si>
  <si>
    <t>Фрукто-овощерезки</t>
  </si>
  <si>
    <t>Рогатки</t>
  </si>
  <si>
    <t>Здоровый сон</t>
  </si>
  <si>
    <t>Массажные коврики</t>
  </si>
  <si>
    <t>Аксессуары для настольных и карточных игр</t>
  </si>
  <si>
    <t>Магний</t>
  </si>
  <si>
    <t>Фотобумага</t>
  </si>
  <si>
    <t>Запчасти для инструментов</t>
  </si>
  <si>
    <t>Мини-тренажеры</t>
  </si>
  <si>
    <t>Вспомогательные жидкости</t>
  </si>
  <si>
    <t>Наушники шумоподавляющие и беруши</t>
  </si>
  <si>
    <t>Для пищеварительной системы</t>
  </si>
  <si>
    <t>Дезодоранты и антиперcпиранты для мужчин</t>
  </si>
  <si>
    <t>Лимонная кислота</t>
  </si>
  <si>
    <t>Чай красный</t>
  </si>
  <si>
    <t>Самокаты</t>
  </si>
  <si>
    <t>Высокие слипоны</t>
  </si>
  <si>
    <t>Предметы интерьера бани</t>
  </si>
  <si>
    <t>Тетрадь предметная</t>
  </si>
  <si>
    <t>Туристические коврики</t>
  </si>
  <si>
    <t>Гаечные ключи</t>
  </si>
  <si>
    <t>Хиджабы и тюрбаны</t>
  </si>
  <si>
    <t>Джинсовые комбинезоны</t>
  </si>
  <si>
    <t>Буры</t>
  </si>
  <si>
    <t>Варенье, джемы и протертые ягоды</t>
  </si>
  <si>
    <t>Средства после загара</t>
  </si>
  <si>
    <t>Шпажки, канапе</t>
  </si>
  <si>
    <t>Присадки и добавки</t>
  </si>
  <si>
    <t>Сумки и чехлы</t>
  </si>
  <si>
    <t>Кукольные домики</t>
  </si>
  <si>
    <t>Пирсинг</t>
  </si>
  <si>
    <t>Емкости мерные</t>
  </si>
  <si>
    <t>Детские кружки</t>
  </si>
  <si>
    <t>Автоматика и комплектующие</t>
  </si>
  <si>
    <t>Спреи и уничтожители запаха</t>
  </si>
  <si>
    <t>Тюбинги</t>
  </si>
  <si>
    <t>Зубило слесарное</t>
  </si>
  <si>
    <t>Кухонные машины и комбайны</t>
  </si>
  <si>
    <t>Усилители для сабвуфера</t>
  </si>
  <si>
    <t>Кеды</t>
  </si>
  <si>
    <t>УШМ (болгарки)</t>
  </si>
  <si>
    <t>Клей</t>
  </si>
  <si>
    <t>Коронки</t>
  </si>
  <si>
    <t>Рюкзаки, слинги, сумки-кенгуру</t>
  </si>
  <si>
    <t>Циркулярные пилы</t>
  </si>
  <si>
    <t>Футбольные мячи</t>
  </si>
  <si>
    <t>Кремы для лица</t>
  </si>
  <si>
    <t>Морозильники</t>
  </si>
  <si>
    <t>Объективы</t>
  </si>
  <si>
    <t>Предусилители</t>
  </si>
  <si>
    <t>Клатчи</t>
  </si>
  <si>
    <t>Одежда, пояса и пластыри для похудения</t>
  </si>
  <si>
    <t>Бриджи</t>
  </si>
  <si>
    <t>Беговые дорожки</t>
  </si>
  <si>
    <t>Мыльные пузыри</t>
  </si>
  <si>
    <t>Коробки и контейнеры</t>
  </si>
  <si>
    <t>Бальзамы, тоники, эликсиры</t>
  </si>
  <si>
    <t>Мыши</t>
  </si>
  <si>
    <t>Бета-аланин</t>
  </si>
  <si>
    <t>Ковры для кухни</t>
  </si>
  <si>
    <t>Антифризы</t>
  </si>
  <si>
    <t>Ершики для унитаза</t>
  </si>
  <si>
    <t>KVM-консоли и кабели</t>
  </si>
  <si>
    <t>Чехлы для обуви</t>
  </si>
  <si>
    <t>Автосвет</t>
  </si>
  <si>
    <t>Юбки-шорты</t>
  </si>
  <si>
    <t>Соусники</t>
  </si>
  <si>
    <t>Научная психология</t>
  </si>
  <si>
    <t>Печенье</t>
  </si>
  <si>
    <t>Проращиватели семян</t>
  </si>
  <si>
    <t>Жидкости омывателя</t>
  </si>
  <si>
    <t>Измельчители</t>
  </si>
  <si>
    <t>Портфели</t>
  </si>
  <si>
    <t>Светомузыка</t>
  </si>
  <si>
    <t>Оливковое масло</t>
  </si>
  <si>
    <t>Альбомы для рисования</t>
  </si>
  <si>
    <t>Соль для ванны</t>
  </si>
  <si>
    <t>Босоножки</t>
  </si>
  <si>
    <t>Канцелярские мелочи</t>
  </si>
  <si>
    <t>,</t>
  </si>
  <si>
    <t>category1 (Do not touch)</t>
  </si>
  <si>
    <t>Salomatlik</t>
  </si>
  <si>
    <t>Ortopedik buyumlar</t>
  </si>
  <si>
    <t>Ortopedik tagliklar va yarim tagliklar, oyoq tuzatuvchisi</t>
  </si>
  <si>
    <t>Optika</t>
  </si>
  <si>
    <t>Linza uchun aksessuarlar</t>
  </si>
  <si>
    <t>Salfetkalar, koʻzoynak uchun spreylar</t>
  </si>
  <si>
    <t>Bolalar tovarlari</t>
  </si>
  <si>
    <t>Erkaklar aksessuarlari</t>
  </si>
  <si>
    <t>Hamyonlar, kalit solgichlar va tashrif qogʻozi uchun karmonchalar</t>
  </si>
  <si>
    <t>Pul uchun qistirgichlar</t>
  </si>
  <si>
    <t>Dacha, bogʻ va tomorqa</t>
  </si>
  <si>
    <t>Sayohat uchun aksessuarlar</t>
  </si>
  <si>
    <t>Chamadonlar uchun aksessuarlar</t>
  </si>
  <si>
    <t>Chamadon uchun qulflar</t>
  </si>
  <si>
    <t>Elektronika</t>
  </si>
  <si>
    <t>Ayollar aksessuarlari</t>
  </si>
  <si>
    <t>Bijuteriyalar</t>
  </si>
  <si>
    <t>Boʻyinga taqiladigan taqinchoqlar</t>
  </si>
  <si>
    <t>Goʻzallik va parvarish</t>
  </si>
  <si>
    <t>Zargarlik buyumlari</t>
  </si>
  <si>
    <t>Zanjirlar</t>
  </si>
  <si>
    <t>Hayvonlar uchun tovarlar</t>
  </si>
  <si>
    <t>Bilaguzuklar</t>
  </si>
  <si>
    <t>Kanselyariya tovarlari</t>
  </si>
  <si>
    <t>Chamadon uchun gʻiloflar</t>
  </si>
  <si>
    <t>Kitoblar</t>
  </si>
  <si>
    <t>Boʻyinbogʻlar, kapalakchalar, roʻmolchalar</t>
  </si>
  <si>
    <t>Kapalakcha boʻyinbogʻlar</t>
  </si>
  <si>
    <t>Kiyim</t>
  </si>
  <si>
    <t>Bosh kiyimlar</t>
  </si>
  <si>
    <t>Kepkalar va beysbol qalpoqlari</t>
  </si>
  <si>
    <t>Maishiy kimyoviy moddalar</t>
  </si>
  <si>
    <t>Balaklavalar</t>
  </si>
  <si>
    <t>Oziq-ovqat mahsulotlari</t>
  </si>
  <si>
    <t>Koʻzoynak</t>
  </si>
  <si>
    <t>Koʻzoynak uchun aksessuarlar</t>
  </si>
  <si>
    <t>Poyabzallar</t>
  </si>
  <si>
    <t>Qurilish va taʼmirlash</t>
  </si>
  <si>
    <t>Roʻmolar va sharflar</t>
  </si>
  <si>
    <t>Roʻmollar va palantinlar</t>
  </si>
  <si>
    <t>Reabilitatsiya uchun subsidiyalangan tovarlar</t>
  </si>
  <si>
    <t>Toʻgʻnogʻichlar</t>
  </si>
  <si>
    <t>Qayishlar va osma kamarlar</t>
  </si>
  <si>
    <t>Kamarlar</t>
  </si>
  <si>
    <t>Sumkalar va ryukzaklar</t>
  </si>
  <si>
    <t>Ryukzaklar</t>
  </si>
  <si>
    <t>Uy-roʻzgʻor buyumlari</t>
  </si>
  <si>
    <t>Yoʻl sumkalari</t>
  </si>
  <si>
    <t>Xobbi va ijod</t>
  </si>
  <si>
    <t>Qoʻlqoplar va varejkalar</t>
  </si>
  <si>
    <t>Yenglar</t>
  </si>
  <si>
    <t>Sharflar</t>
  </si>
  <si>
    <t>Roʻmolchalar va sharflar</t>
  </si>
  <si>
    <t>Koʻzoynak uchun qutilar va gʻiloflar</t>
  </si>
  <si>
    <t>Kompyuter uchun ko'zoynaklar</t>
  </si>
  <si>
    <t>Qoʻlqoplar</t>
  </si>
  <si>
    <t>Klatchlar va kosmetika sumkalar</t>
  </si>
  <si>
    <t>Klatchlar</t>
  </si>
  <si>
    <t>Shlyapalar</t>
  </si>
  <si>
    <t>Pul uchun qisqichlar</t>
  </si>
  <si>
    <t>Ziraklar</t>
  </si>
  <si>
    <t>Badan uchun bezaklar</t>
  </si>
  <si>
    <t>Imijli koʻzoynaklari</t>
  </si>
  <si>
    <t>Toʻy aksessuarlari</t>
  </si>
  <si>
    <t>Sumkalar va klatchalar</t>
  </si>
  <si>
    <t>Yeng tugmalari</t>
  </si>
  <si>
    <t>Sumkalar</t>
  </si>
  <si>
    <t>Hamyonlar</t>
  </si>
  <si>
    <t>Pirsing</t>
  </si>
  <si>
    <t>Kamarlar, belbogʻlar va portupeilar</t>
  </si>
  <si>
    <t>Toʻgʻnagʻichlar</t>
  </si>
  <si>
    <t>Oyoq uchun brasletlari</t>
  </si>
  <si>
    <t>Quyoshdan himoya koʻzoynaklari</t>
  </si>
  <si>
    <t>Sumka uchun aksessuarlar</t>
  </si>
  <si>
    <t>Dastroʻmollar</t>
  </si>
  <si>
    <t>Bandanalar</t>
  </si>
  <si>
    <t>Kosmetika sumkalar</t>
  </si>
  <si>
    <t>Portupeylar</t>
  </si>
  <si>
    <t>Panamalar</t>
  </si>
  <si>
    <t>Diniy aksessuarlar</t>
  </si>
  <si>
    <t>Diniy to'plamlar</t>
  </si>
  <si>
    <t>Sport sumkalari</t>
  </si>
  <si>
    <t>Hujjatlar uchun jildlar</t>
  </si>
  <si>
    <t>Qalpoqlar</t>
  </si>
  <si>
    <t>Soatlar va qayishlar</t>
  </si>
  <si>
    <t>Soatlar uchun qayishlar</t>
  </si>
  <si>
    <t>Bosh kiyimlar toʻplamlari</t>
  </si>
  <si>
    <t>Kulonlar va marjonlar</t>
  </si>
  <si>
    <t>Tashrif qogʻozlari va kredit kartalari</t>
  </si>
  <si>
    <t>Kalit solgichlar</t>
  </si>
  <si>
    <t>Varejkalar</t>
  </si>
  <si>
    <t>Sayohat uchun organayzerlar</t>
  </si>
  <si>
    <t>Boʻyinbogʻlar</t>
  </si>
  <si>
    <t>Roʻmol uchun muftalar va halqalar</t>
  </si>
  <si>
    <t>Chemodanlar uchun qayishlar</t>
  </si>
  <si>
    <t>Panama</t>
  </si>
  <si>
    <t>Soyabon va yelpig'ich</t>
  </si>
  <si>
    <t>Soyabonlar</t>
  </si>
  <si>
    <t>Kepkalar, beysbol qalpoqlari va kepilar</t>
  </si>
  <si>
    <t>Breloklar</t>
  </si>
  <si>
    <t>Plyaj sumkalari</t>
  </si>
  <si>
    <t>Tasbehlar</t>
  </si>
  <si>
    <t>Portmone va kosmetika sumkalar</t>
  </si>
  <si>
    <t>Portmone</t>
  </si>
  <si>
    <t>Mitenkalar</t>
  </si>
  <si>
    <t>Yangi tugʻilgan chaqaloqlar uchun qalpoqchalar, chepchiklar va qoʻlqopchalar</t>
  </si>
  <si>
    <t>Chamadonlar uchun breloklar</t>
  </si>
  <si>
    <t>Osma kamarlar</t>
  </si>
  <si>
    <t>Monetnitsalar</t>
  </si>
  <si>
    <t>Taqinchoqlar toʻplami</t>
  </si>
  <si>
    <t>Kalit ilgichlar</t>
  </si>
  <si>
    <t>Doʻppilar</t>
  </si>
  <si>
    <t>Quloqchinlar</t>
  </si>
  <si>
    <t>Roʻmolchalar</t>
  </si>
  <si>
    <t>Hijob va tyurbanlar</t>
  </si>
  <si>
    <t>Sayohat uchun toʻplamlar</t>
  </si>
  <si>
    <t>Belgilar</t>
  </si>
  <si>
    <t>Salla</t>
  </si>
  <si>
    <t>Soatlar</t>
  </si>
  <si>
    <t>Imijli koʻzoynaklar</t>
  </si>
  <si>
    <t>Toʻy bezaklari</t>
  </si>
  <si>
    <t>Belga taqiladigan sumkalar</t>
  </si>
  <si>
    <t>Sharmlar</t>
  </si>
  <si>
    <t>Beretlar</t>
  </si>
  <si>
    <t>Bogʻichlar</t>
  </si>
  <si>
    <t>Portfellar</t>
  </si>
  <si>
    <t>Pryajkalar</t>
  </si>
  <si>
    <t>Soatlar uchun qayishlar, toʻgʻnagʻichlar</t>
  </si>
  <si>
    <t>Shinalar va disklar</t>
  </si>
  <si>
    <t>Shina va disklarni parvarish qilish</t>
  </si>
  <si>
    <t>Gʻildirak qoplamalari</t>
  </si>
  <si>
    <t>Nippellar, ventillar va sekretkalar</t>
  </si>
  <si>
    <t>Flipperlar va emblemalar</t>
  </si>
  <si>
    <t>Dam olish va oʻyin-kulgi</t>
  </si>
  <si>
    <t>Fokuslar</t>
  </si>
  <si>
    <t>Ovqatlantirish uchun tovarlar</t>
  </si>
  <si>
    <t>Niblerlar</t>
  </si>
  <si>
    <t>Lepka</t>
  </si>
  <si>
    <t>Lepka uchun xamir</t>
  </si>
  <si>
    <t>Plastilin</t>
  </si>
  <si>
    <t>Bolalar xonasi</t>
  </si>
  <si>
    <t>Himoya va xavfsizlik</t>
  </si>
  <si>
    <t>Nakladkalar va burchak uchun qopqoqlar va rozetkalar</t>
  </si>
  <si>
    <t>Gigiyena va tagliklar</t>
  </si>
  <si>
    <t>Choʻmilish va parvarish</t>
  </si>
  <si>
    <t>Choʻmilish uchun oʻyinchoqlar</t>
  </si>
  <si>
    <t>Dacha va bogʻlarni dekorativ parvarishlash</t>
  </si>
  <si>
    <t>Chivinlarga qarshi toʻrlar</t>
  </si>
  <si>
    <t>Biotualetlar, septiklar va aksessuarlar</t>
  </si>
  <si>
    <t>Bogʻ asboblari</t>
  </si>
  <si>
    <t>Aksessuarlar va sarflov materiallari</t>
  </si>
  <si>
    <t>Bogʻ ishlari uchun gilamlar va tizzaliklar</t>
  </si>
  <si>
    <t>Bogʻ tunchiroqlari</t>
  </si>
  <si>
    <t>Ofis texnikasi</t>
  </si>
  <si>
    <t>Ofis jihozlari</t>
  </si>
  <si>
    <t>Shtrix-kod skanerlari</t>
  </si>
  <si>
    <t>Smartfonlar va telefonlar</t>
  </si>
  <si>
    <t>Smartfonlar uchun aksessuarlar</t>
  </si>
  <si>
    <t>Kabel va adapterlar telefonlar uchun</t>
  </si>
  <si>
    <t>Quloqchinlar va audio texnikalar</t>
  </si>
  <si>
    <t>Bluetooth-garnituralar</t>
  </si>
  <si>
    <t>Noutbuklar, planshetlar va elektron kitoblar</t>
  </si>
  <si>
    <t>Noutbuk uchun aksessuarlar</t>
  </si>
  <si>
    <t>Noutbuklar uchun tagkursilar</t>
  </si>
  <si>
    <t>Kompyuter texnikasi</t>
  </si>
  <si>
    <t>Maʼlumotlarni saqlash</t>
  </si>
  <si>
    <t>Optika tovarlari va aksessuarlari</t>
  </si>
  <si>
    <t>Noutbuk uchun sumkalar va ryukzaklar</t>
  </si>
  <si>
    <t>Ofis jihozlari uchun butlovchi qismlar</t>
  </si>
  <si>
    <t>Fotobarabanlar</t>
  </si>
  <si>
    <t>Elektronikalar uchun aksessuarlar</t>
  </si>
  <si>
    <t>Kabellar uchun organayzerlar</t>
  </si>
  <si>
    <t>Kabellar uchun tutqichlar</t>
  </si>
  <si>
    <t>Kvadrokopterlar va aksessuarlar</t>
  </si>
  <si>
    <t>Kvadrokopterlar uchun aksessuarlar</t>
  </si>
  <si>
    <t>Kuchlanishni oʻzgartirgichlar</t>
  </si>
  <si>
    <t>Tagkursi va tutqichlar</t>
  </si>
  <si>
    <t>Kartrijlar</t>
  </si>
  <si>
    <t>Siyoh</t>
  </si>
  <si>
    <t>Navigatorlar</t>
  </si>
  <si>
    <t>GPS-trekerlar va GPS-mayoqlar</t>
  </si>
  <si>
    <t>Televizorlar va videotexnikalar</t>
  </si>
  <si>
    <t>Proyektorlar va aksessuarlar</t>
  </si>
  <si>
    <t>Mahkamlagichlar</t>
  </si>
  <si>
    <t>Kabellar va adapterlar</t>
  </si>
  <si>
    <t>Video kabellar</t>
  </si>
  <si>
    <t>Aksessuarlar to'plami</t>
  </si>
  <si>
    <t>Telefon uchun stiluslar</t>
  </si>
  <si>
    <t>Tarmoqlagichlar</t>
  </si>
  <si>
    <t>Aqlli soatlar va fitnes bilaguzuklar</t>
  </si>
  <si>
    <t>Soatlar va fitnes bilaguzuklar uchun himoya</t>
  </si>
  <si>
    <t>Shisha</t>
  </si>
  <si>
    <t>Bluetooth-teglar, kalit zanjirlar va smart kartalar</t>
  </si>
  <si>
    <t>Tonerlar</t>
  </si>
  <si>
    <t>Joystiklar va triggerlar smartfonlar uchun</t>
  </si>
  <si>
    <t>Klaviatura himoyachilari va stikerlari</t>
  </si>
  <si>
    <t>Ehtiyot qismlar va ta'mirlash</t>
  </si>
  <si>
    <t>Ta'mirlash uchun asboblar</t>
  </si>
  <si>
    <t>Video uchun adapterlar</t>
  </si>
  <si>
    <t>Akkumulyator batareyalar</t>
  </si>
  <si>
    <t>Foto va video texnika</t>
  </si>
  <si>
    <t>Foto va video kameralar uchun aksessuarlar</t>
  </si>
  <si>
    <t>Gʻiloflar va keyslar</t>
  </si>
  <si>
    <t>Konnektorlar</t>
  </si>
  <si>
    <t>Proigrivatel uchun aksessuarlar</t>
  </si>
  <si>
    <t>DJ-uskuna</t>
  </si>
  <si>
    <t>Smartfonlar uchun ehtiyot qismlar</t>
  </si>
  <si>
    <t>Kompyuter aksessuarlari</t>
  </si>
  <si>
    <t>Sichqoncha uchun gilamchalar</t>
  </si>
  <si>
    <t>Laminatorlar va buklet yasash uskunalari</t>
  </si>
  <si>
    <t>Qayishlar</t>
  </si>
  <si>
    <t>Knopkali telefonlar</t>
  </si>
  <si>
    <t>Noutbuklar uchun zaryadlash qurilmalari</t>
  </si>
  <si>
    <t>Oʻyin pristavkalari</t>
  </si>
  <si>
    <t>Oʻyin pristavkalari uchun aksessuarlar va ehtiyot qismlar</t>
  </si>
  <si>
    <t>O'yin konsollari uchun ehtiyot qismlar</t>
  </si>
  <si>
    <t>Akkumulyatorlar</t>
  </si>
  <si>
    <t>USB hablar</t>
  </si>
  <si>
    <t>Qoplamalar</t>
  </si>
  <si>
    <t>Antenna kabellari va adapterlari</t>
  </si>
  <si>
    <t>Dok-stansiyalar</t>
  </si>
  <si>
    <t>Uzaytirgichlar</t>
  </si>
  <si>
    <t>Telefon nakleykalari</t>
  </si>
  <si>
    <t>Audio kabellar</t>
  </si>
  <si>
    <t>Tarmoq filtrlari</t>
  </si>
  <si>
    <t>Kartriderlar</t>
  </si>
  <si>
    <t>Periferiya va aksessuarlar</t>
  </si>
  <si>
    <t>Vibratsiyaga qarshi tagliklar</t>
  </si>
  <si>
    <t>Resiverlar</t>
  </si>
  <si>
    <t>Quyosh panellari va batareyalari</t>
  </si>
  <si>
    <t>Aksessuarlar va ofis jihozlari parvarishi</t>
  </si>
  <si>
    <t>Ofis jihozlari uchun ehtiyot qismlar va aksessuarlar</t>
  </si>
  <si>
    <t>Kalitlar va adapterlar SIM kartalar uchun</t>
  </si>
  <si>
    <t>Tozalash vositalari</t>
  </si>
  <si>
    <t>Yoritgichlar va chaqnagichlar</t>
  </si>
  <si>
    <t>Pleyerlar va audio tizimlar uchun gʻiloflar</t>
  </si>
  <si>
    <t>Simlar uchun qutilar</t>
  </si>
  <si>
    <t>Studiya jihozlari</t>
  </si>
  <si>
    <t>Sensor ekranlar uchun qoʻlqoplar</t>
  </si>
  <si>
    <t>Kabel himoyasi</t>
  </si>
  <si>
    <t>Kabellar va zaryadlovchi qurilmalar</t>
  </si>
  <si>
    <t>Kompyuterning tashqi qurilmalari</t>
  </si>
  <si>
    <t>KVM-konsollari va kabellari</t>
  </si>
  <si>
    <t>3D printer uchun plastik</t>
  </si>
  <si>
    <t>Akkumulyatorlar uchun zaryadlovchi qurilmalari</t>
  </si>
  <si>
    <t>Quloqchinlar uchun gʻiloflar</t>
  </si>
  <si>
    <t>Xotira kartalari telefonlar uchun</t>
  </si>
  <si>
    <t>Parvarish uchun tovarlar</t>
  </si>
  <si>
    <t>Himoya shishalari va plyonkalar</t>
  </si>
  <si>
    <t>Statsionar telefonlar</t>
  </si>
  <si>
    <t>Simli telefonlar</t>
  </si>
  <si>
    <t>Noutbuklar uchun ehtiyot qismlar</t>
  </si>
  <si>
    <t>Kompyuter texnikalari uchun butlovchi qismlar</t>
  </si>
  <si>
    <t>Kompyuterlar uchun sovutish tizimlari</t>
  </si>
  <si>
    <t>Elektr tarmoqlagichlar</t>
  </si>
  <si>
    <t>Planshetlar va elektron kitoblar</t>
  </si>
  <si>
    <t>Planshetlar va elektron kitoblar uchun aksessuarlar</t>
  </si>
  <si>
    <t>Quloqchinlar uchun aksessuarlar</t>
  </si>
  <si>
    <t>Makiyaj</t>
  </si>
  <si>
    <t>Makiyaj uchun aksessuarlar</t>
  </si>
  <si>
    <t>Kosmetika bogʻichlari</t>
  </si>
  <si>
    <t>Sponji va aplikatorlar</t>
  </si>
  <si>
    <t>Kosmetik oynalar</t>
  </si>
  <si>
    <t>Kipriklar va qoshlar uchun qisqichlar va taroqlar</t>
  </si>
  <si>
    <t>Futlyar va penallar</t>
  </si>
  <si>
    <t>Kosmetik mikserlar va aralashtirgichlar</t>
  </si>
  <si>
    <t>Kosmetik anjomlarini tozalash uchun vositalar</t>
  </si>
  <si>
    <t>Qoshlar uchun qaychi va trimmerlar</t>
  </si>
  <si>
    <t>Cho'tkalar va silikon сho'tk-shpatellar</t>
  </si>
  <si>
    <t>Oʻtkirlagich va trafaretlar</t>
  </si>
  <si>
    <t>Organayzerlar</t>
  </si>
  <si>
    <t>Qisqichlar</t>
  </si>
  <si>
    <t>Itlar uchun</t>
  </si>
  <si>
    <t>Amunitsiya</t>
  </si>
  <si>
    <t>Gigiyena</t>
  </si>
  <si>
    <t>Hayvonlar uchun kosmetika</t>
  </si>
  <si>
    <t>Losyonlar</t>
  </si>
  <si>
    <t>Spreylar va hidni yoʻq qilish vositalari</t>
  </si>
  <si>
    <t>Itlar uchun kiyim va poyabzal</t>
  </si>
  <si>
    <t>Gigiyena vositalari</t>
  </si>
  <si>
    <t>Tish choʻtkalari hayvonlar uchun</t>
  </si>
  <si>
    <t>Hayvonlarni parvarish qilish vositalari</t>
  </si>
  <si>
    <t>Panja choʻtkalari</t>
  </si>
  <si>
    <t>Shampunlar va konditsionerlar</t>
  </si>
  <si>
    <t>Parvarishlash uchun nam salfetkalar</t>
  </si>
  <si>
    <t>Oʻyinchoqlar</t>
  </si>
  <si>
    <t>Salfetkalar va paxtali tayoqchalar</t>
  </si>
  <si>
    <t>Pelyonkalar va tagliklar</t>
  </si>
  <si>
    <t>Uy uchun texnika</t>
  </si>
  <si>
    <t>Tikuv mashinalari va aksessuarlari</t>
  </si>
  <si>
    <t>Tikuv mashinalari uchun aksessuarlar</t>
  </si>
  <si>
    <t>Katta maishiy texnika</t>
  </si>
  <si>
    <t>Katta maishiy texnika uchun aksessuarlar</t>
  </si>
  <si>
    <t>Sovutgichlar uchun</t>
  </si>
  <si>
    <t>Suv uchun kulerlar va aksessuarlar</t>
  </si>
  <si>
    <t>Katta butilkalar uchun g’iloflar va tutqichlar</t>
  </si>
  <si>
    <t>Oshxona buyumlari</t>
  </si>
  <si>
    <t>Boshqa oshxona texnikalari</t>
  </si>
  <si>
    <t>Isitiladigan lanchbokslar</t>
  </si>
  <si>
    <t>Suv pompalari</t>
  </si>
  <si>
    <t>Iqlim texnikasi</t>
  </si>
  <si>
    <t>Datchiklar</t>
  </si>
  <si>
    <t>Kir yuvish mashinalari uchun</t>
  </si>
  <si>
    <t>Konditsionerlar va split tizimlar</t>
  </si>
  <si>
    <t>Konditsionerlar uchun aksessuarlar va ehtiyot qismlar</t>
  </si>
  <si>
    <t>Ob-havo stansiyalari</t>
  </si>
  <si>
    <t>Rasposhivalkalar</t>
  </si>
  <si>
    <t>Gaz plitalari uchun</t>
  </si>
  <si>
    <t>Poyabzal aksessuarlari</t>
  </si>
  <si>
    <t>Gʻiloflar va muzda yurish uchun oyoq kiyim tagliklari</t>
  </si>
  <si>
    <t>Oyoq kiyim uchun pataklar va qoʻyilmalar</t>
  </si>
  <si>
    <t>Poyabzal qoshiqlari</t>
  </si>
  <si>
    <t>Oyoq oʻlchagichlar</t>
  </si>
  <si>
    <t>Jibitslar</t>
  </si>
  <si>
    <t>Elektrika</t>
  </si>
  <si>
    <t>Uzaytirgichlar va uchuvchilar</t>
  </si>
  <si>
    <t>Uy va bogʻ uchun suv taʼminoti</t>
  </si>
  <si>
    <t>Suvni filtrlash</t>
  </si>
  <si>
    <t>Qurilish-pardoz materiallari</t>
  </si>
  <si>
    <t>Yelim va germetikalar</t>
  </si>
  <si>
    <t>Boshqa qoplama materiallari</t>
  </si>
  <si>
    <t>Tibbiy buyumlar va sarflov materiallari</t>
  </si>
  <si>
    <t>Dori-darmonlar uchun dori qutilari va sumkalar</t>
  </si>
  <si>
    <t>Kompressli trikotaj</t>
  </si>
  <si>
    <t>Kompressli golflar, getrlar, paypoqlar</t>
  </si>
  <si>
    <t>Dezinfeksiya vositalari</t>
  </si>
  <si>
    <t>Romlar</t>
  </si>
  <si>
    <t>Davolovchi qizdiruvchi buyumlar</t>
  </si>
  <si>
    <t>Sarflov materiallar</t>
  </si>
  <si>
    <t>Shpritslar, inyektorlar, pipetkalar, dozatorlar</t>
  </si>
  <si>
    <t>Elastik bintlar</t>
  </si>
  <si>
    <t>Tahlillar uchun konteynerlar, gubkalar, jgutlar, tibbiyot oʻlchov stakanlari</t>
  </si>
  <si>
    <t>Korsetlar va qomatni toʻgʻri tutishga yordam beruvchi vositalar</t>
  </si>
  <si>
    <t>Grelkalar</t>
  </si>
  <si>
    <t>Gellar, mazlar</t>
  </si>
  <si>
    <t>Kompressiv paypoqlar</t>
  </si>
  <si>
    <t>Intim kosmetika</t>
  </si>
  <si>
    <t>Massaj uskunalari</t>
  </si>
  <si>
    <t>Bosh uchun massaj moslamalari</t>
  </si>
  <si>
    <t>Basseynlar va aksessuarlar</t>
  </si>
  <si>
    <t>Tozalash uchun asboblar</t>
  </si>
  <si>
    <t>Basseynlar uchun suzuvchilar</t>
  </si>
  <si>
    <t>Bayramlar uchun tovarlar</t>
  </si>
  <si>
    <t>Sovgʻa oʻramlari, otkritkalar</t>
  </si>
  <si>
    <t>Qutilar</t>
  </si>
  <si>
    <t>Bayramni bezatish</t>
  </si>
  <si>
    <t>Tort shamchalari</t>
  </si>
  <si>
    <t>Havo sharlari va aksessuarlar</t>
  </si>
  <si>
    <t>Bir martali ishlatiladigan idishlar va qadoqlash</t>
  </si>
  <si>
    <t>Bir martalik stakan va chashkalar</t>
  </si>
  <si>
    <t>Mukofotlar, kuboklar, tasmalar</t>
  </si>
  <si>
    <t>Shariklar uchun nasoslar</t>
  </si>
  <si>
    <t>Feyerverklar va salyutlar</t>
  </si>
  <si>
    <t>Rangli tutun</t>
  </si>
  <si>
    <t>Bir martalik stol anjomlari</t>
  </si>
  <si>
    <t>Karnaval buyumlari</t>
  </si>
  <si>
    <t>Karnaval kostyumlari</t>
  </si>
  <si>
    <t>Bir martalilik likopchalar</t>
  </si>
  <si>
    <t>Konfettii va serpantin</t>
  </si>
  <si>
    <t>Rim shamlari va favvoralari</t>
  </si>
  <si>
    <t>Otkritkalar</t>
  </si>
  <si>
    <t>Fotobutaforiya</t>
  </si>
  <si>
    <t>Pariklar va aksessuarlar</t>
  </si>
  <si>
    <t>Qadoqlash paketlari</t>
  </si>
  <si>
    <t>Bir martalik idishlar toʻplami</t>
  </si>
  <si>
    <t>Tort uchun topperlar</t>
  </si>
  <si>
    <t>Shpajkalar, kanapelar</t>
  </si>
  <si>
    <t>Qutilar va konteynerlar</t>
  </si>
  <si>
    <t>Xonaki oʻsimliklar uchun tovarlar</t>
  </si>
  <si>
    <t>Leykalar va purkagichlar</t>
  </si>
  <si>
    <t>Oʻrash qogʻozi, birkalar va lentalar</t>
  </si>
  <si>
    <t>Bayramona dekor</t>
  </si>
  <si>
    <t>Geliy ballonlar</t>
  </si>
  <si>
    <t>Sovgʻa sertifikatlari, vaucherlar</t>
  </si>
  <si>
    <t>Pasxa uchun tovarlar</t>
  </si>
  <si>
    <t>Tish tozalagichlar</t>
  </si>
  <si>
    <t>Konvertlar</t>
  </si>
  <si>
    <t>Raketalar</t>
  </si>
  <si>
    <t>Niqoblar</t>
  </si>
  <si>
    <t>Bengal shamchalari</t>
  </si>
  <si>
    <t>Toʻy uchun tovarlar</t>
  </si>
  <si>
    <t>Xitoy fonarlari</t>
  </si>
  <si>
    <t>Paketlar va qopchalar</t>
  </si>
  <si>
    <t>Zaryadlash qurilmalari</t>
  </si>
  <si>
    <t>Soch uchun aksessuarlar</t>
  </si>
  <si>
    <t>Rezinkalar</t>
  </si>
  <si>
    <t>Shpilka va nevidimkalar</t>
  </si>
  <si>
    <t>Obodoklar, bogʻichlar va tillaqoshlar</t>
  </si>
  <si>
    <t>Soch uchun aksessuarlar toʻplami</t>
  </si>
  <si>
    <t>Soch toʻgʻnagʻichlari va taroqlar</t>
  </si>
  <si>
    <t>Stimulyatorlar va prolonatorlar</t>
  </si>
  <si>
    <t>Intim kosmetika vositalari</t>
  </si>
  <si>
    <t>Sport butilkalar va sheykerlar</t>
  </si>
  <si>
    <t>Hammom va sauna uchun tovarlar</t>
  </si>
  <si>
    <t>Hammom uchun veniklar</t>
  </si>
  <si>
    <t>Dekor va interyer</t>
  </si>
  <si>
    <t>Tutqichlar, tagliklar va patnislar</t>
  </si>
  <si>
    <t>Hammom uchun toʻqimachilik buyumlari</t>
  </si>
  <si>
    <t>Yangi yil tovarlari</t>
  </si>
  <si>
    <t>Girlyandlar</t>
  </si>
  <si>
    <t>Yangi yil suvenirlari va sovgʻalari</t>
  </si>
  <si>
    <t>Buyumlarni saqlash</t>
  </si>
  <si>
    <t>Poyabzallar uchun qoplamalar</t>
  </si>
  <si>
    <t>Hammom uchun interyer buyumlari</t>
  </si>
  <si>
    <t>Gʻaladonlar</t>
  </si>
  <si>
    <t>Kiyim uchun qoplamalar</t>
  </si>
  <si>
    <t>Dafn marosimi uchun tovarlar</t>
  </si>
  <si>
    <t>Archa oʻyinchoqlari va bezaklari</t>
  </si>
  <si>
    <t>Ilgichlar</t>
  </si>
  <si>
    <t>Ilgichlar-yelkalar</t>
  </si>
  <si>
    <t>Shamlar va shamdonlar</t>
  </si>
  <si>
    <t>Vakuumli paketlar va paket qadoqlagichlar</t>
  </si>
  <si>
    <t>Soatlar va ob-havo stansiyalari</t>
  </si>
  <si>
    <t>Koʻzgular</t>
  </si>
  <si>
    <t>Archa osti yubkalari</t>
  </si>
  <si>
    <t>Interyerni bezatish</t>
  </si>
  <si>
    <t>Foto ramkalar va foto albomlar</t>
  </si>
  <si>
    <t>Yogʻoch chelaklar</t>
  </si>
  <si>
    <t>Haykalchalar</t>
  </si>
  <si>
    <t>Kirlar uchun baklar</t>
  </si>
  <si>
    <t>Qutilar, savatlar, konteynerlar</t>
  </si>
  <si>
    <t>Chelaklar va kadkalar</t>
  </si>
  <si>
    <t>Qutichalar</t>
  </si>
  <si>
    <t>Tokchalar va skameykalar</t>
  </si>
  <si>
    <t>Suvenirlar va sovgʻalar</t>
  </si>
  <si>
    <t>Rasmlar va panno</t>
  </si>
  <si>
    <t>Zarlar, dojdiklar, osma yozuvlar</t>
  </si>
  <si>
    <t>Tablichlakalar, raqamlar va ilgaklar</t>
  </si>
  <si>
    <t>Devor ilgichlari va ilgaklar</t>
  </si>
  <si>
    <t>Guldonlar</t>
  </si>
  <si>
    <t>Organayzerlar va ajratuvchilar</t>
  </si>
  <si>
    <t>Qavatli ilgichlar</t>
  </si>
  <si>
    <t>Termometrlar, barometrlar</t>
  </si>
  <si>
    <t>Sunʼiy gullar</t>
  </si>
  <si>
    <t>Sunʼiy qor</t>
  </si>
  <si>
    <t>Uy uchun iforlar</t>
  </si>
  <si>
    <t>Soat</t>
  </si>
  <si>
    <t>Chamadonlar</t>
  </si>
  <si>
    <t>Aksessuarlar va jihozlar</t>
  </si>
  <si>
    <t>Salon uchun jihozlar</t>
  </si>
  <si>
    <t>Havfsizlik kamarlari</t>
  </si>
  <si>
    <t>Tyuning va tashqi bezak</t>
  </si>
  <si>
    <t>Ovozli signallar</t>
  </si>
  <si>
    <t>Quyoshdan himoyalovchi pardalar</t>
  </si>
  <si>
    <t>Radiatorlarning panjaralari va toʻrlari</t>
  </si>
  <si>
    <t>Ostona toʻshamalari</t>
  </si>
  <si>
    <t>Avtomobil uchun havo tozalagichlar</t>
  </si>
  <si>
    <t>Mototexnikalar, motoekipirovka uchun tovarlar</t>
  </si>
  <si>
    <t>Skuterlar</t>
  </si>
  <si>
    <t>Avariya holatlari uchun zarur anjomlar</t>
  </si>
  <si>
    <t>Benzin uchun kanistrlar</t>
  </si>
  <si>
    <t>Yostiqlar va matraslar</t>
  </si>
  <si>
    <t>Orqani koʻrish oynalari</t>
  </si>
  <si>
    <t>Avtomobil kuldonlari</t>
  </si>
  <si>
    <t>Stolchalar va tokchalar</t>
  </si>
  <si>
    <t>Yuk tashish</t>
  </si>
  <si>
    <t>Bagaj tizimlari</t>
  </si>
  <si>
    <t>Kapot va yukxona tirgaklari</t>
  </si>
  <si>
    <t>Avtomobil kuzovi himoyasi</t>
  </si>
  <si>
    <t>Radiator himoyasi</t>
  </si>
  <si>
    <t>Kapot deflektorlari</t>
  </si>
  <si>
    <t>Reylinglar</t>
  </si>
  <si>
    <t>Avtomobil uchun moylar va kimyoviy moddalar</t>
  </si>
  <si>
    <t>Antifrizlar</t>
  </si>
  <si>
    <t>Avtomobil uchun suvenirlar</t>
  </si>
  <si>
    <t>Yorugʻlik qaytargichlar</t>
  </si>
  <si>
    <t>Raqamlar uchun ramkalar</t>
  </si>
  <si>
    <t>Kamarlar va rezinkalar</t>
  </si>
  <si>
    <t>Sachrashdan saqlash qismlari</t>
  </si>
  <si>
    <t>Avtomobilni parvarishi</t>
  </si>
  <si>
    <t>Oyna va faralar parvarishi</t>
  </si>
  <si>
    <t>Quyoshdan himoya koziryoklari</t>
  </si>
  <si>
    <t>Kalit ilgichlar va dekorativ elementlar</t>
  </si>
  <si>
    <t>Boshqa avtomobil suvenirlari</t>
  </si>
  <si>
    <t>Avtomobil uchun tozalash vositalari</t>
  </si>
  <si>
    <t>Avtomobil tonirovkasi</t>
  </si>
  <si>
    <t>Transmissiya moylari</t>
  </si>
  <si>
    <t>Avtomobil uchun konsollar</t>
  </si>
  <si>
    <t>Prisadkalar va qoʻshimchalar</t>
  </si>
  <si>
    <t>Avtomobil dori qutilari</t>
  </si>
  <si>
    <t>Rul uchun qoplamalar va tutqichlar</t>
  </si>
  <si>
    <t>Avtokimyo toʻplamlari</t>
  </si>
  <si>
    <t>Yorugʻlik qaytaruvchi jiletlar</t>
  </si>
  <si>
    <t>Tutqichlar va tayanchlar</t>
  </si>
  <si>
    <t>Kuzov dugalari</t>
  </si>
  <si>
    <t>Karter va uzatmalar qutisi uchun himoya</t>
  </si>
  <si>
    <t>Avtomobil chelaklari</t>
  </si>
  <si>
    <t>Qulflar</t>
  </si>
  <si>
    <t>Nakleykalar va belgilar</t>
  </si>
  <si>
    <t>Izolyatsiya materiallari</t>
  </si>
  <si>
    <t>Qulflar va shishalarni muzdan eritish moslamalari</t>
  </si>
  <si>
    <t>Avtomobil changyutgichlari</t>
  </si>
  <si>
    <t>Pedallar uchun nakladkalar</t>
  </si>
  <si>
    <t>Yongʻin oʻchirgichlar</t>
  </si>
  <si>
    <t>Axlat uchun paketlar</t>
  </si>
  <si>
    <t>Qoʻllarni tozalash vositalari</t>
  </si>
  <si>
    <t>Termokrujkalar va stakandonlar</t>
  </si>
  <si>
    <t>Avtomobil breloklari uchun gʻiloflar</t>
  </si>
  <si>
    <t>Old bamper himoyasi</t>
  </si>
  <si>
    <t>Jildlar va organayzerlar</t>
  </si>
  <si>
    <t>Organayzerlar va sumkalar</t>
  </si>
  <si>
    <t>Havo filtri uchun shimdirgichlar</t>
  </si>
  <si>
    <t>Avtomobil chiroqlari</t>
  </si>
  <si>
    <t>Boshqa tyuning elementlari</t>
  </si>
  <si>
    <t>Oyna va koʻzgular deflektorlari</t>
  </si>
  <si>
    <t>Torpedo uchun gilamchalar</t>
  </si>
  <si>
    <t>Oʻrindiqlar uchun jildlar va qoplamalar</t>
  </si>
  <si>
    <t>Maxsus yogʻlar</t>
  </si>
  <si>
    <t>Vosklar va polirollar</t>
  </si>
  <si>
    <t>Yuvish suyuqliklari</t>
  </si>
  <si>
    <t>Avtomobil uchun quritkichlar</t>
  </si>
  <si>
    <t>Tirkamalar uchun aksessuarlari</t>
  </si>
  <si>
    <t>Boʻyoqlar va gruntovkalar</t>
  </si>
  <si>
    <t>Shatakka olish troslari</t>
  </si>
  <si>
    <t>Avtomobil uchun kiyim ilgichlar</t>
  </si>
  <si>
    <t>Tashish uchun aksessuarlar</t>
  </si>
  <si>
    <t>Avariyali vaziyatlar uchun toʻplamlar</t>
  </si>
  <si>
    <t>Choʻtkalar, gubkalar, salfetkalar</t>
  </si>
  <si>
    <t>Himoya shishalari</t>
  </si>
  <si>
    <t>Orqa bamper yostiqchalari</t>
  </si>
  <si>
    <t>Qoplamalar va isitgichlar</t>
  </si>
  <si>
    <t>Avtomobil aromatizatorlari</t>
  </si>
  <si>
    <t>Yuvish va tozalash vositalari</t>
  </si>
  <si>
    <t>Mahkamlagichlar va toʻrlar</t>
  </si>
  <si>
    <t>Moylash materiallari</t>
  </si>
  <si>
    <t>Avtovizitkalar</t>
  </si>
  <si>
    <t>Oʻrindiqlar orasidagi zichlagichlar</t>
  </si>
  <si>
    <t>Tirsak tagliklari</t>
  </si>
  <si>
    <t>Boshqa avtomobil aksessuarlari</t>
  </si>
  <si>
    <t>Qirilgan joylarni taʼmirlash uchun vositalar</t>
  </si>
  <si>
    <t>Avariyali toʻxtash belgilari</t>
  </si>
  <si>
    <t>Avtomobil gilamchalari</t>
  </si>
  <si>
    <t>Tashqi qismlarni himoya qilish</t>
  </si>
  <si>
    <t>Bolalar sporti va faol hordiq</t>
  </si>
  <si>
    <t>Ochiq havoda oʻynaladigan oʻyinlar</t>
  </si>
  <si>
    <t>Varraklar</t>
  </si>
  <si>
    <t>Krovat toʻsiqlari</t>
  </si>
  <si>
    <t>Onalar uchun mahsulotlar</t>
  </si>
  <si>
    <t>Onalar uchun sumkalar va ryukzaklar</t>
  </si>
  <si>
    <t>Butilkachalarni isitgichlar va Sterilizatorlar</t>
  </si>
  <si>
    <t>Frisbi</t>
  </si>
  <si>
    <t>Sovun koʻpiklari</t>
  </si>
  <si>
    <t>Bolalar musiqa asboblari</t>
  </si>
  <si>
    <t>Bumeranglar</t>
  </si>
  <si>
    <t>Dekoratsiya va chiroqlar</t>
  </si>
  <si>
    <t>Bolalar uchun gilamchalar</t>
  </si>
  <si>
    <t>Oshxoʻraklar</t>
  </si>
  <si>
    <t>Aravachalar va avtomobil uchun oʻrindiqlar</t>
  </si>
  <si>
    <t>Aravachalar va avtomobil o'rindiqlari uchun aksessuarlar</t>
  </si>
  <si>
    <t>Blokiratorlar</t>
  </si>
  <si>
    <t>Hudud parvarishi</t>
  </si>
  <si>
    <t>Sugʻorish uchun tovarlar</t>
  </si>
  <si>
    <t>Bogʻ uchun qoʻlqoplar</t>
  </si>
  <si>
    <t>Urugʻlar va koʻchatlar</t>
  </si>
  <si>
    <t>Urugʻlar</t>
  </si>
  <si>
    <t>Urugʻ oʻstirish moslamalari</t>
  </si>
  <si>
    <t>Ko'chatlar</t>
  </si>
  <si>
    <t>Yerga ishlov berish</t>
  </si>
  <si>
    <t>Ayrilar, kirkalar, kultivatorlar</t>
  </si>
  <si>
    <t>Oʻgʻitlar va oʻsimliklar parvarishi</t>
  </si>
  <si>
    <t>Tuproq va oʻgʻit</t>
  </si>
  <si>
    <t>Piknik, barbekyu, grill</t>
  </si>
  <si>
    <t>Barbekyu uchun anjomlar</t>
  </si>
  <si>
    <t>Yovvoyi oʻtlarga qarshi vositalar</t>
  </si>
  <si>
    <t>Bogʻ mebellari va dekoratsiyasi</t>
  </si>
  <si>
    <t>Skameykalar</t>
  </si>
  <si>
    <t>Piknik uchun toʻplamlar</t>
  </si>
  <si>
    <t>Oʻsimliklarni oʻstirish uchun toʻplamlar</t>
  </si>
  <si>
    <t>Oʻsimliklarni zararkunandalar va kasalliklardan himoyalash</t>
  </si>
  <si>
    <t>Arqonlar, kanop iplar</t>
  </si>
  <si>
    <t>Koʻmir</t>
  </si>
  <si>
    <t>Mangal, koptilni uchun panjaralar va aksessuarlar</t>
  </si>
  <si>
    <t>Daraxtlar va butalarni kesish</t>
  </si>
  <si>
    <t>Butaqirqqichlar, shoxqirqqichlar, toqqaychilar</t>
  </si>
  <si>
    <t>Bogʻ uchun boshqa asboblar</t>
  </si>
  <si>
    <t>Urugʻlar uchun seyalkalar</t>
  </si>
  <si>
    <t>Piknik uchun koʻrpa va yopinchiqlar</t>
  </si>
  <si>
    <t>Bogʻ ishlari uchun chopqilar, ketmonlar, kurakchalar</t>
  </si>
  <si>
    <t>Meva teruvchilar</t>
  </si>
  <si>
    <t>Fartuklar va kamarlar</t>
  </si>
  <si>
    <t>Purkagichlar va aksessuarlar</t>
  </si>
  <si>
    <t>Bogʻ pichoqlari va qaychilari</t>
  </si>
  <si>
    <t>Dekoratsiya uchun boshqa tovarlar</t>
  </si>
  <si>
    <t>Termosumkalar, izotermik konteynerlar</t>
  </si>
  <si>
    <t>Bogʻ asboblari toʻplami</t>
  </si>
  <si>
    <t>Qoplar va sumkalar</t>
  </si>
  <si>
    <t>Oʻsimliklar uchun tayanchlar va bogʻichlar</t>
  </si>
  <si>
    <t>Olov yoqish uchun vositalar</t>
  </si>
  <si>
    <t>Oʻroqlar va chalgʻilar</t>
  </si>
  <si>
    <t>Belkuraklar</t>
  </si>
  <si>
    <t>Bogʻ dekoratsiyasi</t>
  </si>
  <si>
    <t>Qoʻziqorin urugʻlari</t>
  </si>
  <si>
    <t>Tarmoqli ekranlar va shlyuzlar</t>
  </si>
  <si>
    <t>Tashqi akkumulyatorlar</t>
  </si>
  <si>
    <t>Klaviatura va sichqoncha toʻplamlari</t>
  </si>
  <si>
    <t>Grafik planshetlar va aksessuarlar</t>
  </si>
  <si>
    <t>Foto va video kameralar</t>
  </si>
  <si>
    <t>Bolalar fotoapparatlari</t>
  </si>
  <si>
    <t>Ixcham fotoapparatlar</t>
  </si>
  <si>
    <t>Aqlli gadjetlar</t>
  </si>
  <si>
    <t>Xotira kartalari va flesh-disklar</t>
  </si>
  <si>
    <t>Fotosuratchilar uchun uskunalar</t>
  </si>
  <si>
    <t>Shtativlar</t>
  </si>
  <si>
    <t>Tarmoq adapterlari va PoE-injektorlari</t>
  </si>
  <si>
    <t>Kvadrokopterlar</t>
  </si>
  <si>
    <t>Oynasiz fotoapparatlar</t>
  </si>
  <si>
    <t>Soatlar va elektron budilniklar</t>
  </si>
  <si>
    <t>Elektron budilniklar</t>
  </si>
  <si>
    <t>Proyeksiya soatlari</t>
  </si>
  <si>
    <t>Mobil VR-garnituralar</t>
  </si>
  <si>
    <t>Klaviaturalar</t>
  </si>
  <si>
    <t>Selfi uchun monopodlar</t>
  </si>
  <si>
    <t>Sichqoncha</t>
  </si>
  <si>
    <t>Tana parvarishi</t>
  </si>
  <si>
    <t>Tana parvarishi uchun aksessuarlar</t>
  </si>
  <si>
    <t>Quruq massaj uchun choʻtkalar</t>
  </si>
  <si>
    <t>Tatuirovka saloni uchun uskunalar va materiallar</t>
  </si>
  <si>
    <t>Parfyumeriya</t>
  </si>
  <si>
    <t>Odekolonlar</t>
  </si>
  <si>
    <t>Atirlar</t>
  </si>
  <si>
    <t>Manikyur va pedikyur</t>
  </si>
  <si>
    <t>Laklar</t>
  </si>
  <si>
    <t>Tatuirovka parvarishi</t>
  </si>
  <si>
    <t>Tirsak yostiqchalari, qoʻlqoplar, paypoqlar</t>
  </si>
  <si>
    <t>Xushbo'ylangan suv</t>
  </si>
  <si>
    <t>Yogʻli atirlar</t>
  </si>
  <si>
    <t>Tirnoq boʻyogʻini tozalash vositalari</t>
  </si>
  <si>
    <t>Miniatyuralar va tiqinlar</t>
  </si>
  <si>
    <t>Parafin terapiyasi uchun qoʻlqoplar</t>
  </si>
  <si>
    <t>Tirnoqlar dizayni</t>
  </si>
  <si>
    <t>Quruq atirlar</t>
  </si>
  <si>
    <t>Gel-laklar</t>
  </si>
  <si>
    <t>Manikyur anjomlari</t>
  </si>
  <si>
    <t>Tirnoq olgichlar</t>
  </si>
  <si>
    <t>Mochalkalar</t>
  </si>
  <si>
    <t>Pemza, qirgich</t>
  </si>
  <si>
    <t>Choʻtkalar</t>
  </si>
  <si>
    <t>Tatuirovka mashinalari va aksessuarlari</t>
  </si>
  <si>
    <t>Sochlar parvarishi</t>
  </si>
  <si>
    <t>Soch parvarishi uchun aksessuarlar</t>
  </si>
  <si>
    <t>Bigudi</t>
  </si>
  <si>
    <t>Manikyur va pedikyur uchun aksessuarlar</t>
  </si>
  <si>
    <t>Dush uchun qalpoqchalar</t>
  </si>
  <si>
    <t>Taroqlar va choʻtkalar</t>
  </si>
  <si>
    <t>Olib yuriladigan flakonlar</t>
  </si>
  <si>
    <t>Tirnoq yopishtirish uchun materiallar</t>
  </si>
  <si>
    <t>Pariklar va shinyonlar</t>
  </si>
  <si>
    <t>Qaychilar</t>
  </si>
  <si>
    <t>Pirsing uchun uskunalar</t>
  </si>
  <si>
    <t>Bazalar va toplar</t>
  </si>
  <si>
    <t>Praymerlar va yogʻlarni yoʻqotuvchi moddalar</t>
  </si>
  <si>
    <t>Tatuirovka toʻplamlari</t>
  </si>
  <si>
    <t>Parfyumlangan suv</t>
  </si>
  <si>
    <t>Qushlar uchun</t>
  </si>
  <si>
    <t>Qafaslar va narvonlar</t>
  </si>
  <si>
    <t>Qafaslar uchun gʻiloflar va gʻildiraklar</t>
  </si>
  <si>
    <t>Ozuqa va Shirinliklar</t>
  </si>
  <si>
    <t>Oziqatlantirish uchun aksessuarlar</t>
  </si>
  <si>
    <t>Narvonlar</t>
  </si>
  <si>
    <t>Kemiruvchilar uchun</t>
  </si>
  <si>
    <t>Kemiruvchilar uchun tashish moslamalari va boʻyinbogʻlar</t>
  </si>
  <si>
    <t>Tashish moslamalari kemiruvchilar uchun</t>
  </si>
  <si>
    <t>Idishlar</t>
  </si>
  <si>
    <t>Avtomatik oziqlantiruvchilar va suv ichiruvchilar</t>
  </si>
  <si>
    <t>Qishloq xoʻjaligi hayvonlari uchun</t>
  </si>
  <si>
    <t>Otlar uchun</t>
  </si>
  <si>
    <t>Qafaslar va uylar</t>
  </si>
  <si>
    <t>Qafaslar</t>
  </si>
  <si>
    <t>Sovun</t>
  </si>
  <si>
    <t>Choʻmilish kiyimlari va qum</t>
  </si>
  <si>
    <t>Kemiruvchilar uchun tovoqchalar, suv idishlari va ovqatlantirish idishlari</t>
  </si>
  <si>
    <t>Ovqat beradigan idishlar</t>
  </si>
  <si>
    <t>Yozuv qurollari</t>
  </si>
  <si>
    <t>Pyerolar</t>
  </si>
  <si>
    <t>Qogʻoz mahsulotlari</t>
  </si>
  <si>
    <t>Telefon kitoblari</t>
  </si>
  <si>
    <t>Xatchoʻplar</t>
  </si>
  <si>
    <t>Sahifa ushlagichlar</t>
  </si>
  <si>
    <t>Erkaklar kiyimi</t>
  </si>
  <si>
    <t>Paypoqlar va getrlar</t>
  </si>
  <si>
    <t>Paypoqlar</t>
  </si>
  <si>
    <t>Ayollar kiyimi</t>
  </si>
  <si>
    <t>Liboslar va sarafanlar</t>
  </si>
  <si>
    <t>Ko'ylak o'ramali</t>
  </si>
  <si>
    <t>Bluzkalar va rubashkalar</t>
  </si>
  <si>
    <t>Bluzkalar</t>
  </si>
  <si>
    <t>Katta o'lchamli kiyimlar</t>
  </si>
  <si>
    <t>Top va maykalar</t>
  </si>
  <si>
    <t>Ustki kiyim</t>
  </si>
  <si>
    <t>Yomgʻirpoʻshlar</t>
  </si>
  <si>
    <t>Jinsilar</t>
  </si>
  <si>
    <t>Choʻmilish va plyaj kiyimlari</t>
  </si>
  <si>
    <t>Ikki qismli choʻmilish kiyimlari</t>
  </si>
  <si>
    <t>Shimlar</t>
  </si>
  <si>
    <t>Qalinlashtirilgan shimlar</t>
  </si>
  <si>
    <t>Ichki kiyim uslubidagi toplar</t>
  </si>
  <si>
    <t>Yubkalar</t>
  </si>
  <si>
    <t>Trapezoid va keng yubkalar</t>
  </si>
  <si>
    <t>Shortilar</t>
  </si>
  <si>
    <t>Briji</t>
  </si>
  <si>
    <t>Uy kiyimi</t>
  </si>
  <si>
    <t>Klassik shimlar</t>
  </si>
  <si>
    <t>Sport kiyimlari</t>
  </si>
  <si>
    <t>Sport kostyumlari</t>
  </si>
  <si>
    <t>Krop-toplar</t>
  </si>
  <si>
    <t>Poncholar va keyplar</t>
  </si>
  <si>
    <t>Pidjaklar va kostyumlar</t>
  </si>
  <si>
    <t>Pidjaklar</t>
  </si>
  <si>
    <t>Futbolka-liboslar</t>
  </si>
  <si>
    <t>Kombinezonlar</t>
  </si>
  <si>
    <t>Jinsi kombinezonlar</t>
  </si>
  <si>
    <t>Bermudlar</t>
  </si>
  <si>
    <t>Jemperlar, sviterlar va kardiganlar</t>
  </si>
  <si>
    <t>Sviterlar</t>
  </si>
  <si>
    <t>Ko'ylaklar</t>
  </si>
  <si>
    <t>Uzun yengli ko'ylaklar</t>
  </si>
  <si>
    <t>Ichki kiyim</t>
  </si>
  <si>
    <t>Trusiklar</t>
  </si>
  <si>
    <t>Kostyumlar va toʻplamlar</t>
  </si>
  <si>
    <t>Klassik kostyumlar</t>
  </si>
  <si>
    <t>Sport kurtkalari</t>
  </si>
  <si>
    <t>Jinsi shortilar</t>
  </si>
  <si>
    <t>Tor yubkalar</t>
  </si>
  <si>
    <t>Kalta yengli ko'ylaklar</t>
  </si>
  <si>
    <t>Ko'ylak liboslari</t>
  </si>
  <si>
    <t>Sport liboslar va yubkalar</t>
  </si>
  <si>
    <t>Milliy kiyimlar</t>
  </si>
  <si>
    <t>Milliy liboslar va xalatlar</t>
  </si>
  <si>
    <t>Yelkalari pastga tushirilgan toplar</t>
  </si>
  <si>
    <t>Futlyar-liboslar</t>
  </si>
  <si>
    <t>Maxsus kiyimlar</t>
  </si>
  <si>
    <t>Maxsus kiyimlar aksessuarlari</t>
  </si>
  <si>
    <t>Sport tolstovkalari</t>
  </si>
  <si>
    <t>Xudi va svitshotlar</t>
  </si>
  <si>
    <t>Svitshotlar</t>
  </si>
  <si>
    <t>Korsetlar</t>
  </si>
  <si>
    <t>Rashgardlar</t>
  </si>
  <si>
    <t>Futbolkalar va polo</t>
  </si>
  <si>
    <t>Longslivlar</t>
  </si>
  <si>
    <t>Briji va kaprilar</t>
  </si>
  <si>
    <t>Uy uchun to'plamlar</t>
  </si>
  <si>
    <t>Toʻplamlar</t>
  </si>
  <si>
    <t>Paypoqlar, kolgotkilar va chulkilar</t>
  </si>
  <si>
    <t>Golflar va getrlar</t>
  </si>
  <si>
    <t>Byustgalterlar</t>
  </si>
  <si>
    <t>Tolstovka-liboslar</t>
  </si>
  <si>
    <t>Keng va klesh jinsi shimlar</t>
  </si>
  <si>
    <t>Bogʻichli toplar</t>
  </si>
  <si>
    <t>Sport toplari</t>
  </si>
  <si>
    <t>Kargo</t>
  </si>
  <si>
    <t>Legginslar va losinlar</t>
  </si>
  <si>
    <t>Termal paypoqlar</t>
  </si>
  <si>
    <t>Suv oʻtkazmaydigan kiyim</t>
  </si>
  <si>
    <t>Kostyumlar</t>
  </si>
  <si>
    <t>Har kunli kombinezonlar</t>
  </si>
  <si>
    <t>Jemperlar va pulloverlar</t>
  </si>
  <si>
    <t>Tekkis yubkalar</t>
  </si>
  <si>
    <t>Palto</t>
  </si>
  <si>
    <t>Jiletlar</t>
  </si>
  <si>
    <t>Velosipedkalar</t>
  </si>
  <si>
    <t>Homiladorlar uchun kiyimlar</t>
  </si>
  <si>
    <t>Kolgotkilar</t>
  </si>
  <si>
    <t>Sport kombinezonlari</t>
  </si>
  <si>
    <t>Dublyonkalar va shubalar</t>
  </si>
  <si>
    <t>Charm yubkalar</t>
  </si>
  <si>
    <t>Kyulotlar</t>
  </si>
  <si>
    <t>Termal ichki kiyim</t>
  </si>
  <si>
    <t>Bodi</t>
  </si>
  <si>
    <t>Bodi-toplar</t>
  </si>
  <si>
    <t>Chinos</t>
  </si>
  <si>
    <t>Toraytirilgan jinsilar</t>
  </si>
  <si>
    <t>Bir qismli сhoʻmilish kiyimlari va monokinilar</t>
  </si>
  <si>
    <t>Demi-mavsum kurtkalari</t>
  </si>
  <si>
    <t>Termal ichki kiyimlar</t>
  </si>
  <si>
    <t>Termal ichki kiyimlarni pastki qismi</t>
  </si>
  <si>
    <t>Erkin jinsilar</t>
  </si>
  <si>
    <t>Suzish uchun sport kiyimi</t>
  </si>
  <si>
    <t>Yelkalari pastga tushirilgan liboslar</t>
  </si>
  <si>
    <t>Klassik jiletlar</t>
  </si>
  <si>
    <t>Sovuq oʻtkazmaydigan shimlar</t>
  </si>
  <si>
    <t>Pijamalar</t>
  </si>
  <si>
    <t>Vodolazkalar</t>
  </si>
  <si>
    <t>To'qima toplar</t>
  </si>
  <si>
    <t>Joggerlar</t>
  </si>
  <si>
    <t>Qat-qat burma solingan yubkalar</t>
  </si>
  <si>
    <t>Koʻylaklar</t>
  </si>
  <si>
    <t>Shimlar va kombinezonlar</t>
  </si>
  <si>
    <t>Tibbiyot kiyimi</t>
  </si>
  <si>
    <t>Flislar</t>
  </si>
  <si>
    <t>Diniy kiyim</t>
  </si>
  <si>
    <t>Jinsi matodan liboslar</t>
  </si>
  <si>
    <t>Jemperlar va kardiganlar</t>
  </si>
  <si>
    <t>Forma kiyimlar</t>
  </si>
  <si>
    <t>Kardiganlar</t>
  </si>
  <si>
    <t>Ochiq ichki kiyimlar va kostyumlar</t>
  </si>
  <si>
    <t>Har kunlik shimlar</t>
  </si>
  <si>
    <t>Sport suzish kiyimlari</t>
  </si>
  <si>
    <t>Jinsi kurtkalar</t>
  </si>
  <si>
    <t>Ofis liboslari</t>
  </si>
  <si>
    <t>Futbolkalar va polo to'plamlari</t>
  </si>
  <si>
    <t>Taytlar</t>
  </si>
  <si>
    <t>Tunikalar</t>
  </si>
  <si>
    <t>Bodi-bluzkalar</t>
  </si>
  <si>
    <t>Ichki kiyim toʻplamlari</t>
  </si>
  <si>
    <t>Jinsi ko'ylaklar</t>
  </si>
  <si>
    <t>Tekis shimlar</t>
  </si>
  <si>
    <t>Pareo</t>
  </si>
  <si>
    <t>Sport maykalari</t>
  </si>
  <si>
    <t>Yengil kurtka va vetrovkalar</t>
  </si>
  <si>
    <t>Termal ichki kiyimlarni to'plamlari</t>
  </si>
  <si>
    <t>Plashlar va trenchlar</t>
  </si>
  <si>
    <t>Erkaklar uchun diniy kiyim</t>
  </si>
  <si>
    <t>Futbolkalar</t>
  </si>
  <si>
    <t>Chulkilar</t>
  </si>
  <si>
    <t>Jeggingslar</t>
  </si>
  <si>
    <t>Sport shortilari</t>
  </si>
  <si>
    <t>Tekis jinsilar</t>
  </si>
  <si>
    <t>Sport paypoqlari va golfilari</t>
  </si>
  <si>
    <t>Parklar</t>
  </si>
  <si>
    <t>Ishchilar uchun maxsus kiyim</t>
  </si>
  <si>
    <t>Tolstovkalar</t>
  </si>
  <si>
    <t>Uy uchun toʻplamlar</t>
  </si>
  <si>
    <t>Bolero</t>
  </si>
  <si>
    <t>Kundalik shortilar</t>
  </si>
  <si>
    <t>Sport futbolkalari va longslivlar</t>
  </si>
  <si>
    <t>Boyfriend jinsi shimlari</t>
  </si>
  <si>
    <t>Uy uchun xalatlar</t>
  </si>
  <si>
    <t>Maykalar va ichki kiyimli toplar</t>
  </si>
  <si>
    <t>Sport shimlari</t>
  </si>
  <si>
    <t>Ichki kiyimlar</t>
  </si>
  <si>
    <t>Teridan bo'lgan matodan kurtkalar</t>
  </si>
  <si>
    <t>Keng bichimli toplar</t>
  </si>
  <si>
    <t>Mom-jinsi shimlari</t>
  </si>
  <si>
    <t>Olimpiykalar</t>
  </si>
  <si>
    <t>Libos-pidjaklar</t>
  </si>
  <si>
    <t>Liboslar</t>
  </si>
  <si>
    <t>Xudilar</t>
  </si>
  <si>
    <t>Uy uchun liboslar va tunikalar</t>
  </si>
  <si>
    <t>Rubashkalar</t>
  </si>
  <si>
    <t>Maykalar</t>
  </si>
  <si>
    <t>Kapron paypoqlar uchun bogʻichlar va poyaslar</t>
  </si>
  <si>
    <t>Jinsi yubkalar</t>
  </si>
  <si>
    <t>Toʻy liboslari</t>
  </si>
  <si>
    <t>Kalsonlar</t>
  </si>
  <si>
    <t>Uy uchun shimlar va shortilar</t>
  </si>
  <si>
    <t>Sarafanlar</t>
  </si>
  <si>
    <t>Toraytirilgan shimlar</t>
  </si>
  <si>
    <t>Tungi kiyimlar</t>
  </si>
  <si>
    <t>Har kunli shortilar</t>
  </si>
  <si>
    <t>Oshpazlar va ofitsiantlar uchun kiyimlar</t>
  </si>
  <si>
    <t>Bluzkalar va koʻylaklar</t>
  </si>
  <si>
    <t>Oqshom liboslari</t>
  </si>
  <si>
    <t>Sviter-liboslar</t>
  </si>
  <si>
    <t>Uy uchun futbolkalar va longslivlar</t>
  </si>
  <si>
    <t>Charmdan bo'lgan kurtkalar va kosuxalar</t>
  </si>
  <si>
    <t>Karnaval uchun kiyimlar</t>
  </si>
  <si>
    <t>Shortik-yubkalar</t>
  </si>
  <si>
    <t>Termal ichki kiyimlarni ustki qismi</t>
  </si>
  <si>
    <t>Qomatni rostlovchi ichki kiyimlar</t>
  </si>
  <si>
    <t>Kostyumlar shorti bilan</t>
  </si>
  <si>
    <t>Charmli shimlar</t>
  </si>
  <si>
    <t>Puxli kurtkalar va qishki kurtkalar</t>
  </si>
  <si>
    <t>To`qilgan kostyumlar</t>
  </si>
  <si>
    <t>Uy uchun koʻylaklar</t>
  </si>
  <si>
    <t>Kostyumlar va jaketlar</t>
  </si>
  <si>
    <t>Byustgalter uchun aksessuarlar</t>
  </si>
  <si>
    <t>Tashqi kiyim toʻplamlari</t>
  </si>
  <si>
    <t>Signalli kiyimi</t>
  </si>
  <si>
    <t>Jaketlar</t>
  </si>
  <si>
    <t>Oqshom kombinezonlari</t>
  </si>
  <si>
    <t>Choʻmilish plavkalari va shortilari</t>
  </si>
  <si>
    <t>Choʻmilish uchun shortilar</t>
  </si>
  <si>
    <t>Poncho</t>
  </si>
  <si>
    <t>Uy uchun jemperlar va kardiganlar</t>
  </si>
  <si>
    <t>Kalta yengli futbolkalar</t>
  </si>
  <si>
    <t>Polo</t>
  </si>
  <si>
    <t>Har kun kiyiladigan liboslar</t>
  </si>
  <si>
    <t>Plavkalar</t>
  </si>
  <si>
    <t>Bomberlar</t>
  </si>
  <si>
    <t>Kostyumlar shim bilan</t>
  </si>
  <si>
    <t>Pyatkilar</t>
  </si>
  <si>
    <t>Plaj liboslari va tunikalar</t>
  </si>
  <si>
    <t>Libos-mayka</t>
  </si>
  <si>
    <t>Sport legginslari</t>
  </si>
  <si>
    <t>Toplar</t>
  </si>
  <si>
    <t>Milliy kiyimlar to'plami</t>
  </si>
  <si>
    <t>Ventilyatorlar</t>
  </si>
  <si>
    <t>Stol ventilyatorlari</t>
  </si>
  <si>
    <t>Mini-Ventilyatorlar</t>
  </si>
  <si>
    <t>Kofe tayyorlash</t>
  </si>
  <si>
    <t>Qahva mashinalarini tozalash vositalari</t>
  </si>
  <si>
    <t>Polda turadigan ventiyatorlar</t>
  </si>
  <si>
    <t>Ayollar poyabzali</t>
  </si>
  <si>
    <t>Uyda kiyish uchun poyabzallar</t>
  </si>
  <si>
    <t>Qoʻl asboblari va jihozlari</t>
  </si>
  <si>
    <t>Urish-dastakli asboblari</t>
  </si>
  <si>
    <t>Katta bolgʻa</t>
  </si>
  <si>
    <t>Montaj asboblari</t>
  </si>
  <si>
    <t>Qurilish pichogʻi</t>
  </si>
  <si>
    <t>Ventilyatsiya</t>
  </si>
  <si>
    <t>Havo kanallari va butlovchi qismlar</t>
  </si>
  <si>
    <t>Asboblar</t>
  </si>
  <si>
    <t>Kesish va arralash asboblari</t>
  </si>
  <si>
    <t>Shisha kesgichlar</t>
  </si>
  <si>
    <t>Klyuchlar</t>
  </si>
  <si>
    <t>Yechish klyuchlari</t>
  </si>
  <si>
    <t>Asboblar va inventarlarni saqlash</t>
  </si>
  <si>
    <t>Yogʻoch bolgʻa</t>
  </si>
  <si>
    <t>Shaxsiy himoya vositalari</t>
  </si>
  <si>
    <t>Qurilish koʻzoynaklari</t>
  </si>
  <si>
    <t>Duradgorlik-slesarlik asboblari</t>
  </si>
  <si>
    <t>Mayda asboblar</t>
  </si>
  <si>
    <t>Qurilish tasmalari</t>
  </si>
  <si>
    <t>Bo'yash va pardozlash uchun asboblar</t>
  </si>
  <si>
    <t>Boʻyoqchilik tasmalari</t>
  </si>
  <si>
    <t>Gayka kalitlar</t>
  </si>
  <si>
    <t>Kanalli ventilyatorlar</t>
  </si>
  <si>
    <t>Furnitura</t>
  </si>
  <si>
    <t>Eshik furnituralari</t>
  </si>
  <si>
    <t>Qisqich uskunalari</t>
  </si>
  <si>
    <t>Strubnitsa va tiskalar</t>
  </si>
  <si>
    <t>Shishalar uchun domkrat</t>
  </si>
  <si>
    <t>Ehtiyot qismlar</t>
  </si>
  <si>
    <t>Perexodniklar va adapterlar</t>
  </si>
  <si>
    <t>Abraziv moddalar</t>
  </si>
  <si>
    <t>Koronkalar</t>
  </si>
  <si>
    <t>Teshikli klyuchlar</t>
  </si>
  <si>
    <t>Payvandlash uskunalari</t>
  </si>
  <si>
    <t>Payvandchining niqoblar va qo'lqoplar</t>
  </si>
  <si>
    <t>Yoritish</t>
  </si>
  <si>
    <t>Bogʻni yoritish</t>
  </si>
  <si>
    <t>Randalar</t>
  </si>
  <si>
    <t>Metchiklar</t>
  </si>
  <si>
    <t>Lampochkalar</t>
  </si>
  <si>
    <t>Oyna furnituralari</t>
  </si>
  <si>
    <t>Vintlar va murvatlar</t>
  </si>
  <si>
    <t>Santexnika</t>
  </si>
  <si>
    <t>Dush kabinalari uchun butlovchi qismlar</t>
  </si>
  <si>
    <t>Boʻyoqchilik choʻtkalari</t>
  </si>
  <si>
    <t>Metall kesish uchun qaychilar</t>
  </si>
  <si>
    <t>Anker murvatlari</t>
  </si>
  <si>
    <t>Plunjer shprits</t>
  </si>
  <si>
    <t>Dyubellar</t>
  </si>
  <si>
    <t>Qoʻl arra</t>
  </si>
  <si>
    <t>Patronlar va perexodniklar</t>
  </si>
  <si>
    <t>Kraskopultlar va aerograflari</t>
  </si>
  <si>
    <t>Mix sugʻurgichlar</t>
  </si>
  <si>
    <t>Izolyatsiya lentalari</t>
  </si>
  <si>
    <t>Qurilish ishlari uchun tekislash asboblari</t>
  </si>
  <si>
    <t>Multitullar</t>
  </si>
  <si>
    <t>Vanna va oshxona uchun aksessuarlar</t>
  </si>
  <si>
    <t>Shamollatish panjaralari va revizion lyuklar</t>
  </si>
  <si>
    <t>Metall choʻtkalar</t>
  </si>
  <si>
    <t>Mahkamlash plastinalari</t>
  </si>
  <si>
    <t>Respiratorlar</t>
  </si>
  <si>
    <t>Qurilish ishlari uchun togʻoralar va chelaklar</t>
  </si>
  <si>
    <t>Arralar va qo'l arralari</t>
  </si>
  <si>
    <t>Yassi ombirlar</t>
  </si>
  <si>
    <t>Kerner</t>
  </si>
  <si>
    <t>Mixlar</t>
  </si>
  <si>
    <t>Shamollatish moslamalari</t>
  </si>
  <si>
    <t>Himoya qoʻlqoplari</t>
  </si>
  <si>
    <t>Ta'mirlash to'plamlari va sarf materiallari</t>
  </si>
  <si>
    <t>Olti burchakli klyuchlar</t>
  </si>
  <si>
    <t>Sugʻorish nasadkalari</t>
  </si>
  <si>
    <t>Magnit asboblar</t>
  </si>
  <si>
    <t>Texnik xonalar uchun chiroqlar</t>
  </si>
  <si>
    <t>Shpatellar</t>
  </si>
  <si>
    <t>Gul qogʻozlar</t>
  </si>
  <si>
    <t>Foto-gulqogʻozlar</t>
  </si>
  <si>
    <t>Tunchiroqlar</t>
  </si>
  <si>
    <t>Svetodiod yoritgichlar</t>
  </si>
  <si>
    <t>Egovlar va nozik egovlar</t>
  </si>
  <si>
    <t>Xavfsizlik uskunalari</t>
  </si>
  <si>
    <t>Tekislagichlar</t>
  </si>
  <si>
    <t>Otvyortka</t>
  </si>
  <si>
    <t>Shovqinni bosuvchi quloqchinlar va quloq tiqinlari</t>
  </si>
  <si>
    <t>Septiklar va gruntovkalar</t>
  </si>
  <si>
    <t>Valiklar va boʻyoqchilik vannachalari</t>
  </si>
  <si>
    <t>Himoya niqoblari</t>
  </si>
  <si>
    <t>Fitinglar va butlovchi qismlar</t>
  </si>
  <si>
    <t>Kaskalar</t>
  </si>
  <si>
    <t>Qurilish uskunalari</t>
  </si>
  <si>
    <t>Boshqa qurilish uskunalari</t>
  </si>
  <si>
    <t>Dinamometrik kalitlar</t>
  </si>
  <si>
    <t>Keskilar va iskanalar</t>
  </si>
  <si>
    <t>Havoni tortuvchi ventilyatorlar</t>
  </si>
  <si>
    <t>Isitish</t>
  </si>
  <si>
    <t>Sharli kranlar</t>
  </si>
  <si>
    <t>Chiroqi musiqa</t>
  </si>
  <si>
    <t>Qurilish-pardoz ishlar uchun aksessuarlar va sarflov materiallari</t>
  </si>
  <si>
    <t>Bolgʻa</t>
  </si>
  <si>
    <t>Asboblar uchun ehtiyot qismlar</t>
  </si>
  <si>
    <t>Mebel stepler</t>
  </si>
  <si>
    <t>Torks klyuchlari</t>
  </si>
  <si>
    <t>Shuruplar va samorezlar</t>
  </si>
  <si>
    <t>Burchaklar va ushlagichlar</t>
  </si>
  <si>
    <t>Payvandlash uchun butlovchi qismlar</t>
  </si>
  <si>
    <t>Qurilish qirgʻichlari</t>
  </si>
  <si>
    <t>Turar joy binolari uchun tunchiroqlar</t>
  </si>
  <si>
    <t>Quvur kalitlari</t>
  </si>
  <si>
    <t>Elektrodlar va simlar</t>
  </si>
  <si>
    <t>USB lampalar</t>
  </si>
  <si>
    <t>Laklar va Boʻyoqlar</t>
  </si>
  <si>
    <t>Montaj pistoletlari</t>
  </si>
  <si>
    <t>Slesar zubilasi</t>
  </si>
  <si>
    <t>Stol lampalari</t>
  </si>
  <si>
    <t>Qisqichlar va yon kesgichlar</t>
  </si>
  <si>
    <t>Prezervativlar va lubrikantlar</t>
  </si>
  <si>
    <t>Lubrikantlar</t>
  </si>
  <si>
    <t>Massaj banklari</t>
  </si>
  <si>
    <t>Massaj matraslari</t>
  </si>
  <si>
    <t>Ko'rish uchun ko'zoynaklar</t>
  </si>
  <si>
    <t>Avtomobillar uchun massaj yostiqchalari</t>
  </si>
  <si>
    <t>Tana uchun massaj moslamalari</t>
  </si>
  <si>
    <t>Bandajlar</t>
  </si>
  <si>
    <t>Oyoq uchun massaj moslamalari</t>
  </si>
  <si>
    <t>Ortopedik poyabzal</t>
  </si>
  <si>
    <t>Kontakt linzalar</t>
  </si>
  <si>
    <t>Kontakt linzalari uchun qorishmalar</t>
  </si>
  <si>
    <t>Tibbiy jihozlar</t>
  </si>
  <si>
    <t>Tibbiyot termometrlari</t>
  </si>
  <si>
    <t>Anatomik va ortopedik yostiqlar</t>
  </si>
  <si>
    <t>Prezervativlar</t>
  </si>
  <si>
    <t>Kompyuter ko'zoynaklari</t>
  </si>
  <si>
    <t>Tabiat qoʻynida dam olish, baliq ovi va ov</t>
  </si>
  <si>
    <t>Turizm va ochiq havoda dam olish</t>
  </si>
  <si>
    <t>Suvdonlar va ichimlik tizimlari</t>
  </si>
  <si>
    <t>Sport turlari</t>
  </si>
  <si>
    <t>Tennis va badminton</t>
  </si>
  <si>
    <t>Badminton</t>
  </si>
  <si>
    <t>Boks va yakka kurash</t>
  </si>
  <si>
    <t>Kurash uchun uskunalar</t>
  </si>
  <si>
    <t>Orientatsiya uchun yordamchi vositalar</t>
  </si>
  <si>
    <t>Faol hordiq turlari</t>
  </si>
  <si>
    <t>Bilyard</t>
  </si>
  <si>
    <t>Bilyard aksessuarlari</t>
  </si>
  <si>
    <t>Katta tennis</t>
  </si>
  <si>
    <t>Samokatlar va aksessuarlar</t>
  </si>
  <si>
    <t>Samokatlar ehtiyot qismlari</t>
  </si>
  <si>
    <t>Yugurish</t>
  </si>
  <si>
    <t>Yugurish uchun belga taqiladigan sumkalar va ryukzak-gidratorlar</t>
  </si>
  <si>
    <t>Suv sporti va suvda dam olish</t>
  </si>
  <si>
    <t>Suzish</t>
  </si>
  <si>
    <t>Suzish uchun belkuraklar</t>
  </si>
  <si>
    <t>Faol dam olish uchun uskunalar</t>
  </si>
  <si>
    <t>Velosport</t>
  </si>
  <si>
    <t>Velosiped qismlari</t>
  </si>
  <si>
    <t>Velosiped zanjirlari</t>
  </si>
  <si>
    <t>Futbol</t>
  </si>
  <si>
    <t>Futbol qalqonlari</t>
  </si>
  <si>
    <t>Badiiy gimnastika va raqslar</t>
  </si>
  <si>
    <t>Gimnastika obruchlari</t>
  </si>
  <si>
    <t>Darvozabon qo'lqoplari</t>
  </si>
  <si>
    <t>Velosport uchun ekipirovka</t>
  </si>
  <si>
    <t>Rolikli konkilar, ekipirovka va ehtiyot qismlar</t>
  </si>
  <si>
    <t>Rolikli konkilar uchun aksessuarlar va ehtiyot qismlar</t>
  </si>
  <si>
    <t>Shinalar va kameralar</t>
  </si>
  <si>
    <t>Puflanadigan mebel</t>
  </si>
  <si>
    <t>Og`ir atletika</t>
  </si>
  <si>
    <t>Ogʻir atletika uchun epikrovka</t>
  </si>
  <si>
    <t>Dayving</t>
  </si>
  <si>
    <t>Niqoblar, naychalar va regulyatorlar</t>
  </si>
  <si>
    <t>Nasoslar</t>
  </si>
  <si>
    <t>Basketbol</t>
  </si>
  <si>
    <t>Basketbol halqalari</t>
  </si>
  <si>
    <t>Basseyn uchun aksessuarlar</t>
  </si>
  <si>
    <t>Katlamali sayohat mebel</t>
  </si>
  <si>
    <t>Metall izlagichlar va aksessuarlar</t>
  </si>
  <si>
    <t>Basketbol aksessuarlari</t>
  </si>
  <si>
    <t>Gimnastika to'plari</t>
  </si>
  <si>
    <t>Gimnastika tizza himoyasi</t>
  </si>
  <si>
    <t>Qalpoqchalar</t>
  </si>
  <si>
    <t>Raqs uchun aksessuarlar</t>
  </si>
  <si>
    <t>Quruq basseynlar uchun shariklar</t>
  </si>
  <si>
    <t>Basketbol to'plari</t>
  </si>
  <si>
    <t>Hovuz cho'tkalari</t>
  </si>
  <si>
    <t>Chodirlar, tentlar va shatyorlar</t>
  </si>
  <si>
    <t>Himoya</t>
  </si>
  <si>
    <t>Badiiy gimnastika uchun lentalar</t>
  </si>
  <si>
    <t>Turistik gilamchalar</t>
  </si>
  <si>
    <t>Darts</t>
  </si>
  <si>
    <t>Dart o'qlari</t>
  </si>
  <si>
    <t>Taxtalar, yostiqlar, kolobashkalar</t>
  </si>
  <si>
    <t>Akvafitness va suv polo</t>
  </si>
  <si>
    <t>Akvaaerobika uchun gantellar</t>
  </si>
  <si>
    <t>Kaplar</t>
  </si>
  <si>
    <t>Golf</t>
  </si>
  <si>
    <t>Golf aksessuarlari</t>
  </si>
  <si>
    <t>Supportlar</t>
  </si>
  <si>
    <t>Doiralar va matraslar</t>
  </si>
  <si>
    <t>Velosiped sumkalari va velosiped ko'zoynaklari</t>
  </si>
  <si>
    <t>Sayohat uchun idishlar</t>
  </si>
  <si>
    <t>Jiletkalar va yenglar</t>
  </si>
  <si>
    <t>Olovli pechlar, lager pechlari va gaz isitgichlari</t>
  </si>
  <si>
    <t>Yugurish uchun aksessuarlar</t>
  </si>
  <si>
    <t>Pichoqlar, belkuraklar, sayyohlik arralari</t>
  </si>
  <si>
    <t>Gripslar va tutqichlar</t>
  </si>
  <si>
    <t>Dayving uchun paypoqlar va poyabzal</t>
  </si>
  <si>
    <t>Boks qoplari va noksimon qoplari</t>
  </si>
  <si>
    <t>Velosiped kosmetikasi va parvarish uchun mahsulotlari</t>
  </si>
  <si>
    <t>Suzish va suv oʻyinlari</t>
  </si>
  <si>
    <t>Suzish halqalari</t>
  </si>
  <si>
    <t>Boshqa velosiped qismlari</t>
  </si>
  <si>
    <t>Tana himoyasi</t>
  </si>
  <si>
    <t>Futbol to'plari</t>
  </si>
  <si>
    <t>Futbol darvozalari</t>
  </si>
  <si>
    <t>Uyqu qoplari</t>
  </si>
  <si>
    <t>Voleybol</t>
  </si>
  <si>
    <t>Voleybol to'rlari</t>
  </si>
  <si>
    <t>Suzish uchun koʻzoynaklar va niqoblar</t>
  </si>
  <si>
    <t>Qo'lqoplar</t>
  </si>
  <si>
    <t>Velosport uchun aksessuarlar</t>
  </si>
  <si>
    <t>Sayohat uchun ryukzaklar va sumkalar</t>
  </si>
  <si>
    <t>Sport nudl</t>
  </si>
  <si>
    <t>Velosiped tormozlar</t>
  </si>
  <si>
    <t>Qanotlar va loy qo'riqchilari</t>
  </si>
  <si>
    <t>Kinezioteyplar</t>
  </si>
  <si>
    <t>Badiiy gimnastika va raqs uchun inventarlar</t>
  </si>
  <si>
    <t>Suzish uchun aksessuarlar</t>
  </si>
  <si>
    <t>Qisqichlar va quloq uchun tiqinlar</t>
  </si>
  <si>
    <t>Fonarlar va aksessuarlar</t>
  </si>
  <si>
    <t>Lastalar</t>
  </si>
  <si>
    <t>Sport gimnastikasi</t>
  </si>
  <si>
    <t>Gimnastika uskunalari</t>
  </si>
  <si>
    <t>Skandinaviyacha yurish</t>
  </si>
  <si>
    <t>Sport atributkalari va aksessuarlar</t>
  </si>
  <si>
    <t>Stol tennisi</t>
  </si>
  <si>
    <t>Suzish uchun trubkalar</t>
  </si>
  <si>
    <t>O'quv jihozlari va aksessuarlari</t>
  </si>
  <si>
    <t>Darts doskalari</t>
  </si>
  <si>
    <t>Skvosh</t>
  </si>
  <si>
    <t>Turizm va dam olish uchun aksessuarlar</t>
  </si>
  <si>
    <t>Osma qozonchalar va gulhan uchun uch oyoq</t>
  </si>
  <si>
    <t>Voleybol tizzalari va tirsak yostiqchalari</t>
  </si>
  <si>
    <t>Puflanama toʻplar</t>
  </si>
  <si>
    <t>Suv aerobika uchun kamarlar</t>
  </si>
  <si>
    <t>Voleybol to'plari</t>
  </si>
  <si>
    <t>Hovuz uchun kimyo</t>
  </si>
  <si>
    <t>Dezinfektsiyalash vositalari</t>
  </si>
  <si>
    <t>Bulavalar</t>
  </si>
  <si>
    <t>Beysbol</t>
  </si>
  <si>
    <t>Beysbol aksessuarlari</t>
  </si>
  <si>
    <t>Kimono</t>
  </si>
  <si>
    <t>Ta'mirlash to'plamlari</t>
  </si>
  <si>
    <t>Serfing, vindserfing, suv chang'isi, kaytserfing</t>
  </si>
  <si>
    <t>Oshxona anjomlari</t>
  </si>
  <si>
    <t>Konserva pichoqlari va ochqichlari</t>
  </si>
  <si>
    <t>Krujkalar, stakanlar va bokallar</t>
  </si>
  <si>
    <t>Stakanlar</t>
  </si>
  <si>
    <t>Ovqat pishirish uchun shakllar</t>
  </si>
  <si>
    <t>Tuxum pishirish uchun shakllar</t>
  </si>
  <si>
    <t>Oziq-ovqat mahsulotlarini saqlash</t>
  </si>
  <si>
    <t>Likopchalar va idishlar</t>
  </si>
  <si>
    <t>Maydalagichlar va sharbat chiqargichlar</t>
  </si>
  <si>
    <t>Qoʻlda maydalagichlar</t>
  </si>
  <si>
    <t>Oshxonada tartib</t>
  </si>
  <si>
    <t>Idish yuvish uchun buyumlar</t>
  </si>
  <si>
    <t>Kapkirlar</t>
  </si>
  <si>
    <t>Tovoqchalar va salat idishlari</t>
  </si>
  <si>
    <t>Choynaklar va qahva idishlari</t>
  </si>
  <si>
    <t>Fransuz nashrlari</t>
  </si>
  <si>
    <t>Gul uchun savatlar</t>
  </si>
  <si>
    <t>Pazandachilik aksessuarlari</t>
  </si>
  <si>
    <t>Qoplar, shpritslar va nasadkalar</t>
  </si>
  <si>
    <t>Ichimlik uchun aksessuarlar</t>
  </si>
  <si>
    <t>Matcha choyi uchun tovarlar</t>
  </si>
  <si>
    <t>Choynaklar</t>
  </si>
  <si>
    <t>Stakandon</t>
  </si>
  <si>
    <t>Pazandachilik kurakchalari</t>
  </si>
  <si>
    <t>Muz uchun chelakalar</t>
  </si>
  <si>
    <t>Gazlash uchun sifonlar</t>
  </si>
  <si>
    <t>Konteynerlar va lanch-bokslar</t>
  </si>
  <si>
    <t>Choʻmichlar</t>
  </si>
  <si>
    <t>Oshxona aksessuarlari</t>
  </si>
  <si>
    <t>Induksion plitalar uchun adapterlar</t>
  </si>
  <si>
    <t>Xamir uchun roliklar</t>
  </si>
  <si>
    <t>Sanchqilar</t>
  </si>
  <si>
    <t>Oʻlchov konteynerlari</t>
  </si>
  <si>
    <t>Termoslar va termo krujkalar</t>
  </si>
  <si>
    <t>Termo krujkalar</t>
  </si>
  <si>
    <t>Vino aksessuarlari</t>
  </si>
  <si>
    <t>Shtoporlar</t>
  </si>
  <si>
    <t>Oshxona qaychilari</t>
  </si>
  <si>
    <t>Stol pichoqlari</t>
  </si>
  <si>
    <t>Pishloq kesgichlar</t>
  </si>
  <si>
    <t>Sarimsoq uchun presslar</t>
  </si>
  <si>
    <t>Patnislar</t>
  </si>
  <si>
    <t>Kartoshka pyurelari</t>
  </si>
  <si>
    <t>Reyling</t>
  </si>
  <si>
    <t>Choy uchun elakchalar</t>
  </si>
  <si>
    <t>Meva va sabzavot kesgichlar</t>
  </si>
  <si>
    <t>Oshxona tokchalari</t>
  </si>
  <si>
    <t>Suyuqliklar uchun idishlar</t>
  </si>
  <si>
    <t>Oshxona qurollari toʻplamlari</t>
  </si>
  <si>
    <t>Meva ushlagichlar</t>
  </si>
  <si>
    <t>Idishlar uchun tutqichlar</t>
  </si>
  <si>
    <t>Boʻlish taxtalari</t>
  </si>
  <si>
    <t>Toʻqimachilik</t>
  </si>
  <si>
    <t>Elektr bilan isitiladigan toʻqimachilik</t>
  </si>
  <si>
    <t>Elektr choyshablar</t>
  </si>
  <si>
    <t>Ichimliklar uchun dispanserlar</t>
  </si>
  <si>
    <t>Obakidondon va konfetlar uchun shakllar</t>
  </si>
  <si>
    <t>Kokteyley uchun aksessuarlar</t>
  </si>
  <si>
    <t>Ryumkalar va stopkalar</t>
  </si>
  <si>
    <t>Ziravorlar uchun idishlar va maydalagichlar</t>
  </si>
  <si>
    <t>Oshxona taymerlari</t>
  </si>
  <si>
    <t>Oshxona zajigalkalari</t>
  </si>
  <si>
    <t>Konservalash uchun tovarlar</t>
  </si>
  <si>
    <t>Konservalash mashinkalari</t>
  </si>
  <si>
    <t>Tiqinlar</t>
  </si>
  <si>
    <t>Choy damlanadigan choynaklar</t>
  </si>
  <si>
    <t>Vakuum nasoslari</t>
  </si>
  <si>
    <t>Ichimliklarni sovitish</t>
  </si>
  <si>
    <t>Oʻsimliklar uchun tagkursilar va mahkamlagichlar</t>
  </si>
  <si>
    <t>Pishiriqlar uchun shakllar</t>
  </si>
  <si>
    <t>Chovli va elak</t>
  </si>
  <si>
    <t>Oshxona qisqichlari</t>
  </si>
  <si>
    <t>Oshxona jihozlari uchun lotkalar</t>
  </si>
  <si>
    <t>Qahva qaynatgichlar va qahva maydalagichlar</t>
  </si>
  <si>
    <t>Venchiklar</t>
  </si>
  <si>
    <t>Oshxona uchun xushboʻylashtirgichlar</t>
  </si>
  <si>
    <t>Qo'l sharbat chiqargichlari</t>
  </si>
  <si>
    <t>Pishirish qogʻozi</t>
  </si>
  <si>
    <t>Havoncha oʻgʻirchasi bilan</t>
  </si>
  <si>
    <t>Qahva idishlari</t>
  </si>
  <si>
    <t>Pazandachilik choʻtkalari</t>
  </si>
  <si>
    <t>Stol toʻshamalari va issiq idishlar uchun tagliklar</t>
  </si>
  <si>
    <t>Goʻsht uchun bolgʻachalar</t>
  </si>
  <si>
    <t>Vino uchun toʻplamlar</t>
  </si>
  <si>
    <t>Qoshiqlar</t>
  </si>
  <si>
    <t>Elektr isitgichlar</t>
  </si>
  <si>
    <t>Pazandachilik gilamchalari</t>
  </si>
  <si>
    <t>Oziq-ovqat tayoqchalari</t>
  </si>
  <si>
    <t>Chuchvara uchun shakllar</t>
  </si>
  <si>
    <t>Tish tozalagichlar uchun idishlar</t>
  </si>
  <si>
    <t>Choynak uchun isitgichlar</t>
  </si>
  <si>
    <t>Pishirish uchun trafaretlar</t>
  </si>
  <si>
    <t>Ichimliklar uchun sheykerlar</t>
  </si>
  <si>
    <t>Pazandachilik iplari</t>
  </si>
  <si>
    <t>Pazandachilik sanchqilari</t>
  </si>
  <si>
    <t>Non savatlari va suxari idishlari</t>
  </si>
  <si>
    <t>Madlerlar</t>
  </si>
  <si>
    <t>Pichoq oʻtkirlagichlar</t>
  </si>
  <si>
    <t>Oshxona qurollari uchun podstavkalar</t>
  </si>
  <si>
    <t>Suv uchun filtrlar</t>
  </si>
  <si>
    <t>Filtrli kuvshinlar</t>
  </si>
  <si>
    <t>Patnislar va panjaralar</t>
  </si>
  <si>
    <t>Soyabonlar stendlari</t>
  </si>
  <si>
    <t>Likopchalar</t>
  </si>
  <si>
    <t>Sut koʻpirtirgichlar</t>
  </si>
  <si>
    <t>Qandolatchilik kurakchalari</t>
  </si>
  <si>
    <t>Kremerlar va ballonlar</t>
  </si>
  <si>
    <t>Bokal va fujerlar</t>
  </si>
  <si>
    <t>Meva va sabzavot tozalagichlar</t>
  </si>
  <si>
    <t>Qayta foydalanish mumkin boʻlgan paketlar va qopchalar</t>
  </si>
  <si>
    <t>Ichimliklar uchun qopqoqlar</t>
  </si>
  <si>
    <t>Qopqoqlar</t>
  </si>
  <si>
    <t>Elektr koʻrpalar</t>
  </si>
  <si>
    <t>Ichimliklar uchun dozatorlar</t>
  </si>
  <si>
    <t>Filtr-kuvshinlar uchun almashtiriladigan kartridjlar</t>
  </si>
  <si>
    <t>Finjon va likopchalar</t>
  </si>
  <si>
    <t>Oshxona pichoqlari</t>
  </si>
  <si>
    <t>Pazandachilik qoshiqlari</t>
  </si>
  <si>
    <t>Elektr-matraslar</t>
  </si>
  <si>
    <t>Folga, plyonka, pazandachilik qoʻlqoplari</t>
  </si>
  <si>
    <t>Sochiluvchan mahsulotlar uchun idishlar</t>
  </si>
  <si>
    <t>Krujkalar</t>
  </si>
  <si>
    <t>Shoʻrva idishlari va bulyon idishlari</t>
  </si>
  <si>
    <t>Muz uchun qisqichlar</t>
  </si>
  <si>
    <t>Termoslar</t>
  </si>
  <si>
    <t>Sovutgich uchun gilamchalar</t>
  </si>
  <si>
    <t>Muz qoliplari</t>
  </si>
  <si>
    <t>Pichoq ushlagichlar</t>
  </si>
  <si>
    <t>Yongʻoq chaqqichlar</t>
  </si>
  <si>
    <t>Baliq tozalagichlar va qisqichlar</t>
  </si>
  <si>
    <t>Tuxum kesgichlar</t>
  </si>
  <si>
    <t>Voronkalar</t>
  </si>
  <si>
    <t>Juvalar</t>
  </si>
  <si>
    <t>Oshxona toʻplamlari</t>
  </si>
  <si>
    <t>Ovqat pishirish uchun idishlar</t>
  </si>
  <si>
    <t>Sut pishirgichlar</t>
  </si>
  <si>
    <t>Muzqaymoq qoliplari</t>
  </si>
  <si>
    <t>Boshqa oshxona asboblari</t>
  </si>
  <si>
    <t>Qirgʻichlar</t>
  </si>
  <si>
    <t>Pazandachilik aksessuarlar to'plami</t>
  </si>
  <si>
    <t>Tuvaklar va kashpo</t>
  </si>
  <si>
    <t>Stiker va qaydlar uchun qogʻozlar</t>
  </si>
  <si>
    <t>Stikerlar</t>
  </si>
  <si>
    <t>Badiiy adabiyot</t>
  </si>
  <si>
    <t>Pyesalar va dramaturgiya</t>
  </si>
  <si>
    <t>Bukinistika</t>
  </si>
  <si>
    <t>Nobadiiy adabiyot</t>
  </si>
  <si>
    <t>Din</t>
  </si>
  <si>
    <t>Biznes-adabiyot</t>
  </si>
  <si>
    <t>Sanoatlar</t>
  </si>
  <si>
    <t>Jangarilar</t>
  </si>
  <si>
    <t>Publitsistika</t>
  </si>
  <si>
    <t>Elektron kitoblar</t>
  </si>
  <si>
    <t>Bolalarga va ota-onalarga</t>
  </si>
  <si>
    <t>Kompyuter texnologiyalari</t>
  </si>
  <si>
    <t>Grafika va dizayn</t>
  </si>
  <si>
    <t>Maʼlumotlar bazasi</t>
  </si>
  <si>
    <t>Mashinali o'qitish</t>
  </si>
  <si>
    <t>Ilmiy adabiyotlar</t>
  </si>
  <si>
    <t>Biologiya</t>
  </si>
  <si>
    <t>Oʻrgatuvchi adabiyotlar</t>
  </si>
  <si>
    <t>Tarix, san'at va madaniyat</t>
  </si>
  <si>
    <t>Chet tillaridagi adabiyotlar</t>
  </si>
  <si>
    <t>Xitoy tili</t>
  </si>
  <si>
    <t>Entsiklopediyalar va ma'lumotnomalar</t>
  </si>
  <si>
    <t>Tarix</t>
  </si>
  <si>
    <t>Alternativ tarix</t>
  </si>
  <si>
    <t>Antikvar kitoblar</t>
  </si>
  <si>
    <t>Klassik nasr</t>
  </si>
  <si>
    <t>Maʼlumotlarni tahlil qilish</t>
  </si>
  <si>
    <t>Operatsion tizimlar</t>
  </si>
  <si>
    <t>Gumanitar fanlar</t>
  </si>
  <si>
    <t>Bolalar uchun boʻsh vaqtlarni foydali oʻtkazish va ijod</t>
  </si>
  <si>
    <t>Bayramlar va harakatlanuvchi oyinlar</t>
  </si>
  <si>
    <t>Harbiy ish</t>
  </si>
  <si>
    <t>Shaharlar tarixi. O'lkashunoslik</t>
  </si>
  <si>
    <t>Fentezi</t>
  </si>
  <si>
    <t>Fizika</t>
  </si>
  <si>
    <t>Inson tanasi</t>
  </si>
  <si>
    <t>Goʻzallik, salomatlik va sport</t>
  </si>
  <si>
    <t>Shaxmat va shashka</t>
  </si>
  <si>
    <t>Vitaminlar va BFQlar</t>
  </si>
  <si>
    <t>Vitaminlar D</t>
  </si>
  <si>
    <t>Selen</t>
  </si>
  <si>
    <t>Temir</t>
  </si>
  <si>
    <t>Sog'lom uyqu</t>
  </si>
  <si>
    <t>Qandli diabetdan</t>
  </si>
  <si>
    <t>Yurak va qon tomirlari uchun</t>
  </si>
  <si>
    <t>Ovqat hazm qilish tizimi uchun</t>
  </si>
  <si>
    <t>Yod</t>
  </si>
  <si>
    <t>Magniy</t>
  </si>
  <si>
    <t>Baliq yog'i va omega-3</t>
  </si>
  <si>
    <t>Buyraklar uchun</t>
  </si>
  <si>
    <t>Bolalar salomatligi</t>
  </si>
  <si>
    <t>Xotirani yaxshilash</t>
  </si>
  <si>
    <t>Organizmni detoksifikatsiya qilish va tozalash</t>
  </si>
  <si>
    <t>Tonuslash va tiklash</t>
  </si>
  <si>
    <t>Teri, sochlar va tirnoqlar</t>
  </si>
  <si>
    <t>Immunitet tizimini mustahkamlash</t>
  </si>
  <si>
    <t>B vitaminlari</t>
  </si>
  <si>
    <t>Sink</t>
  </si>
  <si>
    <t>O'simlik preparatlari va choylar</t>
  </si>
  <si>
    <t>Ko'zlar uchun</t>
  </si>
  <si>
    <t>Suyaklar va bo'g'imlar uchun</t>
  </si>
  <si>
    <t>Vitamin va mineral komplekslar</t>
  </si>
  <si>
    <t>Vazn yo‘qotish uchun mahsulotlar</t>
  </si>
  <si>
    <t>Maxsus ovqatlar</t>
  </si>
  <si>
    <t>Erkak salomatligi</t>
  </si>
  <si>
    <t>Kollagen</t>
  </si>
  <si>
    <t>Parazitlarga qarshi vositalar</t>
  </si>
  <si>
    <t>Balzamlar va siroplar</t>
  </si>
  <si>
    <t>Jigar uchun</t>
  </si>
  <si>
    <t>A va E vitaminlari</t>
  </si>
  <si>
    <t>Asab tizimi</t>
  </si>
  <si>
    <t>Sedativlar</t>
  </si>
  <si>
    <t>Erkin og'irliklar</t>
  </si>
  <si>
    <t>Gantellar</t>
  </si>
  <si>
    <t>Shtangalar uchun disklar va blinlar</t>
  </si>
  <si>
    <t>Fitnes va yoga</t>
  </si>
  <si>
    <t>Yoga va pilates</t>
  </si>
  <si>
    <t>Yoga bloklari</t>
  </si>
  <si>
    <t>Baliq ovi</t>
  </si>
  <si>
    <t>Gʻaltaklar baliq ovlash uchun</t>
  </si>
  <si>
    <t>Qo'ng'iroqlar va gonglar</t>
  </si>
  <si>
    <t>Yoga va pilates uchun yostiqlar, choyshablar, sochiqlar</t>
  </si>
  <si>
    <t>Fitnes</t>
  </si>
  <si>
    <t>Fitnes to'plamlari</t>
  </si>
  <si>
    <t>Baliq ovlash asboblari va aksessuarlari</t>
  </si>
  <si>
    <t>Petlilar, narvonlar, krossfit uchun to'siqlar</t>
  </si>
  <si>
    <t>Mashgʻulot halqalari</t>
  </si>
  <si>
    <t>Skeytbording</t>
  </si>
  <si>
    <t>Skeytbordlar</t>
  </si>
  <si>
    <t>Ov va otish mashgʻulotlari</t>
  </si>
  <si>
    <t>Optika va diqqatga sazovor joylar</t>
  </si>
  <si>
    <t>Ozuqalar, nasadkalar, baliq ovlash uchun aromatizatorlar</t>
  </si>
  <si>
    <t>Ovchilik uskunalari</t>
  </si>
  <si>
    <t>Kilo yo'qotish uchun kiyim, kamar va yamalar</t>
  </si>
  <si>
    <t>Balanslash taxtalari va disklar</t>
  </si>
  <si>
    <t>Yoga va pilates to'plamlari</t>
  </si>
  <si>
    <t>Leskalar va simlar</t>
  </si>
  <si>
    <t>Kruizerlar, penni bordlar, roellerserflar</t>
  </si>
  <si>
    <t>Sumkalar va gʻiloflar</t>
  </si>
  <si>
    <t>Otjimaniya uchun tirgaklar va step platformalari</t>
  </si>
  <si>
    <t>Bodibarlar</t>
  </si>
  <si>
    <t>Fitbollar</t>
  </si>
  <si>
    <t>Otjimaniya uchun tirgaklar</t>
  </si>
  <si>
    <t>Argʻamchilar</t>
  </si>
  <si>
    <t>Ilgaklar, bog'ichlar va gruzilalar</t>
  </si>
  <si>
    <t>Obruchlar</t>
  </si>
  <si>
    <t>Fitnes-rezinkalar</t>
  </si>
  <si>
    <t>Ogʻirlashtirgichlar</t>
  </si>
  <si>
    <t>Baliq ovi uchun primankalar va o'ljalar</t>
  </si>
  <si>
    <t>Choʻzmalar</t>
  </si>
  <si>
    <t>Gilamchalar</t>
  </si>
  <si>
    <t>Yoga va pilates uchun aksessuarlar</t>
  </si>
  <si>
    <t>Press uchun roliklari</t>
  </si>
  <si>
    <t>Baliq ovlash uchun saqlash va tashish</t>
  </si>
  <si>
    <t>Ogʻirlashtiruvchilar</t>
  </si>
  <si>
    <t>Valiklar</t>
  </si>
  <si>
    <t>Espanderlar</t>
  </si>
  <si>
    <t>Fitness qo'lqoplari va kamarlari</t>
  </si>
  <si>
    <t>Sport massaj apparatlari</t>
  </si>
  <si>
    <t>Fitnes gadjetlari</t>
  </si>
  <si>
    <t>Qarmoq dastasi va spininglar</t>
  </si>
  <si>
    <t>Pardalar va karnizlar</t>
  </si>
  <si>
    <t>Tyullar va gardinlar</t>
  </si>
  <si>
    <t>Yostiqlar</t>
  </si>
  <si>
    <t>Dekorativ yostiqlar va yostiq jildlar</t>
  </si>
  <si>
    <t>Tovalar</t>
  </si>
  <si>
    <t>Oshxona uchun tekstil mahsulotlari</t>
  </si>
  <si>
    <t>Dasturxonlar</t>
  </si>
  <si>
    <t>Anatomik yostiqlar</t>
  </si>
  <si>
    <t>Ovqat pishirish uchun idishlar toʻplami</t>
  </si>
  <si>
    <t>Kostryulkalar, choʻmichlar</t>
  </si>
  <si>
    <t>Giyohli</t>
  </si>
  <si>
    <t>Mantiqozonlar</t>
  </si>
  <si>
    <t>Koʻrpalar va qoplamalar</t>
  </si>
  <si>
    <t>Koʻrpa-toʻshak jildlari</t>
  </si>
  <si>
    <t>Oshxona uchun ushlagichlar</t>
  </si>
  <si>
    <t>Gilamlar va yoʻlak gilamlari</t>
  </si>
  <si>
    <t>Krovat yoniga toʻshash uchun gilamchalar</t>
  </si>
  <si>
    <t>Choyshablar</t>
  </si>
  <si>
    <t>Quyoshda himoya va statik plyonkalar</t>
  </si>
  <si>
    <t>Avtomobil uchun yostiqlar va matraslar</t>
  </si>
  <si>
    <t>Yostiq jildlari</t>
  </si>
  <si>
    <t>Xoli ranglari</t>
  </si>
  <si>
    <t>Akvgrim</t>
  </si>
  <si>
    <t>Voklar</t>
  </si>
  <si>
    <t>Stul uchun yostiqchalar</t>
  </si>
  <si>
    <t>Oshxona uchun toʻplamlar</t>
  </si>
  <si>
    <t>Tuz va hammom toshlari</t>
  </si>
  <si>
    <t>Oshxona uchun gilamlar</t>
  </si>
  <si>
    <t>Matras qoplamalari va giʻloflar</t>
  </si>
  <si>
    <t>Matraslar uchun qoplamalari va jildlar</t>
  </si>
  <si>
    <t>Idishlar uchun qopqoqlar</t>
  </si>
  <si>
    <t>Pardalar va karnizlar uchun aksessuarlar</t>
  </si>
  <si>
    <t>Vanna uchun gilamchalar</t>
  </si>
  <si>
    <t>Pech uchun idishlar</t>
  </si>
  <si>
    <t>Tezpishirgichlar</t>
  </si>
  <si>
    <t>Choyshab toʻplamlari</t>
  </si>
  <si>
    <t>Koʻrpajildlar</t>
  </si>
  <si>
    <t>Oshxona sochiqlari</t>
  </si>
  <si>
    <t>Koʻrpalar</t>
  </si>
  <si>
    <t>Adyollar</t>
  </si>
  <si>
    <t>Sochiqlar</t>
  </si>
  <si>
    <t>Uyqu yostiqchalari</t>
  </si>
  <si>
    <t>Salfetkalar</t>
  </si>
  <si>
    <t>Bolalar choyshablari</t>
  </si>
  <si>
    <t>Chuqur tovalar</t>
  </si>
  <si>
    <t>Ostona gilamlari</t>
  </si>
  <si>
    <t>Bugʻlamalar va xushboʻy moddalar</t>
  </si>
  <si>
    <t>Dasturxon toʻplamlari</t>
  </si>
  <si>
    <t>Pardalar va portyerlar</t>
  </si>
  <si>
    <t>Oshxona fartuklari</t>
  </si>
  <si>
    <t>Pol uchun himoya kilamchalari</t>
  </si>
  <si>
    <t>Qozonlar, tovalar va tajinlar</t>
  </si>
  <si>
    <t>Bolalar yostiqlari</t>
  </si>
  <si>
    <t>Karnizlar</t>
  </si>
  <si>
    <t>Gilamlar</t>
  </si>
  <si>
    <t>Fotoshtorlar</t>
  </si>
  <si>
    <t>Mebel uchun qoplamalar</t>
  </si>
  <si>
    <t>Jalyuzi va plisse</t>
  </si>
  <si>
    <t>Qoʻl ishi uchun</t>
  </si>
  <si>
    <t>Tikuvchilik</t>
  </si>
  <si>
    <t>Tikuv mashinasi uchun aksessuarlar</t>
  </si>
  <si>
    <t>Rasmlar, foto ramkalar, otkritkalar yasash</t>
  </si>
  <si>
    <t>Mavzuli rasmlar</t>
  </si>
  <si>
    <t>Odamlar</t>
  </si>
  <si>
    <t>Stol va karta oʻyinlari</t>
  </si>
  <si>
    <t>Oʻyin kartalari</t>
  </si>
  <si>
    <t>Pazl, mozaika va freska</t>
  </si>
  <si>
    <t>Qum bilan chizish uchun toʻplamlar</t>
  </si>
  <si>
    <t>Pazllar</t>
  </si>
  <si>
    <t>Rasm chizish</t>
  </si>
  <si>
    <t>Chizish uchun planshetlar</t>
  </si>
  <si>
    <t>Zamoklar</t>
  </si>
  <si>
    <t>Kino va multfilmlar</t>
  </si>
  <si>
    <t>Texnik tasmalar</t>
  </si>
  <si>
    <t>Boshqa xobbilar</t>
  </si>
  <si>
    <t>Sham yasash</t>
  </si>
  <si>
    <t>Olmos mozaikalar</t>
  </si>
  <si>
    <t>Stol va karta o'yinlari uchun aksessuarlar</t>
  </si>
  <si>
    <t>Toʻqish</t>
  </si>
  <si>
    <t>Toʻqish uchun boshqa aksessuarlar</t>
  </si>
  <si>
    <t>Modellashtirish</t>
  </si>
  <si>
    <t>Shaxmatlar, shashkalar, nardalar</t>
  </si>
  <si>
    <t>Dekorativ lentalar</t>
  </si>
  <si>
    <t>Ip</t>
  </si>
  <si>
    <t>Yordamchi suyuqliklar</t>
  </si>
  <si>
    <t>Polimer loy</t>
  </si>
  <si>
    <t>Teriga ishlov berish</t>
  </si>
  <si>
    <t>Chizmachilik toʻplamlari</t>
  </si>
  <si>
    <t>Lepka uchun gips va massa</t>
  </si>
  <si>
    <t>Musiqiy asboblar</t>
  </si>
  <si>
    <t>Zarbali va chertib chalinadigan musiqa asboblari</t>
  </si>
  <si>
    <t>Ignalar</t>
  </si>
  <si>
    <t>Otkritka yasash uchun toʻplamlar</t>
  </si>
  <si>
    <t>Fol ochish va ezoterika</t>
  </si>
  <si>
    <t>Fol ochish kartalari</t>
  </si>
  <si>
    <t>Slepkalar yaratish uchun toʻplamlar</t>
  </si>
  <si>
    <t>Applikatsiya</t>
  </si>
  <si>
    <t>Pechvork va kvilting</t>
  </si>
  <si>
    <t>Fol ochish uchun aksessuarlar va atributkalar</t>
  </si>
  <si>
    <t>Sehrli aksessuarlar va materiallar</t>
  </si>
  <si>
    <t>Runalar</t>
  </si>
  <si>
    <t>Dekupaj</t>
  </si>
  <si>
    <t>Oʻyinchoqlar yasash</t>
  </si>
  <si>
    <t>Kolleksiya yigʻish</t>
  </si>
  <si>
    <t>Peyzajlar va tabiat</t>
  </si>
  <si>
    <t>Epoksid qatroni</t>
  </si>
  <si>
    <t>Boshqa hunarmandchilik buyumlari</t>
  </si>
  <si>
    <t>Spitsalar va ilgaklar</t>
  </si>
  <si>
    <t>Hayvonlar va qushlar</t>
  </si>
  <si>
    <t>Puflama cholgʻu asboblari</t>
  </si>
  <si>
    <t>Bezaklar</t>
  </si>
  <si>
    <t>Grafika</t>
  </si>
  <si>
    <t>Markerlar</t>
  </si>
  <si>
    <t>Iplar</t>
  </si>
  <si>
    <t>Xolstlar</t>
  </si>
  <si>
    <t>Shaharlar va arxitektura</t>
  </si>
  <si>
    <t>Amuletlar, tumorlar va talismanlar</t>
  </si>
  <si>
    <t>Boʻyash uchun rasmlar, naqshlar uchun toʻplamlar</t>
  </si>
  <si>
    <t>Molbertlar</t>
  </si>
  <si>
    <t>Uyqu uchun tovarlar</t>
  </si>
  <si>
    <t>Uyqu uchun quloq tiqinlari</t>
  </si>
  <si>
    <t>Uxlash uchun niqoblar</t>
  </si>
  <si>
    <t>Asboblar va uskunalar</t>
  </si>
  <si>
    <t>Avtomobil asboblari toʻplami</t>
  </si>
  <si>
    <t>Avtomobil uchun elektronika</t>
  </si>
  <si>
    <t>Bort kompyuterlari</t>
  </si>
  <si>
    <t>Ventilyatorlar va havo namlantirgichlar</t>
  </si>
  <si>
    <t>Avtomobil kompressorlari</t>
  </si>
  <si>
    <t>Avtomobil video kuzatuv tizimlari</t>
  </si>
  <si>
    <t>Tormoz suyuqliklari</t>
  </si>
  <si>
    <t>Shinalar bosimi datchiklari</t>
  </si>
  <si>
    <t>Avtomobil proyektorlari</t>
  </si>
  <si>
    <t>Tamakini tutatish rozetkalari va kabellari</t>
  </si>
  <si>
    <t>Kameralar</t>
  </si>
  <si>
    <t>Yuguruvchi yozuvlar tasmasi</t>
  </si>
  <si>
    <t>Avtomobil uchun zaryadlash qurilmalari</t>
  </si>
  <si>
    <t>Avtotovush</t>
  </si>
  <si>
    <t>Avtotovush uchun aksessuarlar</t>
  </si>
  <si>
    <t>Videoregistratorlar uchun aksessuarlar</t>
  </si>
  <si>
    <t>Akkumulyatorlar va aksessuarlar</t>
  </si>
  <si>
    <t>Avtomobil ehtiyot qismlari</t>
  </si>
  <si>
    <t>Old oyna tozalagichlar</t>
  </si>
  <si>
    <t>Qoʻl asboblari</t>
  </si>
  <si>
    <t>Motor moylari</t>
  </si>
  <si>
    <t>Akkumulyator batareyalari</t>
  </si>
  <si>
    <t>Disklar uchun kolpaklar</t>
  </si>
  <si>
    <t>Akkumulyator klemmalari</t>
  </si>
  <si>
    <t>Avtomobil akkumulyatori aksessuarlari</t>
  </si>
  <si>
    <t>Oʻt oldirish simlari</t>
  </si>
  <si>
    <t>Sirpanishga qarshi zanjirlar va lentalar</t>
  </si>
  <si>
    <t>Avtomobillar uchun baland aloqa</t>
  </si>
  <si>
    <t>Avtomobil invertorlari</t>
  </si>
  <si>
    <t>Haydovchilar uchun sovgʻalar toʻplami</t>
  </si>
  <si>
    <t>Domkratlar</t>
  </si>
  <si>
    <t>Alkotesterlar</t>
  </si>
  <si>
    <t>Tez ishga tushirish uchun suyuqliklar</t>
  </si>
  <si>
    <t>Antigraviy</t>
  </si>
  <si>
    <t>GPS signalini kamaytirgichlar</t>
  </si>
  <si>
    <t>Avtomobil uchun datchiklar</t>
  </si>
  <si>
    <t>Mototsiklchilar uchun ekipirovka</t>
  </si>
  <si>
    <t>Disklar</t>
  </si>
  <si>
    <t>FM-transmitterlari</t>
  </si>
  <si>
    <t>Avtomobil asboblari uchun aksessuarlar</t>
  </si>
  <si>
    <t>Avtomobillar uchun quvvat bloklari</t>
  </si>
  <si>
    <t>Gidravlik suyuqliklar va moylar</t>
  </si>
  <si>
    <t>Oʻt oldirish viklyuchatellari</t>
  </si>
  <si>
    <t>Avtomobil antennalari</t>
  </si>
  <si>
    <t>Oʻyinchoqlar va oʻyinlar</t>
  </si>
  <si>
    <t>3 yoshgacha boʻlgan bolalar uchun</t>
  </si>
  <si>
    <t>Сhaqaloq parvarishi</t>
  </si>
  <si>
    <t>Bolalar uchun paxtali tayoqchalar</t>
  </si>
  <si>
    <t>Modellashtirish asboblari va to'plamlari</t>
  </si>
  <si>
    <t>Kichkintoylar uchun argʻimchoqlar va shezlonglar</t>
  </si>
  <si>
    <t>Gubkalar va mochalkalar</t>
  </si>
  <si>
    <t>Boʻy oʻlchagichlar</t>
  </si>
  <si>
    <t>Bolalar kosmetikasi</t>
  </si>
  <si>
    <t>Bolalar uchun balzamlar va soch spreylari</t>
  </si>
  <si>
    <t>Bolalar uchun mebel va aksessuarlar</t>
  </si>
  <si>
    <t>Sandiqlar</t>
  </si>
  <si>
    <t>Kichkintoylar uchun pelyonkalar va yoʻrgaklar</t>
  </si>
  <si>
    <t>Bir martali ishlatiladigan tagliklar</t>
  </si>
  <si>
    <t>Bolalar shampunlari</t>
  </si>
  <si>
    <t>Bolalar uchun stol oʻyinlari</t>
  </si>
  <si>
    <t>Stullar, kursilar va kreslolar</t>
  </si>
  <si>
    <t>Oʻrgatuvchi va rivojlantiruvchi oʻyinchoqlar</t>
  </si>
  <si>
    <t>Savatlar va organayzerlar</t>
  </si>
  <si>
    <t>Ovqatlantirish uchun idishlar va anjomlari</t>
  </si>
  <si>
    <t>Shishalarni tozalash uchun cho'tkalar va shisha tozalagichlar</t>
  </si>
  <si>
    <t>Uyqu uchun barcha narsalar</t>
  </si>
  <si>
    <t>Pashshaxonalar va chivindan himoya toʻrlari</t>
  </si>
  <si>
    <t>Bolalar uchun loto</t>
  </si>
  <si>
    <t>Rivojlantiruvchi mozaikalar va gilamchalar</t>
  </si>
  <si>
    <t>Oʻyinchoqlarni saqlash</t>
  </si>
  <si>
    <t>Burun aspiratorlari</t>
  </si>
  <si>
    <t>Konstruktorlar</t>
  </si>
  <si>
    <t>Magnitli</t>
  </si>
  <si>
    <t>Bolalar uchun yoritgichlar</t>
  </si>
  <si>
    <t>Oʻyin majmualari va oʻyin maydonchalari</t>
  </si>
  <si>
    <t>Bolalar uchun salfetkalar</t>
  </si>
  <si>
    <t>Yogʻoch oʻyinchoqlar</t>
  </si>
  <si>
    <t>Bolalar uchun mebel toʻplamlari</t>
  </si>
  <si>
    <t>Yogʻochdan</t>
  </si>
  <si>
    <t>Bolalar uchun oshxona anjomlari</t>
  </si>
  <si>
    <t>Qoʻgʻirchoqlar va aksessuarlar</t>
  </si>
  <si>
    <t>Bolalar ovqatlari uchun konteynerlar</t>
  </si>
  <si>
    <t>Bolalar uchun chizish</t>
  </si>
  <si>
    <t>Sport oʻyinlari</t>
  </si>
  <si>
    <t>Qum va qumdonlar</t>
  </si>
  <si>
    <t>Modellashtirish uchun qumdonlar</t>
  </si>
  <si>
    <t>Kokonlar va pozitsionerlar</t>
  </si>
  <si>
    <t>Interyer uchun yopishma rasmlar va plakatlar</t>
  </si>
  <si>
    <t>Vannachalar va tepalikchalar</t>
  </si>
  <si>
    <t>Bolalar uchun dush gellari</t>
  </si>
  <si>
    <t>Shishalar va suv ichirgichlar</t>
  </si>
  <si>
    <t>Boshqotirmalar</t>
  </si>
  <si>
    <t>Syujetli-rolli oʻyinlar</t>
  </si>
  <si>
    <t>Bolalar kremlari</t>
  </si>
  <si>
    <t>Xodunok va sakrogʻichlar</t>
  </si>
  <si>
    <t>Koʻrpalar, yopinchiqlar, choyshablar</t>
  </si>
  <si>
    <t>Choʻmilish uchun qalpoqlar va koziryoklar</t>
  </si>
  <si>
    <t>Ogʻiz boʻshligʻi gigiyenasi</t>
  </si>
  <si>
    <t>Bolalar tish choʻtkalari</t>
  </si>
  <si>
    <t>Suv termometrlari</t>
  </si>
  <si>
    <t>Bolalar matraslari</t>
  </si>
  <si>
    <t>Bolalar taroqlari va choʻtkalari</t>
  </si>
  <si>
    <t>Bolalar uchun krujkalar</t>
  </si>
  <si>
    <t>Bolalar uchun stollar</t>
  </si>
  <si>
    <t>Bolalar uchun isitgichlar va kamarlar</t>
  </si>
  <si>
    <t>Oʻyinchoqlar – antistress</t>
  </si>
  <si>
    <t>Manejlar</t>
  </si>
  <si>
    <t>Metalldan</t>
  </si>
  <si>
    <t>Bloklar</t>
  </si>
  <si>
    <t>Aralasmalar va dori-darmonlar uchun dozatorlar</t>
  </si>
  <si>
    <t>Bolalar gigienasi uchun to'plamlar</t>
  </si>
  <si>
    <t>Emzgichlar, soʻrgʻichlar va aksessuarlar</t>
  </si>
  <si>
    <t>Bolalar transporti</t>
  </si>
  <si>
    <t>Bolalar uchun himoya ekipirovka</t>
  </si>
  <si>
    <t>Bolalar uchun domino</t>
  </si>
  <si>
    <t>Krovatchalar uchun bortikchalar</t>
  </si>
  <si>
    <t>Oʻyinchoq qurollar va blasterlar</t>
  </si>
  <si>
    <t>Qoʻgʻirchoqlar uychalari</t>
  </si>
  <si>
    <t>Bolalar uchun prisipkalar</t>
  </si>
  <si>
    <t>Kleyonkalar va matras qoplamalari</t>
  </si>
  <si>
    <t>Bolalar uchun tishlagichlar</t>
  </si>
  <si>
    <t>Krovatcha uchun organayzer</t>
  </si>
  <si>
    <t>Figurachalar va aksessuarlar</t>
  </si>
  <si>
    <t>Pilla tagliklari</t>
  </si>
  <si>
    <t>Oʻyinchoq transport</t>
  </si>
  <si>
    <t>Choʻmilish uchun vositalar</t>
  </si>
  <si>
    <t>Ryukzaklar, slinglar, kenguru-sumkalar</t>
  </si>
  <si>
    <t>Bizibordlar</t>
  </si>
  <si>
    <t>Bolalar uchun pazllar</t>
  </si>
  <si>
    <t>Bolalar uchun likopchalar va miskalar</t>
  </si>
  <si>
    <t>Radioboshqaruvli modellar va oʻyinchoqlar</t>
  </si>
  <si>
    <t>Yumshoq oʻyinchoqlar</t>
  </si>
  <si>
    <t>Choʻmilish uchun gilamchalar</t>
  </si>
  <si>
    <t>Bolalar quloqlarini tozalash uchun asboblar to'plami</t>
  </si>
  <si>
    <t>Bolalar uchun molochkolar</t>
  </si>
  <si>
    <t>Robototexnika va Stem-oʻyinchoqlar</t>
  </si>
  <si>
    <t>Bolalar piramidalari</t>
  </si>
  <si>
    <t>Bolalar uchun shaxmatlar va shashkalar</t>
  </si>
  <si>
    <t>Tajribalar va eksperimentlar uchun toʻplamlar</t>
  </si>
  <si>
    <t>Bolalar rasm dastgohlari</t>
  </si>
  <si>
    <t>Penalli stollar va doskalar</t>
  </si>
  <si>
    <t>Slaymlar</t>
  </si>
  <si>
    <t>Bolalar sovuni</t>
  </si>
  <si>
    <t>Kinetik qum</t>
  </si>
  <si>
    <t>Bolalar uchun dekorativ kosmetika</t>
  </si>
  <si>
    <t>Oziqlantirish uchun idishlar to'plami</t>
  </si>
  <si>
    <t>Tuvaklar va bolalar hojatxona oʻrindiqlari</t>
  </si>
  <si>
    <t>Qayta ishlatiladigan tagliklar</t>
  </si>
  <si>
    <t>Bolalar tish pastalari</t>
  </si>
  <si>
    <t>Bolalar uchun manikyur toʻplamlari</t>
  </si>
  <si>
    <t>Bogʻ uchun yoʻlaklar va toʻsiqlar</t>
  </si>
  <si>
    <t>Bogʻ texnikasi</t>
  </si>
  <si>
    <t>Bog' texnikasi uchun aksessuarlar va sarflov materiallari</t>
  </si>
  <si>
    <t>Aravalar va tachkalar</t>
  </si>
  <si>
    <t>Yuqori bosimli moykalar va aksessuarlar</t>
  </si>
  <si>
    <t>Yuqori bosimli moykalar</t>
  </si>
  <si>
    <t>Panalash materiali</t>
  </si>
  <si>
    <t>Dushlar va qoʻl yuvgichlar</t>
  </si>
  <si>
    <t>Yuqori bosimli moykalar uchun aksessuarlar</t>
  </si>
  <si>
    <t>Grillar, mangallar uchun sumkalar va gʻiloflar</t>
  </si>
  <si>
    <t>Shampurlar</t>
  </si>
  <si>
    <t>Kompostlar va kompost faollashtirgichlari</t>
  </si>
  <si>
    <t>Maydalagichlar va havo puflagichlar</t>
  </si>
  <si>
    <t>Boshqa bogʻ texnikasi</t>
  </si>
  <si>
    <t>Kompyuterlar uchun tagliklar</t>
  </si>
  <si>
    <t>Videokameralar</t>
  </si>
  <si>
    <t>Televizor aksessuarlari</t>
  </si>
  <si>
    <t>Televizor ehtiyot qismlari</t>
  </si>
  <si>
    <t>Obyektivlar</t>
  </si>
  <si>
    <t>Simsiz quloqchinlar</t>
  </si>
  <si>
    <t>Audiotexnika</t>
  </si>
  <si>
    <t>Diktofonlar</t>
  </si>
  <si>
    <t>Simli quloqchinlar</t>
  </si>
  <si>
    <t>Aromabudilniklar va katrijlar</t>
  </si>
  <si>
    <t>Aqlli uy va xavfsizlik</t>
  </si>
  <si>
    <t>Aqlli uy</t>
  </si>
  <si>
    <t>Aqlli uy uchun aksessuarlar</t>
  </si>
  <si>
    <t>Mikrofonlar</t>
  </si>
  <si>
    <t>Uy xavfsizligi</t>
  </si>
  <si>
    <t>Shaxsiy signalizatsiya</t>
  </si>
  <si>
    <t>Ekshn kamera uchun aksessuarlar</t>
  </si>
  <si>
    <t>Qattiq siyoh</t>
  </si>
  <si>
    <t>3D koʻzoynak</t>
  </si>
  <si>
    <t>Proyeksiya ekranlari</t>
  </si>
  <si>
    <t>Boshqa elektrotexnika</t>
  </si>
  <si>
    <t>Stabilizatorlar</t>
  </si>
  <si>
    <t>Mikrofon aksessuarlari</t>
  </si>
  <si>
    <t>Kartridjlar va kamera rulosi</t>
  </si>
  <si>
    <t>Obyektivkalar uchun uzatuvchi halqalar/adapterlar</t>
  </si>
  <si>
    <t>Uy va dacha uchun xavfsizlik uskunalari</t>
  </si>
  <si>
    <t>Optik anjomlar</t>
  </si>
  <si>
    <t>Teatr binokllari</t>
  </si>
  <si>
    <t>Masofaviy boshqaruv pultlari</t>
  </si>
  <si>
    <t>Mikroskoplar</t>
  </si>
  <si>
    <t>Okulyarlar</t>
  </si>
  <si>
    <t>HDMI uskunasi</t>
  </si>
  <si>
    <t>Taqdimot uchun pultlar</t>
  </si>
  <si>
    <t>Korpuslar</t>
  </si>
  <si>
    <t>Fotostudiya uchun chiroq</t>
  </si>
  <si>
    <t>Karnaylar</t>
  </si>
  <si>
    <t>Qarov va himoya</t>
  </si>
  <si>
    <t>CD pleyerlar va pleyerlar</t>
  </si>
  <si>
    <t>Dasturiy taʼminot</t>
  </si>
  <si>
    <t>Videokuzatuv</t>
  </si>
  <si>
    <t>Darvozalar uchun avtomatika</t>
  </si>
  <si>
    <t>Televizorlar uchun antennalar</t>
  </si>
  <si>
    <t>Mobil suratga olish uchun aksessuarlar</t>
  </si>
  <si>
    <t>Kompyuter akustikasi</t>
  </si>
  <si>
    <t>Videokuzatuv kamerasi mulyajlari</t>
  </si>
  <si>
    <t>Fotofonlar</t>
  </si>
  <si>
    <t>Tashqi optik privodlar</t>
  </si>
  <si>
    <t>DNBT (Dostupni nazorat qilish va boshqarish tizimi)</t>
  </si>
  <si>
    <t>Trekbollar</t>
  </si>
  <si>
    <t>Masofadan boshqarish pultlari uchun gʻiloflar</t>
  </si>
  <si>
    <t>Softbokslar</t>
  </si>
  <si>
    <t>Aqlli rozetkalar</t>
  </si>
  <si>
    <t>Wi-fi kontrollerlari</t>
  </si>
  <si>
    <t>Boshqa televizor aksessuarlari</t>
  </si>
  <si>
    <t>Oʻyin uchun quloqchinlar</t>
  </si>
  <si>
    <t>Tyuner va resiverlar</t>
  </si>
  <si>
    <t>DVB-T2 tyunerlar</t>
  </si>
  <si>
    <t>Old kuchaytirgichlar</t>
  </si>
  <si>
    <t>Xavfsizlik tizimlari uchun datchiklar</t>
  </si>
  <si>
    <t>Televizor uchun stend va kronshteynlar</t>
  </si>
  <si>
    <t>Televizor uchun kronshteynlar</t>
  </si>
  <si>
    <t>Tarmoq qurilmasi uchun antenna</t>
  </si>
  <si>
    <t>TV-pristavkalar va media pleerlar</t>
  </si>
  <si>
    <t>DVD-pleyerlar</t>
  </si>
  <si>
    <t>Raqamli va sun'iy yo'ldosh TV</t>
  </si>
  <si>
    <t>CAM modullari</t>
  </si>
  <si>
    <t>Smart-TV pristavkalar</t>
  </si>
  <si>
    <t>Masofadan boshqarish pultlari TV uchun</t>
  </si>
  <si>
    <t>Aqlli uylarni boshqarish</t>
  </si>
  <si>
    <t>Sunʼiy yoʻldosh bilan ishlaydigan televizorlar uchun toʻplamlar</t>
  </si>
  <si>
    <t>Elektron kalitlar va pultlar</t>
  </si>
  <si>
    <t>Teleskoplar</t>
  </si>
  <si>
    <t>Foto qutilar</t>
  </si>
  <si>
    <t>Magnitofonlar</t>
  </si>
  <si>
    <t>Shinam uy uchun toʻplamlar</t>
  </si>
  <si>
    <t>Xabar berish moslamalari</t>
  </si>
  <si>
    <t>Fotokamera uchun tutqichlar</t>
  </si>
  <si>
    <t>Registratorlar</t>
  </si>
  <si>
    <t>Ekranlar uchun tozalagichlar va salfetkalar</t>
  </si>
  <si>
    <t>Elektron qulflar</t>
  </si>
  <si>
    <t>Mikroskoplar uchun aksessuarlar</t>
  </si>
  <si>
    <t>Quvvat bloklari</t>
  </si>
  <si>
    <t>TV signal kuchaytirgichlar</t>
  </si>
  <si>
    <t>Aks qaytargichlar va reflektorlar</t>
  </si>
  <si>
    <t>Nur filtrlari</t>
  </si>
  <si>
    <t>Teleskop aksessuarlari</t>
  </si>
  <si>
    <t>Radiotoʻlqin tutuvchi qurilmalar</t>
  </si>
  <si>
    <t>Erkaklar uchun</t>
  </si>
  <si>
    <t>Soqol olish uchun</t>
  </si>
  <si>
    <t>Britvalar, ustaralar va almashtiriladigan kassetalar</t>
  </si>
  <si>
    <t>Boʻyash va kimyoviy jingalak qilish</t>
  </si>
  <si>
    <t>Ochartiruvchi vositalar</t>
  </si>
  <si>
    <t>Shaxsiy gigiyena</t>
  </si>
  <si>
    <t>Elektr tish choʻtkalari va irrigatorlar uchun aksessuarlar</t>
  </si>
  <si>
    <t>Tirnoq o'stirish uchun shakllar</t>
  </si>
  <si>
    <t>Yuz parvarishi</t>
  </si>
  <si>
    <t>Namlash va oziqlantirish</t>
  </si>
  <si>
    <t>Essensiyalar</t>
  </si>
  <si>
    <t>Tozalash va yuvish</t>
  </si>
  <si>
    <t>Yuvinish uchun gel</t>
  </si>
  <si>
    <t>Go'zallik to'plamlari</t>
  </si>
  <si>
    <t>Tana parvarishi uchun kosmetika toʻplamlari</t>
  </si>
  <si>
    <t>Koreya kosmetikasi</t>
  </si>
  <si>
    <t>Muammoli terilar uchun mahsulotlar</t>
  </si>
  <si>
    <t>Yuvinish uchun koʻpik</t>
  </si>
  <si>
    <t>Intim gigiyena</t>
  </si>
  <si>
    <t>Kattalar uchun pelyonkalar va tagliklar</t>
  </si>
  <si>
    <t>Tish choʻtkalari</t>
  </si>
  <si>
    <t>Yuz</t>
  </si>
  <si>
    <t>Makiyaj qotirgichlari</t>
  </si>
  <si>
    <t>Dush va vanna uchun vositalar</t>
  </si>
  <si>
    <t>Skrablar va pilinglar</t>
  </si>
  <si>
    <t>Tozalash va parvarish uchun vositalar</t>
  </si>
  <si>
    <t>Kremlar</t>
  </si>
  <si>
    <t>Tana uchun kremlar</t>
  </si>
  <si>
    <t>Koʻzlar</t>
  </si>
  <si>
    <t>Kipriklarni laminatsiyalash</t>
  </si>
  <si>
    <t>Parfyumeriya toʻplami</t>
  </si>
  <si>
    <t>Yogʻlar</t>
  </si>
  <si>
    <t>Soqol va moʻylovlar uchun</t>
  </si>
  <si>
    <t>Soqol va mo'ylov uchun zardoblar va yogʻlar</t>
  </si>
  <si>
    <t>Tungi kremlar</t>
  </si>
  <si>
    <t>Tish protezlarini parvarish qilish</t>
  </si>
  <si>
    <t>Vanna uchun tuz</t>
  </si>
  <si>
    <t>Quyoshda toblanish va quyoshdan himoya</t>
  </si>
  <si>
    <t>Quyoshda toblanish uchun vositalar</t>
  </si>
  <si>
    <t>Depilyatsiya va epilyatsiya</t>
  </si>
  <si>
    <t>Depilatsiyadan oldin va keyin foydalaniladigan vositalar</t>
  </si>
  <si>
    <t>Yuz uchun balzamlar va gellar</t>
  </si>
  <si>
    <t>Oyoq uchun kremlar</t>
  </si>
  <si>
    <t>Sartarosh uchun professional asboblar</t>
  </si>
  <si>
    <t>Postij uchun uskunalar</t>
  </si>
  <si>
    <t>Qoshlar</t>
  </si>
  <si>
    <t>Qosh uchun soyalar</t>
  </si>
  <si>
    <t>Turmaklash uchun vositalar</t>
  </si>
  <si>
    <t>Blesk</t>
  </si>
  <si>
    <t>Biserlar, yaltiroq toshlar va yaltiroqlar</t>
  </si>
  <si>
    <t>Kosmetik sovun</t>
  </si>
  <si>
    <t>Tirnoq o'stirish uchun gellar va upalar</t>
  </si>
  <si>
    <t>Elektr tish choʻtkalari</t>
  </si>
  <si>
    <t>Erkaklar parfyumlari</t>
  </si>
  <si>
    <t>Elektr tish choʻtkalari va irrigatorlar uchun nasadkalar</t>
  </si>
  <si>
    <t>Ogʻizni yuvish va parvarishlash</t>
  </si>
  <si>
    <t>Teri parvarishi uchun muss</t>
  </si>
  <si>
    <t>Soqol va mo'ylov uchun shampunlar</t>
  </si>
  <si>
    <t>Yuz terisini tozalash</t>
  </si>
  <si>
    <t>Yuvinish uchun ko'piklar</t>
  </si>
  <si>
    <t>Vanna uchun koʻpik</t>
  </si>
  <si>
    <t>Vaqtinchalik tatuirovkalar va mehendi uchun xina</t>
  </si>
  <si>
    <t>Kiprik uchun tushlar</t>
  </si>
  <si>
    <t>Flyuidlar</t>
  </si>
  <si>
    <t>Ulama sochlar uchun tovarlar</t>
  </si>
  <si>
    <t>Qogʻoz va paxta mahsulotlari</t>
  </si>
  <si>
    <t>Paxtali tayoqchalar</t>
  </si>
  <si>
    <t>Oyoq uchun niqoblar</t>
  </si>
  <si>
    <t>Makiyaj toʻplamlari</t>
  </si>
  <si>
    <t>Zardoblar</t>
  </si>
  <si>
    <t>Tana uchun stiklar</t>
  </si>
  <si>
    <t>Aromaterapiya</t>
  </si>
  <si>
    <t>Efir moylari</t>
  </si>
  <si>
    <t>CC kremlari</t>
  </si>
  <si>
    <t>Balzamlar va konditsionerlar</t>
  </si>
  <si>
    <t>Patchalar</t>
  </si>
  <si>
    <t>Kushonlar</t>
  </si>
  <si>
    <t>Dush uchun gellar</t>
  </si>
  <si>
    <t>Qoʻl kremlari</t>
  </si>
  <si>
    <t>Losyonlar va sut</t>
  </si>
  <si>
    <t>Tozalovchi tasmalar</t>
  </si>
  <si>
    <t>Spreylar</t>
  </si>
  <si>
    <t>Kipriklar parvarishi uchun zardoblar va moylar</t>
  </si>
  <si>
    <t>Professional kosmetika</t>
  </si>
  <si>
    <t>Kosmetik molochko</t>
  </si>
  <si>
    <t>Koreya kosmetika to'plamlari</t>
  </si>
  <si>
    <t>Yuzni parvarish qilish uchun to'plam</t>
  </si>
  <si>
    <t>Tirnoq uchun pilkalar va baflar</t>
  </si>
  <si>
    <t>Tish ipi</t>
  </si>
  <si>
    <t>Lablar</t>
  </si>
  <si>
    <t>Lab boʻyoqlari</t>
  </si>
  <si>
    <t>Emulsiyalar va eliksirlar</t>
  </si>
  <si>
    <t>Paxta yostiqchalari</t>
  </si>
  <si>
    <t>Skrab va piling</t>
  </si>
  <si>
    <t>Quyoshdan himoya vositalari</t>
  </si>
  <si>
    <t>Tirnoqlar uchun xina</t>
  </si>
  <si>
    <t>Tonikalar</t>
  </si>
  <si>
    <t>Emulsiyalar</t>
  </si>
  <si>
    <t>Tualet qogʻozi</t>
  </si>
  <si>
    <t>Soch uchun</t>
  </si>
  <si>
    <t>Soch uchun shampunlar</t>
  </si>
  <si>
    <t>Manikyur uchun lampalar va chiroqlar</t>
  </si>
  <si>
    <t>Stemping uchun plastinalar</t>
  </si>
  <si>
    <t>Tonal kremlar</t>
  </si>
  <si>
    <t>Sovun-skrab</t>
  </si>
  <si>
    <t>Vosk</t>
  </si>
  <si>
    <t>Xaylayterlar</t>
  </si>
  <si>
    <t>Atomayzerlar va parfyum shishalari</t>
  </si>
  <si>
    <t>Flyuidlar, eliksirlar, essensiyalar</t>
  </si>
  <si>
    <t>Avtozagar</t>
  </si>
  <si>
    <t>Kosmetik yogʻlar</t>
  </si>
  <si>
    <t>Quruq va qattiq shampunlar</t>
  </si>
  <si>
    <t>Yuz kremlari</t>
  </si>
  <si>
    <t>Til uchun tozalagichlar</t>
  </si>
  <si>
    <t>Qo'l uchun kremlar</t>
  </si>
  <si>
    <t>Nam salfetkalar</t>
  </si>
  <si>
    <t>Oyoq uchun dezodorantlar va spreylar</t>
  </si>
  <si>
    <t>Tirnoqlar uchun folga va surtmalar</t>
  </si>
  <si>
    <t>Soqol olish uchun vositalar</t>
  </si>
  <si>
    <t>Glitterlar</t>
  </si>
  <si>
    <t>Ko'z qovoqlarini tuzatish uchun stikerlar</t>
  </si>
  <si>
    <t>Oksidlovchilar</t>
  </si>
  <si>
    <t>Tintlar</t>
  </si>
  <si>
    <t>Oyoq kremlari</t>
  </si>
  <si>
    <t>Tana uchun talk</t>
  </si>
  <si>
    <t>Lablar parvarishi uchun</t>
  </si>
  <si>
    <t>Lablar uchun maskalar va skrablar</t>
  </si>
  <si>
    <t>Yuvinish sovuni</t>
  </si>
  <si>
    <t>Tish oralarini tozalash uchun choʻtkalar</t>
  </si>
  <si>
    <t>Pastalar va pomadalar</t>
  </si>
  <si>
    <t>Koʻz uchun kremlar</t>
  </si>
  <si>
    <t>Tish pastalari va gellar</t>
  </si>
  <si>
    <t>Depilatsiya va epilatsiya uchun aksessuarlar</t>
  </si>
  <si>
    <t>Makiyajni tozalash vositalari</t>
  </si>
  <si>
    <t>Toniklar</t>
  </si>
  <si>
    <t>Sugʻorish uskunalari</t>
  </si>
  <si>
    <t>Ulama tirnoqlar, tipslar va tirnoqlar uchun yelimlar</t>
  </si>
  <si>
    <t>Soqol olish uchun tovarlar</t>
  </si>
  <si>
    <t>Ayollar uchun britvalar, ustaralar va almashtiriladigan kassetalar</t>
  </si>
  <si>
    <t>Rumyana va bronzerlar</t>
  </si>
  <si>
    <t>Gellar</t>
  </si>
  <si>
    <t>Ko'zlar</t>
  </si>
  <si>
    <t>Loy</t>
  </si>
  <si>
    <t>Yuvish uchun upa</t>
  </si>
  <si>
    <t>Termal suv, toniklar va spreylar</t>
  </si>
  <si>
    <t>Upalar</t>
  </si>
  <si>
    <t>Yuvinish uchun yogʻ</t>
  </si>
  <si>
    <t>Soch uchun zardoblar</t>
  </si>
  <si>
    <t>Depilatsiya uchun vositalar</t>
  </si>
  <si>
    <t>Skrab</t>
  </si>
  <si>
    <t>Qoshlar va kipriklar uchun boʻyoqlar</t>
  </si>
  <si>
    <t>Tish kukunlari</t>
  </si>
  <si>
    <t>Makiyaj ostidan suriladigan vositalar</t>
  </si>
  <si>
    <t>Suvenir sovun</t>
  </si>
  <si>
    <t>Konsentratlar va balzamlar</t>
  </si>
  <si>
    <t>Ko'z uchun kremlar</t>
  </si>
  <si>
    <t>Balzamlar va gellar</t>
  </si>
  <si>
    <t>Shampunlar</t>
  </si>
  <si>
    <t>Lab uchun qalamlar</t>
  </si>
  <si>
    <t>Qoshlar turmaklash uchun vositalar</t>
  </si>
  <si>
    <t>Yuvinish uchun gellari</t>
  </si>
  <si>
    <t>Massaj moylari</t>
  </si>
  <si>
    <t>Ayollar dezodorantlari va antiperspirantlar</t>
  </si>
  <si>
    <t>Sochlar uchun niqoblar, sovun va zardoblar</t>
  </si>
  <si>
    <t>Erkaklar uchun dezodorantlar va antiperspirantlar</t>
  </si>
  <si>
    <t>BB va DD kremlari</t>
  </si>
  <si>
    <t>Yuz uchun toʻplamlar</t>
  </si>
  <si>
    <t>Kiprik oʻstirish</t>
  </si>
  <si>
    <t>Koʻz uchun podvodkalar va konturlar</t>
  </si>
  <si>
    <t>Bo'yash uchun cho'tkalar va aksessuarlar</t>
  </si>
  <si>
    <t>Quyoshdan himoya qiluvchi kremlar</t>
  </si>
  <si>
    <t>Sochlarni tarash uchun suv</t>
  </si>
  <si>
    <t>Quyoshda toblangandan keyin suriladigan vositalar</t>
  </si>
  <si>
    <t>Depilatsiya uchun to'plamlar</t>
  </si>
  <si>
    <t>Gellar va musslar</t>
  </si>
  <si>
    <t>Sellyulitga va choʻzilishga qarshi vositalar</t>
  </si>
  <si>
    <t>Sellyulitga qarshi vosita</t>
  </si>
  <si>
    <t>Qosh uchun shtamplar</t>
  </si>
  <si>
    <t>Soqol va mo'ylov uchun balzamlar</t>
  </si>
  <si>
    <t>Blesklar</t>
  </si>
  <si>
    <t>Qoshlar uchun podvodkalar</t>
  </si>
  <si>
    <t>Tirnoqlar uchun apelsin tayoqchalari va salfetkalar</t>
  </si>
  <si>
    <t>Gigienik lab bo'yog'lari</t>
  </si>
  <si>
    <t>Niqoblar va oʻramlar</t>
  </si>
  <si>
    <t>Alginat, gel va krem niqoblar</t>
  </si>
  <si>
    <t>Terining choʻzilib ketishidan himoya vosita</t>
  </si>
  <si>
    <t>Davolovchi va parvarishlovchi tovarlar</t>
  </si>
  <si>
    <t>Tirnoqlar uchun yog'lar va zardoblar</t>
  </si>
  <si>
    <t>Musslar va koʻpiklar</t>
  </si>
  <si>
    <t>Stemping uchun shtamplar</t>
  </si>
  <si>
    <t>Koʻz uchun qalamlar, konturlar</t>
  </si>
  <si>
    <t>Rangni ketkazish uchun vositalar</t>
  </si>
  <si>
    <t>Vanna uchun yogʻ</t>
  </si>
  <si>
    <t>Intim gigiyenasi uchun vositalar</t>
  </si>
  <si>
    <t>Konturing uchun paletkalar va stiklar</t>
  </si>
  <si>
    <t>Prokladkalar va tamponlar</t>
  </si>
  <si>
    <t>Lablar uchun balzamlar</t>
  </si>
  <si>
    <t>Qosh uchun pomadalar</t>
  </si>
  <si>
    <t>Qoshlar uchun tushlar</t>
  </si>
  <si>
    <t>Soqol va mo'ylov tozalash uchun gellar</t>
  </si>
  <si>
    <t>Skrablar</t>
  </si>
  <si>
    <t>Yuz uchun eliksirlar</t>
  </si>
  <si>
    <t>Gidrofil moy</t>
  </si>
  <si>
    <t>Shugaring</t>
  </si>
  <si>
    <t>Gidrofil yog'lar</t>
  </si>
  <si>
    <t>Kunduzgi kremlar</t>
  </si>
  <si>
    <t>Mumli epilyatsiya</t>
  </si>
  <si>
    <t>Sochlar uchun kosmetika toʻplamlari</t>
  </si>
  <si>
    <t>Tishlarni oqartirish</t>
  </si>
  <si>
    <t>Xina</t>
  </si>
  <si>
    <t>Tenlar</t>
  </si>
  <si>
    <t>Boʻyoqlar</t>
  </si>
  <si>
    <t>Mum va parafin vannalari</t>
  </si>
  <si>
    <t>Hayz chashkalari</t>
  </si>
  <si>
    <t>Soqol olishdan keyin vositalar</t>
  </si>
  <si>
    <t>Suyuq sovun</t>
  </si>
  <si>
    <t>Qogʻoz sochiqlar</t>
  </si>
  <si>
    <t>Kipriklar uchun yelim</t>
  </si>
  <si>
    <t>Sartaroshlik anjomlari</t>
  </si>
  <si>
    <t>Tirnoq uchun nakleykalar</t>
  </si>
  <si>
    <t>Lakli chiziqlar</t>
  </si>
  <si>
    <t>Tirnoq gellari</t>
  </si>
  <si>
    <t>Rang berish va boʻyash vositalari</t>
  </si>
  <si>
    <t>Manikyur va pedikyur toʻplamlari</t>
  </si>
  <si>
    <t>Erkaklar uchun to'plamlar</t>
  </si>
  <si>
    <t>Kosmetika jihozlari</t>
  </si>
  <si>
    <t>Konsentratlar</t>
  </si>
  <si>
    <t>Koʻz uchun praymerlar</t>
  </si>
  <si>
    <t>Qoshlar parvarishi uchun zardoblar va moylar</t>
  </si>
  <si>
    <t>Matlovchi salfetkalar</t>
  </si>
  <si>
    <t>Frezalar va kutikula trimmerlari</t>
  </si>
  <si>
    <t>Quloq va burunni tozalash asboblari</t>
  </si>
  <si>
    <t>Termal suv va spreylar</t>
  </si>
  <si>
    <t>Niqoblar va zardoblar</t>
  </si>
  <si>
    <t>Ter yostiqchalari</t>
  </si>
  <si>
    <t>Korrektorlar va konsilerlar</t>
  </si>
  <si>
    <t>Teri parvarishi uchun kremi</t>
  </si>
  <si>
    <t>Soqol olish uchun aksessuarlar</t>
  </si>
  <si>
    <t>Vanna uchun sharchalar</t>
  </si>
  <si>
    <t>Qosh uchun qalamlar</t>
  </si>
  <si>
    <t>Ulama kipriklar</t>
  </si>
  <si>
    <t>Ovqatlantirish tovoqchalari va tovoqcha tagliklari</t>
  </si>
  <si>
    <t>Itlarni tashish uchun aksessuarlar</t>
  </si>
  <si>
    <t>Itlarni oʻrgatish uchun tovarlar va amunitsiyalar</t>
  </si>
  <si>
    <t>Kemiruvchilar uchun ozuqa va shirinliklar</t>
  </si>
  <si>
    <t>Mineral toshlar</t>
  </si>
  <si>
    <t>Shirinliklar</t>
  </si>
  <si>
    <t>Mushuklar uchun</t>
  </si>
  <si>
    <t>Mushuklar uchun uylar va toʻshaklar</t>
  </si>
  <si>
    <t>Uychalar</t>
  </si>
  <si>
    <t>Yuk tashish uchun tovarlar</t>
  </si>
  <si>
    <t>Tovoqchalar</t>
  </si>
  <si>
    <t>Ozuqalar va shirinliklar</t>
  </si>
  <si>
    <t>Nam ovqatlar</t>
  </si>
  <si>
    <t>Tirnash ustunlari va oʻyin komplekslari</t>
  </si>
  <si>
    <t>Tirnash ustunlari</t>
  </si>
  <si>
    <t>Quruq ovqat</t>
  </si>
  <si>
    <t>Gruming</t>
  </si>
  <si>
    <t>Qafaslar va toʻsiqlar</t>
  </si>
  <si>
    <t>Itlarni oʻrgatish</t>
  </si>
  <si>
    <t>Matraslar va lejaklar</t>
  </si>
  <si>
    <t>Lejaklar va krovatlar</t>
  </si>
  <si>
    <t>Itlar uchun hojatxonalar</t>
  </si>
  <si>
    <t>Oʻyin komplekslari</t>
  </si>
  <si>
    <t>Savdo uchun uskunalar</t>
  </si>
  <si>
    <t>Ajratgichlar va Stellajlar</t>
  </si>
  <si>
    <t>Oʻzi yopishadigan plyonka, nakleykalar va yorliqlar</t>
  </si>
  <si>
    <t>Yorliqlar</t>
  </si>
  <si>
    <t>Haftaliklar va kundaliklar, planerlar</t>
  </si>
  <si>
    <t>Kundaliklar</t>
  </si>
  <si>
    <t>Muhr va shtamplar</t>
  </si>
  <si>
    <t>Shtamplar uchun osnastkalar va futlyarlar</t>
  </si>
  <si>
    <t>Blankalar, vizitkalar va sertifikatlar</t>
  </si>
  <si>
    <t>Dizayn-qog'oz</t>
  </si>
  <si>
    <t>Maktab va oʻqish uchun tovarlar</t>
  </si>
  <si>
    <t>Penallar</t>
  </si>
  <si>
    <t>Foto qogʻoz</t>
  </si>
  <si>
    <t>Tilaklar kitoblar</t>
  </si>
  <si>
    <t>Kassalar</t>
  </si>
  <si>
    <t>Papkalar va fayllar</t>
  </si>
  <si>
    <t>Papka-planshetlar</t>
  </si>
  <si>
    <t>Qaydlar uchun qogʻoz</t>
  </si>
  <si>
    <t>Mehnat va tibbiy kitoblar, sertifikatlar</t>
  </si>
  <si>
    <t>Sertifikatlash uchun blanklar</t>
  </si>
  <si>
    <t>Kalkulyatorlar</t>
  </si>
  <si>
    <t>Muhandislik kalkulyatorlari</t>
  </si>
  <si>
    <t>Pereplyotlar uchun prujinalar</t>
  </si>
  <si>
    <t>Ofis buyumlari</t>
  </si>
  <si>
    <t>Lupalar</t>
  </si>
  <si>
    <t>Sinf jurnallari</t>
  </si>
  <si>
    <t>Osma papkalar</t>
  </si>
  <si>
    <t>Axborot qurilmalari</t>
  </si>
  <si>
    <t>Stol uchun gilamchalar</t>
  </si>
  <si>
    <t>Portfolio</t>
  </si>
  <si>
    <t>Kanselyariya qaychilari va pichoqlar</t>
  </si>
  <si>
    <t>Shtamplar</t>
  </si>
  <si>
    <t>Shtampellar yostiqchalar</t>
  </si>
  <si>
    <t>Hisob-kitob kitoblari</t>
  </si>
  <si>
    <t>Oʻzi yopishadigan plyonka</t>
  </si>
  <si>
    <t>Namoyish doskalari</t>
  </si>
  <si>
    <t>Koʻrsatish tayoqchasi</t>
  </si>
  <si>
    <t>Qogʻoz uchun papkalar</t>
  </si>
  <si>
    <t>Flomasterlar</t>
  </si>
  <si>
    <t>Qogʻoz uchun savatlar</t>
  </si>
  <si>
    <t>Ruchkalar</t>
  </si>
  <si>
    <t>Bloknotlar va yozuv daftarlari</t>
  </si>
  <si>
    <t>Yozuv daftarlari</t>
  </si>
  <si>
    <t>Stol podstavkalari va tashrif qogʻozlari</t>
  </si>
  <si>
    <t>Darsliklar uchun podstavkalar</t>
  </si>
  <si>
    <t>Kanselyariya toʻplamlari</t>
  </si>
  <si>
    <t>Millimetrli qogʻoz</t>
  </si>
  <si>
    <t>Rangli qogʻoz</t>
  </si>
  <si>
    <t>Saqlash uchun nakleykalar</t>
  </si>
  <si>
    <t>Dunyo xaritasi</t>
  </si>
  <si>
    <t>Ma'muriy xarita</t>
  </si>
  <si>
    <t>Beyjiklar va aksessuarlar</t>
  </si>
  <si>
    <t>Marker va boʻr taxtalari</t>
  </si>
  <si>
    <t>Nusxa koʻchirish qogʻozi</t>
  </si>
  <si>
    <t>Ish stoli tashrif qogʻozlari</t>
  </si>
  <si>
    <t>Pochta qutilari</t>
  </si>
  <si>
    <t>Daftarlar</t>
  </si>
  <si>
    <t>Biznes-daftar</t>
  </si>
  <si>
    <t>Yelim</t>
  </si>
  <si>
    <t>Chizmachilik qurollari</t>
  </si>
  <si>
    <t>Chizgʻichlar</t>
  </si>
  <si>
    <t>Tashrif qogʻozi karmonlari uchun almashtirish bloklari</t>
  </si>
  <si>
    <t>Pereplyot uchun jildlar</t>
  </si>
  <si>
    <t>Daftar uchun uzukchalar</t>
  </si>
  <si>
    <t>Kanselyariya muhrlari</t>
  </si>
  <si>
    <t>Qogʻoz uchun lotkalar va toʻplagichlar</t>
  </si>
  <si>
    <t>Haftaliklar</t>
  </si>
  <si>
    <t>Diplom uchun papkalar</t>
  </si>
  <si>
    <t>Qalam o'tkirlagichlar</t>
  </si>
  <si>
    <t>Narx koʻrsatkichlar</t>
  </si>
  <si>
    <t>Skotch</t>
  </si>
  <si>
    <t>Kanselyariya buyumlari</t>
  </si>
  <si>
    <t>Qalamlar</t>
  </si>
  <si>
    <t>Globuslar</t>
  </si>
  <si>
    <t>Matn uchun korrektorlar</t>
  </si>
  <si>
    <t>Dekorativ nakleykalar</t>
  </si>
  <si>
    <t>Bloknotlar</t>
  </si>
  <si>
    <t>Taqvimlar</t>
  </si>
  <si>
    <t>Doska toʻplamlar va flipchartlar</t>
  </si>
  <si>
    <t>Faks uchun qogʻoz</t>
  </si>
  <si>
    <t>Plannerlar</t>
  </si>
  <si>
    <t>Maktab kundaliglari</t>
  </si>
  <si>
    <t>Ruchkalar uchun aksessuarlar va sarflov materiallari</t>
  </si>
  <si>
    <t>Bloknot, kundalik uchun aksessuarlar</t>
  </si>
  <si>
    <t>Qogʻoz uchun tutqichlar</t>
  </si>
  <si>
    <t>Doska oʻchirgichlar</t>
  </si>
  <si>
    <t>Oʻchirgichlar</t>
  </si>
  <si>
    <t>Boʻrlar va pastellar</t>
  </si>
  <si>
    <t>Rangli folga</t>
  </si>
  <si>
    <t>Banknot hisoblagichlari va detektorlari</t>
  </si>
  <si>
    <t>Sovg'a vaucheri blanklari</t>
  </si>
  <si>
    <t>Choʻntak kalkulyatorlari</t>
  </si>
  <si>
    <t>Chizmachilik va rassomchilik uchun qogʻoz</t>
  </si>
  <si>
    <t>Anketalar va shaxsiy kundaliklar</t>
  </si>
  <si>
    <t>Shaxsiy kundaliklar</t>
  </si>
  <si>
    <t>Transportirlar</t>
  </si>
  <si>
    <t>Qalamlar uchun aksessuarlar va sarflov materiallari</t>
  </si>
  <si>
    <t>Teshkichlar</t>
  </si>
  <si>
    <t>Laminatsiya uchun plyonkalar</t>
  </si>
  <si>
    <t>Chizish uchun albomlar</t>
  </si>
  <si>
    <t>Sirkullar</t>
  </si>
  <si>
    <t>Bank kartasi uchun nakleykalar</t>
  </si>
  <si>
    <t>Gazeta qog'oz</t>
  </si>
  <si>
    <t>Flipchartlar</t>
  </si>
  <si>
    <t>Shtempel boʻyoqlar</t>
  </si>
  <si>
    <t>Ish stoli kalkulyatorlari</t>
  </si>
  <si>
    <t>Fayllar va ajratuvchilar</t>
  </si>
  <si>
    <t>Doska uchun magnitlar</t>
  </si>
  <si>
    <t>Vizitkalar</t>
  </si>
  <si>
    <t>Qalamlar va ruchkalar uchun tagliklar</t>
  </si>
  <si>
    <t>Marker doskalari</t>
  </si>
  <si>
    <t>Magnit doskalar</t>
  </si>
  <si>
    <t>Planinglar</t>
  </si>
  <si>
    <t>Geometrik toʻplamlar</t>
  </si>
  <si>
    <t>Steplarlar va stepler oʻqlari</t>
  </si>
  <si>
    <t>Anketalar</t>
  </si>
  <si>
    <t>Geografik xarita</t>
  </si>
  <si>
    <t>Karton</t>
  </si>
  <si>
    <t>Entsiklopediyalar va atlaslar</t>
  </si>
  <si>
    <t>Oʻz-oʻzini rivojlantirish</t>
  </si>
  <si>
    <t>O'z-o'zini hurmat qilish va o'ziga ishonch</t>
  </si>
  <si>
    <t>Zararli odatlarga qarshi kurashish</t>
  </si>
  <si>
    <t>Ilmiy-ommabop adabiyot</t>
  </si>
  <si>
    <t>Matematika</t>
  </si>
  <si>
    <t>Motivatsiya</t>
  </si>
  <si>
    <t>Moliya</t>
  </si>
  <si>
    <t>Hissiy intellekt</t>
  </si>
  <si>
    <t>Oʻquv adabiyoti</t>
  </si>
  <si>
    <t>10-sinf</t>
  </si>
  <si>
    <t>Hunarmandchiliklar</t>
  </si>
  <si>
    <t>Fantastika va fentezi</t>
  </si>
  <si>
    <t>Sport va fitnes</t>
  </si>
  <si>
    <t>Diniy kitoblar</t>
  </si>
  <si>
    <t>Islоm</t>
  </si>
  <si>
    <t>Islom tarixi</t>
  </si>
  <si>
    <t>Psixologiya</t>
  </si>
  <si>
    <t>Bolalarni tarbiyalash</t>
  </si>
  <si>
    <t>7-sinf</t>
  </si>
  <si>
    <t>Bolalarning rivojlanishi</t>
  </si>
  <si>
    <t>Chet tillarini o'rganamiz</t>
  </si>
  <si>
    <t>2-sinf</t>
  </si>
  <si>
    <t>Ensiklopediyalar, maʼlumotnomalar</t>
  </si>
  <si>
    <t>Nutqni rivojlantirish</t>
  </si>
  <si>
    <t>Zamonaviy nasr</t>
  </si>
  <si>
    <t>Qoʻrqinchli, trillerlar</t>
  </si>
  <si>
    <t>Fiqh</t>
  </si>
  <si>
    <t>Axborot xavfsizligi</t>
  </si>
  <si>
    <t>Odob</t>
  </si>
  <si>
    <t>Vazifalar, boshqotirmalar va topishmoqlar</t>
  </si>
  <si>
    <t>Tibbiyot</t>
  </si>
  <si>
    <t>Terapiya. Umumiy amaliyot</t>
  </si>
  <si>
    <t>Veterinariya</t>
  </si>
  <si>
    <t>Folklor</t>
  </si>
  <si>
    <t>Ertaklar va masallar</t>
  </si>
  <si>
    <t>Sovgʻa nashrlari</t>
  </si>
  <si>
    <t>Antik adabiyot</t>
  </si>
  <si>
    <t>Tabiiy fanlar</t>
  </si>
  <si>
    <t>Detektivlar</t>
  </si>
  <si>
    <t>Arab tili</t>
  </si>
  <si>
    <t>Nasr</t>
  </si>
  <si>
    <t>Sentimental nasr</t>
  </si>
  <si>
    <t>Stressni boshqarish</t>
  </si>
  <si>
    <t>Siyrat</t>
  </si>
  <si>
    <t>Koʻnikmalar</t>
  </si>
  <si>
    <t>Menejment va boshqaruv</t>
  </si>
  <si>
    <t>Ezoterika va spiritizm</t>
  </si>
  <si>
    <t>Tarixiy nasr</t>
  </si>
  <si>
    <t>Ingliz tili</t>
  </si>
  <si>
    <t>Xalq tabobati</t>
  </si>
  <si>
    <t>O'z-o'zini parvarish qilish</t>
  </si>
  <si>
    <t>Sheʼriyat</t>
  </si>
  <si>
    <t>Klassik she'riyat</t>
  </si>
  <si>
    <t>Urushlar tarixi</t>
  </si>
  <si>
    <t>Sayohat, yoʻlboshchilar</t>
  </si>
  <si>
    <t>Baxt</t>
  </si>
  <si>
    <t>Rang berish kitoblar va chizish</t>
  </si>
  <si>
    <t>Komikslar</t>
  </si>
  <si>
    <t>Oʻquv-metodik adabiyoti</t>
  </si>
  <si>
    <t>1-sinf</t>
  </si>
  <si>
    <t>6-sinf</t>
  </si>
  <si>
    <t>Mashhur odamlarning biografiyalar</t>
  </si>
  <si>
    <t>Meditatsiya</t>
  </si>
  <si>
    <t>Falsafa</t>
  </si>
  <si>
    <t>Muloqot psixologiyasi</t>
  </si>
  <si>
    <t>Iqtisodiyot</t>
  </si>
  <si>
    <t>Interaktiv kitoblar</t>
  </si>
  <si>
    <t>Web-dasturlash</t>
  </si>
  <si>
    <t>8-sinf</t>
  </si>
  <si>
    <t>Art-terapiya</t>
  </si>
  <si>
    <t>Manga</t>
  </si>
  <si>
    <t>11-sinf</t>
  </si>
  <si>
    <t>Shaxsiy samaradorlik</t>
  </si>
  <si>
    <t>Zamonaviy she'riyat</t>
  </si>
  <si>
    <t>Sanʼat va madaniyat</t>
  </si>
  <si>
    <t>San'atshunoslik</t>
  </si>
  <si>
    <t>Biznes taʼlimi va karyerani rivojlantirish</t>
  </si>
  <si>
    <t>Xorijiy tillarini oʻrganish</t>
  </si>
  <si>
    <t>Abituriyentlar, talabalar va aspirantlarga</t>
  </si>
  <si>
    <t>Maxsus tibbiyot</t>
  </si>
  <si>
    <t>Marketing va sotish</t>
  </si>
  <si>
    <t>Siyosatshunoslik</t>
  </si>
  <si>
    <t>Sarguzashtlar</t>
  </si>
  <si>
    <t>Dasturlash tillari</t>
  </si>
  <si>
    <t>Dasturlash va algoritmlar</t>
  </si>
  <si>
    <t>Yuridik adabiyot</t>
  </si>
  <si>
    <t>Huquq</t>
  </si>
  <si>
    <t>Romanlar</t>
  </si>
  <si>
    <t>Investitsiyalar va koʻchmas mulk</t>
  </si>
  <si>
    <t>Nemis tili</t>
  </si>
  <si>
    <t>Vimmelbuxlar va topilmalar</t>
  </si>
  <si>
    <t>Klassik nasrlar</t>
  </si>
  <si>
    <t>Memuarlar. Avtobiografiyalar</t>
  </si>
  <si>
    <t>Jahon tarixi</t>
  </si>
  <si>
    <t>Yoshlar va o'smirlar adabiyoti</t>
  </si>
  <si>
    <t>She'rlar</t>
  </si>
  <si>
    <t>Ertaklar, folklor va afsonalar</t>
  </si>
  <si>
    <t>Qur'on</t>
  </si>
  <si>
    <t>Kompyuter tarmoqlari</t>
  </si>
  <si>
    <t>Ommabop tibbiyot</t>
  </si>
  <si>
    <t>Miya rivojlanishi</t>
  </si>
  <si>
    <t>Ilmiy psixologiya</t>
  </si>
  <si>
    <t>XX-asr nasri</t>
  </si>
  <si>
    <t>Jurnallar, gazetalar</t>
  </si>
  <si>
    <t>Aforizmlar, iqtiboslar, maqollar</t>
  </si>
  <si>
    <t>Surishtiruv jurnalistikasi</t>
  </si>
  <si>
    <t>Yakuniy test va YNI</t>
  </si>
  <si>
    <t>Uy va xobbi</t>
  </si>
  <si>
    <t>Krossvordlar. Skanvordlar. Boshqotirmalar. O'yinlar</t>
  </si>
  <si>
    <t>Psixosomatika</t>
  </si>
  <si>
    <t>5-sinf</t>
  </si>
  <si>
    <t>3-sinf</t>
  </si>
  <si>
    <t>Pazandachilik kitoblari</t>
  </si>
  <si>
    <t>O'z-o'zini rivojlantirish</t>
  </si>
  <si>
    <t>4-sinf</t>
  </si>
  <si>
    <t>O'qishni o'rganamiz</t>
  </si>
  <si>
    <t>Boshqa tillar</t>
  </si>
  <si>
    <t>Dietalar</t>
  </si>
  <si>
    <t>Fan, texnika va koinot</t>
  </si>
  <si>
    <t>Sevgi va munosabatlar</t>
  </si>
  <si>
    <t>Psixiatriya. Psixoterapiya</t>
  </si>
  <si>
    <t>Aqida</t>
  </si>
  <si>
    <t>Siyosat</t>
  </si>
  <si>
    <t>Etakchilik, muzokaralar va ommaviy nutq</t>
  </si>
  <si>
    <t>Xadis</t>
  </si>
  <si>
    <t>Fantastika</t>
  </si>
  <si>
    <t>Umumiy qobiliyatlarni rivojlantirish</t>
  </si>
  <si>
    <t>Klassika</t>
  </si>
  <si>
    <t>Hayvonlar va o'simliklar</t>
  </si>
  <si>
    <t>Hisoblashni o'rganamiz</t>
  </si>
  <si>
    <t>Tibbiyot tarixi va sog'liqni saqlash tashkiloti</t>
  </si>
  <si>
    <t>Artbuklar</t>
  </si>
  <si>
    <t>Taʼlim dasturlari</t>
  </si>
  <si>
    <t>Yozishni o'rganamiz</t>
  </si>
  <si>
    <t>Tozalash va yuvish vositalari</t>
  </si>
  <si>
    <t>Vanna va hojatxona uchun vositalar</t>
  </si>
  <si>
    <t>Poyabzallarni parvarish qilish uchun vositalar</t>
  </si>
  <si>
    <t>Suv, tuz va reagentlardan himoya</t>
  </si>
  <si>
    <t>Yuvish uchun vositalar</t>
  </si>
  <si>
    <t>Kir yuvish kukunlari</t>
  </si>
  <si>
    <t>Idish yuvish vositalari</t>
  </si>
  <si>
    <t>Idish yuvish mashinalari uchun vositalar</t>
  </si>
  <si>
    <t>IYuM uchun tabletkalar va kapsulalar</t>
  </si>
  <si>
    <t>Poyabzal uchun boʻyoq</t>
  </si>
  <si>
    <t>Tiqilib qolishga qarshi vositalar</t>
  </si>
  <si>
    <t>Maishiy texnika parvarishi uchun vositalar</t>
  </si>
  <si>
    <t>Kichik maishiy texnika uchun</t>
  </si>
  <si>
    <t>Oshxona uchun vositalar</t>
  </si>
  <si>
    <t>Poyabzal uchun dezodorantlar</t>
  </si>
  <si>
    <t>Oqartirgichlar va dogʻ ketkazgichlar</t>
  </si>
  <si>
    <t>Havoni musaffolashtirgichlar va neytralizatorlar</t>
  </si>
  <si>
    <t>Havo tozalagichlar</t>
  </si>
  <si>
    <t>Hasharotlar va kemiruvchilarga qarshi vositalar</t>
  </si>
  <si>
    <t>Insektitsidlar</t>
  </si>
  <si>
    <t>Mebel va polni parvarishlash uchun vositalar</t>
  </si>
  <si>
    <t>Universal tozalash vositasi</t>
  </si>
  <si>
    <t>Xoʻjalik sovuni</t>
  </si>
  <si>
    <t>Repelentlar</t>
  </si>
  <si>
    <t>Kir yuvish kapsulalari</t>
  </si>
  <si>
    <t>Ratisidlar</t>
  </si>
  <si>
    <t>Rang yorqinligini kuchaytirgichlar</t>
  </si>
  <si>
    <t>Hidlarni neytrallash vositalari</t>
  </si>
  <si>
    <t>Poyabzal uchun choʻtkalar va gubkalar</t>
  </si>
  <si>
    <t>Poyabzal uchun kremlar va vosklar</t>
  </si>
  <si>
    <t>Poyabzal uchun koʻpikli tozalash vositalari</t>
  </si>
  <si>
    <t>Katta maishiy texnika uchun</t>
  </si>
  <si>
    <t>IYuM uchun chayish vositalari</t>
  </si>
  <si>
    <t>Uy uchun xushboʻylashtirgichlar</t>
  </si>
  <si>
    <t>Kir yuvish uchun gel va suyuqliklar</t>
  </si>
  <si>
    <t>Oynalarni tozalash uchun vositalar</t>
  </si>
  <si>
    <t>Konditsionerlar va chayish vositalari</t>
  </si>
  <si>
    <t>Mikrotoʻlqinli pechlar</t>
  </si>
  <si>
    <t>Mikroto'lqinli pech uchun qopqoq va aksessuarlar</t>
  </si>
  <si>
    <t>Pazandachilik termometrlari</t>
  </si>
  <si>
    <t>Distillyatorlar</t>
  </si>
  <si>
    <t>Goʻzallik uchun texnika</t>
  </si>
  <si>
    <t>Yerda turadigan tarozilar</t>
  </si>
  <si>
    <t>Oshxona tarozilari</t>
  </si>
  <si>
    <t>Maishiy texnika uchun boshqa aksessuarlar va ehtiyot qismlar</t>
  </si>
  <si>
    <t>Suv uchun kulerlar</t>
  </si>
  <si>
    <t>Sabzavot va mevalar uchun quritgichlar</t>
  </si>
  <si>
    <t>Soch kesish</t>
  </si>
  <si>
    <t>Soch kesish mashinkasi</t>
  </si>
  <si>
    <t>Kartoshka tozalagich va baliq tozalagich</t>
  </si>
  <si>
    <t>Soch uchun trimmerlar</t>
  </si>
  <si>
    <t>Apparatli kosmetologiya</t>
  </si>
  <si>
    <t>Yuz va tana massaj apparatlari</t>
  </si>
  <si>
    <t>Elektr choynaklar va termopotlar</t>
  </si>
  <si>
    <t>Elektr choynaklar</t>
  </si>
  <si>
    <t>Shokolad, konfetlar, shirinliklar</t>
  </si>
  <si>
    <t>Qutili konfetlar, sovgʻalar toʻplami</t>
  </si>
  <si>
    <t>Konfetlar</t>
  </si>
  <si>
    <t>Karamel konfetlari</t>
  </si>
  <si>
    <t>Pechenye</t>
  </si>
  <si>
    <t>Shokoladli, yongʻoqli pasta</t>
  </si>
  <si>
    <t>Praline konfetlari</t>
  </si>
  <si>
    <t>Chaynaladigan konfetlari</t>
  </si>
  <si>
    <t>Shokolad</t>
  </si>
  <si>
    <t>Jele konfetlari</t>
  </si>
  <si>
    <t>Pryaniklar, vaflilar</t>
  </si>
  <si>
    <t>Batonchalar</t>
  </si>
  <si>
    <t>Shokoladli konfetlar</t>
  </si>
  <si>
    <t>Zefir, pastila, marmelad</t>
  </si>
  <si>
    <t>Draje konfetlari</t>
  </si>
  <si>
    <t>Sharq shirinliklari</t>
  </si>
  <si>
    <t>Tortlar, ruletlar, keksler</t>
  </si>
  <si>
    <t>Saqichlar</t>
  </si>
  <si>
    <t>Erkaklar poyabzali</t>
  </si>
  <si>
    <t>Tufli</t>
  </si>
  <si>
    <t>Loferlar</t>
  </si>
  <si>
    <t>Botinkalar</t>
  </si>
  <si>
    <t>Bertslar</t>
  </si>
  <si>
    <t>Etiklar va uggi</t>
  </si>
  <si>
    <t>Qoʻnji kalta etiklar</t>
  </si>
  <si>
    <t>Sandalilar va sabo</t>
  </si>
  <si>
    <t>Sabo</t>
  </si>
  <si>
    <t>Uyda kiyish uchun poyabzal</t>
  </si>
  <si>
    <t>Past botinkalar</t>
  </si>
  <si>
    <t>Rezin poyabzal</t>
  </si>
  <si>
    <t>Sandalilar</t>
  </si>
  <si>
    <t>Etiklar</t>
  </si>
  <si>
    <t>To'liqligi ortgan poyafzal</t>
  </si>
  <si>
    <t>Mokasinlar va topsayderlar</t>
  </si>
  <si>
    <t>Oksfordlar va derbilar</t>
  </si>
  <si>
    <t>Uggi</t>
  </si>
  <si>
    <t>Maxsus poyabzal</t>
  </si>
  <si>
    <t>Sliponlar</t>
  </si>
  <si>
    <t>Baland sliponlar</t>
  </si>
  <si>
    <t>Tufli va loferlar</t>
  </si>
  <si>
    <t>Lodochkalar</t>
  </si>
  <si>
    <t>Shishgan poyabzal</t>
  </si>
  <si>
    <t>Derbi</t>
  </si>
  <si>
    <t>Botilyonlar</t>
  </si>
  <si>
    <t>Baland botilyonlar</t>
  </si>
  <si>
    <t>Mokasinlar</t>
  </si>
  <si>
    <t>Baletkalar</t>
  </si>
  <si>
    <t>Dumaloq oyoqli balerinalar</t>
  </si>
  <si>
    <t>Rezin poyabzallar</t>
  </si>
  <si>
    <t>Chelsi</t>
  </si>
  <si>
    <t>Shlepanslar</t>
  </si>
  <si>
    <t>Ochiq oyoqli balerinalar</t>
  </si>
  <si>
    <t>Oyoq barmoqlari uchli balerinalar</t>
  </si>
  <si>
    <t>Baland botinkalar</t>
  </si>
  <si>
    <t>Krossovkalar va kedalar</t>
  </si>
  <si>
    <t>Krossovkalar</t>
  </si>
  <si>
    <t>Kazak etiklar</t>
  </si>
  <si>
    <t>Monkilar</t>
  </si>
  <si>
    <t>Botfortlar</t>
  </si>
  <si>
    <t>Espadrillar</t>
  </si>
  <si>
    <t>Sabo va myuli</t>
  </si>
  <si>
    <t>Bog'lamli sandalilar</t>
  </si>
  <si>
    <t>Oqshom uchun poyabzal</t>
  </si>
  <si>
    <t>Slanslar</t>
  </si>
  <si>
    <t>Oksfordlar</t>
  </si>
  <si>
    <t>Bosonojkalar</t>
  </si>
  <si>
    <t>Myuli</t>
  </si>
  <si>
    <t>To'rtburchak oyoqli balerinalar</t>
  </si>
  <si>
    <t>Kedalar</t>
  </si>
  <si>
    <t>Broglar</t>
  </si>
  <si>
    <t>Past sliponlar</t>
  </si>
  <si>
    <t>Topsayderlar</t>
  </si>
  <si>
    <t>Espadrillar va sliponlar</t>
  </si>
  <si>
    <t>Valenkalar</t>
  </si>
  <si>
    <t>Har kunlik sandalilar</t>
  </si>
  <si>
    <t>Past botilyonlar</t>
  </si>
  <si>
    <t>Butsilar</t>
  </si>
  <si>
    <t>Oʻlchov asboblari</t>
  </si>
  <si>
    <t>Shtangensirkullar</t>
  </si>
  <si>
    <t>Darajalar va plumblar</t>
  </si>
  <si>
    <t>Domofonlar, qoʻngʻiroqlar va xavfsizlik tizimlari</t>
  </si>
  <si>
    <t>Asboblar to'plamlari</t>
  </si>
  <si>
    <t>Narvonlar va stremyankalar</t>
  </si>
  <si>
    <t>pH, ORP konduktometrlari va oʻlchagichlari</t>
  </si>
  <si>
    <t>Uzunlikni va burchak qiyaliklarini oʻlchash</t>
  </si>
  <si>
    <t>Elektr energiyasi hisoblagichlari</t>
  </si>
  <si>
    <t>Multimetrlar va testerlar</t>
  </si>
  <si>
    <t>Endoskoplar</t>
  </si>
  <si>
    <t>Simlar va kabellar</t>
  </si>
  <si>
    <t>Kalit toʻplamlari</t>
  </si>
  <si>
    <t>Dinamometrlar</t>
  </si>
  <si>
    <t>Uzunlik va burchak o'lchagichlari</t>
  </si>
  <si>
    <t>Boshqa oʻlchov asboblari</t>
  </si>
  <si>
    <t>Aralashtirgichlar</t>
  </si>
  <si>
    <t>Avtomatik suv taʼminoti uchun</t>
  </si>
  <si>
    <t>Manometrlar</t>
  </si>
  <si>
    <t>Dush tizimlari va leykalar</t>
  </si>
  <si>
    <t>Ruletkalar va o'lchash lentalari</t>
  </si>
  <si>
    <t>Elektr toki parametrlarini oʻlchash</t>
  </si>
  <si>
    <t>Isitgichlar</t>
  </si>
  <si>
    <t>Shuplar va termoparlar</t>
  </si>
  <si>
    <t>Televizorlar va harorat skanerlari</t>
  </si>
  <si>
    <t>Chizg'ichlar va burchaklar</t>
  </si>
  <si>
    <t>Boltalar</t>
  </si>
  <si>
    <t>Sochiq quritgichlar va butlovchi qismlar</t>
  </si>
  <si>
    <t>Unitazlar</t>
  </si>
  <si>
    <t>Metall detektorlar va sklerometrlar</t>
  </si>
  <si>
    <t>Plitkalar uchun shablon</t>
  </si>
  <si>
    <t>Avtomatik oʻchirgichlar, HOʻQ, differensial avtomatlar</t>
  </si>
  <si>
    <t>Oshxona rakovinasi</t>
  </si>
  <si>
    <t>Bogʻlov materiallari</t>
  </si>
  <si>
    <t>Plastirlar</t>
  </si>
  <si>
    <t>Antibakterial vositalar</t>
  </si>
  <si>
    <t>Massaj gilamchalari</t>
  </si>
  <si>
    <t>Gigiyenik va tibbiy niqoblar</t>
  </si>
  <si>
    <t>Diagnostika testlari</t>
  </si>
  <si>
    <t>Ekspress testlar</t>
  </si>
  <si>
    <t>Tibbiyot qoʻlqoplari</t>
  </si>
  <si>
    <t>Tagliklar va tibbiy choyshablar</t>
  </si>
  <si>
    <t>Bintlar</t>
  </si>
  <si>
    <t>Tibbiyot bilaguzuklari va puls oʻlchagichlari</t>
  </si>
  <si>
    <t>Massaj yostiqchalari</t>
  </si>
  <si>
    <t>Massaj stoli</t>
  </si>
  <si>
    <t>Homiladorlik va ovulyatsiya testlari</t>
  </si>
  <si>
    <t>Ingalyatorlar va aksessuarlar</t>
  </si>
  <si>
    <t>Tibbiyot uskunalari</t>
  </si>
  <si>
    <t>Momiq paxta</t>
  </si>
  <si>
    <t>Massaj qalpoqlari</t>
  </si>
  <si>
    <t>Glyukometrlar va aksessuarlar</t>
  </si>
  <si>
    <t>Glyukometr uchun lansetlar</t>
  </si>
  <si>
    <t>Bir martalik kiyim</t>
  </si>
  <si>
    <t>Stetoskoplar</t>
  </si>
  <si>
    <t>Namlantiruvchi tomchilar</t>
  </si>
  <si>
    <t>Dokalar</t>
  </si>
  <si>
    <t>Sterilizatsiya uchun aksessuarlar</t>
  </si>
  <si>
    <t>Hovuz jihozlari</t>
  </si>
  <si>
    <t>Filtrlar, nasoslar, xlorageneratorlar</t>
  </si>
  <si>
    <t>Filtrlar, nasoslar va xlor generatorlari</t>
  </si>
  <si>
    <t>Exolotlar va navigatsiya</t>
  </si>
  <si>
    <t>Kompressli bogʻlamlar va yenglari</t>
  </si>
  <si>
    <t>Rolikli konkilar</t>
  </si>
  <si>
    <t>Turniklar va brusyalar</t>
  </si>
  <si>
    <t>Bilyard kiylari</t>
  </si>
  <si>
    <t>Qishki sport</t>
  </si>
  <si>
    <t>Tog' chang'i niqoblar va ko'zoynaklar</t>
  </si>
  <si>
    <t>Puflama chanalar</t>
  </si>
  <si>
    <t>Elektr transporti</t>
  </si>
  <si>
    <t>Elektr transport uchun aksessuarlar va ehtiyot qismlar</t>
  </si>
  <si>
    <t>Trenajorlar</t>
  </si>
  <si>
    <t>Trenajorlar uchun aksessuarlar</t>
  </si>
  <si>
    <t>Mebel</t>
  </si>
  <si>
    <t>Tokchalar</t>
  </si>
  <si>
    <t>Xoʻjalik buyumlari</t>
  </si>
  <si>
    <t>Kiyim va poyabzallar parvarishi</t>
  </si>
  <si>
    <t>Tozalash uchun aksessuarlar</t>
  </si>
  <si>
    <t>Stullar va taburetkalar</t>
  </si>
  <si>
    <t>Tozalash ishlari uchun inventarlar</t>
  </si>
  <si>
    <t>Xoʻjalik qoʻlqoplari</t>
  </si>
  <si>
    <t>Tamaddixona idishlari</t>
  </si>
  <si>
    <t>Koʻzalar va grafinlar</t>
  </si>
  <si>
    <t>Vanna uchun aksessuarlar</t>
  </si>
  <si>
    <t>Vanna va rakovina uchun tiqinlar</t>
  </si>
  <si>
    <t>Kir yuvish uchun aksessuarlar</t>
  </si>
  <si>
    <t>Xokandozlar</t>
  </si>
  <si>
    <t>Rozetkalar va kremankalar</t>
  </si>
  <si>
    <t>Supurgilar</t>
  </si>
  <si>
    <t>Sumka-aravachalar</t>
  </si>
  <si>
    <t>Vantuzlar va troslar</t>
  </si>
  <si>
    <t>Ilgaklar va tutqichlar</t>
  </si>
  <si>
    <t>Pufiklar ba banketkalar</t>
  </si>
  <si>
    <t>Shvabralar</t>
  </si>
  <si>
    <t>Chelaklar va togʻoralar</t>
  </si>
  <si>
    <t>Matraslar</t>
  </si>
  <si>
    <t>Shakar idishlari va sut idishlari</t>
  </si>
  <si>
    <t>Sovun idishlar, stakanlar</t>
  </si>
  <si>
    <t>Lattalar, salfetkalar va gubkalar</t>
  </si>
  <si>
    <t>Quritish uchun aksessuarlar</t>
  </si>
  <si>
    <t>Oyna yuvgichlar va skrebkalar</t>
  </si>
  <si>
    <t>Tokchalar va javonlar</t>
  </si>
  <si>
    <t>Dazmollash uchun aksessuarlar</t>
  </si>
  <si>
    <t>Xoʻjalik sumkalari</t>
  </si>
  <si>
    <t>Vannaxona uchun toʻplamlar</t>
  </si>
  <si>
    <t>Salfetka solgichlar</t>
  </si>
  <si>
    <t>Dasturxon tuzash predmetlari</t>
  </si>
  <si>
    <t>Choʻtkalar va smetkalar</t>
  </si>
  <si>
    <t>Unitaz choʻtkalari</t>
  </si>
  <si>
    <t>Unitaz uchun oʻrindiq</t>
  </si>
  <si>
    <t>Kreslolar</t>
  </si>
  <si>
    <t>Qayladonlar</t>
  </si>
  <si>
    <t>Shkaflar, tumbalar, komodlar</t>
  </si>
  <si>
    <t>Idishlar toʻplami</t>
  </si>
  <si>
    <t>Seyflar</t>
  </si>
  <si>
    <t>Qoʻl tarozilari va pallali tarozilar</t>
  </si>
  <si>
    <t>Dispenserlar, dozatorlar</t>
  </si>
  <si>
    <t>Stollar</t>
  </si>
  <si>
    <t>Jurnal stollari</t>
  </si>
  <si>
    <t>Qadoqlash va tashish</t>
  </si>
  <si>
    <t>Poyabzal uchun javonlar</t>
  </si>
  <si>
    <t>Axlat qutilari va baklari</t>
  </si>
  <si>
    <t>Axlat qoplari</t>
  </si>
  <si>
    <t>Rezina gilamchalar</t>
  </si>
  <si>
    <t>Joynamozlar</t>
  </si>
  <si>
    <t>Saryogʻ idishlari, pishloq idishlari va limon idishlari</t>
  </si>
  <si>
    <t>Mebel furniturasi</t>
  </si>
  <si>
    <t>Torli asboblar</t>
  </si>
  <si>
    <t>Avto chiroqlar</t>
  </si>
  <si>
    <t>Bolalar uchun roliklar</t>
  </si>
  <si>
    <t>Bolalar velosipedlari</t>
  </si>
  <si>
    <t>Bolalar uchun samokatlar</t>
  </si>
  <si>
    <t>Pedalsiz velosipedlar va katalkalar</t>
  </si>
  <si>
    <t>Doskalar va taxtalar</t>
  </si>
  <si>
    <t>Gril, barbekyu va dudlamalar</t>
  </si>
  <si>
    <t>Gulhan uchun oʻchoqlar va oʻtinlar</t>
  </si>
  <si>
    <t>Mangallar</t>
  </si>
  <si>
    <t>Video kuzatuv tizimlari</t>
  </si>
  <si>
    <t>Ratsiya va radiostansiyalar</t>
  </si>
  <si>
    <t>Tashish moslamalari itlar uchun</t>
  </si>
  <si>
    <t>Changyutgichlar va aksessuarlar</t>
  </si>
  <si>
    <t>Changyutgichlar uchun ehtiyot qism va aksessuarlar</t>
  </si>
  <si>
    <t>Dazmollar va bugʻlagichlar</t>
  </si>
  <si>
    <t>Dazmollar uchun ehtiyot qismlar va aksessuarlar</t>
  </si>
  <si>
    <t>Garaj va avtoservis</t>
  </si>
  <si>
    <t>Shina oʻrnatish uskunalari</t>
  </si>
  <si>
    <t>Slesarlik ishlari uchun maxsus asboblar</t>
  </si>
  <si>
    <t>Taʼmirlash lejaklari</t>
  </si>
  <si>
    <t>Avtomobillar uchun pnevmatik uskunalar</t>
  </si>
  <si>
    <t>Avto taʼmirlash uskunalari</t>
  </si>
  <si>
    <t>Kantovatellar va ushlagichlar</t>
  </si>
  <si>
    <t>Kuzov ishlari uchun uskunalar</t>
  </si>
  <si>
    <t>Diagnostika uskunalari</t>
  </si>
  <si>
    <t>Yuk koʻtarish uskunalari</t>
  </si>
  <si>
    <t>Avtomobil suyuqliklarini almashtirish</t>
  </si>
  <si>
    <t>Aqlli soatlar</t>
  </si>
  <si>
    <t>Qushlar uchun oʻyinchoqlar va aksessuarlar</t>
  </si>
  <si>
    <t>Tuvaklar va toʻldiruvchilar</t>
  </si>
  <si>
    <t>Tuvaklar</t>
  </si>
  <si>
    <t>Pasta-mashinalar</t>
  </si>
  <si>
    <t>Popkorn tayyorlash uskunasi</t>
  </si>
  <si>
    <t>Havoni tozalash va namlantirish</t>
  </si>
  <si>
    <t>Namlagichlar va tozalagichlar uchun aksessuarlar</t>
  </si>
  <si>
    <t>Kofe mashinalari uchun filtrlar</t>
  </si>
  <si>
    <t>Maydalash va aralashtirish</t>
  </si>
  <si>
    <t>Goʻsht maydalagichlar</t>
  </si>
  <si>
    <t>Paxtaqand tayyorlash uskunalari</t>
  </si>
  <si>
    <t>Elektr ustaralar</t>
  </si>
  <si>
    <t>Statsionar blenderlar</t>
  </si>
  <si>
    <t>Qovurish va pishirish uskunalari</t>
  </si>
  <si>
    <t>Vafli va sendvich pishirgichlar</t>
  </si>
  <si>
    <t>Havo quritgichlar</t>
  </si>
  <si>
    <t>Kofemolkalar</t>
  </si>
  <si>
    <t>Soch turmaklash</t>
  </si>
  <si>
    <t>Multistylerlar</t>
  </si>
  <si>
    <t>Mini pechlar</t>
  </si>
  <si>
    <t>Bugʻlagichlar</t>
  </si>
  <si>
    <t>Stol ustiga qoʻyiladigan plitalar</t>
  </si>
  <si>
    <t>Dazmollar</t>
  </si>
  <si>
    <t>Maydalagichlar</t>
  </si>
  <si>
    <t>Multivarkalar va guruch pishirgichlar</t>
  </si>
  <si>
    <t>Termopotlar</t>
  </si>
  <si>
    <t>Sharbat chiqargichlar</t>
  </si>
  <si>
    <t>Aero grill va frityurnitsalar</t>
  </si>
  <si>
    <t>Aroma diffuzerlar</t>
  </si>
  <si>
    <t>Sabzavot kesgichlar va elektr qirg'ichlari</t>
  </si>
  <si>
    <t>Kipyatilniklar</t>
  </si>
  <si>
    <t>Mikserlar</t>
  </si>
  <si>
    <t>Elektr grillar</t>
  </si>
  <si>
    <t>Tosterlar</t>
  </si>
  <si>
    <t>Dazmollash tizimlari va presslar</t>
  </si>
  <si>
    <t>Multipechlar</t>
  </si>
  <si>
    <t>Soch toʻgʻrilash vositalari</t>
  </si>
  <si>
    <t>Qovurish va qaynatish uchun boshqa texnikalar</t>
  </si>
  <si>
    <t>Qahva qaynatgichlar</t>
  </si>
  <si>
    <t>Maydalash uchun nasadkalar va aksessuarlar</t>
  </si>
  <si>
    <t>Choy, qahva, issiq ichimliklar</t>
  </si>
  <si>
    <t>Koʻk choy</t>
  </si>
  <si>
    <t>Qora choy</t>
  </si>
  <si>
    <t>Sikoriy</t>
  </si>
  <si>
    <t>Kakao, issiq shokolad</t>
  </si>
  <si>
    <t>Maydalangan qahva</t>
  </si>
  <si>
    <t>Eriydigan qahva</t>
  </si>
  <si>
    <t>Qoʻshimchalar qoʻshilgan choy</t>
  </si>
  <si>
    <t>Giyohli choylar</t>
  </si>
  <si>
    <t>Donli qahva</t>
  </si>
  <si>
    <t>Kapsulalardagi qahva</t>
  </si>
  <si>
    <t>Sarflov materiallari</t>
  </si>
  <si>
    <t>Parmalar</t>
  </si>
  <si>
    <t>Kavsharlash uskunalari</t>
  </si>
  <si>
    <t>Kavsharlash uchun aksessuarlar</t>
  </si>
  <si>
    <t>Pichoq arralar pichogʻi</t>
  </si>
  <si>
    <t>Pnevmouskunalar</t>
  </si>
  <si>
    <t>Kompressor uchun havo shlanglari</t>
  </si>
  <si>
    <t>Kavsharlash uchun to'plam</t>
  </si>
  <si>
    <t>Kavsharlash uchun kimyo vositalari</t>
  </si>
  <si>
    <t>Burgʻular</t>
  </si>
  <si>
    <t>Arralash-kesish asboblari</t>
  </si>
  <si>
    <t>Renovatorlar</t>
  </si>
  <si>
    <t>Boshqa asboblar</t>
  </si>
  <si>
    <t>Dastgohlar va butlovchi qismlar</t>
  </si>
  <si>
    <t>Kavsharlash stansiyasi</t>
  </si>
  <si>
    <t>Silliqlash doiralari</t>
  </si>
  <si>
    <t>Bitalar</t>
  </si>
  <si>
    <t>Gravyerlar uchun nasadkalar</t>
  </si>
  <si>
    <t>Arra pichoqlari</t>
  </si>
  <si>
    <t>Kavsharlagichlar</t>
  </si>
  <si>
    <t>Elektrolobziklar uchun pilkalar</t>
  </si>
  <si>
    <t>Frezalar</t>
  </si>
  <si>
    <t>Kavsharlar</t>
  </si>
  <si>
    <t>Qayiqlar va aksessuarlar</t>
  </si>
  <si>
    <t>Orqani koʻrish kameralari</t>
  </si>
  <si>
    <t>Videoregistratorlar</t>
  </si>
  <si>
    <t>Elektrmobillar uchun zaryadlash stantsiyalari</t>
  </si>
  <si>
    <t>Bolalar ovqati</t>
  </si>
  <si>
    <t>Bolalar boʻtqasi</t>
  </si>
  <si>
    <t>Homiladorlar uchun yostiqlar</t>
  </si>
  <si>
    <t>Bolalar uchun suv, sharbatlar va choy</t>
  </si>
  <si>
    <t>Kosmetika va parvarish</t>
  </si>
  <si>
    <t>Bolalar uchun pyure</t>
  </si>
  <si>
    <t>Koʻkrak uchun plastir va vkladishlar</t>
  </si>
  <si>
    <t>Tug'ilishdan oldin va tug'ruqdan keyingi trusiklar</t>
  </si>
  <si>
    <t>Bolalar uchun aralashmasi</t>
  </si>
  <si>
    <t>Tugʻruqxona uchun toʻplamlar</t>
  </si>
  <si>
    <t>Kichkintoylar uchun velokreslo</t>
  </si>
  <si>
    <t>Avtomobil uchun oʻrindiqlar</t>
  </si>
  <si>
    <t>Bolalar uchun desertlar</t>
  </si>
  <si>
    <t>Bolalar uchun pechenye</t>
  </si>
  <si>
    <t>Bolalar uchun ovqatlanish stulchalari</t>
  </si>
  <si>
    <t>Emizish uchun tovarlar</t>
  </si>
  <si>
    <t>Aravachalar</t>
  </si>
  <si>
    <t>Homilador ayollar uchun bandajlar</t>
  </si>
  <si>
    <t>Parolni saqlash qurilmalari</t>
  </si>
  <si>
    <t>Oʻyin kontrollerlari</t>
  </si>
  <si>
    <t>Oʻyin gʻildiraklari va pedallar</t>
  </si>
  <si>
    <t>Ekshn-kameralar</t>
  </si>
  <si>
    <t>Veb-kameralar</t>
  </si>
  <si>
    <t>UQM va aksessuarlar</t>
  </si>
  <si>
    <t>Fitnes bilaguzuklar</t>
  </si>
  <si>
    <t>Pristavkalar</t>
  </si>
  <si>
    <t>Boshqa pristavkalar</t>
  </si>
  <si>
    <t>Oʻyinlar</t>
  </si>
  <si>
    <t>Akustik tizimlar</t>
  </si>
  <si>
    <t>Barmoqlar uchun qopchalar va nakladkalar</t>
  </si>
  <si>
    <t>Simsiz signal kuchaytirgichlari</t>
  </si>
  <si>
    <t>Retro pristavkalar</t>
  </si>
  <si>
    <t>DSL modemlari va transiverlari</t>
  </si>
  <si>
    <t>Radiotelefonlar DECT</t>
  </si>
  <si>
    <t>Oʻyin pristavkalari uchun gʻiloflar</t>
  </si>
  <si>
    <t>Saundbarlar</t>
  </si>
  <si>
    <t>Bir zumda chop etadigan fotoapparatlar</t>
  </si>
  <si>
    <t>Dostup nuqtalari</t>
  </si>
  <si>
    <t>Akkumulyatorlar va zaryadlash qurilmalari</t>
  </si>
  <si>
    <t>Geympadlar, joystiklar va triggerlar</t>
  </si>
  <si>
    <t>3G/4G routerlar</t>
  </si>
  <si>
    <t>Oʻyin kartridjlari</t>
  </si>
  <si>
    <t>Simsiz adapterlar</t>
  </si>
  <si>
    <t>Routerlar</t>
  </si>
  <si>
    <t>Sabvuferlar</t>
  </si>
  <si>
    <t>Aksessuarlar toʻplami</t>
  </si>
  <si>
    <t>Oʻyin kontrollerlari uchun aksessuarlari</t>
  </si>
  <si>
    <t>Portativ akustika</t>
  </si>
  <si>
    <t>Avtomobil navigatorlari</t>
  </si>
  <si>
    <t>Oʻyin sichqonchalari</t>
  </si>
  <si>
    <t>Kommutatorlar</t>
  </si>
  <si>
    <t>Himoya plyonkalari</t>
  </si>
  <si>
    <t>Oʻyin klaviaturalari</t>
  </si>
  <si>
    <t>Aqlli kolonkalar</t>
  </si>
  <si>
    <t>Matoli niqoblar</t>
  </si>
  <si>
    <t>Ozuqalar</t>
  </si>
  <si>
    <t>Soch olish mashinkasi</t>
  </si>
  <si>
    <t>Toʻldiruvchilar</t>
  </si>
  <si>
    <t>Musiqa daftari</t>
  </si>
  <si>
    <t>Mavzu daftari</t>
  </si>
  <si>
    <t>Chet so'zlarni yozish uchun daftar</t>
  </si>
  <si>
    <t>Daftarlar to'plami</t>
  </si>
  <si>
    <t>Elektr bigudilar</t>
  </si>
  <si>
    <t>Soch quritgichlar va nasadkalar</t>
  </si>
  <si>
    <t>Epilyatorlar va aksessuarlar</t>
  </si>
  <si>
    <t>Soch quritgich choʻtkalari va termochoʻtkalar</t>
  </si>
  <si>
    <t>Sochlarni jingalak qilish uchun qisqichlar</t>
  </si>
  <si>
    <t>Havo namlagichlar</t>
  </si>
  <si>
    <t>Oshxona mashinalari va kombaynlari</t>
  </si>
  <si>
    <t>Vakuumli qadoqlagichlar</t>
  </si>
  <si>
    <t>Yog'lar va souslar</t>
  </si>
  <si>
    <t>Souslar</t>
  </si>
  <si>
    <t>Mayonez</t>
  </si>
  <si>
    <t>Pishiriq va desertlar uchun mahsulotlar</t>
  </si>
  <si>
    <t>Pishirish uchun yeyiladigan dekor</t>
  </si>
  <si>
    <t>Sogʻlom ovqatlanish</t>
  </si>
  <si>
    <t>Oʻsimlik suti</t>
  </si>
  <si>
    <t>Yog’lar</t>
  </si>
  <si>
    <t>Kunjut yog'i</t>
  </si>
  <si>
    <t>Suv, sharbatlar, ichimliklar</t>
  </si>
  <si>
    <t>Kvas, yaxna choy, kombucha</t>
  </si>
  <si>
    <t>Ozuqaviy qoʻshimchalar</t>
  </si>
  <si>
    <t>Limon kislotasi</t>
  </si>
  <si>
    <t>Makaronlar, yormalar va quruq nonushtalar</t>
  </si>
  <si>
    <t>Quruq nonushta</t>
  </si>
  <si>
    <t>Granola</t>
  </si>
  <si>
    <t>Yongʻoqlar, quritilgan mevalar, pistalar</t>
  </si>
  <si>
    <t>Yongʻoqlar</t>
  </si>
  <si>
    <t>Paprichi sousi</t>
  </si>
  <si>
    <t>Ziravorlar</t>
  </si>
  <si>
    <t>Asal, murabbo, shirin konservalar</t>
  </si>
  <si>
    <t>Siroplar va toppinglar</t>
  </si>
  <si>
    <t>Morslar, kissellar, kompotlar</t>
  </si>
  <si>
    <t>Marinadlar</t>
  </si>
  <si>
    <t>Konservalar</t>
  </si>
  <si>
    <t>Konservalangan mevalar</t>
  </si>
  <si>
    <t>Quruq mevalar va sabzavotlar</t>
  </si>
  <si>
    <t>Tez tayyorlanadigan mahsulotlar</t>
  </si>
  <si>
    <t>Sho'rvalar va bulyonlar</t>
  </si>
  <si>
    <t>Konservalangan goʻsht</t>
  </si>
  <si>
    <t>Mevali chipslar</t>
  </si>
  <si>
    <t>Xantal va xren</t>
  </si>
  <si>
    <t>Limon sharbati</t>
  </si>
  <si>
    <t>Zaytun yog'i</t>
  </si>
  <si>
    <t>Zig'ir yog'i</t>
  </si>
  <si>
    <t>Kraxmal</t>
  </si>
  <si>
    <t>Quruq xamirturush</t>
  </si>
  <si>
    <t>Asal va asalarichilik mahsulotlari</t>
  </si>
  <si>
    <t>Mum</t>
  </si>
  <si>
    <t>Quruq qaymoq va sut</t>
  </si>
  <si>
    <t>Tomat pastasi</t>
  </si>
  <si>
    <t>Shakar o'rnini bosuvchilari</t>
  </si>
  <si>
    <t>Gazlangan ichimliklar</t>
  </si>
  <si>
    <t>Quyultirilgan sut</t>
  </si>
  <si>
    <t>Konservalangan ovqatlar</t>
  </si>
  <si>
    <t>Sabzavotli ikra va gazaklar</t>
  </si>
  <si>
    <t>Qahvali va sutli ichimliklar</t>
  </si>
  <si>
    <t>Sneklar</t>
  </si>
  <si>
    <t>Chips, popkorn</t>
  </si>
  <si>
    <t>Paxta yog'i</t>
  </si>
  <si>
    <t>Murabbo, jemlar va yanchilgan rezavorlar</t>
  </si>
  <si>
    <t>Teriyaki sousi</t>
  </si>
  <si>
    <t>Un, shakar va tuz</t>
  </si>
  <si>
    <t>Tuz</t>
  </si>
  <si>
    <t>Suxarilar, krekerlar, barankalar, sushkalar</t>
  </si>
  <si>
    <t>Sharbatlar, nektarlar, smuzilar</t>
  </si>
  <si>
    <t>Balzamlar, toniklar, eliksirlar</t>
  </si>
  <si>
    <t>Shakar kukuni</t>
  </si>
  <si>
    <t>Krekerlar</t>
  </si>
  <si>
    <t>Bo'tqalar</t>
  </si>
  <si>
    <t>Desertlar va pishiriqlar tayyorlash uchun aralashmalar</t>
  </si>
  <si>
    <t>Balsamik sousi</t>
  </si>
  <si>
    <t>Konservalangan sabzavotlar</t>
  </si>
  <si>
    <t>Soya sousi</t>
  </si>
  <si>
    <t>Pesto sousi</t>
  </si>
  <si>
    <t>Konservalangan baliqlar</t>
  </si>
  <si>
    <t>Qarsildoq nonlar</t>
  </si>
  <si>
    <t>Kraft shokoladlar</t>
  </si>
  <si>
    <t>Gulchanglar</t>
  </si>
  <si>
    <t>Pistalar</t>
  </si>
  <si>
    <t>Sirka</t>
  </si>
  <si>
    <t>Ozuqaviy bo'yoqlar va aromatizatorlar</t>
  </si>
  <si>
    <t>Ketchup</t>
  </si>
  <si>
    <t>Chili sousi</t>
  </si>
  <si>
    <t>Lapsha va kartoshka pyuresi</t>
  </si>
  <si>
    <t>Suv</t>
  </si>
  <si>
    <t>Pishirish soda</t>
  </si>
  <si>
    <t>Un</t>
  </si>
  <si>
    <t>Tayyor nonushtalar</t>
  </si>
  <si>
    <t>Choy to'plamlari</t>
  </si>
  <si>
    <t>Pishloq sousi</t>
  </si>
  <si>
    <t>Superfudlar</t>
  </si>
  <si>
    <t>Energetik ichimliklar</t>
  </si>
  <si>
    <t>Kungaboqar yog'i</t>
  </si>
  <si>
    <t>Asal</t>
  </si>
  <si>
    <t>Kenevir yog'i</t>
  </si>
  <si>
    <t>Elektr asboblar</t>
  </si>
  <si>
    <t>Elektr asboblar to'plami</t>
  </si>
  <si>
    <t>Akkumulyatorlar va zaryadlovchi qurilmalar</t>
  </si>
  <si>
    <t>Gayka burgichlar</t>
  </si>
  <si>
    <t>Quvurlarni payvandlash mashinalari</t>
  </si>
  <si>
    <t>Batareyalar</t>
  </si>
  <si>
    <t>Shurup buragichlar</t>
  </si>
  <si>
    <t>Bosimni oshirish uchun</t>
  </si>
  <si>
    <t>Akkumulyatorli otvyortkalar</t>
  </si>
  <si>
    <t>Rozetkalar va viklyuchatellar</t>
  </si>
  <si>
    <t>Elektrmontaj uchun tovarlar</t>
  </si>
  <si>
    <t>Elektr- va benzinli zanjirli arralar</t>
  </si>
  <si>
    <t>Frezalash mashinalari</t>
  </si>
  <si>
    <t>Hududni sugʻorish uchun</t>
  </si>
  <si>
    <t>Dumaloq arralar</t>
  </si>
  <si>
    <t>Radiatorlar</t>
  </si>
  <si>
    <t>Oʻymakorlik asbobi</t>
  </si>
  <si>
    <t>Elektrlobziklar</t>
  </si>
  <si>
    <t>Avtomatika va butlovchi qismlar</t>
  </si>
  <si>
    <t>Perforatorlar</t>
  </si>
  <si>
    <t>Butlovchi qismlar va sarflov materiallari</t>
  </si>
  <si>
    <t>Kanalizatsiya uchun</t>
  </si>
  <si>
    <t>Elektr planerlar</t>
  </si>
  <si>
    <t>Elektr oʻtkirlagich</t>
  </si>
  <si>
    <t>Elektr issiq pollar va regulyatorlar</t>
  </si>
  <si>
    <t>Qilich arralar</t>
  </si>
  <si>
    <t>Silliqlash mashinalari</t>
  </si>
  <si>
    <t>Boshqa elektr asboblari</t>
  </si>
  <si>
    <t>Elektrodrellar</t>
  </si>
  <si>
    <t>Qurilish mikserlari va venchiklar</t>
  </si>
  <si>
    <t>Rezervuardan tortib chiqarish uchun</t>
  </si>
  <si>
    <t>BSU (bolgarkalar)</t>
  </si>
  <si>
    <t>Qurilish fenlar</t>
  </si>
  <si>
    <t>Tonometrlar va aksessuarlar</t>
  </si>
  <si>
    <t>Tonometrlar</t>
  </si>
  <si>
    <t>Glyukometrlar</t>
  </si>
  <si>
    <t>Sportchilar uchun ozuqalar</t>
  </si>
  <si>
    <t>BCAA va aminokislotalar</t>
  </si>
  <si>
    <t>Basseynlar</t>
  </si>
  <si>
    <t>Karkaslik hovuzlar</t>
  </si>
  <si>
    <t>Vitaminlar va mineral komplekslar</t>
  </si>
  <si>
    <t>Treningdan oldingi qo'shimchalar</t>
  </si>
  <si>
    <t>Anabolik moddalar, testosteronlar, kuchaytirgichlar</t>
  </si>
  <si>
    <t>Kuchaytirgichlar</t>
  </si>
  <si>
    <t>Suv o'yin markazlari</t>
  </si>
  <si>
    <t>Mashqdan keyingi komplekslar</t>
  </si>
  <si>
    <t>Fitnes-ovqatlanish</t>
  </si>
  <si>
    <t>Vaznni kamaytirish vositalari</t>
  </si>
  <si>
    <t>Yog' yo'qotuvchi</t>
  </si>
  <si>
    <t>Linoleik kislota CLA</t>
  </si>
  <si>
    <t>Maxsus preparatlar</t>
  </si>
  <si>
    <t>Azot oksidi, uglevodlar, kislotalar</t>
  </si>
  <si>
    <t>Testosteronlar</t>
  </si>
  <si>
    <t>Glyutaminlar</t>
  </si>
  <si>
    <t>L-karnitinlar</t>
  </si>
  <si>
    <t>Fermentlar, relaksantlar, antioksidantlar</t>
  </si>
  <si>
    <t>Gaynerlar va oqsillar</t>
  </si>
  <si>
    <t>Oqsillar</t>
  </si>
  <si>
    <t>Anabolik kompleks</t>
  </si>
  <si>
    <t>Vitaminlar</t>
  </si>
  <si>
    <t>Bilyard to'plari</t>
  </si>
  <si>
    <t>Kreatinlar</t>
  </si>
  <si>
    <t>Omega 3, yog 'kislotalari, koenzimlar</t>
  </si>
  <si>
    <t>Fito-kokteyllar</t>
  </si>
  <si>
    <t>Bo'g'in va ligamentlar uchun dorilar</t>
  </si>
  <si>
    <t>Velosipedlar</t>
  </si>
  <si>
    <t>Puflama basseynlar</t>
  </si>
  <si>
    <t>Triptofan</t>
  </si>
  <si>
    <t>Diuretiklar</t>
  </si>
  <si>
    <t>Energetiklar va izotoniklar</t>
  </si>
  <si>
    <t>Beta-alanin</t>
  </si>
  <si>
    <t>Sport mashgʻulotlari uchun toʻplamlar</t>
  </si>
  <si>
    <t>Geynerlar</t>
  </si>
  <si>
    <t>Argininlar</t>
  </si>
  <si>
    <t>Aminokislotalar komplekslari</t>
  </si>
  <si>
    <t>Sunʼiy archalar</t>
  </si>
  <si>
    <t>Podshipniklar</t>
  </si>
  <si>
    <t>Isitgich va konditsioner</t>
  </si>
  <si>
    <t>Kuzov ehtiyot qismlari</t>
  </si>
  <si>
    <t>TXK uchun ehtiyot qismlar</t>
  </si>
  <si>
    <t>Quvvat tizimi</t>
  </si>
  <si>
    <t>Elektromobillar</t>
  </si>
  <si>
    <t>Radioenaga</t>
  </si>
  <si>
    <t>Proyektorlar</t>
  </si>
  <si>
    <t>Qattiq disklar, SSD va tarmoq jamlagichlar</t>
  </si>
  <si>
    <t>Vetapteka</t>
  </si>
  <si>
    <t>Hayvonlar uchun tabletkalar</t>
  </si>
  <si>
    <t>Tualet va toʻldiruvchilar</t>
  </si>
  <si>
    <t>Baliqlar va repitiliylar uchun</t>
  </si>
  <si>
    <t>Terrariumlar va aksessuarlar</t>
  </si>
  <si>
    <t>Quruq ovqatlar</t>
  </si>
  <si>
    <t>Tovoqchalar, suv idishlari</t>
  </si>
  <si>
    <t>Burga va kanalarga qarshi vositalar</t>
  </si>
  <si>
    <t>Tuxum uchun inkubatorlar</t>
  </si>
  <si>
    <t>Pasta va gellar</t>
  </si>
  <si>
    <t>Hayvonlar uchun vitaminlar va qoʻshimchalar</t>
  </si>
  <si>
    <t>Qishloq xoʻjaligi qushlari uchun</t>
  </si>
  <si>
    <t>Echkilar va qoʻylar uchun</t>
  </si>
  <si>
    <t>Ozuqa</t>
  </si>
  <si>
    <t>Yoqalar va davolovchi boʻyinbogʻlar</t>
  </si>
  <si>
    <t>Yoqalar</t>
  </si>
  <si>
    <t>Tibbiy boʻyinbogʻlar</t>
  </si>
  <si>
    <t>Bintlar va bandajlar</t>
  </si>
  <si>
    <t>Akvariumlar va aksessuarlar</t>
  </si>
  <si>
    <t>Qushlar uylari va inlari</t>
  </si>
  <si>
    <t>Hayvonlar uchun tomchilar</t>
  </si>
  <si>
    <t>Qushlar uchun ozuqalar va shirinliklar</t>
  </si>
  <si>
    <t>Suspenziyalar</t>
  </si>
  <si>
    <t>Ichirgichlar, oziqlantirgichlar</t>
  </si>
  <si>
    <t>Kapsulali qahva mashinalari</t>
  </si>
  <si>
    <t>Changyutgichlar</t>
  </si>
  <si>
    <t>Yuvuvchi chang yutgichlar</t>
  </si>
  <si>
    <t>Elektr supurgilari</t>
  </si>
  <si>
    <t>Vertikal changyutgichlar</t>
  </si>
  <si>
    <t>Avtomatik qahva mashinalar</t>
  </si>
  <si>
    <t>Qoʻl changyutgichlari</t>
  </si>
  <si>
    <t>Yormalar va dukkaklilar</t>
  </si>
  <si>
    <t>Manka yormasi</t>
  </si>
  <si>
    <t>Bulg'ur, kinoa, kuskus</t>
  </si>
  <si>
    <t>Suli</t>
  </si>
  <si>
    <t>Oqlangan tariq</t>
  </si>
  <si>
    <t>Perlovka</t>
  </si>
  <si>
    <t>Makaronlar</t>
  </si>
  <si>
    <t>Grechka</t>
  </si>
  <si>
    <t>Dukkaklilar</t>
  </si>
  <si>
    <t>Guruch</t>
  </si>
  <si>
    <t>Payvandlash apparatlar</t>
  </si>
  <si>
    <t>Avtomobillar uchun kuchaytirgichlar</t>
  </si>
  <si>
    <t>Rul boshqaruvi</t>
  </si>
  <si>
    <t>Podveska</t>
  </si>
  <si>
    <t>GPS-navigatorlar</t>
  </si>
  <si>
    <t>Dvigatel</t>
  </si>
  <si>
    <t>Elektr uskuna</t>
  </si>
  <si>
    <t>Bosh qurilma</t>
  </si>
  <si>
    <t>Avtomobillar uchun kolonkalar</t>
  </si>
  <si>
    <t>Avtomagnitolalar</t>
  </si>
  <si>
    <t>Avtomobillar uchun sabvuferlar</t>
  </si>
  <si>
    <t>Tormoz tizimi</t>
  </si>
  <si>
    <t>Shisha va faralarni tozalash tizimlari</t>
  </si>
  <si>
    <t>Yoqilgʻi tizimi</t>
  </si>
  <si>
    <t>Transmissiya</t>
  </si>
  <si>
    <t>Radar detektorlar</t>
  </si>
  <si>
    <t>Avtotovush oʻrnatish</t>
  </si>
  <si>
    <t>Tagliklar va trusiklar</t>
  </si>
  <si>
    <t>Bir martalik tagliklar va trusiklar</t>
  </si>
  <si>
    <t>Koʻp martalik tagliklar va qistirmalar</t>
  </si>
  <si>
    <t>Kultivatorlar va motobloklar</t>
  </si>
  <si>
    <t>Motobloklar</t>
  </si>
  <si>
    <t>Ovoz kartalari</t>
  </si>
  <si>
    <t>Video kartalar va video qamrov kartalari</t>
  </si>
  <si>
    <t>Interfeys kontrollerlari</t>
  </si>
  <si>
    <t>Protsessorlar</t>
  </si>
  <si>
    <t>Sabvufer uchun kuchaytirgichlar</t>
  </si>
  <si>
    <t>Onlayn kassalar</t>
  </si>
  <si>
    <t>Ona platalar</t>
  </si>
  <si>
    <t>Modemlar va koʻpriklar</t>
  </si>
  <si>
    <t>Musiqa markazlari</t>
  </si>
  <si>
    <t>3D-printerlar</t>
  </si>
  <si>
    <t>Operativ xotira</t>
  </si>
  <si>
    <t>Shrederlar</t>
  </si>
  <si>
    <t>Planshetlar</t>
  </si>
  <si>
    <t>Printerlar</t>
  </si>
  <si>
    <t>Grafik planshetlar</t>
  </si>
  <si>
    <t>Chop etish uchun qogʻoz</t>
  </si>
  <si>
    <t>Kir yuvish mashinalari</t>
  </si>
  <si>
    <t>Avtomatik kir yuvish mashinalari</t>
  </si>
  <si>
    <t>Namlab tozalash apparatlari</t>
  </si>
  <si>
    <t>Bugʻli shvabralar</t>
  </si>
  <si>
    <t>Suv isitgichlari va isitish qozonlari</t>
  </si>
  <si>
    <t>Suv isitgichlari</t>
  </si>
  <si>
    <t>Pechkalar</t>
  </si>
  <si>
    <t>Kombinatsiyalangan pechkalar</t>
  </si>
  <si>
    <t>Isitish qozonlari</t>
  </si>
  <si>
    <t>Yarim avtomatik kir yuvish mashinalari</t>
  </si>
  <si>
    <t>Bugʻ generatorlari</t>
  </si>
  <si>
    <t>Bugʻli tozalagichlar</t>
  </si>
  <si>
    <t>Manikyur va pedikyur uchun asboblar</t>
  </si>
  <si>
    <t>Sterilizatorlar</t>
  </si>
  <si>
    <t>Kashta tikish mashinalari</t>
  </si>
  <si>
    <t>Oshxona dudburonlari</t>
  </si>
  <si>
    <t>Sovutgichlar va muzlatgichlar</t>
  </si>
  <si>
    <t>Sovutgichlar</t>
  </si>
  <si>
    <t>Kosmetologiya asboblar</t>
  </si>
  <si>
    <t>Idish yuvish mashinalar</t>
  </si>
  <si>
    <t>Havo moykalari</t>
  </si>
  <si>
    <t>Qaynatish panellari</t>
  </si>
  <si>
    <t>Sovutish shkaflari</t>
  </si>
  <si>
    <t>Muzlatgichlar</t>
  </si>
  <si>
    <t>Pechlar</t>
  </si>
  <si>
    <t>Tikuv mashinalari</t>
  </si>
  <si>
    <t>Split tizimlar</t>
  </si>
  <si>
    <t>Qop tikadigan mashinalar</t>
  </si>
  <si>
    <t>Koʻchma konditsionerlar</t>
  </si>
  <si>
    <t>Gaz pechkalar</t>
  </si>
  <si>
    <t>Overloklar</t>
  </si>
  <si>
    <t>Elektr pechkalar</t>
  </si>
  <si>
    <t>Kompressor stantsiyasi</t>
  </si>
  <si>
    <t>Sanoat va qurilish changyutgichlari</t>
  </si>
  <si>
    <t>To'lqinli kuchlanish himoyachilari</t>
  </si>
  <si>
    <t>Elektr velosipedlar</t>
  </si>
  <si>
    <t>Kardio trenajorlar</t>
  </si>
  <si>
    <t>Eshkak eshish mashinalari</t>
  </si>
  <si>
    <t>Skameykalar va tokchalar</t>
  </si>
  <si>
    <t>Velotrenajorlar</t>
  </si>
  <si>
    <t>Yugurish yo'lakсhlari</t>
  </si>
  <si>
    <t>Giroskuterlar va giroroleklar</t>
  </si>
  <si>
    <t>Elektr samokatlar</t>
  </si>
  <si>
    <t>Elliptik trenajorlar</t>
  </si>
  <si>
    <t>Stepperlar</t>
  </si>
  <si>
    <t>Batutlar</t>
  </si>
  <si>
    <t>Avtomobil monitorlari</t>
  </si>
  <si>
    <t>Avtosignalizatsiyalar</t>
  </si>
  <si>
    <t>Televizorlar</t>
  </si>
  <si>
    <t>Smartfonlar</t>
  </si>
  <si>
    <t>Smartfonlar Android</t>
  </si>
  <si>
    <t>Boshqa operatsion tizimdagi smartfonlar</t>
  </si>
  <si>
    <t>Kompyuterlar</t>
  </si>
  <si>
    <t>Monobloklar</t>
  </si>
  <si>
    <t>Tizimli bloklar</t>
  </si>
  <si>
    <t>Monitorlar</t>
  </si>
  <si>
    <t>Noutbuklar</t>
  </si>
  <si>
    <t>Nettoplar va Mini PK</t>
  </si>
  <si>
    <t>Shakar</t>
  </si>
  <si>
    <t>Aqlli soatlar Apple Watch</t>
  </si>
  <si>
    <t>Planshetlar Apple iPad</t>
  </si>
  <si>
    <t>Smartfonlar Apple iPhone(iOS)</t>
  </si>
  <si>
    <t>Quloqchinlar Apple AirPods</t>
  </si>
  <si>
    <t>Noutbuklar Apple MacBook</t>
  </si>
  <si>
    <t>Reabilitatsiya uchun mahsulotlar</t>
  </si>
  <si>
    <t>Peshob olish uchun idishlar</t>
  </si>
  <si>
    <t>Nogironlar aravachalari</t>
  </si>
  <si>
    <t>Yotgan bemorlar uchun parvarishlash vositalari</t>
  </si>
  <si>
    <t>Yotgan bemorlar uchun hojat tuvaklari</t>
  </si>
  <si>
    <t>Eshitish apparatlari va ovoz kuchaytirgichlar</t>
  </si>
  <si>
    <t>Yurishi uchun yordamchilar</t>
  </si>
  <si>
    <t>Hassalar va qoʻltiq tayoqlar</t>
  </si>
  <si>
    <t>Moldlar</t>
  </si>
  <si>
    <t>Taro kartalari</t>
  </si>
  <si>
    <t>Boʻyoqlar, pigmentlar</t>
  </si>
  <si>
    <t>Matolar</t>
  </si>
  <si>
    <t>Loto</t>
  </si>
  <si>
    <t>Gullar va natyurmortlar</t>
  </si>
  <si>
    <t>Kviling toʻplamlari</t>
  </si>
  <si>
    <t>Domino</t>
  </si>
  <si>
    <t>Payetkalardan qilingan rasmlar</t>
  </si>
  <si>
    <t>Sovun tayyorlash</t>
  </si>
  <si>
    <t>Asboblar va jihozlar</t>
  </si>
  <si>
    <t>Origami</t>
  </si>
  <si>
    <t>Kashta tikish</t>
  </si>
  <si>
    <t>Toʻquvchilik</t>
  </si>
  <si>
    <t>Yogʻochni kuydirib naqsh solish, yogʻochdan qilingan buyumlar</t>
  </si>
  <si>
    <t>Musiqa asboblari uchun aksessuarlar</t>
  </si>
  <si>
    <t>Qoʻl ishlari uchun materiallar</t>
  </si>
  <si>
    <t>Skrapbuking</t>
  </si>
  <si>
    <t>Qoʻl ishlari uchun anjomlar</t>
  </si>
  <si>
    <t>Boshqa tikuv aksessuarlari</t>
  </si>
  <si>
    <t>Foto ramkalar yasash uchun toʻplamlar</t>
  </si>
  <si>
    <t>Sketchbuklar</t>
  </si>
  <si>
    <t>Romantika va sevgi</t>
  </si>
  <si>
    <t>Iplar va bogʻichlar</t>
  </si>
  <si>
    <t>Tush</t>
  </si>
  <si>
    <t>Klaviatura uskunalari</t>
  </si>
  <si>
    <t>Taqinchoqlar yasash</t>
  </si>
  <si>
    <t>Stol oʻyinlari</t>
  </si>
  <si>
    <t>Pastel</t>
  </si>
  <si>
    <t>Poker uchun toʻplamlar</t>
  </si>
  <si>
    <t>цена &lt;10 тыс. сум</t>
  </si>
  <si>
    <t>цена 10-99 тыс. сум</t>
  </si>
  <si>
    <t>цена 100 тыс. сум и выше</t>
  </si>
  <si>
    <t>narx &lt;10 ming so‘m</t>
  </si>
  <si>
    <t>narx 10-99 ming so‘m</t>
  </si>
  <si>
    <t>narx 100 ming so‘m va undan yuqori</t>
  </si>
  <si>
    <t>Детсткая одежда и обувь</t>
  </si>
  <si>
    <t>Детсткие товары</t>
  </si>
  <si>
    <t>Дача сад и огород</t>
  </si>
  <si>
    <t xml:space="preserve">Спорт и отдых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</si>
</sst>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
    <numFmt numFmtId="165" formatCode="_-* #,##0_-;\-* #,##0_-;_-* &quot;-&quot;??_-;_-@"/>
    <numFmt numFmtId="166" formatCode="0.0%"/>
  </numFmts>
  <fonts count="11" x14ac:knownFonts="1">
    <font>
      <sz val="10"/>
      <color rgb="FF000000"/>
      <name val="Arial"/>
      <scheme val="minor"/>
    </font>
    <font>
      <b/>
      <sz val="10"/>
      <color theme="1"/>
      <name val="Arial"/>
      <scheme val="minor"/>
    </font>
    <font>
      <sz val="10"/>
      <color theme="1"/>
      <name val="Arial"/>
      <scheme val="minor"/>
    </font>
    <font>
      <sz val="11"/>
      <color theme="1"/>
      <name val="Calibri"/>
    </font>
    <font>
      <b/>
      <sz val="11"/>
      <color theme="1"/>
      <name val="Arial"/>
    </font>
    <font>
      <b/>
      <sz val="11"/>
      <color theme="1"/>
      <name val="Calibri"/>
    </font>
    <font>
      <b/>
      <sz val="11"/>
      <color rgb="FFFFFFFF"/>
      <name val="Calibri"/>
    </font>
    <font>
      <b/>
      <sz val="11"/>
      <color theme="0"/>
      <name val="Calibri"/>
    </font>
    <font>
      <sz val="11"/>
      <color rgb="FF000000"/>
      <name val="Calibri"/>
    </font>
    <font>
      <sz val="11"/>
      <color theme="1"/>
      <name val="Arial"/>
    </font>
    <font>
      <sz val="10"/>
      <name val="Arial"/>
    </font>
  </fonts>
  <fills count="11">
    <fill>
      <patternFill patternType="none"/>
    </fill>
    <fill>
      <patternFill patternType="gray125"/>
    </fill>
    <fill>
      <patternFill patternType="solid">
        <fgColor rgb="FFB6D7A8"/>
        <bgColor rgb="FFB6D7A8"/>
      </patternFill>
    </fill>
    <fill>
      <patternFill patternType="solid">
        <fgColor rgb="FFFFE599"/>
        <bgColor rgb="FFFFE599"/>
      </patternFill>
    </fill>
    <fill>
      <patternFill patternType="solid">
        <fgColor rgb="FFD9D2E9"/>
        <bgColor rgb="FFD9D2E9"/>
      </patternFill>
    </fill>
    <fill>
      <patternFill patternType="solid">
        <fgColor rgb="FFB4A7D6"/>
        <bgColor rgb="FFB4A7D6"/>
      </patternFill>
    </fill>
    <fill>
      <patternFill patternType="solid">
        <fgColor rgb="FF00B0F0"/>
        <bgColor rgb="FF00B0F0"/>
      </patternFill>
    </fill>
    <fill>
      <patternFill patternType="solid">
        <fgColor theme="9"/>
        <bgColor theme="9"/>
      </patternFill>
    </fill>
    <fill>
      <patternFill patternType="solid">
        <fgColor rgb="FFD8D8D8"/>
        <bgColor rgb="FFD8D8D8"/>
      </patternFill>
    </fill>
    <fill>
      <patternFill patternType="solid">
        <fgColor rgb="FFFFFF00"/>
        <bgColor rgb="FFFFFF00"/>
      </patternFill>
    </fill>
    <fill>
      <patternFill patternType="solid">
        <fgColor rgb="FFA4C2F4"/>
        <bgColor rgb="FFA4C2F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medium">
        <color rgb="FF000000"/>
      </top>
      <bottom style="dotted">
        <color rgb="FF000000"/>
      </bottom>
      <diagonal/>
    </border>
    <border>
      <left/>
      <right/>
      <top style="thin">
        <color rgb="FFA8D08D"/>
      </top>
      <bottom style="thin">
        <color rgb="FFA8D08D"/>
      </bottom>
      <diagonal/>
    </border>
    <border>
      <left/>
      <right/>
      <top style="dotted">
        <color rgb="FF000000"/>
      </top>
      <bottom style="medium">
        <color rgb="FF000000"/>
      </bottom>
      <diagonal/>
    </border>
    <border>
      <left/>
      <right/>
      <top/>
      <bottom style="dotted">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50">
    <xf numFmtId="0" fontId="0" fillId="0" borderId="0" xfId="0" applyFont="1" applyAlignment="1"/>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2" fillId="0" borderId="1" xfId="0" applyFont="1" applyBorder="1" applyAlignment="1">
      <alignment horizontal="center"/>
    </xf>
    <xf numFmtId="9"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0" fontId="2" fillId="5" borderId="0" xfId="0" applyFont="1" applyFill="1" applyAlignment="1">
      <alignment horizontal="center" vertical="center"/>
    </xf>
    <xf numFmtId="0" fontId="2" fillId="0" borderId="0" xfId="0" applyFont="1" applyAlignment="1">
      <alignment horizontal="left" vertical="center"/>
    </xf>
    <xf numFmtId="0" fontId="2" fillId="2" borderId="0" xfId="0" applyFont="1" applyFill="1" applyAlignment="1">
      <alignment horizontal="center" vertical="center"/>
    </xf>
    <xf numFmtId="0" fontId="2" fillId="0" borderId="0" xfId="0" applyFont="1" applyAlignment="1">
      <alignment horizontal="center"/>
    </xf>
    <xf numFmtId="0" fontId="2" fillId="3" borderId="0" xfId="0" applyFont="1" applyFill="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4" fontId="2" fillId="0" borderId="0" xfId="0" applyNumberFormat="1" applyFont="1" applyAlignment="1">
      <alignment horizontal="center"/>
    </xf>
    <xf numFmtId="0" fontId="2" fillId="0" borderId="0" xfId="0" applyFont="1" applyAlignment="1">
      <alignment horizontal="center"/>
    </xf>
    <xf numFmtId="0" fontId="3" fillId="0" borderId="0" xfId="0" applyFont="1"/>
    <xf numFmtId="165" fontId="4" fillId="0" borderId="0" xfId="0" applyNumberFormat="1" applyFont="1" applyAlignment="1">
      <alignment horizontal="center"/>
    </xf>
    <xf numFmtId="165" fontId="5" fillId="6" borderId="2" xfId="0" applyNumberFormat="1" applyFont="1" applyFill="1" applyBorder="1" applyAlignment="1">
      <alignment horizontal="center"/>
    </xf>
    <xf numFmtId="165" fontId="5" fillId="6" borderId="0" xfId="0" applyNumberFormat="1" applyFont="1" applyFill="1" applyAlignment="1">
      <alignment horizontal="center"/>
    </xf>
    <xf numFmtId="0" fontId="6" fillId="7" borderId="3" xfId="0" applyFont="1" applyFill="1" applyBorder="1" applyAlignment="1">
      <alignment horizontal="left"/>
    </xf>
    <xf numFmtId="0" fontId="7" fillId="7" borderId="3" xfId="0" applyFont="1" applyFill="1" applyBorder="1" applyAlignment="1">
      <alignment horizontal="left"/>
    </xf>
    <xf numFmtId="165" fontId="5" fillId="3" borderId="4" xfId="0" applyNumberFormat="1" applyFont="1" applyFill="1" applyBorder="1" applyAlignment="1">
      <alignment horizontal="left"/>
    </xf>
    <xf numFmtId="165" fontId="5" fillId="3" borderId="0" xfId="0" applyNumberFormat="1" applyFont="1" applyFill="1" applyAlignment="1">
      <alignment horizontal="left"/>
    </xf>
    <xf numFmtId="0" fontId="3" fillId="8" borderId="0" xfId="0" applyFont="1" applyFill="1"/>
    <xf numFmtId="0" fontId="8" fillId="0" borderId="0" xfId="0" applyFont="1" applyAlignment="1"/>
    <xf numFmtId="9" fontId="8" fillId="9" borderId="0" xfId="0" applyNumberFormat="1" applyFont="1" applyFill="1" applyAlignment="1">
      <alignment horizontal="center"/>
    </xf>
    <xf numFmtId="9" fontId="3" fillId="3" borderId="0" xfId="0" applyNumberFormat="1" applyFont="1" applyFill="1" applyAlignment="1"/>
    <xf numFmtId="0" fontId="3" fillId="3" borderId="0" xfId="0" applyFont="1" applyFill="1" applyAlignment="1"/>
    <xf numFmtId="166" fontId="3" fillId="3" borderId="0" xfId="0" applyNumberFormat="1" applyFont="1" applyFill="1" applyAlignment="1"/>
    <xf numFmtId="0" fontId="3" fillId="0" borderId="0" xfId="0" applyFont="1" applyAlignment="1"/>
    <xf numFmtId="0" fontId="2" fillId="0" borderId="0" xfId="0" applyFont="1" applyAlignment="1"/>
    <xf numFmtId="9" fontId="3" fillId="3" borderId="5" xfId="0" applyNumberFormat="1" applyFont="1" applyFill="1" applyBorder="1" applyAlignment="1"/>
    <xf numFmtId="0" fontId="2" fillId="9" borderId="0" xfId="0" applyFont="1" applyFill="1" applyAlignment="1"/>
    <xf numFmtId="0" fontId="9" fillId="10" borderId="10" xfId="0" applyFont="1" applyFill="1" applyBorder="1" applyAlignment="1">
      <alignment horizontal="center" wrapText="1"/>
    </xf>
    <xf numFmtId="0" fontId="9" fillId="10" borderId="11" xfId="0" applyFont="1" applyFill="1" applyBorder="1" applyAlignment="1">
      <alignment horizontal="center" wrapText="1"/>
    </xf>
    <xf numFmtId="0" fontId="3" fillId="0" borderId="10" xfId="0" applyFont="1" applyBorder="1" applyAlignment="1">
      <alignment horizontal="center"/>
    </xf>
    <xf numFmtId="0" fontId="3" fillId="0" borderId="11" xfId="0" applyFont="1" applyBorder="1" applyAlignment="1">
      <alignment horizontal="center"/>
    </xf>
    <xf numFmtId="0" fontId="9" fillId="10" borderId="10" xfId="0" applyFont="1" applyFill="1" applyBorder="1" applyAlignment="1">
      <alignment horizontal="center" wrapText="1"/>
    </xf>
    <xf numFmtId="0" fontId="9" fillId="10" borderId="11" xfId="0" applyFont="1" applyFill="1" applyBorder="1" applyAlignment="1">
      <alignment horizontal="center" wrapText="1"/>
    </xf>
    <xf numFmtId="0" fontId="9" fillId="10" borderId="6" xfId="0" applyFont="1" applyFill="1" applyBorder="1" applyAlignment="1">
      <alignment horizontal="center"/>
    </xf>
    <xf numFmtId="0" fontId="10" fillId="0" borderId="7" xfId="0" applyFont="1" applyBorder="1"/>
    <xf numFmtId="0" fontId="10" fillId="0" borderId="8" xfId="0" applyFont="1" applyBorder="1"/>
    <xf numFmtId="0" fontId="9" fillId="10" borderId="9" xfId="0" applyFont="1" applyFill="1" applyBorder="1" applyAlignment="1">
      <alignment horizontal="center" vertical="top"/>
    </xf>
    <xf numFmtId="0" fontId="10" fillId="0" borderId="11" xfId="0" applyFont="1" applyBorder="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3032"/>
  <sheetViews>
    <sheetView workbookViewId="0">
      <selection activeCell="B2" sqref="B2"/>
    </sheetView>
  </sheetViews>
  <sheetFormatPr defaultColWidth="12.6640625" defaultRowHeight="15.75" customHeight="1" x14ac:dyDescent="0.25"/>
  <cols>
    <col min="1" max="1" width="6.33203125" customWidth="1"/>
    <col min="2" max="2" width="15.6640625" customWidth="1"/>
    <col min="3" max="3" width="33.109375" customWidth="1"/>
    <col min="4" max="4" width="25.21875" customWidth="1"/>
    <col min="5" max="5" width="13.88671875" customWidth="1"/>
    <col min="6" max="6" width="10.33203125" customWidth="1"/>
    <col min="7" max="7" width="15" customWidth="1"/>
    <col min="8" max="8" width="12.33203125" customWidth="1"/>
    <col min="9" max="9" width="16" customWidth="1"/>
    <col min="10" max="10" width="18.44140625" customWidth="1"/>
    <col min="11" max="11" width="15.109375" customWidth="1"/>
    <col min="12" max="12" width="20.88671875" customWidth="1"/>
    <col min="14" max="14" width="26.109375" customWidth="1"/>
    <col min="15" max="15" width="13.21875" customWidth="1"/>
    <col min="16" max="16" width="29.21875" customWidth="1"/>
  </cols>
  <sheetData>
    <row r="1" spans="1:28" ht="63" customHeight="1" x14ac:dyDescent="0.25">
      <c r="A1" s="1" t="s">
        <v>0</v>
      </c>
      <c r="B1" s="2" t="s">
        <v>1</v>
      </c>
      <c r="C1" s="3" t="s">
        <v>2</v>
      </c>
      <c r="D1" s="2" t="s">
        <v>3</v>
      </c>
      <c r="E1" s="2" t="s">
        <v>4</v>
      </c>
      <c r="F1" s="4" t="s">
        <v>5</v>
      </c>
      <c r="G1" s="4" t="s">
        <v>6</v>
      </c>
      <c r="H1" s="4" t="s">
        <v>7</v>
      </c>
      <c r="I1" s="4" t="s">
        <v>8</v>
      </c>
      <c r="J1" s="4" t="s">
        <v>9</v>
      </c>
      <c r="K1" s="3" t="s">
        <v>10</v>
      </c>
      <c r="L1" s="4" t="s">
        <v>11</v>
      </c>
      <c r="M1" s="5"/>
      <c r="N1" s="5"/>
      <c r="O1" s="5"/>
      <c r="P1" s="5"/>
      <c r="Q1" s="5"/>
      <c r="R1" s="5"/>
      <c r="S1" s="5"/>
      <c r="T1" s="5"/>
      <c r="U1" s="5"/>
      <c r="V1" s="5"/>
      <c r="W1" s="5"/>
      <c r="X1" s="5"/>
      <c r="Y1" s="5"/>
      <c r="Z1" s="5"/>
      <c r="AA1" s="5"/>
      <c r="AB1" s="5"/>
    </row>
    <row r="2" spans="1:28" ht="20.25" customHeight="1" x14ac:dyDescent="0.25">
      <c r="A2" s="6">
        <v>1</v>
      </c>
      <c r="B2" s="7">
        <v>50000</v>
      </c>
      <c r="C2" s="6" t="s">
        <v>12</v>
      </c>
      <c r="D2" s="8" t="s">
        <v>13</v>
      </c>
      <c r="E2" s="6" t="s">
        <v>14</v>
      </c>
      <c r="F2" s="9">
        <f>IFERROR(VLOOKUP(D2,'Комиссия за продажу (РУС)'!E:F,2,0),"")</f>
        <v>0.3</v>
      </c>
      <c r="G2" s="10">
        <f t="shared" ref="G2:G101" si="0">IFERROR(IF(E2="МГТ",IF(B2&gt;100000,6000,IF(B2&gt;10000,4000,2000)),IF(E2="СГТ",8000,20000)),"")</f>
        <v>8000</v>
      </c>
      <c r="H2" s="10">
        <f t="shared" ref="H2:H101" si="1">IFERROR(B2*F2,"")</f>
        <v>15000</v>
      </c>
      <c r="I2" s="10">
        <f t="shared" ref="I2:I101" si="2">G2+H2</f>
        <v>23000</v>
      </c>
      <c r="J2" s="10">
        <f t="shared" ref="J2:J101" si="3">IFERROR(B2-I2,"")</f>
        <v>27000</v>
      </c>
      <c r="K2" s="10">
        <v>30000</v>
      </c>
      <c r="L2" s="10">
        <f t="shared" ref="L2:L101" si="4">IFERROR(B2-I2-K2,"")</f>
        <v>-3000</v>
      </c>
      <c r="M2" s="11"/>
      <c r="N2" s="12" t="s">
        <v>15</v>
      </c>
      <c r="O2" s="5"/>
      <c r="P2" s="5"/>
      <c r="Q2" s="5"/>
    </row>
    <row r="3" spans="1:28" ht="20.25" customHeight="1" x14ac:dyDescent="0.25">
      <c r="A3" s="6">
        <v>2</v>
      </c>
      <c r="B3" s="7">
        <v>890000</v>
      </c>
      <c r="C3" s="6" t="s">
        <v>12</v>
      </c>
      <c r="D3" s="8" t="s">
        <v>16</v>
      </c>
      <c r="E3" s="6" t="s">
        <v>17</v>
      </c>
      <c r="F3" s="9">
        <f>IFERROR(VLOOKUP(D3,'Комиссия за продажу (РУС)'!E:F,2,0),"")</f>
        <v>0.17</v>
      </c>
      <c r="G3" s="10">
        <f t="shared" si="0"/>
        <v>6000</v>
      </c>
      <c r="H3" s="10">
        <f t="shared" si="1"/>
        <v>151300</v>
      </c>
      <c r="I3" s="10">
        <f t="shared" si="2"/>
        <v>157300</v>
      </c>
      <c r="J3" s="10">
        <f t="shared" si="3"/>
        <v>732700</v>
      </c>
      <c r="K3" s="10">
        <v>458000</v>
      </c>
      <c r="L3" s="10">
        <f t="shared" si="4"/>
        <v>274700</v>
      </c>
      <c r="M3" s="13"/>
      <c r="N3" s="12" t="s">
        <v>18</v>
      </c>
      <c r="O3" s="5"/>
      <c r="P3" s="5"/>
      <c r="Q3" s="5"/>
    </row>
    <row r="4" spans="1:28" ht="20.25" customHeight="1" x14ac:dyDescent="0.25">
      <c r="A4" s="6">
        <v>3</v>
      </c>
      <c r="B4" s="7">
        <v>4580000</v>
      </c>
      <c r="C4" s="6" t="s">
        <v>12</v>
      </c>
      <c r="D4" s="14" t="s">
        <v>19</v>
      </c>
      <c r="E4" s="6" t="s">
        <v>20</v>
      </c>
      <c r="F4" s="9">
        <f>IFERROR(VLOOKUP(D4,'Комиссия за продажу (РУС)'!E:F,2,0),"")</f>
        <v>0.1</v>
      </c>
      <c r="G4" s="10">
        <f t="shared" si="0"/>
        <v>20000</v>
      </c>
      <c r="H4" s="10">
        <f t="shared" si="1"/>
        <v>458000</v>
      </c>
      <c r="I4" s="10">
        <f t="shared" si="2"/>
        <v>478000</v>
      </c>
      <c r="J4" s="10">
        <f t="shared" si="3"/>
        <v>4102000</v>
      </c>
      <c r="K4" s="10">
        <v>2100000</v>
      </c>
      <c r="L4" s="10">
        <f t="shared" si="4"/>
        <v>2002000</v>
      </c>
      <c r="M4" s="15"/>
      <c r="N4" s="12" t="s">
        <v>21</v>
      </c>
      <c r="O4" s="5"/>
      <c r="P4" s="5"/>
      <c r="Q4" s="5"/>
    </row>
    <row r="5" spans="1:28" ht="20.25" customHeight="1" x14ac:dyDescent="0.25">
      <c r="A5" s="6">
        <v>4</v>
      </c>
      <c r="B5" s="7">
        <v>10000000</v>
      </c>
      <c r="C5" s="6" t="s">
        <v>12</v>
      </c>
      <c r="D5" s="6" t="s">
        <v>22</v>
      </c>
      <c r="E5" s="6" t="s">
        <v>14</v>
      </c>
      <c r="F5" s="9">
        <f>IFERROR(VLOOKUP(D5,'Комиссия за продажу (РУС)'!E:F,2,0),"")</f>
        <v>0.1</v>
      </c>
      <c r="G5" s="10">
        <f t="shared" si="0"/>
        <v>8000</v>
      </c>
      <c r="H5" s="10">
        <f t="shared" si="1"/>
        <v>1000000</v>
      </c>
      <c r="I5" s="10">
        <f t="shared" si="2"/>
        <v>1008000</v>
      </c>
      <c r="J5" s="10">
        <f t="shared" si="3"/>
        <v>8992000</v>
      </c>
      <c r="K5" s="10">
        <v>7000000</v>
      </c>
      <c r="L5" s="10">
        <f t="shared" si="4"/>
        <v>1992000</v>
      </c>
      <c r="O5" s="5"/>
      <c r="P5" s="5"/>
      <c r="Q5" s="5"/>
    </row>
    <row r="6" spans="1:28" ht="20.25" customHeight="1" x14ac:dyDescent="0.25">
      <c r="A6" s="6">
        <v>5</v>
      </c>
      <c r="B6" s="7">
        <v>300000</v>
      </c>
      <c r="C6" s="6" t="s">
        <v>12</v>
      </c>
      <c r="D6" s="16" t="s">
        <v>23</v>
      </c>
      <c r="E6" s="6" t="s">
        <v>14</v>
      </c>
      <c r="F6" s="9">
        <f>IFERROR(VLOOKUP(D6,'Комиссия за продажу (РУС)'!E:F,2,0),"")</f>
        <v>0.15</v>
      </c>
      <c r="G6" s="10">
        <f t="shared" si="0"/>
        <v>8000</v>
      </c>
      <c r="H6" s="10">
        <f t="shared" si="1"/>
        <v>45000</v>
      </c>
      <c r="I6" s="10">
        <f t="shared" si="2"/>
        <v>53000</v>
      </c>
      <c r="J6" s="10">
        <f t="shared" si="3"/>
        <v>247000</v>
      </c>
      <c r="K6" s="10">
        <v>200000</v>
      </c>
      <c r="L6" s="10">
        <f t="shared" si="4"/>
        <v>47000</v>
      </c>
      <c r="O6" s="5"/>
      <c r="P6" s="5"/>
      <c r="Q6" s="5"/>
    </row>
    <row r="7" spans="1:28" ht="20.25" customHeight="1" x14ac:dyDescent="0.3">
      <c r="A7" s="6">
        <v>6</v>
      </c>
      <c r="B7" s="17"/>
      <c r="C7" s="6" t="s">
        <v>12</v>
      </c>
      <c r="D7" s="29"/>
      <c r="E7" s="6" t="s">
        <v>20</v>
      </c>
      <c r="F7" s="9" t="str">
        <f>IFERROR(VLOOKUP(D7,'Комиссия за продажу (РУС)'!E:F,2,0),"")</f>
        <v/>
      </c>
      <c r="G7" s="10">
        <f t="shared" si="0"/>
        <v>20000</v>
      </c>
      <c r="H7" s="10" t="str">
        <f t="shared" si="1"/>
        <v/>
      </c>
      <c r="I7" s="10" t="e">
        <f t="shared" si="2"/>
        <v>#VALUE!</v>
      </c>
      <c r="J7" s="10" t="str">
        <f t="shared" si="3"/>
        <v/>
      </c>
      <c r="K7" s="10"/>
      <c r="L7" s="10" t="str">
        <f t="shared" si="4"/>
        <v/>
      </c>
      <c r="O7" s="5"/>
      <c r="P7" s="5"/>
      <c r="Q7" s="5"/>
    </row>
    <row r="8" spans="1:28" ht="20.25" customHeight="1" x14ac:dyDescent="0.25">
      <c r="A8" s="6">
        <v>7</v>
      </c>
      <c r="B8" s="17"/>
      <c r="C8" s="6" t="s">
        <v>12</v>
      </c>
      <c r="D8" s="16"/>
      <c r="E8" s="6" t="s">
        <v>20</v>
      </c>
      <c r="F8" s="9" t="str">
        <f>IFERROR(VLOOKUP(D8,'Комиссия за продажу (РУС)'!E:F,2,0),"")</f>
        <v/>
      </c>
      <c r="G8" s="10">
        <f t="shared" si="0"/>
        <v>20000</v>
      </c>
      <c r="H8" s="10" t="str">
        <f t="shared" si="1"/>
        <v/>
      </c>
      <c r="I8" s="10" t="e">
        <f t="shared" si="2"/>
        <v>#VALUE!</v>
      </c>
      <c r="J8" s="10" t="str">
        <f t="shared" si="3"/>
        <v/>
      </c>
      <c r="K8" s="10"/>
      <c r="L8" s="10" t="str">
        <f t="shared" si="4"/>
        <v/>
      </c>
      <c r="O8" s="5"/>
      <c r="P8" s="5"/>
      <c r="Q8" s="5"/>
    </row>
    <row r="9" spans="1:28" ht="20.25" customHeight="1" x14ac:dyDescent="0.25">
      <c r="A9" s="6">
        <v>8</v>
      </c>
      <c r="B9" s="17"/>
      <c r="C9" s="6" t="s">
        <v>12</v>
      </c>
      <c r="D9" s="16"/>
      <c r="E9" s="6" t="s">
        <v>20</v>
      </c>
      <c r="F9" s="9" t="str">
        <f>IFERROR(VLOOKUP(D9,'Комиссия за продажу (РУС)'!E:F,2,0),"")</f>
        <v/>
      </c>
      <c r="G9" s="10">
        <f t="shared" si="0"/>
        <v>20000</v>
      </c>
      <c r="H9" s="10" t="str">
        <f t="shared" si="1"/>
        <v/>
      </c>
      <c r="I9" s="10" t="e">
        <f t="shared" si="2"/>
        <v>#VALUE!</v>
      </c>
      <c r="J9" s="10" t="str">
        <f t="shared" si="3"/>
        <v/>
      </c>
      <c r="K9" s="10"/>
      <c r="L9" s="10" t="str">
        <f t="shared" si="4"/>
        <v/>
      </c>
      <c r="O9" s="5"/>
      <c r="P9" s="5"/>
      <c r="Q9" s="5"/>
    </row>
    <row r="10" spans="1:28" ht="20.25" customHeight="1" x14ac:dyDescent="0.25">
      <c r="A10" s="6">
        <v>9</v>
      </c>
      <c r="B10" s="17"/>
      <c r="C10" s="6" t="s">
        <v>12</v>
      </c>
      <c r="D10" s="16"/>
      <c r="E10" s="6" t="s">
        <v>20</v>
      </c>
      <c r="F10" s="9" t="str">
        <f>IFERROR(VLOOKUP(D10,'Комиссия за продажу (РУС)'!E:F,2,0),"")</f>
        <v/>
      </c>
      <c r="G10" s="10">
        <f t="shared" si="0"/>
        <v>20000</v>
      </c>
      <c r="H10" s="10" t="str">
        <f t="shared" si="1"/>
        <v/>
      </c>
      <c r="I10" s="10" t="e">
        <f t="shared" si="2"/>
        <v>#VALUE!</v>
      </c>
      <c r="J10" s="10" t="str">
        <f t="shared" si="3"/>
        <v/>
      </c>
      <c r="K10" s="10"/>
      <c r="L10" s="10" t="str">
        <f t="shared" si="4"/>
        <v/>
      </c>
      <c r="O10" s="5"/>
      <c r="P10" s="5"/>
      <c r="Q10" s="5"/>
    </row>
    <row r="11" spans="1:28" ht="20.25" customHeight="1" x14ac:dyDescent="0.25">
      <c r="A11" s="6">
        <v>10</v>
      </c>
      <c r="B11" s="17"/>
      <c r="C11" s="6" t="s">
        <v>12</v>
      </c>
      <c r="D11" s="16"/>
      <c r="E11" s="6" t="s">
        <v>20</v>
      </c>
      <c r="F11" s="9" t="str">
        <f>IFERROR(VLOOKUP(D11,'Комиссия за продажу (РУС)'!E:F,2,0),"")</f>
        <v/>
      </c>
      <c r="G11" s="10">
        <f t="shared" si="0"/>
        <v>20000</v>
      </c>
      <c r="H11" s="10" t="str">
        <f t="shared" si="1"/>
        <v/>
      </c>
      <c r="I11" s="10" t="e">
        <f t="shared" si="2"/>
        <v>#VALUE!</v>
      </c>
      <c r="J11" s="10" t="str">
        <f t="shared" si="3"/>
        <v/>
      </c>
      <c r="K11" s="10"/>
      <c r="L11" s="10" t="str">
        <f t="shared" si="4"/>
        <v/>
      </c>
      <c r="O11" s="5"/>
      <c r="P11" s="5"/>
      <c r="Q11" s="5"/>
    </row>
    <row r="12" spans="1:28" ht="20.25" customHeight="1" x14ac:dyDescent="0.25">
      <c r="A12" s="6">
        <v>11</v>
      </c>
      <c r="B12" s="17"/>
      <c r="C12" s="6" t="s">
        <v>12</v>
      </c>
      <c r="D12" s="16"/>
      <c r="E12" s="6" t="s">
        <v>20</v>
      </c>
      <c r="F12" s="9" t="str">
        <f>IFERROR(VLOOKUP(D12,'Комиссия за продажу (РУС)'!E:F,2,0),"")</f>
        <v/>
      </c>
      <c r="G12" s="10">
        <f t="shared" si="0"/>
        <v>20000</v>
      </c>
      <c r="H12" s="10" t="str">
        <f t="shared" si="1"/>
        <v/>
      </c>
      <c r="I12" s="10" t="e">
        <f t="shared" si="2"/>
        <v>#VALUE!</v>
      </c>
      <c r="J12" s="10" t="str">
        <f t="shared" si="3"/>
        <v/>
      </c>
      <c r="K12" s="10"/>
      <c r="L12" s="10" t="str">
        <f t="shared" si="4"/>
        <v/>
      </c>
      <c r="O12" s="5"/>
      <c r="P12" s="5"/>
      <c r="Q12" s="5"/>
    </row>
    <row r="13" spans="1:28" ht="20.25" customHeight="1" x14ac:dyDescent="0.25">
      <c r="A13" s="6">
        <v>12</v>
      </c>
      <c r="B13" s="17"/>
      <c r="C13" s="6" t="s">
        <v>12</v>
      </c>
      <c r="D13" s="16"/>
      <c r="E13" s="6" t="s">
        <v>20</v>
      </c>
      <c r="F13" s="9" t="str">
        <f>IFERROR(VLOOKUP(D13,'Комиссия за продажу (РУС)'!E:F,2,0),"")</f>
        <v/>
      </c>
      <c r="G13" s="10">
        <f t="shared" si="0"/>
        <v>20000</v>
      </c>
      <c r="H13" s="10" t="str">
        <f t="shared" si="1"/>
        <v/>
      </c>
      <c r="I13" s="10" t="e">
        <f t="shared" si="2"/>
        <v>#VALUE!</v>
      </c>
      <c r="J13" s="10" t="str">
        <f t="shared" si="3"/>
        <v/>
      </c>
      <c r="K13" s="10"/>
      <c r="L13" s="10" t="str">
        <f t="shared" si="4"/>
        <v/>
      </c>
      <c r="O13" s="5"/>
      <c r="P13" s="5"/>
      <c r="Q13" s="5"/>
    </row>
    <row r="14" spans="1:28" ht="20.25" customHeight="1" x14ac:dyDescent="0.25">
      <c r="A14" s="6">
        <v>13</v>
      </c>
      <c r="B14" s="17"/>
      <c r="C14" s="6" t="s">
        <v>12</v>
      </c>
      <c r="D14" s="16"/>
      <c r="E14" s="6" t="s">
        <v>20</v>
      </c>
      <c r="F14" s="9" t="str">
        <f>IFERROR(VLOOKUP(D14,'Комиссия за продажу (РУС)'!E:F,2,0),"")</f>
        <v/>
      </c>
      <c r="G14" s="10">
        <f t="shared" si="0"/>
        <v>20000</v>
      </c>
      <c r="H14" s="10" t="str">
        <f t="shared" si="1"/>
        <v/>
      </c>
      <c r="I14" s="10" t="e">
        <f t="shared" si="2"/>
        <v>#VALUE!</v>
      </c>
      <c r="J14" s="10" t="str">
        <f t="shared" si="3"/>
        <v/>
      </c>
      <c r="K14" s="10"/>
      <c r="L14" s="10" t="str">
        <f t="shared" si="4"/>
        <v/>
      </c>
      <c r="O14" s="5"/>
      <c r="P14" s="5"/>
      <c r="Q14" s="5"/>
    </row>
    <row r="15" spans="1:28" ht="20.25" customHeight="1" x14ac:dyDescent="0.25">
      <c r="A15" s="6">
        <v>14</v>
      </c>
      <c r="B15" s="17"/>
      <c r="C15" s="6" t="s">
        <v>12</v>
      </c>
      <c r="D15" s="16"/>
      <c r="E15" s="6" t="s">
        <v>20</v>
      </c>
      <c r="F15" s="9" t="str">
        <f>IFERROR(VLOOKUP(D15,'Комиссия за продажу (РУС)'!E:F,2,0),"")</f>
        <v/>
      </c>
      <c r="G15" s="10">
        <f t="shared" si="0"/>
        <v>20000</v>
      </c>
      <c r="H15" s="10" t="str">
        <f t="shared" si="1"/>
        <v/>
      </c>
      <c r="I15" s="10" t="e">
        <f t="shared" si="2"/>
        <v>#VALUE!</v>
      </c>
      <c r="J15" s="10" t="str">
        <f t="shared" si="3"/>
        <v/>
      </c>
      <c r="K15" s="10"/>
      <c r="L15" s="10" t="str">
        <f t="shared" si="4"/>
        <v/>
      </c>
      <c r="O15" s="5"/>
      <c r="P15" s="5"/>
      <c r="Q15" s="5"/>
    </row>
    <row r="16" spans="1:28" ht="20.25" customHeight="1" x14ac:dyDescent="0.25">
      <c r="A16" s="6">
        <v>15</v>
      </c>
      <c r="B16" s="17"/>
      <c r="C16" s="6" t="s">
        <v>12</v>
      </c>
      <c r="D16" s="16"/>
      <c r="E16" s="6" t="s">
        <v>20</v>
      </c>
      <c r="F16" s="9" t="str">
        <f>IFERROR(VLOOKUP(D16,'Комиссия за продажу (РУС)'!E:F,2,0),"")</f>
        <v/>
      </c>
      <c r="G16" s="10">
        <f t="shared" si="0"/>
        <v>20000</v>
      </c>
      <c r="H16" s="10" t="str">
        <f t="shared" si="1"/>
        <v/>
      </c>
      <c r="I16" s="10" t="e">
        <f t="shared" si="2"/>
        <v>#VALUE!</v>
      </c>
      <c r="J16" s="10" t="str">
        <f t="shared" si="3"/>
        <v/>
      </c>
      <c r="K16" s="10"/>
      <c r="L16" s="10" t="str">
        <f t="shared" si="4"/>
        <v/>
      </c>
      <c r="O16" s="5"/>
      <c r="P16" s="5"/>
      <c r="Q16" s="5"/>
    </row>
    <row r="17" spans="1:17" ht="20.25" customHeight="1" x14ac:dyDescent="0.25">
      <c r="A17" s="6">
        <v>16</v>
      </c>
      <c r="B17" s="17"/>
      <c r="C17" s="6" t="s">
        <v>12</v>
      </c>
      <c r="D17" s="16"/>
      <c r="E17" s="6" t="s">
        <v>20</v>
      </c>
      <c r="F17" s="9" t="str">
        <f>IFERROR(VLOOKUP(D17,'Комиссия за продажу (РУС)'!E:F,2,0),"")</f>
        <v/>
      </c>
      <c r="G17" s="10">
        <f t="shared" si="0"/>
        <v>20000</v>
      </c>
      <c r="H17" s="10" t="str">
        <f t="shared" si="1"/>
        <v/>
      </c>
      <c r="I17" s="10" t="e">
        <f t="shared" si="2"/>
        <v>#VALUE!</v>
      </c>
      <c r="J17" s="10" t="str">
        <f t="shared" si="3"/>
        <v/>
      </c>
      <c r="K17" s="10"/>
      <c r="L17" s="10" t="str">
        <f t="shared" si="4"/>
        <v/>
      </c>
      <c r="O17" s="5"/>
      <c r="P17" s="5"/>
      <c r="Q17" s="5"/>
    </row>
    <row r="18" spans="1:17" ht="20.25" customHeight="1" x14ac:dyDescent="0.25">
      <c r="A18" s="6">
        <v>17</v>
      </c>
      <c r="B18" s="17"/>
      <c r="C18" s="6" t="s">
        <v>12</v>
      </c>
      <c r="D18" s="16"/>
      <c r="E18" s="6" t="s">
        <v>20</v>
      </c>
      <c r="F18" s="9" t="str">
        <f>IFERROR(VLOOKUP(D18,'Комиссия за продажу (РУС)'!E:F,2,0),"")</f>
        <v/>
      </c>
      <c r="G18" s="10">
        <f t="shared" si="0"/>
        <v>20000</v>
      </c>
      <c r="H18" s="10" t="str">
        <f t="shared" si="1"/>
        <v/>
      </c>
      <c r="I18" s="10" t="e">
        <f t="shared" si="2"/>
        <v>#VALUE!</v>
      </c>
      <c r="J18" s="10" t="str">
        <f t="shared" si="3"/>
        <v/>
      </c>
      <c r="K18" s="10"/>
      <c r="L18" s="10" t="str">
        <f t="shared" si="4"/>
        <v/>
      </c>
      <c r="O18" s="5"/>
      <c r="P18" s="5"/>
      <c r="Q18" s="5"/>
    </row>
    <row r="19" spans="1:17" ht="20.25" customHeight="1" x14ac:dyDescent="0.25">
      <c r="A19" s="6">
        <v>18</v>
      </c>
      <c r="B19" s="17"/>
      <c r="C19" s="6" t="s">
        <v>12</v>
      </c>
      <c r="D19" s="16"/>
      <c r="E19" s="6" t="s">
        <v>20</v>
      </c>
      <c r="F19" s="9" t="str">
        <f>IFERROR(VLOOKUP(D19,'Комиссия за продажу (РУС)'!E:F,2,0),"")</f>
        <v/>
      </c>
      <c r="G19" s="10">
        <f t="shared" si="0"/>
        <v>20000</v>
      </c>
      <c r="H19" s="10" t="str">
        <f t="shared" si="1"/>
        <v/>
      </c>
      <c r="I19" s="10" t="e">
        <f t="shared" si="2"/>
        <v>#VALUE!</v>
      </c>
      <c r="J19" s="10" t="str">
        <f t="shared" si="3"/>
        <v/>
      </c>
      <c r="K19" s="10"/>
      <c r="L19" s="10" t="str">
        <f t="shared" si="4"/>
        <v/>
      </c>
      <c r="O19" s="5"/>
      <c r="P19" s="5"/>
      <c r="Q19" s="5"/>
    </row>
    <row r="20" spans="1:17" ht="20.25" customHeight="1" x14ac:dyDescent="0.25">
      <c r="A20" s="6">
        <v>19</v>
      </c>
      <c r="B20" s="17"/>
      <c r="C20" s="6" t="s">
        <v>12</v>
      </c>
      <c r="D20" s="16"/>
      <c r="E20" s="6" t="s">
        <v>20</v>
      </c>
      <c r="F20" s="9" t="str">
        <f>IFERROR(VLOOKUP(D20,'Комиссия за продажу (РУС)'!E:F,2,0),"")</f>
        <v/>
      </c>
      <c r="G20" s="10">
        <f t="shared" si="0"/>
        <v>20000</v>
      </c>
      <c r="H20" s="10" t="str">
        <f t="shared" si="1"/>
        <v/>
      </c>
      <c r="I20" s="10" t="e">
        <f t="shared" si="2"/>
        <v>#VALUE!</v>
      </c>
      <c r="J20" s="10" t="str">
        <f t="shared" si="3"/>
        <v/>
      </c>
      <c r="K20" s="10"/>
      <c r="L20" s="10" t="str">
        <f t="shared" si="4"/>
        <v/>
      </c>
      <c r="O20" s="5"/>
      <c r="P20" s="5"/>
      <c r="Q20" s="5"/>
    </row>
    <row r="21" spans="1:17" ht="20.25" customHeight="1" x14ac:dyDescent="0.25">
      <c r="A21" s="6">
        <v>20</v>
      </c>
      <c r="B21" s="17"/>
      <c r="C21" s="6" t="s">
        <v>12</v>
      </c>
      <c r="D21" s="16"/>
      <c r="E21" s="6" t="s">
        <v>20</v>
      </c>
      <c r="F21" s="9" t="str">
        <f>IFERROR(VLOOKUP(D21,'Комиссия за продажу (РУС)'!E:F,2,0),"")</f>
        <v/>
      </c>
      <c r="G21" s="10">
        <f t="shared" si="0"/>
        <v>20000</v>
      </c>
      <c r="H21" s="10" t="str">
        <f t="shared" si="1"/>
        <v/>
      </c>
      <c r="I21" s="10" t="e">
        <f t="shared" si="2"/>
        <v>#VALUE!</v>
      </c>
      <c r="J21" s="10" t="str">
        <f t="shared" si="3"/>
        <v/>
      </c>
      <c r="K21" s="10"/>
      <c r="L21" s="10" t="str">
        <f t="shared" si="4"/>
        <v/>
      </c>
      <c r="O21" s="5"/>
      <c r="P21" s="5"/>
      <c r="Q21" s="5"/>
    </row>
    <row r="22" spans="1:17" ht="20.25" customHeight="1" x14ac:dyDescent="0.25">
      <c r="A22" s="6">
        <v>21</v>
      </c>
      <c r="B22" s="17"/>
      <c r="C22" s="6" t="s">
        <v>12</v>
      </c>
      <c r="D22" s="16"/>
      <c r="E22" s="6" t="s">
        <v>20</v>
      </c>
      <c r="F22" s="9" t="str">
        <f>IFERROR(VLOOKUP(D22,'Комиссия за продажу (РУС)'!E:F,2,0),"")</f>
        <v/>
      </c>
      <c r="G22" s="10">
        <f t="shared" si="0"/>
        <v>20000</v>
      </c>
      <c r="H22" s="10" t="str">
        <f t="shared" si="1"/>
        <v/>
      </c>
      <c r="I22" s="10" t="e">
        <f t="shared" si="2"/>
        <v>#VALUE!</v>
      </c>
      <c r="J22" s="10" t="str">
        <f t="shared" si="3"/>
        <v/>
      </c>
      <c r="K22" s="10"/>
      <c r="L22" s="10" t="str">
        <f t="shared" si="4"/>
        <v/>
      </c>
      <c r="O22" s="5"/>
      <c r="P22" s="5"/>
      <c r="Q22" s="5"/>
    </row>
    <row r="23" spans="1:17" ht="20.25" customHeight="1" x14ac:dyDescent="0.25">
      <c r="A23" s="6">
        <v>22</v>
      </c>
      <c r="B23" s="17"/>
      <c r="C23" s="6" t="s">
        <v>12</v>
      </c>
      <c r="D23" s="16"/>
      <c r="E23" s="6" t="s">
        <v>20</v>
      </c>
      <c r="F23" s="9" t="str">
        <f>IFERROR(VLOOKUP(D23,'Комиссия за продажу (РУС)'!E:F,2,0),"")</f>
        <v/>
      </c>
      <c r="G23" s="10">
        <f t="shared" si="0"/>
        <v>20000</v>
      </c>
      <c r="H23" s="10" t="str">
        <f t="shared" si="1"/>
        <v/>
      </c>
      <c r="I23" s="10" t="e">
        <f t="shared" si="2"/>
        <v>#VALUE!</v>
      </c>
      <c r="J23" s="10" t="str">
        <f t="shared" si="3"/>
        <v/>
      </c>
      <c r="K23" s="10"/>
      <c r="L23" s="10" t="str">
        <f t="shared" si="4"/>
        <v/>
      </c>
      <c r="O23" s="5"/>
      <c r="P23" s="5"/>
      <c r="Q23" s="5"/>
    </row>
    <row r="24" spans="1:17" ht="20.25" customHeight="1" x14ac:dyDescent="0.25">
      <c r="A24" s="6">
        <v>23</v>
      </c>
      <c r="B24" s="17"/>
      <c r="C24" s="6" t="s">
        <v>12</v>
      </c>
      <c r="D24" s="16"/>
      <c r="E24" s="6" t="s">
        <v>20</v>
      </c>
      <c r="F24" s="9" t="str">
        <f>IFERROR(VLOOKUP(D24,'Комиссия за продажу (РУС)'!E:F,2,0),"")</f>
        <v/>
      </c>
      <c r="G24" s="10">
        <f t="shared" si="0"/>
        <v>20000</v>
      </c>
      <c r="H24" s="10" t="str">
        <f t="shared" si="1"/>
        <v/>
      </c>
      <c r="I24" s="10" t="e">
        <f t="shared" si="2"/>
        <v>#VALUE!</v>
      </c>
      <c r="J24" s="10" t="str">
        <f t="shared" si="3"/>
        <v/>
      </c>
      <c r="K24" s="10"/>
      <c r="L24" s="10" t="str">
        <f t="shared" si="4"/>
        <v/>
      </c>
      <c r="O24" s="5"/>
      <c r="P24" s="5"/>
      <c r="Q24" s="5"/>
    </row>
    <row r="25" spans="1:17" ht="20.25" customHeight="1" x14ac:dyDescent="0.25">
      <c r="A25" s="6">
        <v>24</v>
      </c>
      <c r="B25" s="17"/>
      <c r="C25" s="6" t="s">
        <v>12</v>
      </c>
      <c r="D25" s="16"/>
      <c r="E25" s="6" t="s">
        <v>20</v>
      </c>
      <c r="F25" s="9" t="str">
        <f>IFERROR(VLOOKUP(D25,'Комиссия за продажу (РУС)'!E:F,2,0),"")</f>
        <v/>
      </c>
      <c r="G25" s="10">
        <f t="shared" si="0"/>
        <v>20000</v>
      </c>
      <c r="H25" s="10" t="str">
        <f t="shared" si="1"/>
        <v/>
      </c>
      <c r="I25" s="10" t="e">
        <f t="shared" si="2"/>
        <v>#VALUE!</v>
      </c>
      <c r="J25" s="10" t="str">
        <f t="shared" si="3"/>
        <v/>
      </c>
      <c r="K25" s="10"/>
      <c r="L25" s="10" t="str">
        <f t="shared" si="4"/>
        <v/>
      </c>
      <c r="O25" s="5"/>
      <c r="P25" s="5"/>
      <c r="Q25" s="5"/>
    </row>
    <row r="26" spans="1:17" ht="20.25" customHeight="1" x14ac:dyDescent="0.25">
      <c r="A26" s="6">
        <v>25</v>
      </c>
      <c r="B26" s="17"/>
      <c r="C26" s="6" t="s">
        <v>12</v>
      </c>
      <c r="D26" s="16"/>
      <c r="E26" s="6" t="s">
        <v>20</v>
      </c>
      <c r="F26" s="9" t="str">
        <f>IFERROR(VLOOKUP(D26,'Комиссия за продажу (РУС)'!E:F,2,0),"")</f>
        <v/>
      </c>
      <c r="G26" s="10">
        <f t="shared" si="0"/>
        <v>20000</v>
      </c>
      <c r="H26" s="10" t="str">
        <f t="shared" si="1"/>
        <v/>
      </c>
      <c r="I26" s="10" t="e">
        <f t="shared" si="2"/>
        <v>#VALUE!</v>
      </c>
      <c r="J26" s="10" t="str">
        <f t="shared" si="3"/>
        <v/>
      </c>
      <c r="K26" s="10"/>
      <c r="L26" s="10" t="str">
        <f t="shared" si="4"/>
        <v/>
      </c>
      <c r="O26" s="5"/>
      <c r="P26" s="5"/>
      <c r="Q26" s="5"/>
    </row>
    <row r="27" spans="1:17" ht="20.25" customHeight="1" x14ac:dyDescent="0.25">
      <c r="A27" s="6">
        <v>26</v>
      </c>
      <c r="B27" s="17"/>
      <c r="C27" s="6" t="s">
        <v>12</v>
      </c>
      <c r="D27" s="16"/>
      <c r="E27" s="6" t="s">
        <v>20</v>
      </c>
      <c r="F27" s="9" t="str">
        <f>IFERROR(VLOOKUP(D27,'Комиссия за продажу (РУС)'!E:F,2,0),"")</f>
        <v/>
      </c>
      <c r="G27" s="10">
        <f t="shared" si="0"/>
        <v>20000</v>
      </c>
      <c r="H27" s="10" t="str">
        <f t="shared" si="1"/>
        <v/>
      </c>
      <c r="I27" s="10" t="e">
        <f t="shared" si="2"/>
        <v>#VALUE!</v>
      </c>
      <c r="J27" s="10" t="str">
        <f t="shared" si="3"/>
        <v/>
      </c>
      <c r="K27" s="10"/>
      <c r="L27" s="10" t="str">
        <f t="shared" si="4"/>
        <v/>
      </c>
      <c r="O27" s="5"/>
      <c r="P27" s="5"/>
      <c r="Q27" s="5"/>
    </row>
    <row r="28" spans="1:17" ht="20.25" customHeight="1" x14ac:dyDescent="0.25">
      <c r="A28" s="6">
        <v>27</v>
      </c>
      <c r="B28" s="17"/>
      <c r="C28" s="6" t="s">
        <v>12</v>
      </c>
      <c r="D28" s="16"/>
      <c r="E28" s="6" t="s">
        <v>20</v>
      </c>
      <c r="F28" s="9" t="str">
        <f>IFERROR(VLOOKUP(D28,'Комиссия за продажу (РУС)'!E:F,2,0),"")</f>
        <v/>
      </c>
      <c r="G28" s="10">
        <f t="shared" si="0"/>
        <v>20000</v>
      </c>
      <c r="H28" s="10" t="str">
        <f t="shared" si="1"/>
        <v/>
      </c>
      <c r="I28" s="10" t="e">
        <f t="shared" si="2"/>
        <v>#VALUE!</v>
      </c>
      <c r="J28" s="10" t="str">
        <f t="shared" si="3"/>
        <v/>
      </c>
      <c r="K28" s="10"/>
      <c r="L28" s="10" t="str">
        <f t="shared" si="4"/>
        <v/>
      </c>
      <c r="O28" s="5"/>
      <c r="P28" s="5"/>
    </row>
    <row r="29" spans="1:17" ht="20.25" customHeight="1" x14ac:dyDescent="0.25">
      <c r="A29" s="6">
        <v>28</v>
      </c>
      <c r="B29" s="17"/>
      <c r="C29" s="6" t="s">
        <v>12</v>
      </c>
      <c r="D29" s="16"/>
      <c r="E29" s="6" t="s">
        <v>20</v>
      </c>
      <c r="F29" s="9" t="str">
        <f>IFERROR(VLOOKUP(D29,'Комиссия за продажу (РУС)'!E:F,2,0),"")</f>
        <v/>
      </c>
      <c r="G29" s="10">
        <f t="shared" si="0"/>
        <v>20000</v>
      </c>
      <c r="H29" s="10" t="str">
        <f t="shared" si="1"/>
        <v/>
      </c>
      <c r="I29" s="10" t="e">
        <f t="shared" si="2"/>
        <v>#VALUE!</v>
      </c>
      <c r="J29" s="10" t="str">
        <f t="shared" si="3"/>
        <v/>
      </c>
      <c r="K29" s="10"/>
      <c r="L29" s="10" t="str">
        <f t="shared" si="4"/>
        <v/>
      </c>
      <c r="O29" s="5"/>
      <c r="P29" s="5"/>
    </row>
    <row r="30" spans="1:17" ht="20.25" customHeight="1" x14ac:dyDescent="0.25">
      <c r="A30" s="6">
        <v>29</v>
      </c>
      <c r="B30" s="17"/>
      <c r="C30" s="6" t="s">
        <v>12</v>
      </c>
      <c r="D30" s="16"/>
      <c r="E30" s="6" t="s">
        <v>20</v>
      </c>
      <c r="F30" s="9" t="str">
        <f>IFERROR(VLOOKUP(D30,'Комиссия за продажу (РУС)'!E:F,2,0),"")</f>
        <v/>
      </c>
      <c r="G30" s="10">
        <f t="shared" si="0"/>
        <v>20000</v>
      </c>
      <c r="H30" s="10" t="str">
        <f t="shared" si="1"/>
        <v/>
      </c>
      <c r="I30" s="10" t="e">
        <f t="shared" si="2"/>
        <v>#VALUE!</v>
      </c>
      <c r="J30" s="10" t="str">
        <f t="shared" si="3"/>
        <v/>
      </c>
      <c r="K30" s="10"/>
      <c r="L30" s="10" t="str">
        <f t="shared" si="4"/>
        <v/>
      </c>
      <c r="O30" s="5"/>
      <c r="P30" s="5"/>
    </row>
    <row r="31" spans="1:17" ht="20.25" customHeight="1" x14ac:dyDescent="0.25">
      <c r="A31" s="6">
        <v>30</v>
      </c>
      <c r="B31" s="17"/>
      <c r="C31" s="6" t="s">
        <v>12</v>
      </c>
      <c r="D31" s="16"/>
      <c r="E31" s="6" t="s">
        <v>20</v>
      </c>
      <c r="F31" s="9" t="str">
        <f>IFERROR(VLOOKUP(D31,'Комиссия за продажу (РУС)'!E:F,2,0),"")</f>
        <v/>
      </c>
      <c r="G31" s="10">
        <f t="shared" si="0"/>
        <v>20000</v>
      </c>
      <c r="H31" s="10" t="str">
        <f t="shared" si="1"/>
        <v/>
      </c>
      <c r="I31" s="10" t="e">
        <f t="shared" si="2"/>
        <v>#VALUE!</v>
      </c>
      <c r="J31" s="10" t="str">
        <f t="shared" si="3"/>
        <v/>
      </c>
      <c r="K31" s="10"/>
      <c r="L31" s="10" t="str">
        <f t="shared" si="4"/>
        <v/>
      </c>
      <c r="O31" s="5"/>
      <c r="P31" s="5"/>
    </row>
    <row r="32" spans="1:17" ht="13.2" x14ac:dyDescent="0.25">
      <c r="A32" s="6">
        <v>31</v>
      </c>
      <c r="B32" s="17"/>
      <c r="C32" s="6" t="s">
        <v>12</v>
      </c>
      <c r="D32" s="16"/>
      <c r="E32" s="6" t="s">
        <v>20</v>
      </c>
      <c r="F32" s="9" t="str">
        <f>IFERROR(VLOOKUP(D32,'Комиссия за продажу (РУС)'!E:F,2,0),"")</f>
        <v/>
      </c>
      <c r="G32" s="10">
        <f t="shared" si="0"/>
        <v>20000</v>
      </c>
      <c r="H32" s="10" t="str">
        <f t="shared" si="1"/>
        <v/>
      </c>
      <c r="I32" s="10" t="e">
        <f t="shared" si="2"/>
        <v>#VALUE!</v>
      </c>
      <c r="J32" s="10" t="str">
        <f t="shared" si="3"/>
        <v/>
      </c>
      <c r="K32" s="10"/>
      <c r="L32" s="10" t="str">
        <f t="shared" si="4"/>
        <v/>
      </c>
      <c r="O32" s="5"/>
      <c r="P32" s="5"/>
    </row>
    <row r="33" spans="1:16" ht="13.2" x14ac:dyDescent="0.25">
      <c r="A33" s="6">
        <v>32</v>
      </c>
      <c r="B33" s="17"/>
      <c r="C33" s="6" t="s">
        <v>12</v>
      </c>
      <c r="D33" s="16"/>
      <c r="E33" s="6" t="s">
        <v>20</v>
      </c>
      <c r="F33" s="9" t="str">
        <f>IFERROR(VLOOKUP(D33,'Комиссия за продажу (РУС)'!E:F,2,0),"")</f>
        <v/>
      </c>
      <c r="G33" s="10">
        <f t="shared" si="0"/>
        <v>20000</v>
      </c>
      <c r="H33" s="10" t="str">
        <f t="shared" si="1"/>
        <v/>
      </c>
      <c r="I33" s="10" t="e">
        <f t="shared" si="2"/>
        <v>#VALUE!</v>
      </c>
      <c r="J33" s="10" t="str">
        <f t="shared" si="3"/>
        <v/>
      </c>
      <c r="K33" s="10"/>
      <c r="L33" s="10" t="str">
        <f t="shared" si="4"/>
        <v/>
      </c>
      <c r="O33" s="5"/>
      <c r="P33" s="5"/>
    </row>
    <row r="34" spans="1:16" ht="13.2" x14ac:dyDescent="0.25">
      <c r="A34" s="6">
        <v>33</v>
      </c>
      <c r="B34" s="17"/>
      <c r="C34" s="6" t="s">
        <v>12</v>
      </c>
      <c r="D34" s="16"/>
      <c r="E34" s="6" t="s">
        <v>20</v>
      </c>
      <c r="F34" s="9" t="str">
        <f>IFERROR(VLOOKUP(D34,'Комиссия за продажу (РУС)'!E:F,2,0),"")</f>
        <v/>
      </c>
      <c r="G34" s="10">
        <f t="shared" si="0"/>
        <v>20000</v>
      </c>
      <c r="H34" s="10" t="str">
        <f t="shared" si="1"/>
        <v/>
      </c>
      <c r="I34" s="10" t="e">
        <f t="shared" si="2"/>
        <v>#VALUE!</v>
      </c>
      <c r="J34" s="10" t="str">
        <f t="shared" si="3"/>
        <v/>
      </c>
      <c r="K34" s="10"/>
      <c r="L34" s="10" t="str">
        <f t="shared" si="4"/>
        <v/>
      </c>
      <c r="O34" s="5"/>
      <c r="P34" s="5"/>
    </row>
    <row r="35" spans="1:16" ht="13.2" x14ac:dyDescent="0.25">
      <c r="A35" s="6">
        <v>34</v>
      </c>
      <c r="B35" s="17"/>
      <c r="C35" s="6" t="s">
        <v>12</v>
      </c>
      <c r="D35" s="16"/>
      <c r="E35" s="6" t="s">
        <v>20</v>
      </c>
      <c r="F35" s="9" t="str">
        <f>IFERROR(VLOOKUP(D35,'Комиссия за продажу (РУС)'!E:F,2,0),"")</f>
        <v/>
      </c>
      <c r="G35" s="10">
        <f t="shared" si="0"/>
        <v>20000</v>
      </c>
      <c r="H35" s="10" t="str">
        <f t="shared" si="1"/>
        <v/>
      </c>
      <c r="I35" s="10" t="e">
        <f t="shared" si="2"/>
        <v>#VALUE!</v>
      </c>
      <c r="J35" s="10" t="str">
        <f t="shared" si="3"/>
        <v/>
      </c>
      <c r="K35" s="10"/>
      <c r="L35" s="10" t="str">
        <f t="shared" si="4"/>
        <v/>
      </c>
      <c r="O35" s="5"/>
      <c r="P35" s="5"/>
    </row>
    <row r="36" spans="1:16" ht="13.2" x14ac:dyDescent="0.25">
      <c r="A36" s="6">
        <v>35</v>
      </c>
      <c r="B36" s="17"/>
      <c r="C36" s="6" t="s">
        <v>12</v>
      </c>
      <c r="D36" s="16"/>
      <c r="E36" s="6" t="s">
        <v>20</v>
      </c>
      <c r="F36" s="9" t="str">
        <f>IFERROR(VLOOKUP(D36,'Комиссия за продажу (РУС)'!E:F,2,0),"")</f>
        <v/>
      </c>
      <c r="G36" s="10">
        <f t="shared" si="0"/>
        <v>20000</v>
      </c>
      <c r="H36" s="10" t="str">
        <f t="shared" si="1"/>
        <v/>
      </c>
      <c r="I36" s="10" t="e">
        <f t="shared" si="2"/>
        <v>#VALUE!</v>
      </c>
      <c r="J36" s="10" t="str">
        <f t="shared" si="3"/>
        <v/>
      </c>
      <c r="K36" s="10"/>
      <c r="L36" s="10" t="str">
        <f t="shared" si="4"/>
        <v/>
      </c>
      <c r="O36" s="5"/>
      <c r="P36" s="5"/>
    </row>
    <row r="37" spans="1:16" ht="13.2" x14ac:dyDescent="0.25">
      <c r="A37" s="6">
        <v>36</v>
      </c>
      <c r="B37" s="17"/>
      <c r="C37" s="6" t="s">
        <v>12</v>
      </c>
      <c r="D37" s="16"/>
      <c r="E37" s="6" t="s">
        <v>20</v>
      </c>
      <c r="F37" s="9" t="str">
        <f>IFERROR(VLOOKUP(D37,'Комиссия за продажу (РУС)'!E:F,2,0),"")</f>
        <v/>
      </c>
      <c r="G37" s="10">
        <f t="shared" si="0"/>
        <v>20000</v>
      </c>
      <c r="H37" s="10" t="str">
        <f t="shared" si="1"/>
        <v/>
      </c>
      <c r="I37" s="10" t="e">
        <f t="shared" si="2"/>
        <v>#VALUE!</v>
      </c>
      <c r="J37" s="10" t="str">
        <f t="shared" si="3"/>
        <v/>
      </c>
      <c r="K37" s="10"/>
      <c r="L37" s="10" t="str">
        <f t="shared" si="4"/>
        <v/>
      </c>
      <c r="O37" s="5"/>
      <c r="P37" s="5"/>
    </row>
    <row r="38" spans="1:16" ht="13.2" x14ac:dyDescent="0.25">
      <c r="A38" s="6">
        <v>37</v>
      </c>
      <c r="B38" s="17"/>
      <c r="C38" s="6" t="s">
        <v>12</v>
      </c>
      <c r="D38" s="16"/>
      <c r="E38" s="6" t="s">
        <v>20</v>
      </c>
      <c r="F38" s="9" t="str">
        <f>IFERROR(VLOOKUP(D38,'Комиссия за продажу (РУС)'!E:F,2,0),"")</f>
        <v/>
      </c>
      <c r="G38" s="10">
        <f t="shared" si="0"/>
        <v>20000</v>
      </c>
      <c r="H38" s="10" t="str">
        <f t="shared" si="1"/>
        <v/>
      </c>
      <c r="I38" s="10" t="e">
        <f t="shared" si="2"/>
        <v>#VALUE!</v>
      </c>
      <c r="J38" s="10" t="str">
        <f t="shared" si="3"/>
        <v/>
      </c>
      <c r="K38" s="10"/>
      <c r="L38" s="10" t="str">
        <f t="shared" si="4"/>
        <v/>
      </c>
      <c r="O38" s="5"/>
      <c r="P38" s="5"/>
    </row>
    <row r="39" spans="1:16" ht="13.2" x14ac:dyDescent="0.25">
      <c r="A39" s="6">
        <v>38</v>
      </c>
      <c r="B39" s="17"/>
      <c r="C39" s="6" t="s">
        <v>12</v>
      </c>
      <c r="D39" s="16"/>
      <c r="E39" s="6" t="s">
        <v>20</v>
      </c>
      <c r="F39" s="9" t="str">
        <f>IFERROR(VLOOKUP(D39,'Комиссия за продажу (РУС)'!E:F,2,0),"")</f>
        <v/>
      </c>
      <c r="G39" s="10">
        <f t="shared" si="0"/>
        <v>20000</v>
      </c>
      <c r="H39" s="10" t="str">
        <f t="shared" si="1"/>
        <v/>
      </c>
      <c r="I39" s="10" t="e">
        <f t="shared" si="2"/>
        <v>#VALUE!</v>
      </c>
      <c r="J39" s="10" t="str">
        <f t="shared" si="3"/>
        <v/>
      </c>
      <c r="K39" s="10"/>
      <c r="L39" s="10" t="str">
        <f t="shared" si="4"/>
        <v/>
      </c>
      <c r="O39" s="5"/>
      <c r="P39" s="5"/>
    </row>
    <row r="40" spans="1:16" ht="13.2" x14ac:dyDescent="0.25">
      <c r="A40" s="6">
        <v>39</v>
      </c>
      <c r="B40" s="17"/>
      <c r="C40" s="6" t="s">
        <v>12</v>
      </c>
      <c r="D40" s="16"/>
      <c r="E40" s="6" t="s">
        <v>20</v>
      </c>
      <c r="F40" s="9" t="str">
        <f>IFERROR(VLOOKUP(D40,'Комиссия за продажу (РУС)'!E:F,2,0),"")</f>
        <v/>
      </c>
      <c r="G40" s="10">
        <f t="shared" si="0"/>
        <v>20000</v>
      </c>
      <c r="H40" s="10" t="str">
        <f t="shared" si="1"/>
        <v/>
      </c>
      <c r="I40" s="10" t="e">
        <f t="shared" si="2"/>
        <v>#VALUE!</v>
      </c>
      <c r="J40" s="10" t="str">
        <f t="shared" si="3"/>
        <v/>
      </c>
      <c r="K40" s="10"/>
      <c r="L40" s="10" t="str">
        <f t="shared" si="4"/>
        <v/>
      </c>
      <c r="O40" s="5"/>
      <c r="P40" s="5"/>
    </row>
    <row r="41" spans="1:16" ht="13.2" x14ac:dyDescent="0.25">
      <c r="A41" s="6">
        <v>40</v>
      </c>
      <c r="B41" s="17"/>
      <c r="C41" s="6" t="s">
        <v>12</v>
      </c>
      <c r="D41" s="16"/>
      <c r="E41" s="6" t="s">
        <v>20</v>
      </c>
      <c r="F41" s="9" t="str">
        <f>IFERROR(VLOOKUP(D41,'Комиссия за продажу (РУС)'!E:F,2,0),"")</f>
        <v/>
      </c>
      <c r="G41" s="10">
        <f t="shared" si="0"/>
        <v>20000</v>
      </c>
      <c r="H41" s="10" t="str">
        <f t="shared" si="1"/>
        <v/>
      </c>
      <c r="I41" s="10" t="e">
        <f t="shared" si="2"/>
        <v>#VALUE!</v>
      </c>
      <c r="J41" s="10" t="str">
        <f t="shared" si="3"/>
        <v/>
      </c>
      <c r="K41" s="10"/>
      <c r="L41" s="10" t="str">
        <f t="shared" si="4"/>
        <v/>
      </c>
      <c r="O41" s="5"/>
      <c r="P41" s="5"/>
    </row>
    <row r="42" spans="1:16" ht="13.2" x14ac:dyDescent="0.25">
      <c r="A42" s="6">
        <v>41</v>
      </c>
      <c r="B42" s="17"/>
      <c r="C42" s="6" t="s">
        <v>12</v>
      </c>
      <c r="D42" s="16"/>
      <c r="E42" s="6" t="s">
        <v>20</v>
      </c>
      <c r="F42" s="9" t="str">
        <f>IFERROR(VLOOKUP(D42,'Комиссия за продажу (РУС)'!E:F,2,0),"")</f>
        <v/>
      </c>
      <c r="G42" s="10">
        <f t="shared" si="0"/>
        <v>20000</v>
      </c>
      <c r="H42" s="10" t="str">
        <f t="shared" si="1"/>
        <v/>
      </c>
      <c r="I42" s="10" t="e">
        <f t="shared" si="2"/>
        <v>#VALUE!</v>
      </c>
      <c r="J42" s="10" t="str">
        <f t="shared" si="3"/>
        <v/>
      </c>
      <c r="K42" s="10"/>
      <c r="L42" s="10" t="str">
        <f t="shared" si="4"/>
        <v/>
      </c>
      <c r="O42" s="5"/>
      <c r="P42" s="5"/>
    </row>
    <row r="43" spans="1:16" ht="13.2" x14ac:dyDescent="0.25">
      <c r="A43" s="6">
        <v>42</v>
      </c>
      <c r="B43" s="17"/>
      <c r="C43" s="6" t="s">
        <v>12</v>
      </c>
      <c r="D43" s="16"/>
      <c r="E43" s="6" t="s">
        <v>20</v>
      </c>
      <c r="F43" s="9" t="str">
        <f>IFERROR(VLOOKUP(D43,'Комиссия за продажу (РУС)'!E:F,2,0),"")</f>
        <v/>
      </c>
      <c r="G43" s="10">
        <f t="shared" si="0"/>
        <v>20000</v>
      </c>
      <c r="H43" s="10" t="str">
        <f t="shared" si="1"/>
        <v/>
      </c>
      <c r="I43" s="10" t="e">
        <f t="shared" si="2"/>
        <v>#VALUE!</v>
      </c>
      <c r="J43" s="10" t="str">
        <f t="shared" si="3"/>
        <v/>
      </c>
      <c r="K43" s="10"/>
      <c r="L43" s="10" t="str">
        <f t="shared" si="4"/>
        <v/>
      </c>
      <c r="O43" s="5"/>
      <c r="P43" s="5"/>
    </row>
    <row r="44" spans="1:16" ht="13.2" x14ac:dyDescent="0.25">
      <c r="A44" s="6">
        <v>43</v>
      </c>
      <c r="B44" s="17"/>
      <c r="C44" s="6" t="s">
        <v>12</v>
      </c>
      <c r="D44" s="16"/>
      <c r="E44" s="6" t="s">
        <v>20</v>
      </c>
      <c r="F44" s="9" t="str">
        <f>IFERROR(VLOOKUP(D44,'Комиссия за продажу (РУС)'!E:F,2,0),"")</f>
        <v/>
      </c>
      <c r="G44" s="10">
        <f t="shared" si="0"/>
        <v>20000</v>
      </c>
      <c r="H44" s="10" t="str">
        <f t="shared" si="1"/>
        <v/>
      </c>
      <c r="I44" s="10" t="e">
        <f t="shared" si="2"/>
        <v>#VALUE!</v>
      </c>
      <c r="J44" s="10" t="str">
        <f t="shared" si="3"/>
        <v/>
      </c>
      <c r="K44" s="10"/>
      <c r="L44" s="10" t="str">
        <f t="shared" si="4"/>
        <v/>
      </c>
      <c r="O44" s="5"/>
      <c r="P44" s="5"/>
    </row>
    <row r="45" spans="1:16" ht="13.2" x14ac:dyDescent="0.25">
      <c r="A45" s="6">
        <v>44</v>
      </c>
      <c r="B45" s="17"/>
      <c r="C45" s="6" t="s">
        <v>12</v>
      </c>
      <c r="D45" s="16"/>
      <c r="E45" s="6" t="s">
        <v>20</v>
      </c>
      <c r="F45" s="9" t="str">
        <f>IFERROR(VLOOKUP(D45,'Комиссия за продажу (РУС)'!E:F,2,0),"")</f>
        <v/>
      </c>
      <c r="G45" s="10">
        <f t="shared" si="0"/>
        <v>20000</v>
      </c>
      <c r="H45" s="10" t="str">
        <f t="shared" si="1"/>
        <v/>
      </c>
      <c r="I45" s="10" t="e">
        <f t="shared" si="2"/>
        <v>#VALUE!</v>
      </c>
      <c r="J45" s="10" t="str">
        <f t="shared" si="3"/>
        <v/>
      </c>
      <c r="K45" s="10"/>
      <c r="L45" s="10" t="str">
        <f t="shared" si="4"/>
        <v/>
      </c>
      <c r="O45" s="5"/>
      <c r="P45" s="5"/>
    </row>
    <row r="46" spans="1:16" ht="13.2" x14ac:dyDescent="0.25">
      <c r="A46" s="6">
        <v>45</v>
      </c>
      <c r="B46" s="17"/>
      <c r="C46" s="6" t="s">
        <v>12</v>
      </c>
      <c r="D46" s="16"/>
      <c r="E46" s="6" t="s">
        <v>20</v>
      </c>
      <c r="F46" s="9" t="str">
        <f>IFERROR(VLOOKUP(D46,'Комиссия за продажу (РУС)'!E:F,2,0),"")</f>
        <v/>
      </c>
      <c r="G46" s="10">
        <f t="shared" si="0"/>
        <v>20000</v>
      </c>
      <c r="H46" s="10" t="str">
        <f t="shared" si="1"/>
        <v/>
      </c>
      <c r="I46" s="10" t="e">
        <f t="shared" si="2"/>
        <v>#VALUE!</v>
      </c>
      <c r="J46" s="10" t="str">
        <f t="shared" si="3"/>
        <v/>
      </c>
      <c r="K46" s="10"/>
      <c r="L46" s="10" t="str">
        <f t="shared" si="4"/>
        <v/>
      </c>
      <c r="O46" s="5"/>
      <c r="P46" s="5"/>
    </row>
    <row r="47" spans="1:16" ht="13.2" x14ac:dyDescent="0.25">
      <c r="A47" s="6">
        <v>46</v>
      </c>
      <c r="B47" s="17"/>
      <c r="C47" s="6" t="s">
        <v>12</v>
      </c>
      <c r="D47" s="16"/>
      <c r="E47" s="6" t="s">
        <v>20</v>
      </c>
      <c r="F47" s="9" t="str">
        <f>IFERROR(VLOOKUP(D47,'Комиссия за продажу (РУС)'!E:F,2,0),"")</f>
        <v/>
      </c>
      <c r="G47" s="10">
        <f t="shared" si="0"/>
        <v>20000</v>
      </c>
      <c r="H47" s="10" t="str">
        <f t="shared" si="1"/>
        <v/>
      </c>
      <c r="I47" s="10" t="e">
        <f t="shared" si="2"/>
        <v>#VALUE!</v>
      </c>
      <c r="J47" s="10" t="str">
        <f t="shared" si="3"/>
        <v/>
      </c>
      <c r="K47" s="10"/>
      <c r="L47" s="10" t="str">
        <f t="shared" si="4"/>
        <v/>
      </c>
      <c r="O47" s="5"/>
      <c r="P47" s="5"/>
    </row>
    <row r="48" spans="1:16" ht="13.2" x14ac:dyDescent="0.25">
      <c r="A48" s="6">
        <v>47</v>
      </c>
      <c r="B48" s="17"/>
      <c r="C48" s="6" t="s">
        <v>12</v>
      </c>
      <c r="D48" s="16"/>
      <c r="E48" s="6" t="s">
        <v>20</v>
      </c>
      <c r="F48" s="9" t="str">
        <f>IFERROR(VLOOKUP(D48,'Комиссия за продажу (РУС)'!E:F,2,0),"")</f>
        <v/>
      </c>
      <c r="G48" s="10">
        <f t="shared" si="0"/>
        <v>20000</v>
      </c>
      <c r="H48" s="10" t="str">
        <f t="shared" si="1"/>
        <v/>
      </c>
      <c r="I48" s="10" t="e">
        <f t="shared" si="2"/>
        <v>#VALUE!</v>
      </c>
      <c r="J48" s="10" t="str">
        <f t="shared" si="3"/>
        <v/>
      </c>
      <c r="K48" s="10"/>
      <c r="L48" s="10" t="str">
        <f t="shared" si="4"/>
        <v/>
      </c>
      <c r="O48" s="5"/>
      <c r="P48" s="5"/>
    </row>
    <row r="49" spans="1:16" ht="13.2" x14ac:dyDescent="0.25">
      <c r="A49" s="6">
        <v>48</v>
      </c>
      <c r="B49" s="17"/>
      <c r="C49" s="6" t="s">
        <v>12</v>
      </c>
      <c r="D49" s="16"/>
      <c r="E49" s="6" t="s">
        <v>20</v>
      </c>
      <c r="F49" s="9" t="str">
        <f>IFERROR(VLOOKUP(D49,'Комиссия за продажу (РУС)'!E:F,2,0),"")</f>
        <v/>
      </c>
      <c r="G49" s="10">
        <f t="shared" si="0"/>
        <v>20000</v>
      </c>
      <c r="H49" s="10" t="str">
        <f t="shared" si="1"/>
        <v/>
      </c>
      <c r="I49" s="10" t="e">
        <f t="shared" si="2"/>
        <v>#VALUE!</v>
      </c>
      <c r="J49" s="10" t="str">
        <f t="shared" si="3"/>
        <v/>
      </c>
      <c r="K49" s="10"/>
      <c r="L49" s="10" t="str">
        <f t="shared" si="4"/>
        <v/>
      </c>
      <c r="O49" s="5"/>
      <c r="P49" s="5"/>
    </row>
    <row r="50" spans="1:16" ht="13.2" x14ac:dyDescent="0.25">
      <c r="A50" s="6">
        <v>49</v>
      </c>
      <c r="B50" s="17"/>
      <c r="C50" s="6" t="s">
        <v>12</v>
      </c>
      <c r="D50" s="16"/>
      <c r="E50" s="6" t="s">
        <v>20</v>
      </c>
      <c r="F50" s="9" t="str">
        <f>IFERROR(VLOOKUP(D50,'Комиссия за продажу (РУС)'!E:F,2,0),"")</f>
        <v/>
      </c>
      <c r="G50" s="10">
        <f t="shared" si="0"/>
        <v>20000</v>
      </c>
      <c r="H50" s="10" t="str">
        <f t="shared" si="1"/>
        <v/>
      </c>
      <c r="I50" s="10" t="e">
        <f t="shared" si="2"/>
        <v>#VALUE!</v>
      </c>
      <c r="J50" s="10" t="str">
        <f t="shared" si="3"/>
        <v/>
      </c>
      <c r="K50" s="10"/>
      <c r="L50" s="10" t="str">
        <f t="shared" si="4"/>
        <v/>
      </c>
      <c r="O50" s="5"/>
      <c r="P50" s="5"/>
    </row>
    <row r="51" spans="1:16" ht="13.2" x14ac:dyDescent="0.25">
      <c r="A51" s="6">
        <v>50</v>
      </c>
      <c r="B51" s="17"/>
      <c r="C51" s="6" t="s">
        <v>12</v>
      </c>
      <c r="D51" s="16"/>
      <c r="E51" s="6" t="s">
        <v>20</v>
      </c>
      <c r="F51" s="9" t="str">
        <f>IFERROR(VLOOKUP(D51,'Комиссия за продажу (РУС)'!E:F,2,0),"")</f>
        <v/>
      </c>
      <c r="G51" s="10">
        <f t="shared" si="0"/>
        <v>20000</v>
      </c>
      <c r="H51" s="10" t="str">
        <f t="shared" si="1"/>
        <v/>
      </c>
      <c r="I51" s="10" t="e">
        <f t="shared" si="2"/>
        <v>#VALUE!</v>
      </c>
      <c r="J51" s="10" t="str">
        <f t="shared" si="3"/>
        <v/>
      </c>
      <c r="K51" s="10"/>
      <c r="L51" s="10" t="str">
        <f t="shared" si="4"/>
        <v/>
      </c>
      <c r="O51" s="5"/>
      <c r="P51" s="5"/>
    </row>
    <row r="52" spans="1:16" ht="13.2" x14ac:dyDescent="0.25">
      <c r="A52" s="6">
        <v>51</v>
      </c>
      <c r="B52" s="17"/>
      <c r="C52" s="6" t="s">
        <v>12</v>
      </c>
      <c r="D52" s="16"/>
      <c r="E52" s="6" t="s">
        <v>20</v>
      </c>
      <c r="F52" s="9" t="str">
        <f>IFERROR(VLOOKUP(D52,'Комиссия за продажу (РУС)'!E:F,2,0),"")</f>
        <v/>
      </c>
      <c r="G52" s="10">
        <f t="shared" si="0"/>
        <v>20000</v>
      </c>
      <c r="H52" s="10" t="str">
        <f t="shared" si="1"/>
        <v/>
      </c>
      <c r="I52" s="10" t="e">
        <f t="shared" si="2"/>
        <v>#VALUE!</v>
      </c>
      <c r="J52" s="10" t="str">
        <f t="shared" si="3"/>
        <v/>
      </c>
      <c r="K52" s="10"/>
      <c r="L52" s="10" t="str">
        <f t="shared" si="4"/>
        <v/>
      </c>
      <c r="O52" s="5"/>
      <c r="P52" s="5"/>
    </row>
    <row r="53" spans="1:16" ht="13.2" x14ac:dyDescent="0.25">
      <c r="A53" s="6">
        <v>52</v>
      </c>
      <c r="B53" s="17"/>
      <c r="C53" s="6" t="s">
        <v>12</v>
      </c>
      <c r="D53" s="16"/>
      <c r="E53" s="6" t="s">
        <v>20</v>
      </c>
      <c r="F53" s="9" t="str">
        <f>IFERROR(VLOOKUP(D53,'Комиссия за продажу (РУС)'!E:F,2,0),"")</f>
        <v/>
      </c>
      <c r="G53" s="10">
        <f t="shared" si="0"/>
        <v>20000</v>
      </c>
      <c r="H53" s="10" t="str">
        <f t="shared" si="1"/>
        <v/>
      </c>
      <c r="I53" s="10" t="e">
        <f t="shared" si="2"/>
        <v>#VALUE!</v>
      </c>
      <c r="J53" s="10" t="str">
        <f t="shared" si="3"/>
        <v/>
      </c>
      <c r="K53" s="10"/>
      <c r="L53" s="10" t="str">
        <f t="shared" si="4"/>
        <v/>
      </c>
      <c r="O53" s="5"/>
      <c r="P53" s="5"/>
    </row>
    <row r="54" spans="1:16" ht="13.2" x14ac:dyDescent="0.25">
      <c r="A54" s="6">
        <v>53</v>
      </c>
      <c r="B54" s="17"/>
      <c r="C54" s="6" t="s">
        <v>12</v>
      </c>
      <c r="D54" s="16"/>
      <c r="E54" s="6" t="s">
        <v>20</v>
      </c>
      <c r="F54" s="9" t="str">
        <f>IFERROR(VLOOKUP(D54,'Комиссия за продажу (РУС)'!E:F,2,0),"")</f>
        <v/>
      </c>
      <c r="G54" s="10">
        <f t="shared" si="0"/>
        <v>20000</v>
      </c>
      <c r="H54" s="10" t="str">
        <f t="shared" si="1"/>
        <v/>
      </c>
      <c r="I54" s="10" t="e">
        <f t="shared" si="2"/>
        <v>#VALUE!</v>
      </c>
      <c r="J54" s="10" t="str">
        <f t="shared" si="3"/>
        <v/>
      </c>
      <c r="K54" s="10"/>
      <c r="L54" s="10" t="str">
        <f t="shared" si="4"/>
        <v/>
      </c>
      <c r="O54" s="5"/>
      <c r="P54" s="5"/>
    </row>
    <row r="55" spans="1:16" ht="13.2" x14ac:dyDescent="0.25">
      <c r="A55" s="6">
        <v>54</v>
      </c>
      <c r="B55" s="17"/>
      <c r="C55" s="6" t="s">
        <v>12</v>
      </c>
      <c r="D55" s="16"/>
      <c r="E55" s="6" t="s">
        <v>20</v>
      </c>
      <c r="F55" s="9" t="str">
        <f>IFERROR(VLOOKUP(D55,'Комиссия за продажу (РУС)'!E:F,2,0),"")</f>
        <v/>
      </c>
      <c r="G55" s="10">
        <f t="shared" si="0"/>
        <v>20000</v>
      </c>
      <c r="H55" s="10" t="str">
        <f t="shared" si="1"/>
        <v/>
      </c>
      <c r="I55" s="10" t="e">
        <f t="shared" si="2"/>
        <v>#VALUE!</v>
      </c>
      <c r="J55" s="10" t="str">
        <f t="shared" si="3"/>
        <v/>
      </c>
      <c r="K55" s="10"/>
      <c r="L55" s="10" t="str">
        <f t="shared" si="4"/>
        <v/>
      </c>
      <c r="O55" s="5"/>
      <c r="P55" s="5"/>
    </row>
    <row r="56" spans="1:16" ht="13.2" x14ac:dyDescent="0.25">
      <c r="A56" s="6">
        <v>55</v>
      </c>
      <c r="B56" s="17"/>
      <c r="C56" s="6" t="s">
        <v>12</v>
      </c>
      <c r="D56" s="16"/>
      <c r="E56" s="6" t="s">
        <v>20</v>
      </c>
      <c r="F56" s="9" t="str">
        <f>IFERROR(VLOOKUP(D56,'Комиссия за продажу (РУС)'!E:F,2,0),"")</f>
        <v/>
      </c>
      <c r="G56" s="10">
        <f t="shared" si="0"/>
        <v>20000</v>
      </c>
      <c r="H56" s="10" t="str">
        <f t="shared" si="1"/>
        <v/>
      </c>
      <c r="I56" s="10" t="e">
        <f t="shared" si="2"/>
        <v>#VALUE!</v>
      </c>
      <c r="J56" s="10" t="str">
        <f t="shared" si="3"/>
        <v/>
      </c>
      <c r="K56" s="10"/>
      <c r="L56" s="10" t="str">
        <f t="shared" si="4"/>
        <v/>
      </c>
      <c r="O56" s="5"/>
      <c r="P56" s="5"/>
    </row>
    <row r="57" spans="1:16" ht="13.2" x14ac:dyDescent="0.25">
      <c r="A57" s="6">
        <v>56</v>
      </c>
      <c r="B57" s="17"/>
      <c r="C57" s="6" t="s">
        <v>12</v>
      </c>
      <c r="D57" s="16"/>
      <c r="E57" s="6" t="s">
        <v>20</v>
      </c>
      <c r="F57" s="9" t="str">
        <f>IFERROR(VLOOKUP(D57,'Комиссия за продажу (РУС)'!E:F,2,0),"")</f>
        <v/>
      </c>
      <c r="G57" s="10">
        <f t="shared" si="0"/>
        <v>20000</v>
      </c>
      <c r="H57" s="10" t="str">
        <f t="shared" si="1"/>
        <v/>
      </c>
      <c r="I57" s="10" t="e">
        <f t="shared" si="2"/>
        <v>#VALUE!</v>
      </c>
      <c r="J57" s="10" t="str">
        <f t="shared" si="3"/>
        <v/>
      </c>
      <c r="K57" s="10"/>
      <c r="L57" s="10" t="str">
        <f t="shared" si="4"/>
        <v/>
      </c>
      <c r="O57" s="5"/>
      <c r="P57" s="5"/>
    </row>
    <row r="58" spans="1:16" ht="13.2" x14ac:dyDescent="0.25">
      <c r="A58" s="6">
        <v>57</v>
      </c>
      <c r="B58" s="17"/>
      <c r="C58" s="6" t="s">
        <v>12</v>
      </c>
      <c r="D58" s="16"/>
      <c r="E58" s="6" t="s">
        <v>20</v>
      </c>
      <c r="F58" s="9" t="str">
        <f>IFERROR(VLOOKUP(D58,'Комиссия за продажу (РУС)'!E:F,2,0),"")</f>
        <v/>
      </c>
      <c r="G58" s="10">
        <f t="shared" si="0"/>
        <v>20000</v>
      </c>
      <c r="H58" s="10" t="str">
        <f t="shared" si="1"/>
        <v/>
      </c>
      <c r="I58" s="10" t="e">
        <f t="shared" si="2"/>
        <v>#VALUE!</v>
      </c>
      <c r="J58" s="10" t="str">
        <f t="shared" si="3"/>
        <v/>
      </c>
      <c r="K58" s="10"/>
      <c r="L58" s="10" t="str">
        <f t="shared" si="4"/>
        <v/>
      </c>
      <c r="O58" s="5"/>
      <c r="P58" s="5"/>
    </row>
    <row r="59" spans="1:16" ht="13.2" x14ac:dyDescent="0.25">
      <c r="A59" s="6">
        <v>58</v>
      </c>
      <c r="B59" s="17"/>
      <c r="C59" s="6" t="s">
        <v>12</v>
      </c>
      <c r="D59" s="16"/>
      <c r="E59" s="6" t="s">
        <v>20</v>
      </c>
      <c r="F59" s="9" t="str">
        <f>IFERROR(VLOOKUP(D59,'Комиссия за продажу (РУС)'!E:F,2,0),"")</f>
        <v/>
      </c>
      <c r="G59" s="10">
        <f t="shared" si="0"/>
        <v>20000</v>
      </c>
      <c r="H59" s="10" t="str">
        <f t="shared" si="1"/>
        <v/>
      </c>
      <c r="I59" s="10" t="e">
        <f t="shared" si="2"/>
        <v>#VALUE!</v>
      </c>
      <c r="J59" s="10" t="str">
        <f t="shared" si="3"/>
        <v/>
      </c>
      <c r="K59" s="10"/>
      <c r="L59" s="10" t="str">
        <f t="shared" si="4"/>
        <v/>
      </c>
      <c r="O59" s="5"/>
      <c r="P59" s="5"/>
    </row>
    <row r="60" spans="1:16" ht="13.2" x14ac:dyDescent="0.25">
      <c r="A60" s="6">
        <v>59</v>
      </c>
      <c r="B60" s="17"/>
      <c r="C60" s="6" t="s">
        <v>12</v>
      </c>
      <c r="D60" s="16"/>
      <c r="E60" s="6" t="s">
        <v>20</v>
      </c>
      <c r="F60" s="9" t="str">
        <f>IFERROR(VLOOKUP(D60,'Комиссия за продажу (РУС)'!E:F,2,0),"")</f>
        <v/>
      </c>
      <c r="G60" s="10">
        <f t="shared" si="0"/>
        <v>20000</v>
      </c>
      <c r="H60" s="10" t="str">
        <f t="shared" si="1"/>
        <v/>
      </c>
      <c r="I60" s="10" t="e">
        <f t="shared" si="2"/>
        <v>#VALUE!</v>
      </c>
      <c r="J60" s="10" t="str">
        <f t="shared" si="3"/>
        <v/>
      </c>
      <c r="K60" s="10"/>
      <c r="L60" s="10" t="str">
        <f t="shared" si="4"/>
        <v/>
      </c>
      <c r="O60" s="5"/>
      <c r="P60" s="5"/>
    </row>
    <row r="61" spans="1:16" ht="13.2" x14ac:dyDescent="0.25">
      <c r="A61" s="6">
        <v>60</v>
      </c>
      <c r="B61" s="17"/>
      <c r="C61" s="6" t="s">
        <v>12</v>
      </c>
      <c r="D61" s="16"/>
      <c r="E61" s="6" t="s">
        <v>20</v>
      </c>
      <c r="F61" s="9" t="str">
        <f>IFERROR(VLOOKUP(D61,'Комиссия за продажу (РУС)'!E:F,2,0),"")</f>
        <v/>
      </c>
      <c r="G61" s="10">
        <f t="shared" si="0"/>
        <v>20000</v>
      </c>
      <c r="H61" s="10" t="str">
        <f t="shared" si="1"/>
        <v/>
      </c>
      <c r="I61" s="10" t="e">
        <f t="shared" si="2"/>
        <v>#VALUE!</v>
      </c>
      <c r="J61" s="10" t="str">
        <f t="shared" si="3"/>
        <v/>
      </c>
      <c r="K61" s="10"/>
      <c r="L61" s="10" t="str">
        <f t="shared" si="4"/>
        <v/>
      </c>
      <c r="O61" s="5"/>
      <c r="P61" s="5"/>
    </row>
    <row r="62" spans="1:16" ht="13.2" x14ac:dyDescent="0.25">
      <c r="A62" s="6">
        <v>61</v>
      </c>
      <c r="B62" s="17"/>
      <c r="C62" s="6" t="s">
        <v>12</v>
      </c>
      <c r="D62" s="16"/>
      <c r="E62" s="6" t="s">
        <v>20</v>
      </c>
      <c r="F62" s="9" t="str">
        <f>IFERROR(VLOOKUP(D62,'Комиссия за продажу (РУС)'!E:F,2,0),"")</f>
        <v/>
      </c>
      <c r="G62" s="10">
        <f t="shared" si="0"/>
        <v>20000</v>
      </c>
      <c r="H62" s="10" t="str">
        <f t="shared" si="1"/>
        <v/>
      </c>
      <c r="I62" s="10" t="e">
        <f t="shared" si="2"/>
        <v>#VALUE!</v>
      </c>
      <c r="J62" s="10" t="str">
        <f t="shared" si="3"/>
        <v/>
      </c>
      <c r="K62" s="10"/>
      <c r="L62" s="10" t="str">
        <f t="shared" si="4"/>
        <v/>
      </c>
      <c r="O62" s="5"/>
      <c r="P62" s="5"/>
    </row>
    <row r="63" spans="1:16" ht="13.2" x14ac:dyDescent="0.25">
      <c r="A63" s="6">
        <v>62</v>
      </c>
      <c r="B63" s="17"/>
      <c r="C63" s="6" t="s">
        <v>12</v>
      </c>
      <c r="D63" s="16"/>
      <c r="E63" s="6" t="s">
        <v>20</v>
      </c>
      <c r="F63" s="9" t="str">
        <f>IFERROR(VLOOKUP(D63,'Комиссия за продажу (РУС)'!E:F,2,0),"")</f>
        <v/>
      </c>
      <c r="G63" s="10">
        <f t="shared" si="0"/>
        <v>20000</v>
      </c>
      <c r="H63" s="10" t="str">
        <f t="shared" si="1"/>
        <v/>
      </c>
      <c r="I63" s="10" t="e">
        <f t="shared" si="2"/>
        <v>#VALUE!</v>
      </c>
      <c r="J63" s="10" t="str">
        <f t="shared" si="3"/>
        <v/>
      </c>
      <c r="K63" s="10"/>
      <c r="L63" s="10" t="str">
        <f t="shared" si="4"/>
        <v/>
      </c>
      <c r="O63" s="5"/>
      <c r="P63" s="5"/>
    </row>
    <row r="64" spans="1:16" ht="13.2" x14ac:dyDescent="0.25">
      <c r="A64" s="6">
        <v>63</v>
      </c>
      <c r="B64" s="17"/>
      <c r="C64" s="6" t="s">
        <v>12</v>
      </c>
      <c r="D64" s="16"/>
      <c r="E64" s="6" t="s">
        <v>20</v>
      </c>
      <c r="F64" s="9" t="str">
        <f>IFERROR(VLOOKUP(D64,'Комиссия за продажу (РУС)'!E:F,2,0),"")</f>
        <v/>
      </c>
      <c r="G64" s="10">
        <f t="shared" si="0"/>
        <v>20000</v>
      </c>
      <c r="H64" s="10" t="str">
        <f t="shared" si="1"/>
        <v/>
      </c>
      <c r="I64" s="10" t="e">
        <f t="shared" si="2"/>
        <v>#VALUE!</v>
      </c>
      <c r="J64" s="10" t="str">
        <f t="shared" si="3"/>
        <v/>
      </c>
      <c r="K64" s="10"/>
      <c r="L64" s="10" t="str">
        <f t="shared" si="4"/>
        <v/>
      </c>
      <c r="O64" s="5"/>
      <c r="P64" s="5"/>
    </row>
    <row r="65" spans="1:16" ht="13.2" x14ac:dyDescent="0.25">
      <c r="A65" s="6">
        <v>64</v>
      </c>
      <c r="B65" s="17"/>
      <c r="C65" s="6" t="s">
        <v>12</v>
      </c>
      <c r="D65" s="16"/>
      <c r="E65" s="6" t="s">
        <v>20</v>
      </c>
      <c r="F65" s="9" t="str">
        <f>IFERROR(VLOOKUP(D65,'Комиссия за продажу (РУС)'!E:F,2,0),"")</f>
        <v/>
      </c>
      <c r="G65" s="10">
        <f t="shared" si="0"/>
        <v>20000</v>
      </c>
      <c r="H65" s="10" t="str">
        <f t="shared" si="1"/>
        <v/>
      </c>
      <c r="I65" s="10" t="e">
        <f t="shared" si="2"/>
        <v>#VALUE!</v>
      </c>
      <c r="J65" s="10" t="str">
        <f t="shared" si="3"/>
        <v/>
      </c>
      <c r="K65" s="10"/>
      <c r="L65" s="10" t="str">
        <f t="shared" si="4"/>
        <v/>
      </c>
      <c r="O65" s="5"/>
      <c r="P65" s="5"/>
    </row>
    <row r="66" spans="1:16" ht="13.2" x14ac:dyDescent="0.25">
      <c r="A66" s="6">
        <v>65</v>
      </c>
      <c r="B66" s="17"/>
      <c r="C66" s="6" t="s">
        <v>12</v>
      </c>
      <c r="D66" s="16"/>
      <c r="E66" s="6" t="s">
        <v>20</v>
      </c>
      <c r="F66" s="9" t="str">
        <f>IFERROR(VLOOKUP(D66,'Комиссия за продажу (РУС)'!E:F,2,0),"")</f>
        <v/>
      </c>
      <c r="G66" s="10">
        <f t="shared" si="0"/>
        <v>20000</v>
      </c>
      <c r="H66" s="10" t="str">
        <f t="shared" si="1"/>
        <v/>
      </c>
      <c r="I66" s="10" t="e">
        <f t="shared" si="2"/>
        <v>#VALUE!</v>
      </c>
      <c r="J66" s="10" t="str">
        <f t="shared" si="3"/>
        <v/>
      </c>
      <c r="K66" s="10"/>
      <c r="L66" s="10" t="str">
        <f t="shared" si="4"/>
        <v/>
      </c>
      <c r="O66" s="5"/>
      <c r="P66" s="5"/>
    </row>
    <row r="67" spans="1:16" ht="13.2" x14ac:dyDescent="0.25">
      <c r="A67" s="6">
        <v>66</v>
      </c>
      <c r="B67" s="17"/>
      <c r="C67" s="6" t="s">
        <v>12</v>
      </c>
      <c r="D67" s="16"/>
      <c r="E67" s="6" t="s">
        <v>20</v>
      </c>
      <c r="F67" s="9" t="str">
        <f>IFERROR(VLOOKUP(D67,'Комиссия за продажу (РУС)'!E:F,2,0),"")</f>
        <v/>
      </c>
      <c r="G67" s="10">
        <f t="shared" si="0"/>
        <v>20000</v>
      </c>
      <c r="H67" s="10" t="str">
        <f t="shared" si="1"/>
        <v/>
      </c>
      <c r="I67" s="10" t="e">
        <f t="shared" si="2"/>
        <v>#VALUE!</v>
      </c>
      <c r="J67" s="10" t="str">
        <f t="shared" si="3"/>
        <v/>
      </c>
      <c r="K67" s="10"/>
      <c r="L67" s="10" t="str">
        <f t="shared" si="4"/>
        <v/>
      </c>
      <c r="O67" s="5"/>
      <c r="P67" s="5"/>
    </row>
    <row r="68" spans="1:16" ht="13.2" x14ac:dyDescent="0.25">
      <c r="A68" s="6">
        <v>67</v>
      </c>
      <c r="B68" s="17"/>
      <c r="C68" s="6" t="s">
        <v>12</v>
      </c>
      <c r="D68" s="16"/>
      <c r="E68" s="6" t="s">
        <v>20</v>
      </c>
      <c r="F68" s="9" t="str">
        <f>IFERROR(VLOOKUP(D68,'Комиссия за продажу (РУС)'!E:F,2,0),"")</f>
        <v/>
      </c>
      <c r="G68" s="10">
        <f t="shared" si="0"/>
        <v>20000</v>
      </c>
      <c r="H68" s="10" t="str">
        <f t="shared" si="1"/>
        <v/>
      </c>
      <c r="I68" s="10" t="e">
        <f t="shared" si="2"/>
        <v>#VALUE!</v>
      </c>
      <c r="J68" s="10" t="str">
        <f t="shared" si="3"/>
        <v/>
      </c>
      <c r="K68" s="10"/>
      <c r="L68" s="10" t="str">
        <f t="shared" si="4"/>
        <v/>
      </c>
      <c r="O68" s="5"/>
      <c r="P68" s="5"/>
    </row>
    <row r="69" spans="1:16" ht="13.2" x14ac:dyDescent="0.25">
      <c r="A69" s="6">
        <v>68</v>
      </c>
      <c r="B69" s="17"/>
      <c r="C69" s="6" t="s">
        <v>12</v>
      </c>
      <c r="D69" s="16"/>
      <c r="E69" s="6" t="s">
        <v>20</v>
      </c>
      <c r="F69" s="9" t="str">
        <f>IFERROR(VLOOKUP(D69,'Комиссия за продажу (РУС)'!E:F,2,0),"")</f>
        <v/>
      </c>
      <c r="G69" s="10">
        <f t="shared" si="0"/>
        <v>20000</v>
      </c>
      <c r="H69" s="10" t="str">
        <f t="shared" si="1"/>
        <v/>
      </c>
      <c r="I69" s="10" t="e">
        <f t="shared" si="2"/>
        <v>#VALUE!</v>
      </c>
      <c r="J69" s="10" t="str">
        <f t="shared" si="3"/>
        <v/>
      </c>
      <c r="K69" s="10"/>
      <c r="L69" s="10" t="str">
        <f t="shared" si="4"/>
        <v/>
      </c>
      <c r="O69" s="5"/>
      <c r="P69" s="5"/>
    </row>
    <row r="70" spans="1:16" ht="13.2" x14ac:dyDescent="0.25">
      <c r="A70" s="6">
        <v>69</v>
      </c>
      <c r="B70" s="17"/>
      <c r="C70" s="6" t="s">
        <v>12</v>
      </c>
      <c r="D70" s="16"/>
      <c r="E70" s="6" t="s">
        <v>20</v>
      </c>
      <c r="F70" s="9" t="str">
        <f>IFERROR(VLOOKUP(D70,'Комиссия за продажу (РУС)'!E:F,2,0),"")</f>
        <v/>
      </c>
      <c r="G70" s="10">
        <f t="shared" si="0"/>
        <v>20000</v>
      </c>
      <c r="H70" s="10" t="str">
        <f t="shared" si="1"/>
        <v/>
      </c>
      <c r="I70" s="10" t="e">
        <f t="shared" si="2"/>
        <v>#VALUE!</v>
      </c>
      <c r="J70" s="10" t="str">
        <f t="shared" si="3"/>
        <v/>
      </c>
      <c r="K70" s="10"/>
      <c r="L70" s="10" t="str">
        <f t="shared" si="4"/>
        <v/>
      </c>
      <c r="O70" s="5"/>
      <c r="P70" s="5"/>
    </row>
    <row r="71" spans="1:16" ht="13.2" x14ac:dyDescent="0.25">
      <c r="A71" s="6">
        <v>70</v>
      </c>
      <c r="B71" s="17"/>
      <c r="C71" s="6" t="s">
        <v>12</v>
      </c>
      <c r="D71" s="16"/>
      <c r="E71" s="6" t="s">
        <v>20</v>
      </c>
      <c r="F71" s="9" t="str">
        <f>IFERROR(VLOOKUP(D71,'Комиссия за продажу (РУС)'!E:F,2,0),"")</f>
        <v/>
      </c>
      <c r="G71" s="10">
        <f t="shared" si="0"/>
        <v>20000</v>
      </c>
      <c r="H71" s="10" t="str">
        <f t="shared" si="1"/>
        <v/>
      </c>
      <c r="I71" s="10" t="e">
        <f t="shared" si="2"/>
        <v>#VALUE!</v>
      </c>
      <c r="J71" s="10" t="str">
        <f t="shared" si="3"/>
        <v/>
      </c>
      <c r="K71" s="10"/>
      <c r="L71" s="10" t="str">
        <f t="shared" si="4"/>
        <v/>
      </c>
      <c r="O71" s="5"/>
      <c r="P71" s="5"/>
    </row>
    <row r="72" spans="1:16" ht="13.2" x14ac:dyDescent="0.25">
      <c r="A72" s="6">
        <v>71</v>
      </c>
      <c r="B72" s="17"/>
      <c r="C72" s="6" t="s">
        <v>12</v>
      </c>
      <c r="D72" s="16"/>
      <c r="E72" s="6" t="s">
        <v>20</v>
      </c>
      <c r="F72" s="9" t="str">
        <f>IFERROR(VLOOKUP(D72,'Комиссия за продажу (РУС)'!E:F,2,0),"")</f>
        <v/>
      </c>
      <c r="G72" s="10">
        <f t="shared" si="0"/>
        <v>20000</v>
      </c>
      <c r="H72" s="10" t="str">
        <f t="shared" si="1"/>
        <v/>
      </c>
      <c r="I72" s="10" t="e">
        <f t="shared" si="2"/>
        <v>#VALUE!</v>
      </c>
      <c r="J72" s="10" t="str">
        <f t="shared" si="3"/>
        <v/>
      </c>
      <c r="K72" s="10"/>
      <c r="L72" s="10" t="str">
        <f t="shared" si="4"/>
        <v/>
      </c>
      <c r="O72" s="5"/>
      <c r="P72" s="5"/>
    </row>
    <row r="73" spans="1:16" ht="13.2" x14ac:dyDescent="0.25">
      <c r="A73" s="6">
        <v>72</v>
      </c>
      <c r="B73" s="17"/>
      <c r="C73" s="6" t="s">
        <v>12</v>
      </c>
      <c r="D73" s="16"/>
      <c r="E73" s="6" t="s">
        <v>20</v>
      </c>
      <c r="F73" s="9" t="str">
        <f>IFERROR(VLOOKUP(D73,'Комиссия за продажу (РУС)'!E:F,2,0),"")</f>
        <v/>
      </c>
      <c r="G73" s="10">
        <f t="shared" si="0"/>
        <v>20000</v>
      </c>
      <c r="H73" s="10" t="str">
        <f t="shared" si="1"/>
        <v/>
      </c>
      <c r="I73" s="10" t="e">
        <f t="shared" si="2"/>
        <v>#VALUE!</v>
      </c>
      <c r="J73" s="10" t="str">
        <f t="shared" si="3"/>
        <v/>
      </c>
      <c r="K73" s="10"/>
      <c r="L73" s="10" t="str">
        <f t="shared" si="4"/>
        <v/>
      </c>
      <c r="O73" s="5"/>
      <c r="P73" s="5"/>
    </row>
    <row r="74" spans="1:16" ht="13.2" x14ac:dyDescent="0.25">
      <c r="A74" s="6">
        <v>73</v>
      </c>
      <c r="B74" s="17"/>
      <c r="C74" s="6" t="s">
        <v>12</v>
      </c>
      <c r="D74" s="16"/>
      <c r="E74" s="6" t="s">
        <v>20</v>
      </c>
      <c r="F74" s="9" t="str">
        <f>IFERROR(VLOOKUP(D74,'Комиссия за продажу (РУС)'!E:F,2,0),"")</f>
        <v/>
      </c>
      <c r="G74" s="10">
        <f t="shared" si="0"/>
        <v>20000</v>
      </c>
      <c r="H74" s="10" t="str">
        <f t="shared" si="1"/>
        <v/>
      </c>
      <c r="I74" s="10" t="e">
        <f t="shared" si="2"/>
        <v>#VALUE!</v>
      </c>
      <c r="J74" s="10" t="str">
        <f t="shared" si="3"/>
        <v/>
      </c>
      <c r="K74" s="10"/>
      <c r="L74" s="10" t="str">
        <f t="shared" si="4"/>
        <v/>
      </c>
      <c r="O74" s="5"/>
      <c r="P74" s="5"/>
    </row>
    <row r="75" spans="1:16" ht="13.2" x14ac:dyDescent="0.25">
      <c r="A75" s="6">
        <v>74</v>
      </c>
      <c r="B75" s="17"/>
      <c r="C75" s="6" t="s">
        <v>12</v>
      </c>
      <c r="D75" s="16"/>
      <c r="E75" s="6" t="s">
        <v>20</v>
      </c>
      <c r="F75" s="9" t="str">
        <f>IFERROR(VLOOKUP(D75,'Комиссия за продажу (РУС)'!E:F,2,0),"")</f>
        <v/>
      </c>
      <c r="G75" s="10">
        <f t="shared" si="0"/>
        <v>20000</v>
      </c>
      <c r="H75" s="10" t="str">
        <f t="shared" si="1"/>
        <v/>
      </c>
      <c r="I75" s="10" t="e">
        <f t="shared" si="2"/>
        <v>#VALUE!</v>
      </c>
      <c r="J75" s="10" t="str">
        <f t="shared" si="3"/>
        <v/>
      </c>
      <c r="K75" s="10"/>
      <c r="L75" s="10" t="str">
        <f t="shared" si="4"/>
        <v/>
      </c>
      <c r="O75" s="5"/>
      <c r="P75" s="5"/>
    </row>
    <row r="76" spans="1:16" ht="13.2" x14ac:dyDescent="0.25">
      <c r="A76" s="6">
        <v>75</v>
      </c>
      <c r="B76" s="17"/>
      <c r="C76" s="6" t="s">
        <v>12</v>
      </c>
      <c r="D76" s="16"/>
      <c r="E76" s="6" t="s">
        <v>20</v>
      </c>
      <c r="F76" s="9" t="str">
        <f>IFERROR(VLOOKUP(D76,'Комиссия за продажу (РУС)'!E:F,2,0),"")</f>
        <v/>
      </c>
      <c r="G76" s="10">
        <f t="shared" si="0"/>
        <v>20000</v>
      </c>
      <c r="H76" s="10" t="str">
        <f t="shared" si="1"/>
        <v/>
      </c>
      <c r="I76" s="10" t="e">
        <f t="shared" si="2"/>
        <v>#VALUE!</v>
      </c>
      <c r="J76" s="10" t="str">
        <f t="shared" si="3"/>
        <v/>
      </c>
      <c r="K76" s="10"/>
      <c r="L76" s="10" t="str">
        <f t="shared" si="4"/>
        <v/>
      </c>
      <c r="O76" s="5"/>
      <c r="P76" s="5"/>
    </row>
    <row r="77" spans="1:16" ht="13.2" x14ac:dyDescent="0.25">
      <c r="A77" s="6">
        <v>76</v>
      </c>
      <c r="B77" s="17"/>
      <c r="C77" s="6" t="s">
        <v>12</v>
      </c>
      <c r="D77" s="16"/>
      <c r="E77" s="6" t="s">
        <v>20</v>
      </c>
      <c r="F77" s="9" t="str">
        <f>IFERROR(VLOOKUP(D77,'Комиссия за продажу (РУС)'!E:F,2,0),"")</f>
        <v/>
      </c>
      <c r="G77" s="10">
        <f t="shared" si="0"/>
        <v>20000</v>
      </c>
      <c r="H77" s="10" t="str">
        <f t="shared" si="1"/>
        <v/>
      </c>
      <c r="I77" s="10" t="e">
        <f t="shared" si="2"/>
        <v>#VALUE!</v>
      </c>
      <c r="J77" s="10" t="str">
        <f t="shared" si="3"/>
        <v/>
      </c>
      <c r="K77" s="10"/>
      <c r="L77" s="10" t="str">
        <f t="shared" si="4"/>
        <v/>
      </c>
      <c r="O77" s="5"/>
      <c r="P77" s="5"/>
    </row>
    <row r="78" spans="1:16" ht="13.2" x14ac:dyDescent="0.25">
      <c r="A78" s="6">
        <v>77</v>
      </c>
      <c r="B78" s="17"/>
      <c r="C78" s="6" t="s">
        <v>12</v>
      </c>
      <c r="D78" s="16"/>
      <c r="E78" s="6" t="s">
        <v>20</v>
      </c>
      <c r="F78" s="9" t="str">
        <f>IFERROR(VLOOKUP(D78,'Комиссия за продажу (РУС)'!E:F,2,0),"")</f>
        <v/>
      </c>
      <c r="G78" s="10">
        <f t="shared" si="0"/>
        <v>20000</v>
      </c>
      <c r="H78" s="10" t="str">
        <f t="shared" si="1"/>
        <v/>
      </c>
      <c r="I78" s="10" t="e">
        <f t="shared" si="2"/>
        <v>#VALUE!</v>
      </c>
      <c r="J78" s="10" t="str">
        <f t="shared" si="3"/>
        <v/>
      </c>
      <c r="K78" s="10"/>
      <c r="L78" s="10" t="str">
        <f t="shared" si="4"/>
        <v/>
      </c>
      <c r="O78" s="5"/>
      <c r="P78" s="5"/>
    </row>
    <row r="79" spans="1:16" ht="13.2" x14ac:dyDescent="0.25">
      <c r="A79" s="6">
        <v>78</v>
      </c>
      <c r="B79" s="17"/>
      <c r="C79" s="6" t="s">
        <v>12</v>
      </c>
      <c r="D79" s="16"/>
      <c r="E79" s="6" t="s">
        <v>20</v>
      </c>
      <c r="F79" s="9" t="str">
        <f>IFERROR(VLOOKUP(D79,'Комиссия за продажу (РУС)'!E:F,2,0),"")</f>
        <v/>
      </c>
      <c r="G79" s="10">
        <f t="shared" si="0"/>
        <v>20000</v>
      </c>
      <c r="H79" s="10" t="str">
        <f t="shared" si="1"/>
        <v/>
      </c>
      <c r="I79" s="10" t="e">
        <f t="shared" si="2"/>
        <v>#VALUE!</v>
      </c>
      <c r="J79" s="10" t="str">
        <f t="shared" si="3"/>
        <v/>
      </c>
      <c r="K79" s="10"/>
      <c r="L79" s="10" t="str">
        <f t="shared" si="4"/>
        <v/>
      </c>
      <c r="O79" s="5"/>
      <c r="P79" s="5"/>
    </row>
    <row r="80" spans="1:16" ht="13.2" x14ac:dyDescent="0.25">
      <c r="A80" s="6">
        <v>79</v>
      </c>
      <c r="B80" s="17"/>
      <c r="C80" s="6" t="s">
        <v>12</v>
      </c>
      <c r="D80" s="16"/>
      <c r="E80" s="6" t="s">
        <v>20</v>
      </c>
      <c r="F80" s="9" t="str">
        <f>IFERROR(VLOOKUP(D80,'Комиссия за продажу (РУС)'!E:F,2,0),"")</f>
        <v/>
      </c>
      <c r="G80" s="10">
        <f t="shared" si="0"/>
        <v>20000</v>
      </c>
      <c r="H80" s="10" t="str">
        <f t="shared" si="1"/>
        <v/>
      </c>
      <c r="I80" s="10" t="e">
        <f t="shared" si="2"/>
        <v>#VALUE!</v>
      </c>
      <c r="J80" s="10" t="str">
        <f t="shared" si="3"/>
        <v/>
      </c>
      <c r="K80" s="10"/>
      <c r="L80" s="10" t="str">
        <f t="shared" si="4"/>
        <v/>
      </c>
      <c r="O80" s="5"/>
      <c r="P80" s="5"/>
    </row>
    <row r="81" spans="1:16" ht="13.2" x14ac:dyDescent="0.25">
      <c r="A81" s="6">
        <v>80</v>
      </c>
      <c r="B81" s="17"/>
      <c r="C81" s="6" t="s">
        <v>12</v>
      </c>
      <c r="D81" s="16"/>
      <c r="E81" s="6" t="s">
        <v>20</v>
      </c>
      <c r="F81" s="9" t="str">
        <f>IFERROR(VLOOKUP(D81,'Комиссия за продажу (РУС)'!E:F,2,0),"")</f>
        <v/>
      </c>
      <c r="G81" s="10">
        <f t="shared" si="0"/>
        <v>20000</v>
      </c>
      <c r="H81" s="10" t="str">
        <f t="shared" si="1"/>
        <v/>
      </c>
      <c r="I81" s="10" t="e">
        <f t="shared" si="2"/>
        <v>#VALUE!</v>
      </c>
      <c r="J81" s="10" t="str">
        <f t="shared" si="3"/>
        <v/>
      </c>
      <c r="K81" s="10"/>
      <c r="L81" s="10" t="str">
        <f t="shared" si="4"/>
        <v/>
      </c>
      <c r="O81" s="5"/>
      <c r="P81" s="5"/>
    </row>
    <row r="82" spans="1:16" ht="13.2" x14ac:dyDescent="0.25">
      <c r="A82" s="6">
        <v>81</v>
      </c>
      <c r="B82" s="17"/>
      <c r="C82" s="6" t="s">
        <v>12</v>
      </c>
      <c r="D82" s="16"/>
      <c r="E82" s="6" t="s">
        <v>20</v>
      </c>
      <c r="F82" s="9" t="str">
        <f>IFERROR(VLOOKUP(D82,'Комиссия за продажу (РУС)'!E:F,2,0),"")</f>
        <v/>
      </c>
      <c r="G82" s="10">
        <f t="shared" si="0"/>
        <v>20000</v>
      </c>
      <c r="H82" s="10" t="str">
        <f t="shared" si="1"/>
        <v/>
      </c>
      <c r="I82" s="10" t="e">
        <f t="shared" si="2"/>
        <v>#VALUE!</v>
      </c>
      <c r="J82" s="10" t="str">
        <f t="shared" si="3"/>
        <v/>
      </c>
      <c r="K82" s="10"/>
      <c r="L82" s="10" t="str">
        <f t="shared" si="4"/>
        <v/>
      </c>
      <c r="O82" s="5"/>
      <c r="P82" s="5"/>
    </row>
    <row r="83" spans="1:16" ht="13.2" x14ac:dyDescent="0.25">
      <c r="A83" s="6">
        <v>82</v>
      </c>
      <c r="B83" s="17"/>
      <c r="C83" s="6" t="s">
        <v>12</v>
      </c>
      <c r="D83" s="16"/>
      <c r="E83" s="6" t="s">
        <v>20</v>
      </c>
      <c r="F83" s="9" t="str">
        <f>IFERROR(VLOOKUP(D83,'Комиссия за продажу (РУС)'!E:F,2,0),"")</f>
        <v/>
      </c>
      <c r="G83" s="10">
        <f t="shared" si="0"/>
        <v>20000</v>
      </c>
      <c r="H83" s="10" t="str">
        <f t="shared" si="1"/>
        <v/>
      </c>
      <c r="I83" s="10" t="e">
        <f t="shared" si="2"/>
        <v>#VALUE!</v>
      </c>
      <c r="J83" s="10" t="str">
        <f t="shared" si="3"/>
        <v/>
      </c>
      <c r="K83" s="10"/>
      <c r="L83" s="10" t="str">
        <f t="shared" si="4"/>
        <v/>
      </c>
      <c r="O83" s="5"/>
      <c r="P83" s="5"/>
    </row>
    <row r="84" spans="1:16" ht="13.2" x14ac:dyDescent="0.25">
      <c r="A84" s="6">
        <v>83</v>
      </c>
      <c r="B84" s="17"/>
      <c r="C84" s="6" t="s">
        <v>12</v>
      </c>
      <c r="D84" s="16"/>
      <c r="E84" s="6" t="s">
        <v>20</v>
      </c>
      <c r="F84" s="9" t="str">
        <f>IFERROR(VLOOKUP(D84,'Комиссия за продажу (РУС)'!E:F,2,0),"")</f>
        <v/>
      </c>
      <c r="G84" s="10">
        <f t="shared" si="0"/>
        <v>20000</v>
      </c>
      <c r="H84" s="10" t="str">
        <f t="shared" si="1"/>
        <v/>
      </c>
      <c r="I84" s="10" t="e">
        <f t="shared" si="2"/>
        <v>#VALUE!</v>
      </c>
      <c r="J84" s="10" t="str">
        <f t="shared" si="3"/>
        <v/>
      </c>
      <c r="K84" s="10"/>
      <c r="L84" s="10" t="str">
        <f t="shared" si="4"/>
        <v/>
      </c>
      <c r="O84" s="5"/>
      <c r="P84" s="5"/>
    </row>
    <row r="85" spans="1:16" ht="13.2" x14ac:dyDescent="0.25">
      <c r="A85" s="6">
        <v>84</v>
      </c>
      <c r="B85" s="17"/>
      <c r="C85" s="6" t="s">
        <v>12</v>
      </c>
      <c r="D85" s="16"/>
      <c r="E85" s="6" t="s">
        <v>20</v>
      </c>
      <c r="F85" s="9" t="str">
        <f>IFERROR(VLOOKUP(D85,'Комиссия за продажу (РУС)'!E:F,2,0),"")</f>
        <v/>
      </c>
      <c r="G85" s="10">
        <f t="shared" si="0"/>
        <v>20000</v>
      </c>
      <c r="H85" s="10" t="str">
        <f t="shared" si="1"/>
        <v/>
      </c>
      <c r="I85" s="10" t="e">
        <f t="shared" si="2"/>
        <v>#VALUE!</v>
      </c>
      <c r="J85" s="10" t="str">
        <f t="shared" si="3"/>
        <v/>
      </c>
      <c r="K85" s="10"/>
      <c r="L85" s="10" t="str">
        <f t="shared" si="4"/>
        <v/>
      </c>
      <c r="O85" s="5"/>
      <c r="P85" s="5"/>
    </row>
    <row r="86" spans="1:16" ht="13.2" x14ac:dyDescent="0.25">
      <c r="A86" s="6">
        <v>85</v>
      </c>
      <c r="B86" s="17"/>
      <c r="C86" s="6" t="s">
        <v>12</v>
      </c>
      <c r="D86" s="16"/>
      <c r="E86" s="6" t="s">
        <v>20</v>
      </c>
      <c r="F86" s="9" t="str">
        <f>IFERROR(VLOOKUP(D86,'Комиссия за продажу (РУС)'!E:F,2,0),"")</f>
        <v/>
      </c>
      <c r="G86" s="10">
        <f t="shared" si="0"/>
        <v>20000</v>
      </c>
      <c r="H86" s="10" t="str">
        <f t="shared" si="1"/>
        <v/>
      </c>
      <c r="I86" s="10" t="e">
        <f t="shared" si="2"/>
        <v>#VALUE!</v>
      </c>
      <c r="J86" s="10" t="str">
        <f t="shared" si="3"/>
        <v/>
      </c>
      <c r="K86" s="10"/>
      <c r="L86" s="10" t="str">
        <f t="shared" si="4"/>
        <v/>
      </c>
      <c r="O86" s="5"/>
      <c r="P86" s="5"/>
    </row>
    <row r="87" spans="1:16" ht="13.2" x14ac:dyDescent="0.25">
      <c r="A87" s="6">
        <v>86</v>
      </c>
      <c r="B87" s="17"/>
      <c r="C87" s="6" t="s">
        <v>12</v>
      </c>
      <c r="D87" s="16"/>
      <c r="E87" s="6" t="s">
        <v>20</v>
      </c>
      <c r="F87" s="9" t="str">
        <f>IFERROR(VLOOKUP(D87,'Комиссия за продажу (РУС)'!E:F,2,0),"")</f>
        <v/>
      </c>
      <c r="G87" s="10">
        <f t="shared" si="0"/>
        <v>20000</v>
      </c>
      <c r="H87" s="10" t="str">
        <f t="shared" si="1"/>
        <v/>
      </c>
      <c r="I87" s="10" t="e">
        <f t="shared" si="2"/>
        <v>#VALUE!</v>
      </c>
      <c r="J87" s="10" t="str">
        <f t="shared" si="3"/>
        <v/>
      </c>
      <c r="K87" s="10"/>
      <c r="L87" s="10" t="str">
        <f t="shared" si="4"/>
        <v/>
      </c>
      <c r="O87" s="5"/>
      <c r="P87" s="5"/>
    </row>
    <row r="88" spans="1:16" ht="13.2" x14ac:dyDescent="0.25">
      <c r="A88" s="6">
        <v>87</v>
      </c>
      <c r="B88" s="17"/>
      <c r="C88" s="6" t="s">
        <v>12</v>
      </c>
      <c r="D88" s="16"/>
      <c r="E88" s="6" t="s">
        <v>20</v>
      </c>
      <c r="F88" s="9" t="str">
        <f>IFERROR(VLOOKUP(D88,'Комиссия за продажу (РУС)'!E:F,2,0),"")</f>
        <v/>
      </c>
      <c r="G88" s="10">
        <f t="shared" si="0"/>
        <v>20000</v>
      </c>
      <c r="H88" s="10" t="str">
        <f t="shared" si="1"/>
        <v/>
      </c>
      <c r="I88" s="10" t="e">
        <f t="shared" si="2"/>
        <v>#VALUE!</v>
      </c>
      <c r="J88" s="10" t="str">
        <f t="shared" si="3"/>
        <v/>
      </c>
      <c r="K88" s="10"/>
      <c r="L88" s="10" t="str">
        <f t="shared" si="4"/>
        <v/>
      </c>
      <c r="O88" s="5"/>
      <c r="P88" s="5"/>
    </row>
    <row r="89" spans="1:16" ht="13.2" x14ac:dyDescent="0.25">
      <c r="A89" s="6">
        <v>88</v>
      </c>
      <c r="B89" s="17"/>
      <c r="C89" s="6" t="s">
        <v>12</v>
      </c>
      <c r="D89" s="16"/>
      <c r="E89" s="6" t="s">
        <v>20</v>
      </c>
      <c r="F89" s="9" t="str">
        <f>IFERROR(VLOOKUP(D89,'Комиссия за продажу (РУС)'!E:F,2,0),"")</f>
        <v/>
      </c>
      <c r="G89" s="10">
        <f t="shared" si="0"/>
        <v>20000</v>
      </c>
      <c r="H89" s="10" t="str">
        <f t="shared" si="1"/>
        <v/>
      </c>
      <c r="I89" s="10" t="e">
        <f t="shared" si="2"/>
        <v>#VALUE!</v>
      </c>
      <c r="J89" s="10" t="str">
        <f t="shared" si="3"/>
        <v/>
      </c>
      <c r="K89" s="10"/>
      <c r="L89" s="10" t="str">
        <f t="shared" si="4"/>
        <v/>
      </c>
      <c r="O89" s="5"/>
      <c r="P89" s="5"/>
    </row>
    <row r="90" spans="1:16" ht="13.2" x14ac:dyDescent="0.25">
      <c r="A90" s="6">
        <v>89</v>
      </c>
      <c r="B90" s="17"/>
      <c r="C90" s="6" t="s">
        <v>12</v>
      </c>
      <c r="D90" s="16"/>
      <c r="E90" s="6" t="s">
        <v>20</v>
      </c>
      <c r="F90" s="9" t="str">
        <f>IFERROR(VLOOKUP(D90,'Комиссия за продажу (РУС)'!E:F,2,0),"")</f>
        <v/>
      </c>
      <c r="G90" s="10">
        <f t="shared" si="0"/>
        <v>20000</v>
      </c>
      <c r="H90" s="10" t="str">
        <f t="shared" si="1"/>
        <v/>
      </c>
      <c r="I90" s="10" t="e">
        <f t="shared" si="2"/>
        <v>#VALUE!</v>
      </c>
      <c r="J90" s="10" t="str">
        <f t="shared" si="3"/>
        <v/>
      </c>
      <c r="K90" s="10"/>
      <c r="L90" s="10" t="str">
        <f t="shared" si="4"/>
        <v/>
      </c>
      <c r="O90" s="5"/>
      <c r="P90" s="5"/>
    </row>
    <row r="91" spans="1:16" ht="13.2" x14ac:dyDescent="0.25">
      <c r="A91" s="6">
        <v>90</v>
      </c>
      <c r="B91" s="17"/>
      <c r="C91" s="6" t="s">
        <v>12</v>
      </c>
      <c r="D91" s="16"/>
      <c r="E91" s="6" t="s">
        <v>20</v>
      </c>
      <c r="F91" s="9" t="str">
        <f>IFERROR(VLOOKUP(D91,'Комиссия за продажу (РУС)'!E:F,2,0),"")</f>
        <v/>
      </c>
      <c r="G91" s="10">
        <f t="shared" si="0"/>
        <v>20000</v>
      </c>
      <c r="H91" s="10" t="str">
        <f t="shared" si="1"/>
        <v/>
      </c>
      <c r="I91" s="10" t="e">
        <f t="shared" si="2"/>
        <v>#VALUE!</v>
      </c>
      <c r="J91" s="10" t="str">
        <f t="shared" si="3"/>
        <v/>
      </c>
      <c r="K91" s="10"/>
      <c r="L91" s="10" t="str">
        <f t="shared" si="4"/>
        <v/>
      </c>
      <c r="O91" s="5"/>
      <c r="P91" s="5"/>
    </row>
    <row r="92" spans="1:16" ht="13.2" x14ac:dyDescent="0.25">
      <c r="A92" s="6">
        <v>91</v>
      </c>
      <c r="B92" s="17"/>
      <c r="C92" s="6" t="s">
        <v>12</v>
      </c>
      <c r="D92" s="16"/>
      <c r="E92" s="6" t="s">
        <v>20</v>
      </c>
      <c r="F92" s="9" t="str">
        <f>IFERROR(VLOOKUP(D92,'Комиссия за продажу (РУС)'!E:F,2,0),"")</f>
        <v/>
      </c>
      <c r="G92" s="10">
        <f t="shared" si="0"/>
        <v>20000</v>
      </c>
      <c r="H92" s="10" t="str">
        <f t="shared" si="1"/>
        <v/>
      </c>
      <c r="I92" s="10" t="e">
        <f t="shared" si="2"/>
        <v>#VALUE!</v>
      </c>
      <c r="J92" s="10" t="str">
        <f t="shared" si="3"/>
        <v/>
      </c>
      <c r="K92" s="10"/>
      <c r="L92" s="10" t="str">
        <f t="shared" si="4"/>
        <v/>
      </c>
      <c r="O92" s="5"/>
      <c r="P92" s="5"/>
    </row>
    <row r="93" spans="1:16" ht="13.2" x14ac:dyDescent="0.25">
      <c r="A93" s="6">
        <v>92</v>
      </c>
      <c r="B93" s="17"/>
      <c r="C93" s="6" t="s">
        <v>12</v>
      </c>
      <c r="D93" s="16"/>
      <c r="E93" s="6" t="s">
        <v>20</v>
      </c>
      <c r="F93" s="9" t="str">
        <f>IFERROR(VLOOKUP(D93,'Комиссия за продажу (РУС)'!E:F,2,0),"")</f>
        <v/>
      </c>
      <c r="G93" s="10">
        <f t="shared" si="0"/>
        <v>20000</v>
      </c>
      <c r="H93" s="10" t="str">
        <f t="shared" si="1"/>
        <v/>
      </c>
      <c r="I93" s="10" t="e">
        <f t="shared" si="2"/>
        <v>#VALUE!</v>
      </c>
      <c r="J93" s="10" t="str">
        <f t="shared" si="3"/>
        <v/>
      </c>
      <c r="K93" s="10"/>
      <c r="L93" s="10" t="str">
        <f t="shared" si="4"/>
        <v/>
      </c>
      <c r="O93" s="5"/>
      <c r="P93" s="5"/>
    </row>
    <row r="94" spans="1:16" ht="13.2" x14ac:dyDescent="0.25">
      <c r="A94" s="6">
        <v>93</v>
      </c>
      <c r="B94" s="17"/>
      <c r="C94" s="6" t="s">
        <v>12</v>
      </c>
      <c r="D94" s="16"/>
      <c r="E94" s="6" t="s">
        <v>20</v>
      </c>
      <c r="F94" s="9" t="str">
        <f>IFERROR(VLOOKUP(D94,'Комиссия за продажу (РУС)'!E:F,2,0),"")</f>
        <v/>
      </c>
      <c r="G94" s="10">
        <f t="shared" si="0"/>
        <v>20000</v>
      </c>
      <c r="H94" s="10" t="str">
        <f t="shared" si="1"/>
        <v/>
      </c>
      <c r="I94" s="10" t="e">
        <f t="shared" si="2"/>
        <v>#VALUE!</v>
      </c>
      <c r="J94" s="10" t="str">
        <f t="shared" si="3"/>
        <v/>
      </c>
      <c r="K94" s="10"/>
      <c r="L94" s="10" t="str">
        <f t="shared" si="4"/>
        <v/>
      </c>
      <c r="O94" s="5"/>
      <c r="P94" s="5"/>
    </row>
    <row r="95" spans="1:16" ht="13.2" x14ac:dyDescent="0.25">
      <c r="A95" s="6">
        <v>94</v>
      </c>
      <c r="B95" s="17"/>
      <c r="C95" s="6" t="s">
        <v>12</v>
      </c>
      <c r="D95" s="16"/>
      <c r="E95" s="6" t="s">
        <v>20</v>
      </c>
      <c r="F95" s="9" t="str">
        <f>IFERROR(VLOOKUP(D95,'Комиссия за продажу (РУС)'!E:F,2,0),"")</f>
        <v/>
      </c>
      <c r="G95" s="10">
        <f t="shared" si="0"/>
        <v>20000</v>
      </c>
      <c r="H95" s="10" t="str">
        <f t="shared" si="1"/>
        <v/>
      </c>
      <c r="I95" s="10" t="e">
        <f t="shared" si="2"/>
        <v>#VALUE!</v>
      </c>
      <c r="J95" s="10" t="str">
        <f t="shared" si="3"/>
        <v/>
      </c>
      <c r="K95" s="10"/>
      <c r="L95" s="10" t="str">
        <f t="shared" si="4"/>
        <v/>
      </c>
      <c r="O95" s="5"/>
      <c r="P95" s="5"/>
    </row>
    <row r="96" spans="1:16" ht="13.2" x14ac:dyDescent="0.25">
      <c r="A96" s="6">
        <v>95</v>
      </c>
      <c r="B96" s="17"/>
      <c r="C96" s="6" t="s">
        <v>12</v>
      </c>
      <c r="D96" s="16"/>
      <c r="E96" s="6" t="s">
        <v>20</v>
      </c>
      <c r="F96" s="9" t="str">
        <f>IFERROR(VLOOKUP(D96,'Комиссия за продажу (РУС)'!E:F,2,0),"")</f>
        <v/>
      </c>
      <c r="G96" s="10">
        <f t="shared" si="0"/>
        <v>20000</v>
      </c>
      <c r="H96" s="10" t="str">
        <f t="shared" si="1"/>
        <v/>
      </c>
      <c r="I96" s="10" t="e">
        <f t="shared" si="2"/>
        <v>#VALUE!</v>
      </c>
      <c r="J96" s="10" t="str">
        <f t="shared" si="3"/>
        <v/>
      </c>
      <c r="K96" s="10"/>
      <c r="L96" s="10" t="str">
        <f t="shared" si="4"/>
        <v/>
      </c>
      <c r="O96" s="5"/>
      <c r="P96" s="5"/>
    </row>
    <row r="97" spans="1:16" ht="13.2" x14ac:dyDescent="0.25">
      <c r="A97" s="6">
        <v>96</v>
      </c>
      <c r="B97" s="17"/>
      <c r="C97" s="6" t="s">
        <v>12</v>
      </c>
      <c r="D97" s="16"/>
      <c r="E97" s="6" t="s">
        <v>20</v>
      </c>
      <c r="F97" s="9" t="str">
        <f>IFERROR(VLOOKUP(D97,'Комиссия за продажу (РУС)'!E:F,2,0),"")</f>
        <v/>
      </c>
      <c r="G97" s="10">
        <f t="shared" si="0"/>
        <v>20000</v>
      </c>
      <c r="H97" s="10" t="str">
        <f t="shared" si="1"/>
        <v/>
      </c>
      <c r="I97" s="10" t="e">
        <f t="shared" si="2"/>
        <v>#VALUE!</v>
      </c>
      <c r="J97" s="10" t="str">
        <f t="shared" si="3"/>
        <v/>
      </c>
      <c r="K97" s="10"/>
      <c r="L97" s="10" t="str">
        <f t="shared" si="4"/>
        <v/>
      </c>
      <c r="O97" s="5"/>
      <c r="P97" s="5"/>
    </row>
    <row r="98" spans="1:16" ht="13.2" x14ac:dyDescent="0.25">
      <c r="A98" s="6">
        <v>97</v>
      </c>
      <c r="B98" s="17"/>
      <c r="C98" s="6" t="s">
        <v>12</v>
      </c>
      <c r="D98" s="16"/>
      <c r="E98" s="6" t="s">
        <v>20</v>
      </c>
      <c r="F98" s="9" t="str">
        <f>IFERROR(VLOOKUP(D98,'Комиссия за продажу (РУС)'!E:F,2,0),"")</f>
        <v/>
      </c>
      <c r="G98" s="10">
        <f t="shared" si="0"/>
        <v>20000</v>
      </c>
      <c r="H98" s="10" t="str">
        <f t="shared" si="1"/>
        <v/>
      </c>
      <c r="I98" s="10" t="e">
        <f t="shared" si="2"/>
        <v>#VALUE!</v>
      </c>
      <c r="J98" s="10" t="str">
        <f t="shared" si="3"/>
        <v/>
      </c>
      <c r="K98" s="10"/>
      <c r="L98" s="10" t="str">
        <f t="shared" si="4"/>
        <v/>
      </c>
      <c r="O98" s="5"/>
      <c r="P98" s="5"/>
    </row>
    <row r="99" spans="1:16" ht="13.2" x14ac:dyDescent="0.25">
      <c r="A99" s="6">
        <v>98</v>
      </c>
      <c r="B99" s="17"/>
      <c r="C99" s="6" t="s">
        <v>12</v>
      </c>
      <c r="D99" s="16"/>
      <c r="E99" s="6" t="s">
        <v>20</v>
      </c>
      <c r="F99" s="9" t="str">
        <f>IFERROR(VLOOKUP(D99,'Комиссия за продажу (РУС)'!E:F,2,0),"")</f>
        <v/>
      </c>
      <c r="G99" s="10">
        <f t="shared" si="0"/>
        <v>20000</v>
      </c>
      <c r="H99" s="10" t="str">
        <f t="shared" si="1"/>
        <v/>
      </c>
      <c r="I99" s="10" t="e">
        <f t="shared" si="2"/>
        <v>#VALUE!</v>
      </c>
      <c r="J99" s="10" t="str">
        <f t="shared" si="3"/>
        <v/>
      </c>
      <c r="K99" s="10"/>
      <c r="L99" s="10" t="str">
        <f t="shared" si="4"/>
        <v/>
      </c>
      <c r="O99" s="5"/>
      <c r="P99" s="5"/>
    </row>
    <row r="100" spans="1:16" ht="13.2" x14ac:dyDescent="0.25">
      <c r="A100" s="6">
        <v>99</v>
      </c>
      <c r="B100" s="17"/>
      <c r="C100" s="6" t="s">
        <v>12</v>
      </c>
      <c r="D100" s="16"/>
      <c r="E100" s="6" t="s">
        <v>20</v>
      </c>
      <c r="F100" s="9" t="str">
        <f>IFERROR(VLOOKUP(D100,'Комиссия за продажу (РУС)'!E:F,2,0),"")</f>
        <v/>
      </c>
      <c r="G100" s="10">
        <f t="shared" si="0"/>
        <v>20000</v>
      </c>
      <c r="H100" s="10" t="str">
        <f t="shared" si="1"/>
        <v/>
      </c>
      <c r="I100" s="10" t="e">
        <f t="shared" si="2"/>
        <v>#VALUE!</v>
      </c>
      <c r="J100" s="10" t="str">
        <f t="shared" si="3"/>
        <v/>
      </c>
      <c r="K100" s="10"/>
      <c r="L100" s="10" t="str">
        <f t="shared" si="4"/>
        <v/>
      </c>
      <c r="O100" s="5"/>
      <c r="P100" s="5"/>
    </row>
    <row r="101" spans="1:16" ht="13.2" x14ac:dyDescent="0.25">
      <c r="A101" s="6">
        <v>100</v>
      </c>
      <c r="B101" s="17"/>
      <c r="C101" s="6" t="s">
        <v>12</v>
      </c>
      <c r="D101" s="16"/>
      <c r="E101" s="6" t="s">
        <v>20</v>
      </c>
      <c r="F101" s="9" t="str">
        <f>IFERROR(VLOOKUP(D101,'Комиссия за продажу (РУС)'!E:F,2,0),"")</f>
        <v/>
      </c>
      <c r="G101" s="10">
        <f t="shared" si="0"/>
        <v>20000</v>
      </c>
      <c r="H101" s="10" t="str">
        <f t="shared" si="1"/>
        <v/>
      </c>
      <c r="I101" s="10" t="e">
        <f t="shared" si="2"/>
        <v>#VALUE!</v>
      </c>
      <c r="J101" s="10" t="str">
        <f t="shared" si="3"/>
        <v/>
      </c>
      <c r="K101" s="10"/>
      <c r="L101" s="10" t="str">
        <f t="shared" si="4"/>
        <v/>
      </c>
      <c r="O101" s="5"/>
      <c r="P101" s="5"/>
    </row>
    <row r="102" spans="1:16" ht="13.2" x14ac:dyDescent="0.25">
      <c r="B102" s="18"/>
      <c r="C102" s="19"/>
      <c r="D102" s="19"/>
      <c r="O102" s="5"/>
      <c r="P102" s="5"/>
    </row>
    <row r="103" spans="1:16" ht="13.2" x14ac:dyDescent="0.25">
      <c r="B103" s="18"/>
      <c r="C103" s="19"/>
      <c r="D103" s="19"/>
      <c r="O103" s="5"/>
      <c r="P103" s="5"/>
    </row>
    <row r="104" spans="1:16" ht="13.2" x14ac:dyDescent="0.25">
      <c r="B104" s="18"/>
      <c r="C104" s="19"/>
      <c r="D104" s="19"/>
      <c r="O104" s="5"/>
      <c r="P104" s="5"/>
    </row>
    <row r="105" spans="1:16" ht="13.2" x14ac:dyDescent="0.25">
      <c r="B105" s="18"/>
      <c r="C105" s="19"/>
      <c r="D105" s="19"/>
      <c r="O105" s="5"/>
      <c r="P105" s="5"/>
    </row>
    <row r="106" spans="1:16" ht="13.2" x14ac:dyDescent="0.25">
      <c r="B106" s="18"/>
      <c r="C106" s="19"/>
      <c r="D106" s="19"/>
      <c r="O106" s="5"/>
      <c r="P106" s="5"/>
    </row>
    <row r="107" spans="1:16" ht="13.2" x14ac:dyDescent="0.25">
      <c r="B107" s="18"/>
      <c r="C107" s="19"/>
      <c r="D107" s="19"/>
      <c r="O107" s="5"/>
      <c r="P107" s="5"/>
    </row>
    <row r="108" spans="1:16" ht="13.2" x14ac:dyDescent="0.25">
      <c r="B108" s="18"/>
      <c r="C108" s="19"/>
      <c r="D108" s="19"/>
      <c r="O108" s="5"/>
      <c r="P108" s="5"/>
    </row>
    <row r="109" spans="1:16" ht="13.2" x14ac:dyDescent="0.25">
      <c r="B109" s="18"/>
      <c r="C109" s="19"/>
      <c r="D109" s="19"/>
      <c r="O109" s="5"/>
      <c r="P109" s="5"/>
    </row>
    <row r="110" spans="1:16" ht="13.2" x14ac:dyDescent="0.25">
      <c r="B110" s="18"/>
      <c r="C110" s="19"/>
      <c r="D110" s="19"/>
      <c r="O110" s="5"/>
      <c r="P110" s="5"/>
    </row>
    <row r="111" spans="1:16" ht="13.2" x14ac:dyDescent="0.25">
      <c r="B111" s="18"/>
      <c r="C111" s="19"/>
      <c r="D111" s="19"/>
      <c r="O111" s="5"/>
      <c r="P111" s="5"/>
    </row>
    <row r="112" spans="1:16" ht="13.2" x14ac:dyDescent="0.25">
      <c r="B112" s="18"/>
      <c r="C112" s="19"/>
      <c r="D112" s="19"/>
      <c r="O112" s="5"/>
      <c r="P112" s="5"/>
    </row>
    <row r="113" spans="2:16" ht="13.2" x14ac:dyDescent="0.25">
      <c r="B113" s="18"/>
      <c r="C113" s="19"/>
      <c r="D113" s="19"/>
      <c r="O113" s="5"/>
      <c r="P113" s="5"/>
    </row>
    <row r="114" spans="2:16" ht="13.2" x14ac:dyDescent="0.25">
      <c r="B114" s="18"/>
      <c r="C114" s="19"/>
      <c r="D114" s="19"/>
      <c r="O114" s="5"/>
      <c r="P114" s="5"/>
    </row>
    <row r="115" spans="2:16" ht="13.2" x14ac:dyDescent="0.25">
      <c r="B115" s="18"/>
      <c r="C115" s="19"/>
      <c r="D115" s="19"/>
      <c r="O115" s="5"/>
      <c r="P115" s="5"/>
    </row>
    <row r="116" spans="2:16" ht="13.2" x14ac:dyDescent="0.25">
      <c r="B116" s="18"/>
      <c r="C116" s="19"/>
      <c r="D116" s="19"/>
      <c r="O116" s="5"/>
      <c r="P116" s="5"/>
    </row>
    <row r="117" spans="2:16" ht="13.2" x14ac:dyDescent="0.25">
      <c r="B117" s="18"/>
      <c r="C117" s="19"/>
      <c r="D117" s="19"/>
      <c r="O117" s="5"/>
      <c r="P117" s="5"/>
    </row>
    <row r="118" spans="2:16" ht="13.2" x14ac:dyDescent="0.25">
      <c r="B118" s="18"/>
      <c r="C118" s="19"/>
      <c r="D118" s="19"/>
      <c r="O118" s="5"/>
      <c r="P118" s="5"/>
    </row>
    <row r="119" spans="2:16" ht="13.2" x14ac:dyDescent="0.25">
      <c r="B119" s="18"/>
      <c r="C119" s="19"/>
      <c r="D119" s="19"/>
      <c r="O119" s="5"/>
      <c r="P119" s="5"/>
    </row>
    <row r="120" spans="2:16" ht="13.2" x14ac:dyDescent="0.25">
      <c r="B120" s="18"/>
      <c r="C120" s="19"/>
      <c r="D120" s="19"/>
      <c r="O120" s="5"/>
      <c r="P120" s="5"/>
    </row>
    <row r="121" spans="2:16" ht="13.2" x14ac:dyDescent="0.25">
      <c r="B121" s="18"/>
      <c r="C121" s="19"/>
      <c r="D121" s="19"/>
      <c r="O121" s="5"/>
      <c r="P121" s="5"/>
    </row>
    <row r="122" spans="2:16" ht="13.2" x14ac:dyDescent="0.25">
      <c r="B122" s="18"/>
      <c r="C122" s="19"/>
      <c r="D122" s="19"/>
      <c r="O122" s="5"/>
      <c r="P122" s="5"/>
    </row>
    <row r="123" spans="2:16" ht="13.2" x14ac:dyDescent="0.25">
      <c r="B123" s="18"/>
      <c r="C123" s="19"/>
      <c r="D123" s="19"/>
      <c r="O123" s="5"/>
      <c r="P123" s="5"/>
    </row>
    <row r="124" spans="2:16" ht="13.2" x14ac:dyDescent="0.25">
      <c r="B124" s="18"/>
      <c r="C124" s="19"/>
      <c r="D124" s="19"/>
      <c r="O124" s="5"/>
      <c r="P124" s="5"/>
    </row>
    <row r="125" spans="2:16" ht="13.2" x14ac:dyDescent="0.25">
      <c r="B125" s="18"/>
      <c r="C125" s="19"/>
      <c r="D125" s="19"/>
      <c r="O125" s="5"/>
      <c r="P125" s="5"/>
    </row>
    <row r="126" spans="2:16" ht="13.2" x14ac:dyDescent="0.25">
      <c r="B126" s="18"/>
      <c r="C126" s="19"/>
      <c r="D126" s="19"/>
      <c r="O126" s="5"/>
      <c r="P126" s="5"/>
    </row>
    <row r="127" spans="2:16" ht="13.2" x14ac:dyDescent="0.25">
      <c r="B127" s="18"/>
      <c r="C127" s="19"/>
      <c r="D127" s="19"/>
      <c r="O127" s="5"/>
      <c r="P127" s="5"/>
    </row>
    <row r="128" spans="2:16" ht="13.2" x14ac:dyDescent="0.25">
      <c r="B128" s="18"/>
      <c r="C128" s="19"/>
      <c r="D128" s="19"/>
      <c r="O128" s="5"/>
      <c r="P128" s="5"/>
    </row>
    <row r="129" spans="2:16" ht="13.2" x14ac:dyDescent="0.25">
      <c r="B129" s="18"/>
      <c r="C129" s="19"/>
      <c r="D129" s="19"/>
      <c r="O129" s="5"/>
      <c r="P129" s="5"/>
    </row>
    <row r="130" spans="2:16" ht="13.2" x14ac:dyDescent="0.25">
      <c r="B130" s="18"/>
      <c r="C130" s="19"/>
      <c r="D130" s="19"/>
      <c r="O130" s="5"/>
      <c r="P130" s="5"/>
    </row>
    <row r="131" spans="2:16" ht="13.2" x14ac:dyDescent="0.25">
      <c r="B131" s="18"/>
      <c r="C131" s="19"/>
      <c r="D131" s="19"/>
      <c r="O131" s="5"/>
      <c r="P131" s="5"/>
    </row>
    <row r="132" spans="2:16" ht="13.2" x14ac:dyDescent="0.25">
      <c r="B132" s="18"/>
      <c r="C132" s="19"/>
      <c r="D132" s="19"/>
      <c r="O132" s="5"/>
      <c r="P132" s="5"/>
    </row>
    <row r="133" spans="2:16" ht="13.2" x14ac:dyDescent="0.25">
      <c r="B133" s="18"/>
      <c r="C133" s="19"/>
      <c r="D133" s="19"/>
      <c r="O133" s="5"/>
      <c r="P133" s="5"/>
    </row>
    <row r="134" spans="2:16" ht="13.2" x14ac:dyDescent="0.25">
      <c r="B134" s="18"/>
      <c r="C134" s="19"/>
      <c r="D134" s="19"/>
      <c r="O134" s="5"/>
      <c r="P134" s="5"/>
    </row>
    <row r="135" spans="2:16" ht="13.2" x14ac:dyDescent="0.25">
      <c r="B135" s="18"/>
      <c r="C135" s="19"/>
      <c r="D135" s="19"/>
      <c r="O135" s="5"/>
      <c r="P135" s="5"/>
    </row>
    <row r="136" spans="2:16" ht="13.2" x14ac:dyDescent="0.25">
      <c r="B136" s="18"/>
      <c r="C136" s="19"/>
      <c r="D136" s="19"/>
      <c r="O136" s="5"/>
      <c r="P136" s="5"/>
    </row>
    <row r="137" spans="2:16" ht="13.2" x14ac:dyDescent="0.25">
      <c r="B137" s="18"/>
      <c r="C137" s="19"/>
      <c r="D137" s="19"/>
      <c r="O137" s="5"/>
      <c r="P137" s="5"/>
    </row>
    <row r="138" spans="2:16" ht="13.2" x14ac:dyDescent="0.25">
      <c r="B138" s="18"/>
      <c r="C138" s="19"/>
      <c r="D138" s="19"/>
      <c r="O138" s="5"/>
      <c r="P138" s="5"/>
    </row>
    <row r="139" spans="2:16" ht="13.2" x14ac:dyDescent="0.25">
      <c r="B139" s="18"/>
      <c r="C139" s="19"/>
      <c r="D139" s="19"/>
      <c r="O139" s="5"/>
      <c r="P139" s="5"/>
    </row>
    <row r="140" spans="2:16" ht="13.2" x14ac:dyDescent="0.25">
      <c r="B140" s="18"/>
      <c r="C140" s="19"/>
      <c r="D140" s="19"/>
      <c r="O140" s="5"/>
      <c r="P140" s="5"/>
    </row>
    <row r="141" spans="2:16" ht="13.2" x14ac:dyDescent="0.25">
      <c r="B141" s="18"/>
      <c r="C141" s="19"/>
      <c r="D141" s="19"/>
      <c r="O141" s="5"/>
      <c r="P141" s="5"/>
    </row>
    <row r="142" spans="2:16" ht="13.2" x14ac:dyDescent="0.25">
      <c r="B142" s="18"/>
      <c r="C142" s="19"/>
      <c r="D142" s="19"/>
      <c r="O142" s="5"/>
      <c r="P142" s="5"/>
    </row>
    <row r="143" spans="2:16" ht="13.2" x14ac:dyDescent="0.25">
      <c r="B143" s="18"/>
      <c r="C143" s="19"/>
      <c r="D143" s="19"/>
      <c r="O143" s="5"/>
      <c r="P143" s="5"/>
    </row>
    <row r="144" spans="2:16" ht="13.2" x14ac:dyDescent="0.25">
      <c r="B144" s="18"/>
      <c r="C144" s="19"/>
      <c r="D144" s="19"/>
      <c r="O144" s="5"/>
      <c r="P144" s="5"/>
    </row>
    <row r="145" spans="2:16" ht="13.2" x14ac:dyDescent="0.25">
      <c r="B145" s="18"/>
      <c r="C145" s="19"/>
      <c r="D145" s="19"/>
      <c r="O145" s="5"/>
      <c r="P145" s="5"/>
    </row>
    <row r="146" spans="2:16" ht="13.2" x14ac:dyDescent="0.25">
      <c r="B146" s="18"/>
      <c r="C146" s="19"/>
      <c r="D146" s="19"/>
      <c r="O146" s="5"/>
      <c r="P146" s="5"/>
    </row>
    <row r="147" spans="2:16" ht="13.2" x14ac:dyDescent="0.25">
      <c r="B147" s="18"/>
      <c r="C147" s="19"/>
      <c r="D147" s="19"/>
      <c r="O147" s="5"/>
      <c r="P147" s="5"/>
    </row>
    <row r="148" spans="2:16" ht="13.2" x14ac:dyDescent="0.25">
      <c r="B148" s="18"/>
      <c r="C148" s="19"/>
      <c r="D148" s="19"/>
      <c r="O148" s="5"/>
      <c r="P148" s="5"/>
    </row>
    <row r="149" spans="2:16" ht="13.2" x14ac:dyDescent="0.25">
      <c r="B149" s="18"/>
      <c r="C149" s="19"/>
      <c r="D149" s="19"/>
      <c r="O149" s="5"/>
      <c r="P149" s="5"/>
    </row>
    <row r="150" spans="2:16" ht="13.2" x14ac:dyDescent="0.25">
      <c r="B150" s="18"/>
      <c r="C150" s="19"/>
      <c r="D150" s="19"/>
      <c r="O150" s="5"/>
      <c r="P150" s="5"/>
    </row>
    <row r="151" spans="2:16" ht="13.2" x14ac:dyDescent="0.25">
      <c r="B151" s="18"/>
      <c r="C151" s="19"/>
      <c r="D151" s="19"/>
      <c r="O151" s="5"/>
      <c r="P151" s="5"/>
    </row>
    <row r="152" spans="2:16" ht="13.2" x14ac:dyDescent="0.25">
      <c r="B152" s="18"/>
      <c r="C152" s="19"/>
      <c r="D152" s="19"/>
      <c r="O152" s="5"/>
      <c r="P152" s="5"/>
    </row>
    <row r="153" spans="2:16" ht="13.2" x14ac:dyDescent="0.25">
      <c r="B153" s="18"/>
      <c r="C153" s="19"/>
      <c r="D153" s="19"/>
      <c r="O153" s="5"/>
      <c r="P153" s="5"/>
    </row>
    <row r="154" spans="2:16" ht="13.2" x14ac:dyDescent="0.25">
      <c r="B154" s="18"/>
      <c r="C154" s="19"/>
      <c r="D154" s="19"/>
      <c r="O154" s="5"/>
      <c r="P154" s="5"/>
    </row>
    <row r="155" spans="2:16" ht="13.2" x14ac:dyDescent="0.25">
      <c r="B155" s="18"/>
      <c r="C155" s="19"/>
      <c r="D155" s="19"/>
      <c r="O155" s="5"/>
      <c r="P155" s="5"/>
    </row>
    <row r="156" spans="2:16" ht="13.2" x14ac:dyDescent="0.25">
      <c r="B156" s="18"/>
      <c r="C156" s="19"/>
      <c r="D156" s="19"/>
      <c r="O156" s="5"/>
      <c r="P156" s="5"/>
    </row>
    <row r="157" spans="2:16" ht="13.2" x14ac:dyDescent="0.25">
      <c r="B157" s="18"/>
      <c r="C157" s="19"/>
      <c r="D157" s="19"/>
      <c r="O157" s="5"/>
      <c r="P157" s="5"/>
    </row>
    <row r="158" spans="2:16" ht="13.2" x14ac:dyDescent="0.25">
      <c r="B158" s="18"/>
      <c r="C158" s="19"/>
      <c r="D158" s="19"/>
      <c r="O158" s="5"/>
      <c r="P158" s="5"/>
    </row>
    <row r="159" spans="2:16" ht="13.2" x14ac:dyDescent="0.25">
      <c r="B159" s="18"/>
      <c r="C159" s="19"/>
      <c r="D159" s="19"/>
      <c r="O159" s="5"/>
      <c r="P159" s="5"/>
    </row>
    <row r="160" spans="2:16" ht="13.2" x14ac:dyDescent="0.25">
      <c r="B160" s="18"/>
      <c r="C160" s="19"/>
      <c r="D160" s="19"/>
      <c r="O160" s="5"/>
      <c r="P160" s="5"/>
    </row>
    <row r="161" spans="2:16" ht="13.2" x14ac:dyDescent="0.25">
      <c r="B161" s="18"/>
      <c r="C161" s="19"/>
      <c r="D161" s="19"/>
      <c r="O161" s="5"/>
      <c r="P161" s="5"/>
    </row>
    <row r="162" spans="2:16" ht="13.2" x14ac:dyDescent="0.25">
      <c r="B162" s="18"/>
      <c r="C162" s="19"/>
      <c r="D162" s="19"/>
      <c r="O162" s="5"/>
      <c r="P162" s="5"/>
    </row>
    <row r="163" spans="2:16" ht="13.2" x14ac:dyDescent="0.25">
      <c r="B163" s="18"/>
      <c r="C163" s="19"/>
      <c r="D163" s="19"/>
      <c r="O163" s="5"/>
      <c r="P163" s="5"/>
    </row>
    <row r="164" spans="2:16" ht="13.2" x14ac:dyDescent="0.25">
      <c r="B164" s="18"/>
      <c r="C164" s="19"/>
      <c r="D164" s="19"/>
      <c r="O164" s="5"/>
      <c r="P164" s="5"/>
    </row>
    <row r="165" spans="2:16" ht="13.2" x14ac:dyDescent="0.25">
      <c r="B165" s="18"/>
      <c r="C165" s="19"/>
      <c r="D165" s="19"/>
      <c r="O165" s="5"/>
      <c r="P165" s="5"/>
    </row>
    <row r="166" spans="2:16" ht="13.2" x14ac:dyDescent="0.25">
      <c r="B166" s="18"/>
      <c r="C166" s="19"/>
      <c r="D166" s="19"/>
      <c r="O166" s="5"/>
      <c r="P166" s="5"/>
    </row>
    <row r="167" spans="2:16" ht="13.2" x14ac:dyDescent="0.25">
      <c r="B167" s="18"/>
      <c r="C167" s="19"/>
      <c r="D167" s="19"/>
      <c r="O167" s="5"/>
      <c r="P167" s="5"/>
    </row>
    <row r="168" spans="2:16" ht="13.2" x14ac:dyDescent="0.25">
      <c r="B168" s="18"/>
      <c r="C168" s="19"/>
      <c r="D168" s="19"/>
      <c r="O168" s="5"/>
      <c r="P168" s="5"/>
    </row>
    <row r="169" spans="2:16" ht="13.2" x14ac:dyDescent="0.25">
      <c r="B169" s="18"/>
      <c r="C169" s="19"/>
      <c r="D169" s="19"/>
      <c r="O169" s="5"/>
      <c r="P169" s="5"/>
    </row>
    <row r="170" spans="2:16" ht="13.2" x14ac:dyDescent="0.25">
      <c r="B170" s="18"/>
      <c r="C170" s="19"/>
      <c r="D170" s="19"/>
      <c r="O170" s="5"/>
      <c r="P170" s="5"/>
    </row>
    <row r="171" spans="2:16" ht="13.2" x14ac:dyDescent="0.25">
      <c r="B171" s="18"/>
      <c r="C171" s="19"/>
      <c r="D171" s="19"/>
      <c r="O171" s="5"/>
      <c r="P171" s="5"/>
    </row>
    <row r="172" spans="2:16" ht="13.2" x14ac:dyDescent="0.25">
      <c r="B172" s="18"/>
      <c r="C172" s="19"/>
      <c r="D172" s="19"/>
      <c r="O172" s="5"/>
      <c r="P172" s="5"/>
    </row>
    <row r="173" spans="2:16" ht="13.2" x14ac:dyDescent="0.25">
      <c r="B173" s="18"/>
      <c r="C173" s="19"/>
      <c r="D173" s="19"/>
      <c r="O173" s="5"/>
      <c r="P173" s="5"/>
    </row>
    <row r="174" spans="2:16" ht="13.2" x14ac:dyDescent="0.25">
      <c r="B174" s="18"/>
      <c r="C174" s="19"/>
      <c r="D174" s="19"/>
      <c r="O174" s="5"/>
      <c r="P174" s="5"/>
    </row>
    <row r="175" spans="2:16" ht="13.2" x14ac:dyDescent="0.25">
      <c r="B175" s="18"/>
      <c r="C175" s="19"/>
      <c r="D175" s="19"/>
      <c r="O175" s="5"/>
      <c r="P175" s="5"/>
    </row>
    <row r="176" spans="2:16" ht="13.2" x14ac:dyDescent="0.25">
      <c r="B176" s="18"/>
      <c r="C176" s="19"/>
      <c r="D176" s="19"/>
      <c r="O176" s="5"/>
      <c r="P176" s="5"/>
    </row>
    <row r="177" spans="2:16" ht="13.2" x14ac:dyDescent="0.25">
      <c r="B177" s="18"/>
      <c r="C177" s="19"/>
      <c r="D177" s="19"/>
      <c r="O177" s="5"/>
      <c r="P177" s="5"/>
    </row>
    <row r="178" spans="2:16" ht="13.2" x14ac:dyDescent="0.25">
      <c r="B178" s="18"/>
      <c r="C178" s="19"/>
      <c r="D178" s="19"/>
      <c r="O178" s="5"/>
      <c r="P178" s="5"/>
    </row>
    <row r="179" spans="2:16" ht="13.2" x14ac:dyDescent="0.25">
      <c r="B179" s="18"/>
      <c r="C179" s="19"/>
      <c r="D179" s="19"/>
      <c r="O179" s="5"/>
      <c r="P179" s="5"/>
    </row>
    <row r="180" spans="2:16" ht="13.2" x14ac:dyDescent="0.25">
      <c r="B180" s="18"/>
      <c r="C180" s="19"/>
      <c r="D180" s="19"/>
      <c r="O180" s="5"/>
      <c r="P180" s="5"/>
    </row>
    <row r="181" spans="2:16" ht="13.2" x14ac:dyDescent="0.25">
      <c r="B181" s="18"/>
      <c r="C181" s="19"/>
      <c r="D181" s="19"/>
      <c r="O181" s="5"/>
      <c r="P181" s="5"/>
    </row>
    <row r="182" spans="2:16" ht="13.2" x14ac:dyDescent="0.25">
      <c r="B182" s="18"/>
      <c r="C182" s="19"/>
      <c r="D182" s="19"/>
      <c r="O182" s="5"/>
      <c r="P182" s="5"/>
    </row>
    <row r="183" spans="2:16" ht="13.2" x14ac:dyDescent="0.25">
      <c r="B183" s="18"/>
      <c r="C183" s="19"/>
      <c r="D183" s="19"/>
      <c r="O183" s="5"/>
      <c r="P183" s="5"/>
    </row>
    <row r="184" spans="2:16" ht="13.2" x14ac:dyDescent="0.25">
      <c r="B184" s="18"/>
      <c r="C184" s="19"/>
      <c r="D184" s="19"/>
      <c r="O184" s="5"/>
      <c r="P184" s="5"/>
    </row>
    <row r="185" spans="2:16" ht="13.2" x14ac:dyDescent="0.25">
      <c r="B185" s="18"/>
      <c r="C185" s="19"/>
      <c r="D185" s="19"/>
      <c r="O185" s="5"/>
      <c r="P185" s="5"/>
    </row>
    <row r="186" spans="2:16" ht="13.2" x14ac:dyDescent="0.25">
      <c r="B186" s="18"/>
      <c r="C186" s="19"/>
      <c r="D186" s="19"/>
      <c r="O186" s="5"/>
      <c r="P186" s="5"/>
    </row>
    <row r="187" spans="2:16" ht="13.2" x14ac:dyDescent="0.25">
      <c r="B187" s="18"/>
      <c r="C187" s="19"/>
      <c r="D187" s="19"/>
      <c r="O187" s="5"/>
      <c r="P187" s="5"/>
    </row>
    <row r="188" spans="2:16" ht="13.2" x14ac:dyDescent="0.25">
      <c r="B188" s="18"/>
      <c r="C188" s="19"/>
      <c r="D188" s="19"/>
      <c r="O188" s="5"/>
      <c r="P188" s="5"/>
    </row>
    <row r="189" spans="2:16" ht="13.2" x14ac:dyDescent="0.25">
      <c r="B189" s="18"/>
      <c r="C189" s="19"/>
      <c r="D189" s="19"/>
      <c r="O189" s="5"/>
      <c r="P189" s="5"/>
    </row>
    <row r="190" spans="2:16" ht="13.2" x14ac:dyDescent="0.25">
      <c r="B190" s="18"/>
      <c r="C190" s="19"/>
      <c r="D190" s="19"/>
      <c r="O190" s="5"/>
      <c r="P190" s="5"/>
    </row>
    <row r="191" spans="2:16" ht="13.2" x14ac:dyDescent="0.25">
      <c r="B191" s="18"/>
      <c r="C191" s="19"/>
      <c r="D191" s="19"/>
      <c r="O191" s="5"/>
      <c r="P191" s="5"/>
    </row>
    <row r="192" spans="2:16" ht="13.2" x14ac:dyDescent="0.25">
      <c r="B192" s="18"/>
      <c r="C192" s="19"/>
      <c r="D192" s="19"/>
      <c r="O192" s="5"/>
      <c r="P192" s="5"/>
    </row>
    <row r="193" spans="2:16" ht="13.2" x14ac:dyDescent="0.25">
      <c r="B193" s="18"/>
      <c r="C193" s="19"/>
      <c r="D193" s="19"/>
      <c r="O193" s="5"/>
      <c r="P193" s="5"/>
    </row>
    <row r="194" spans="2:16" ht="13.2" x14ac:dyDescent="0.25">
      <c r="B194" s="18"/>
      <c r="C194" s="19"/>
      <c r="D194" s="19"/>
      <c r="O194" s="5"/>
      <c r="P194" s="5"/>
    </row>
    <row r="195" spans="2:16" ht="13.2" x14ac:dyDescent="0.25">
      <c r="B195" s="18"/>
      <c r="C195" s="19"/>
      <c r="D195" s="19"/>
      <c r="O195" s="5"/>
      <c r="P195" s="5"/>
    </row>
    <row r="196" spans="2:16" ht="13.2" x14ac:dyDescent="0.25">
      <c r="B196" s="18"/>
      <c r="C196" s="19"/>
      <c r="D196" s="19"/>
      <c r="O196" s="5"/>
      <c r="P196" s="5"/>
    </row>
    <row r="197" spans="2:16" ht="13.2" x14ac:dyDescent="0.25">
      <c r="B197" s="18"/>
      <c r="C197" s="19"/>
      <c r="D197" s="19"/>
      <c r="O197" s="5"/>
      <c r="P197" s="5"/>
    </row>
    <row r="198" spans="2:16" ht="13.2" x14ac:dyDescent="0.25">
      <c r="B198" s="18"/>
      <c r="C198" s="19"/>
      <c r="D198" s="19"/>
      <c r="O198" s="5"/>
      <c r="P198" s="5"/>
    </row>
    <row r="199" spans="2:16" ht="13.2" x14ac:dyDescent="0.25">
      <c r="B199" s="18"/>
      <c r="C199" s="19"/>
      <c r="D199" s="19"/>
      <c r="O199" s="5"/>
      <c r="P199" s="5"/>
    </row>
    <row r="200" spans="2:16" ht="13.2" x14ac:dyDescent="0.25">
      <c r="B200" s="18"/>
      <c r="C200" s="19"/>
      <c r="D200" s="19"/>
      <c r="O200" s="5"/>
      <c r="P200" s="5"/>
    </row>
    <row r="201" spans="2:16" ht="13.2" x14ac:dyDescent="0.25">
      <c r="B201" s="18"/>
      <c r="C201" s="19"/>
      <c r="D201" s="19"/>
      <c r="O201" s="5"/>
      <c r="P201" s="5"/>
    </row>
    <row r="202" spans="2:16" ht="13.2" x14ac:dyDescent="0.25">
      <c r="B202" s="18"/>
      <c r="C202" s="19"/>
      <c r="D202" s="19"/>
      <c r="O202" s="5"/>
      <c r="P202" s="5"/>
    </row>
    <row r="203" spans="2:16" ht="13.2" x14ac:dyDescent="0.25">
      <c r="B203" s="18"/>
      <c r="C203" s="19"/>
      <c r="D203" s="19"/>
      <c r="O203" s="5"/>
      <c r="P203" s="5"/>
    </row>
    <row r="204" spans="2:16" ht="13.2" x14ac:dyDescent="0.25">
      <c r="B204" s="18"/>
      <c r="C204" s="19"/>
      <c r="D204" s="19"/>
      <c r="O204" s="5"/>
      <c r="P204" s="5"/>
    </row>
    <row r="205" spans="2:16" ht="13.2" x14ac:dyDescent="0.25">
      <c r="B205" s="18"/>
      <c r="C205" s="19"/>
      <c r="D205" s="19"/>
      <c r="O205" s="5"/>
      <c r="P205" s="5"/>
    </row>
    <row r="206" spans="2:16" ht="13.2" x14ac:dyDescent="0.25">
      <c r="B206" s="18"/>
      <c r="C206" s="19"/>
      <c r="D206" s="19"/>
      <c r="O206" s="5"/>
      <c r="P206" s="5"/>
    </row>
    <row r="207" spans="2:16" ht="13.2" x14ac:dyDescent="0.25">
      <c r="B207" s="18"/>
      <c r="C207" s="19"/>
      <c r="D207" s="19"/>
      <c r="O207" s="5"/>
      <c r="P207" s="5"/>
    </row>
    <row r="208" spans="2:16" ht="13.2" x14ac:dyDescent="0.25">
      <c r="B208" s="18"/>
      <c r="C208" s="19"/>
      <c r="D208" s="19"/>
      <c r="O208" s="5"/>
      <c r="P208" s="5"/>
    </row>
    <row r="209" spans="2:16" ht="13.2" x14ac:dyDescent="0.25">
      <c r="B209" s="18"/>
      <c r="C209" s="19"/>
      <c r="D209" s="19"/>
      <c r="O209" s="5"/>
      <c r="P209" s="5"/>
    </row>
    <row r="210" spans="2:16" ht="13.2" x14ac:dyDescent="0.25">
      <c r="B210" s="18"/>
      <c r="C210" s="19"/>
      <c r="D210" s="19"/>
      <c r="O210" s="5"/>
      <c r="P210" s="5"/>
    </row>
    <row r="211" spans="2:16" ht="13.2" x14ac:dyDescent="0.25">
      <c r="B211" s="18"/>
      <c r="C211" s="19"/>
      <c r="D211" s="19"/>
      <c r="O211" s="5"/>
      <c r="P211" s="5"/>
    </row>
    <row r="212" spans="2:16" ht="13.2" x14ac:dyDescent="0.25">
      <c r="B212" s="18"/>
      <c r="C212" s="19"/>
      <c r="D212" s="19"/>
      <c r="O212" s="5"/>
      <c r="P212" s="5"/>
    </row>
    <row r="213" spans="2:16" ht="13.2" x14ac:dyDescent="0.25">
      <c r="B213" s="18"/>
      <c r="C213" s="19"/>
      <c r="D213" s="19"/>
      <c r="O213" s="5"/>
      <c r="P213" s="5"/>
    </row>
    <row r="214" spans="2:16" ht="13.2" x14ac:dyDescent="0.25">
      <c r="B214" s="18"/>
      <c r="C214" s="19"/>
      <c r="D214" s="19"/>
      <c r="O214" s="5"/>
      <c r="P214" s="5"/>
    </row>
    <row r="215" spans="2:16" ht="13.2" x14ac:dyDescent="0.25">
      <c r="B215" s="18"/>
      <c r="C215" s="19"/>
      <c r="D215" s="19"/>
      <c r="O215" s="5"/>
      <c r="P215" s="5"/>
    </row>
    <row r="216" spans="2:16" ht="13.2" x14ac:dyDescent="0.25">
      <c r="B216" s="18"/>
      <c r="C216" s="19"/>
      <c r="D216" s="19"/>
      <c r="O216" s="5"/>
      <c r="P216" s="5"/>
    </row>
    <row r="217" spans="2:16" ht="13.2" x14ac:dyDescent="0.25">
      <c r="B217" s="18"/>
      <c r="C217" s="19"/>
      <c r="D217" s="19"/>
      <c r="O217" s="5"/>
      <c r="P217" s="5"/>
    </row>
    <row r="218" spans="2:16" ht="13.2" x14ac:dyDescent="0.25">
      <c r="B218" s="18"/>
      <c r="C218" s="19"/>
      <c r="D218" s="19"/>
      <c r="O218" s="5"/>
      <c r="P218" s="5"/>
    </row>
    <row r="219" spans="2:16" ht="13.2" x14ac:dyDescent="0.25">
      <c r="B219" s="18"/>
      <c r="C219" s="19"/>
      <c r="D219" s="19"/>
      <c r="O219" s="5"/>
      <c r="P219" s="5"/>
    </row>
    <row r="220" spans="2:16" ht="13.2" x14ac:dyDescent="0.25">
      <c r="B220" s="18"/>
      <c r="C220" s="19"/>
      <c r="D220" s="19"/>
      <c r="O220" s="5"/>
      <c r="P220" s="5"/>
    </row>
    <row r="221" spans="2:16" ht="13.2" x14ac:dyDescent="0.25">
      <c r="B221" s="18"/>
      <c r="C221" s="19"/>
      <c r="D221" s="19"/>
      <c r="O221" s="5"/>
      <c r="P221" s="5"/>
    </row>
    <row r="222" spans="2:16" ht="13.2" x14ac:dyDescent="0.25">
      <c r="B222" s="18"/>
      <c r="C222" s="19"/>
      <c r="D222" s="19"/>
      <c r="O222" s="5"/>
      <c r="P222" s="5"/>
    </row>
    <row r="223" spans="2:16" ht="13.2" x14ac:dyDescent="0.25">
      <c r="B223" s="18"/>
      <c r="C223" s="19"/>
      <c r="D223" s="19"/>
      <c r="O223" s="5"/>
      <c r="P223" s="5"/>
    </row>
    <row r="224" spans="2:16" ht="13.2" x14ac:dyDescent="0.25">
      <c r="B224" s="18"/>
      <c r="C224" s="19"/>
      <c r="D224" s="19"/>
      <c r="O224" s="5"/>
      <c r="P224" s="5"/>
    </row>
    <row r="225" spans="2:16" ht="13.2" x14ac:dyDescent="0.25">
      <c r="B225" s="18"/>
      <c r="C225" s="19"/>
      <c r="D225" s="19"/>
      <c r="O225" s="5"/>
      <c r="P225" s="5"/>
    </row>
    <row r="226" spans="2:16" ht="13.2" x14ac:dyDescent="0.25">
      <c r="B226" s="18"/>
      <c r="C226" s="19"/>
      <c r="D226" s="19"/>
      <c r="O226" s="5"/>
      <c r="P226" s="5"/>
    </row>
    <row r="227" spans="2:16" ht="13.2" x14ac:dyDescent="0.25">
      <c r="B227" s="18"/>
      <c r="C227" s="19"/>
      <c r="D227" s="19"/>
      <c r="O227" s="5"/>
      <c r="P227" s="5"/>
    </row>
    <row r="228" spans="2:16" ht="13.2" x14ac:dyDescent="0.25">
      <c r="B228" s="18"/>
      <c r="C228" s="19"/>
      <c r="D228" s="19"/>
      <c r="O228" s="5"/>
      <c r="P228" s="5"/>
    </row>
    <row r="229" spans="2:16" ht="13.2" x14ac:dyDescent="0.25">
      <c r="B229" s="18"/>
      <c r="C229" s="19"/>
      <c r="D229" s="19"/>
      <c r="O229" s="5"/>
      <c r="P229" s="5"/>
    </row>
    <row r="230" spans="2:16" ht="13.2" x14ac:dyDescent="0.25">
      <c r="B230" s="18"/>
      <c r="C230" s="19"/>
      <c r="D230" s="19"/>
      <c r="O230" s="5"/>
      <c r="P230" s="5"/>
    </row>
    <row r="231" spans="2:16" ht="13.2" x14ac:dyDescent="0.25">
      <c r="B231" s="18"/>
      <c r="C231" s="19"/>
      <c r="D231" s="19"/>
      <c r="O231" s="5"/>
      <c r="P231" s="5"/>
    </row>
    <row r="232" spans="2:16" ht="13.2" x14ac:dyDescent="0.25">
      <c r="B232" s="18"/>
      <c r="C232" s="19"/>
      <c r="D232" s="19"/>
      <c r="O232" s="5"/>
      <c r="P232" s="5"/>
    </row>
    <row r="233" spans="2:16" ht="13.2" x14ac:dyDescent="0.25">
      <c r="B233" s="18"/>
      <c r="C233" s="19"/>
      <c r="D233" s="19"/>
      <c r="O233" s="5"/>
      <c r="P233" s="5"/>
    </row>
    <row r="234" spans="2:16" ht="13.2" x14ac:dyDescent="0.25">
      <c r="B234" s="18"/>
      <c r="C234" s="19"/>
      <c r="D234" s="19"/>
      <c r="O234" s="5"/>
      <c r="P234" s="5"/>
    </row>
    <row r="235" spans="2:16" ht="13.2" x14ac:dyDescent="0.25">
      <c r="B235" s="18"/>
      <c r="C235" s="19"/>
      <c r="D235" s="19"/>
      <c r="O235" s="5"/>
      <c r="P235" s="5"/>
    </row>
    <row r="236" spans="2:16" ht="13.2" x14ac:dyDescent="0.25">
      <c r="B236" s="18"/>
      <c r="C236" s="19"/>
      <c r="D236" s="19"/>
      <c r="O236" s="5"/>
      <c r="P236" s="5"/>
    </row>
    <row r="237" spans="2:16" ht="13.2" x14ac:dyDescent="0.25">
      <c r="B237" s="18"/>
      <c r="C237" s="19"/>
      <c r="D237" s="19"/>
      <c r="O237" s="5"/>
      <c r="P237" s="5"/>
    </row>
    <row r="238" spans="2:16" ht="13.2" x14ac:dyDescent="0.25">
      <c r="B238" s="18"/>
      <c r="C238" s="19"/>
      <c r="D238" s="19"/>
      <c r="O238" s="5"/>
      <c r="P238" s="5"/>
    </row>
    <row r="239" spans="2:16" ht="13.2" x14ac:dyDescent="0.25">
      <c r="B239" s="18"/>
      <c r="C239" s="19"/>
      <c r="D239" s="19"/>
      <c r="O239" s="5"/>
      <c r="P239" s="5"/>
    </row>
    <row r="240" spans="2:16" ht="13.2" x14ac:dyDescent="0.25">
      <c r="B240" s="18"/>
      <c r="C240" s="19"/>
      <c r="D240" s="19"/>
      <c r="O240" s="5"/>
      <c r="P240" s="5"/>
    </row>
    <row r="241" spans="2:16" ht="13.2" x14ac:dyDescent="0.25">
      <c r="B241" s="18"/>
      <c r="C241" s="19"/>
      <c r="D241" s="19"/>
      <c r="O241" s="5"/>
      <c r="P241" s="5"/>
    </row>
    <row r="242" spans="2:16" ht="13.2" x14ac:dyDescent="0.25">
      <c r="B242" s="18"/>
      <c r="C242" s="19"/>
      <c r="D242" s="19"/>
      <c r="O242" s="5"/>
      <c r="P242" s="5"/>
    </row>
    <row r="243" spans="2:16" ht="13.2" x14ac:dyDescent="0.25">
      <c r="B243" s="18"/>
      <c r="C243" s="19"/>
      <c r="D243" s="19"/>
      <c r="O243" s="5"/>
      <c r="P243" s="5"/>
    </row>
    <row r="244" spans="2:16" ht="13.2" x14ac:dyDescent="0.25">
      <c r="B244" s="18"/>
      <c r="C244" s="19"/>
      <c r="D244" s="19"/>
      <c r="O244" s="5"/>
      <c r="P244" s="5"/>
    </row>
    <row r="245" spans="2:16" ht="13.2" x14ac:dyDescent="0.25">
      <c r="B245" s="18"/>
      <c r="C245" s="19"/>
      <c r="D245" s="19"/>
      <c r="O245" s="5"/>
      <c r="P245" s="5"/>
    </row>
    <row r="246" spans="2:16" ht="13.2" x14ac:dyDescent="0.25">
      <c r="B246" s="18"/>
      <c r="C246" s="19"/>
      <c r="D246" s="19"/>
      <c r="O246" s="5"/>
      <c r="P246" s="5"/>
    </row>
    <row r="247" spans="2:16" ht="13.2" x14ac:dyDescent="0.25">
      <c r="B247" s="18"/>
      <c r="C247" s="19"/>
      <c r="D247" s="19"/>
      <c r="O247" s="5"/>
      <c r="P247" s="5"/>
    </row>
    <row r="248" spans="2:16" ht="13.2" x14ac:dyDescent="0.25">
      <c r="B248" s="18"/>
      <c r="C248" s="19"/>
      <c r="D248" s="19"/>
      <c r="O248" s="5"/>
      <c r="P248" s="5"/>
    </row>
    <row r="249" spans="2:16" ht="13.2" x14ac:dyDescent="0.25">
      <c r="B249" s="18"/>
      <c r="C249" s="19"/>
      <c r="D249" s="19"/>
      <c r="O249" s="5"/>
      <c r="P249" s="5"/>
    </row>
    <row r="250" spans="2:16" ht="13.2" x14ac:dyDescent="0.25">
      <c r="B250" s="18"/>
      <c r="C250" s="19"/>
      <c r="D250" s="19"/>
      <c r="O250" s="5"/>
      <c r="P250" s="5"/>
    </row>
    <row r="251" spans="2:16" ht="13.2" x14ac:dyDescent="0.25">
      <c r="B251" s="18"/>
      <c r="C251" s="19"/>
      <c r="D251" s="19"/>
      <c r="O251" s="5"/>
      <c r="P251" s="5"/>
    </row>
    <row r="252" spans="2:16" ht="13.2" x14ac:dyDescent="0.25">
      <c r="B252" s="18"/>
      <c r="C252" s="19"/>
      <c r="D252" s="19"/>
      <c r="O252" s="5"/>
      <c r="P252" s="5"/>
    </row>
    <row r="253" spans="2:16" ht="13.2" x14ac:dyDescent="0.25">
      <c r="B253" s="18"/>
      <c r="C253" s="19"/>
      <c r="D253" s="19"/>
      <c r="O253" s="5"/>
      <c r="P253" s="5"/>
    </row>
    <row r="254" spans="2:16" ht="13.2" x14ac:dyDescent="0.25">
      <c r="B254" s="18"/>
      <c r="C254" s="19"/>
      <c r="D254" s="19"/>
      <c r="O254" s="5"/>
      <c r="P254" s="5"/>
    </row>
    <row r="255" spans="2:16" ht="13.2" x14ac:dyDescent="0.25">
      <c r="B255" s="18"/>
      <c r="C255" s="19"/>
      <c r="D255" s="19"/>
      <c r="O255" s="5"/>
      <c r="P255" s="5"/>
    </row>
    <row r="256" spans="2:16" ht="13.2" x14ac:dyDescent="0.25">
      <c r="B256" s="18"/>
      <c r="C256" s="19"/>
      <c r="D256" s="19"/>
      <c r="O256" s="5"/>
      <c r="P256" s="5"/>
    </row>
    <row r="257" spans="2:16" ht="13.2" x14ac:dyDescent="0.25">
      <c r="B257" s="18"/>
      <c r="C257" s="19"/>
      <c r="D257" s="19"/>
      <c r="O257" s="5"/>
      <c r="P257" s="5"/>
    </row>
    <row r="258" spans="2:16" ht="13.2" x14ac:dyDescent="0.25">
      <c r="B258" s="18"/>
      <c r="C258" s="19"/>
      <c r="D258" s="19"/>
      <c r="O258" s="5"/>
      <c r="P258" s="5"/>
    </row>
    <row r="259" spans="2:16" ht="13.2" x14ac:dyDescent="0.25">
      <c r="B259" s="18"/>
      <c r="C259" s="19"/>
      <c r="D259" s="19"/>
      <c r="O259" s="5"/>
      <c r="P259" s="5"/>
    </row>
    <row r="260" spans="2:16" ht="13.2" x14ac:dyDescent="0.25">
      <c r="B260" s="18"/>
      <c r="C260" s="19"/>
      <c r="D260" s="19"/>
      <c r="O260" s="5"/>
      <c r="P260" s="5"/>
    </row>
    <row r="261" spans="2:16" ht="13.2" x14ac:dyDescent="0.25">
      <c r="B261" s="18"/>
      <c r="C261" s="19"/>
      <c r="D261" s="19"/>
      <c r="O261" s="5"/>
      <c r="P261" s="5"/>
    </row>
    <row r="262" spans="2:16" ht="13.2" x14ac:dyDescent="0.25">
      <c r="B262" s="18"/>
      <c r="C262" s="19"/>
      <c r="D262" s="19"/>
      <c r="O262" s="5"/>
      <c r="P262" s="5"/>
    </row>
    <row r="263" spans="2:16" ht="13.2" x14ac:dyDescent="0.25">
      <c r="B263" s="18"/>
      <c r="C263" s="19"/>
      <c r="D263" s="19"/>
      <c r="O263" s="5"/>
      <c r="P263" s="5"/>
    </row>
    <row r="264" spans="2:16" ht="13.2" x14ac:dyDescent="0.25">
      <c r="B264" s="18"/>
      <c r="C264" s="19"/>
      <c r="D264" s="19"/>
      <c r="O264" s="5"/>
      <c r="P264" s="5"/>
    </row>
    <row r="265" spans="2:16" ht="13.2" x14ac:dyDescent="0.25">
      <c r="B265" s="18"/>
      <c r="C265" s="19"/>
      <c r="D265" s="19"/>
      <c r="O265" s="5"/>
      <c r="P265" s="5"/>
    </row>
    <row r="266" spans="2:16" ht="13.2" x14ac:dyDescent="0.25">
      <c r="B266" s="18"/>
      <c r="C266" s="19"/>
      <c r="D266" s="19"/>
      <c r="O266" s="5"/>
      <c r="P266" s="5"/>
    </row>
    <row r="267" spans="2:16" ht="13.2" x14ac:dyDescent="0.25">
      <c r="B267" s="18"/>
      <c r="C267" s="19"/>
      <c r="D267" s="19"/>
      <c r="O267" s="5"/>
      <c r="P267" s="5"/>
    </row>
    <row r="268" spans="2:16" ht="13.2" x14ac:dyDescent="0.25">
      <c r="B268" s="18"/>
      <c r="C268" s="19"/>
      <c r="D268" s="19"/>
      <c r="O268" s="5"/>
      <c r="P268" s="5"/>
    </row>
    <row r="269" spans="2:16" ht="13.2" x14ac:dyDescent="0.25">
      <c r="B269" s="18"/>
      <c r="C269" s="19"/>
      <c r="D269" s="19"/>
      <c r="O269" s="5"/>
      <c r="P269" s="5"/>
    </row>
    <row r="270" spans="2:16" ht="13.2" x14ac:dyDescent="0.25">
      <c r="B270" s="18"/>
      <c r="C270" s="19"/>
      <c r="D270" s="19"/>
      <c r="O270" s="5"/>
      <c r="P270" s="5"/>
    </row>
    <row r="271" spans="2:16" ht="13.2" x14ac:dyDescent="0.25">
      <c r="B271" s="18"/>
      <c r="C271" s="19"/>
      <c r="D271" s="19"/>
      <c r="O271" s="5"/>
      <c r="P271" s="5"/>
    </row>
    <row r="272" spans="2:16" ht="13.2" x14ac:dyDescent="0.25">
      <c r="B272" s="18"/>
      <c r="C272" s="19"/>
      <c r="D272" s="19"/>
      <c r="O272" s="5"/>
      <c r="P272" s="5"/>
    </row>
    <row r="273" spans="2:16" ht="13.2" x14ac:dyDescent="0.25">
      <c r="B273" s="18"/>
      <c r="C273" s="19"/>
      <c r="D273" s="19"/>
      <c r="O273" s="5"/>
      <c r="P273" s="5"/>
    </row>
    <row r="274" spans="2:16" ht="13.2" x14ac:dyDescent="0.25">
      <c r="B274" s="18"/>
      <c r="C274" s="19"/>
      <c r="D274" s="19"/>
      <c r="O274" s="5"/>
      <c r="P274" s="5"/>
    </row>
    <row r="275" spans="2:16" ht="13.2" x14ac:dyDescent="0.25">
      <c r="B275" s="18"/>
      <c r="C275" s="19"/>
      <c r="D275" s="19"/>
      <c r="O275" s="5"/>
      <c r="P275" s="5"/>
    </row>
    <row r="276" spans="2:16" ht="13.2" x14ac:dyDescent="0.25">
      <c r="B276" s="18"/>
      <c r="C276" s="19"/>
      <c r="D276" s="19"/>
      <c r="O276" s="5"/>
      <c r="P276" s="5"/>
    </row>
    <row r="277" spans="2:16" ht="13.2" x14ac:dyDescent="0.25">
      <c r="B277" s="18"/>
      <c r="C277" s="19"/>
      <c r="D277" s="19"/>
      <c r="O277" s="5"/>
      <c r="P277" s="5"/>
    </row>
    <row r="278" spans="2:16" ht="13.2" x14ac:dyDescent="0.25">
      <c r="B278" s="18"/>
      <c r="C278" s="19"/>
      <c r="D278" s="19"/>
      <c r="O278" s="5"/>
      <c r="P278" s="5"/>
    </row>
    <row r="279" spans="2:16" ht="13.2" x14ac:dyDescent="0.25">
      <c r="B279" s="18"/>
      <c r="C279" s="19"/>
      <c r="D279" s="19"/>
      <c r="O279" s="5"/>
      <c r="P279" s="5"/>
    </row>
    <row r="280" spans="2:16" ht="13.2" x14ac:dyDescent="0.25">
      <c r="B280" s="18"/>
      <c r="C280" s="19"/>
      <c r="D280" s="19"/>
      <c r="O280" s="5"/>
      <c r="P280" s="5"/>
    </row>
    <row r="281" spans="2:16" ht="13.2" x14ac:dyDescent="0.25">
      <c r="B281" s="18"/>
      <c r="C281" s="19"/>
      <c r="D281" s="19"/>
      <c r="O281" s="5"/>
      <c r="P281" s="5"/>
    </row>
    <row r="282" spans="2:16" ht="13.2" x14ac:dyDescent="0.25">
      <c r="B282" s="18"/>
      <c r="C282" s="19"/>
      <c r="D282" s="19"/>
      <c r="O282" s="5"/>
      <c r="P282" s="5"/>
    </row>
    <row r="283" spans="2:16" ht="13.2" x14ac:dyDescent="0.25">
      <c r="B283" s="18"/>
      <c r="C283" s="19"/>
      <c r="D283" s="19"/>
      <c r="O283" s="5"/>
      <c r="P283" s="5"/>
    </row>
    <row r="284" spans="2:16" ht="13.2" x14ac:dyDescent="0.25">
      <c r="B284" s="18"/>
      <c r="C284" s="19"/>
      <c r="D284" s="19"/>
      <c r="O284" s="5"/>
      <c r="P284" s="5"/>
    </row>
    <row r="285" spans="2:16" ht="13.2" x14ac:dyDescent="0.25">
      <c r="B285" s="18"/>
      <c r="C285" s="19"/>
      <c r="D285" s="19"/>
      <c r="O285" s="5"/>
      <c r="P285" s="5"/>
    </row>
    <row r="286" spans="2:16" ht="13.2" x14ac:dyDescent="0.25">
      <c r="B286" s="18"/>
      <c r="C286" s="19"/>
      <c r="D286" s="19"/>
      <c r="O286" s="5"/>
      <c r="P286" s="5"/>
    </row>
    <row r="287" spans="2:16" ht="13.2" x14ac:dyDescent="0.25">
      <c r="B287" s="18"/>
      <c r="C287" s="19"/>
      <c r="D287" s="19"/>
      <c r="O287" s="5"/>
      <c r="P287" s="5"/>
    </row>
    <row r="288" spans="2:16" ht="13.2" x14ac:dyDescent="0.25">
      <c r="B288" s="18"/>
      <c r="C288" s="19"/>
      <c r="D288" s="19"/>
      <c r="O288" s="5"/>
      <c r="P288" s="5"/>
    </row>
    <row r="289" spans="2:16" ht="13.2" x14ac:dyDescent="0.25">
      <c r="B289" s="18"/>
      <c r="C289" s="19"/>
      <c r="D289" s="19"/>
      <c r="O289" s="5"/>
      <c r="P289" s="5"/>
    </row>
    <row r="290" spans="2:16" ht="13.2" x14ac:dyDescent="0.25">
      <c r="B290" s="18"/>
      <c r="C290" s="19"/>
      <c r="D290" s="19"/>
      <c r="O290" s="5"/>
      <c r="P290" s="5"/>
    </row>
    <row r="291" spans="2:16" ht="13.2" x14ac:dyDescent="0.25">
      <c r="B291" s="18"/>
      <c r="C291" s="19"/>
      <c r="D291" s="19"/>
      <c r="O291" s="5"/>
      <c r="P291" s="5"/>
    </row>
    <row r="292" spans="2:16" ht="13.2" x14ac:dyDescent="0.25">
      <c r="B292" s="18"/>
      <c r="C292" s="19"/>
      <c r="D292" s="19"/>
      <c r="O292" s="5"/>
      <c r="P292" s="5"/>
    </row>
    <row r="293" spans="2:16" ht="13.2" x14ac:dyDescent="0.25">
      <c r="B293" s="18"/>
      <c r="C293" s="19"/>
      <c r="D293" s="19"/>
      <c r="O293" s="5"/>
      <c r="P293" s="5"/>
    </row>
    <row r="294" spans="2:16" ht="13.2" x14ac:dyDescent="0.25">
      <c r="B294" s="18"/>
      <c r="C294" s="19"/>
      <c r="D294" s="19"/>
      <c r="O294" s="5"/>
      <c r="P294" s="5"/>
    </row>
    <row r="295" spans="2:16" ht="13.2" x14ac:dyDescent="0.25">
      <c r="B295" s="18"/>
      <c r="C295" s="19"/>
      <c r="D295" s="19"/>
      <c r="O295" s="5"/>
      <c r="P295" s="5"/>
    </row>
    <row r="296" spans="2:16" ht="13.2" x14ac:dyDescent="0.25">
      <c r="B296" s="18"/>
      <c r="C296" s="19"/>
      <c r="D296" s="19"/>
      <c r="O296" s="5"/>
      <c r="P296" s="5"/>
    </row>
    <row r="297" spans="2:16" ht="13.2" x14ac:dyDescent="0.25">
      <c r="B297" s="18"/>
      <c r="C297" s="19"/>
      <c r="D297" s="19"/>
      <c r="O297" s="5"/>
      <c r="P297" s="5"/>
    </row>
    <row r="298" spans="2:16" ht="13.2" x14ac:dyDescent="0.25">
      <c r="B298" s="18"/>
      <c r="C298" s="19"/>
      <c r="D298" s="19"/>
      <c r="O298" s="5"/>
      <c r="P298" s="5"/>
    </row>
    <row r="299" spans="2:16" ht="13.2" x14ac:dyDescent="0.25">
      <c r="B299" s="18"/>
      <c r="C299" s="19"/>
      <c r="D299" s="19"/>
      <c r="O299" s="5"/>
      <c r="P299" s="5"/>
    </row>
    <row r="300" spans="2:16" ht="13.2" x14ac:dyDescent="0.25">
      <c r="B300" s="18"/>
      <c r="C300" s="19"/>
      <c r="D300" s="19"/>
      <c r="O300" s="5"/>
      <c r="P300" s="5"/>
    </row>
    <row r="301" spans="2:16" ht="13.2" x14ac:dyDescent="0.25">
      <c r="B301" s="18"/>
      <c r="C301" s="19"/>
      <c r="D301" s="19"/>
      <c r="O301" s="5"/>
      <c r="P301" s="5"/>
    </row>
    <row r="302" spans="2:16" ht="13.2" x14ac:dyDescent="0.25">
      <c r="B302" s="18"/>
      <c r="C302" s="19"/>
      <c r="D302" s="19"/>
      <c r="O302" s="5"/>
      <c r="P302" s="5"/>
    </row>
    <row r="303" spans="2:16" ht="13.2" x14ac:dyDescent="0.25">
      <c r="B303" s="18"/>
      <c r="C303" s="19"/>
      <c r="D303" s="19"/>
      <c r="O303" s="5"/>
      <c r="P303" s="5"/>
    </row>
    <row r="304" spans="2:16" ht="13.2" x14ac:dyDescent="0.25">
      <c r="B304" s="18"/>
      <c r="C304" s="19"/>
      <c r="D304" s="19"/>
      <c r="O304" s="5"/>
      <c r="P304" s="5"/>
    </row>
    <row r="305" spans="2:16" ht="13.2" x14ac:dyDescent="0.25">
      <c r="B305" s="18"/>
      <c r="C305" s="19"/>
      <c r="D305" s="19"/>
      <c r="O305" s="5"/>
      <c r="P305" s="5"/>
    </row>
    <row r="306" spans="2:16" ht="13.2" x14ac:dyDescent="0.25">
      <c r="B306" s="18"/>
      <c r="C306" s="19"/>
      <c r="D306" s="19"/>
      <c r="O306" s="5"/>
      <c r="P306" s="5"/>
    </row>
    <row r="307" spans="2:16" ht="13.2" x14ac:dyDescent="0.25">
      <c r="B307" s="18"/>
      <c r="C307" s="19"/>
      <c r="D307" s="19"/>
      <c r="O307" s="5"/>
      <c r="P307" s="5"/>
    </row>
    <row r="308" spans="2:16" ht="13.2" x14ac:dyDescent="0.25">
      <c r="B308" s="18"/>
      <c r="C308" s="19"/>
      <c r="D308" s="19"/>
      <c r="O308" s="5"/>
      <c r="P308" s="5"/>
    </row>
    <row r="309" spans="2:16" ht="13.2" x14ac:dyDescent="0.25">
      <c r="B309" s="18"/>
      <c r="C309" s="19"/>
      <c r="D309" s="19"/>
      <c r="O309" s="5"/>
      <c r="P309" s="5"/>
    </row>
    <row r="310" spans="2:16" ht="13.2" x14ac:dyDescent="0.25">
      <c r="B310" s="18"/>
      <c r="C310" s="19"/>
      <c r="D310" s="19"/>
      <c r="O310" s="5"/>
      <c r="P310" s="5"/>
    </row>
    <row r="311" spans="2:16" ht="13.2" x14ac:dyDescent="0.25">
      <c r="B311" s="18"/>
      <c r="C311" s="19"/>
      <c r="D311" s="19"/>
      <c r="O311" s="5"/>
      <c r="P311" s="5"/>
    </row>
    <row r="312" spans="2:16" ht="13.2" x14ac:dyDescent="0.25">
      <c r="B312" s="18"/>
      <c r="C312" s="19"/>
      <c r="D312" s="19"/>
      <c r="O312" s="5"/>
      <c r="P312" s="5"/>
    </row>
    <row r="313" spans="2:16" ht="13.2" x14ac:dyDescent="0.25">
      <c r="B313" s="18"/>
      <c r="C313" s="19"/>
      <c r="D313" s="19"/>
      <c r="O313" s="5"/>
      <c r="P313" s="5"/>
    </row>
    <row r="314" spans="2:16" ht="13.2" x14ac:dyDescent="0.25">
      <c r="B314" s="18"/>
      <c r="C314" s="19"/>
      <c r="D314" s="19"/>
      <c r="O314" s="5"/>
      <c r="P314" s="5"/>
    </row>
    <row r="315" spans="2:16" ht="13.2" x14ac:dyDescent="0.25">
      <c r="B315" s="18"/>
      <c r="C315" s="19"/>
      <c r="D315" s="19"/>
      <c r="O315" s="5"/>
      <c r="P315" s="5"/>
    </row>
    <row r="316" spans="2:16" ht="13.2" x14ac:dyDescent="0.25">
      <c r="B316" s="18"/>
      <c r="C316" s="19"/>
      <c r="D316" s="19"/>
      <c r="O316" s="5"/>
      <c r="P316" s="5"/>
    </row>
    <row r="317" spans="2:16" ht="13.2" x14ac:dyDescent="0.25">
      <c r="B317" s="18"/>
      <c r="C317" s="19"/>
      <c r="D317" s="19"/>
      <c r="O317" s="5"/>
      <c r="P317" s="5"/>
    </row>
    <row r="318" spans="2:16" ht="13.2" x14ac:dyDescent="0.25">
      <c r="B318" s="18"/>
      <c r="C318" s="19"/>
      <c r="D318" s="19"/>
      <c r="O318" s="5"/>
      <c r="P318" s="5"/>
    </row>
    <row r="319" spans="2:16" ht="13.2" x14ac:dyDescent="0.25">
      <c r="B319" s="18"/>
      <c r="C319" s="19"/>
      <c r="D319" s="19"/>
      <c r="O319" s="5"/>
      <c r="P319" s="5"/>
    </row>
    <row r="320" spans="2:16" ht="13.2" x14ac:dyDescent="0.25">
      <c r="B320" s="18"/>
      <c r="C320" s="19"/>
      <c r="D320" s="19"/>
      <c r="O320" s="5"/>
      <c r="P320" s="5"/>
    </row>
    <row r="321" spans="2:16" ht="13.2" x14ac:dyDescent="0.25">
      <c r="B321" s="18"/>
      <c r="C321" s="19"/>
      <c r="D321" s="19"/>
      <c r="O321" s="5"/>
      <c r="P321" s="5"/>
    </row>
    <row r="322" spans="2:16" ht="13.2" x14ac:dyDescent="0.25">
      <c r="B322" s="18"/>
      <c r="C322" s="19"/>
      <c r="D322" s="19"/>
      <c r="O322" s="5"/>
      <c r="P322" s="5"/>
    </row>
    <row r="323" spans="2:16" ht="13.2" x14ac:dyDescent="0.25">
      <c r="B323" s="18"/>
      <c r="C323" s="19"/>
      <c r="D323" s="19"/>
      <c r="O323" s="5"/>
      <c r="P323" s="5"/>
    </row>
    <row r="324" spans="2:16" ht="13.2" x14ac:dyDescent="0.25">
      <c r="B324" s="18"/>
      <c r="C324" s="19"/>
      <c r="D324" s="19"/>
      <c r="O324" s="5"/>
      <c r="P324" s="5"/>
    </row>
    <row r="325" spans="2:16" ht="13.2" x14ac:dyDescent="0.25">
      <c r="B325" s="18"/>
      <c r="C325" s="19"/>
      <c r="D325" s="19"/>
      <c r="O325" s="5"/>
      <c r="P325" s="5"/>
    </row>
    <row r="326" spans="2:16" ht="13.2" x14ac:dyDescent="0.25">
      <c r="B326" s="18"/>
      <c r="C326" s="19"/>
      <c r="D326" s="19"/>
      <c r="O326" s="5"/>
      <c r="P326" s="5"/>
    </row>
    <row r="327" spans="2:16" ht="13.2" x14ac:dyDescent="0.25">
      <c r="B327" s="18"/>
      <c r="C327" s="19"/>
      <c r="D327" s="19"/>
      <c r="O327" s="5"/>
      <c r="P327" s="5"/>
    </row>
    <row r="328" spans="2:16" ht="13.2" x14ac:dyDescent="0.25">
      <c r="B328" s="18"/>
      <c r="C328" s="19"/>
      <c r="D328" s="19"/>
      <c r="O328" s="5"/>
      <c r="P328" s="5"/>
    </row>
    <row r="329" spans="2:16" ht="13.2" x14ac:dyDescent="0.25">
      <c r="B329" s="18"/>
      <c r="C329" s="19"/>
      <c r="D329" s="19"/>
      <c r="O329" s="5"/>
      <c r="P329" s="5"/>
    </row>
    <row r="330" spans="2:16" ht="13.2" x14ac:dyDescent="0.25">
      <c r="B330" s="18"/>
      <c r="C330" s="19"/>
      <c r="D330" s="19"/>
      <c r="O330" s="5"/>
      <c r="P330" s="5"/>
    </row>
    <row r="331" spans="2:16" ht="13.2" x14ac:dyDescent="0.25">
      <c r="B331" s="18"/>
      <c r="C331" s="19"/>
      <c r="D331" s="19"/>
      <c r="O331" s="5"/>
      <c r="P331" s="5"/>
    </row>
    <row r="332" spans="2:16" ht="13.2" x14ac:dyDescent="0.25">
      <c r="B332" s="18"/>
      <c r="C332" s="19"/>
      <c r="D332" s="19"/>
      <c r="O332" s="5"/>
      <c r="P332" s="5"/>
    </row>
    <row r="333" spans="2:16" ht="13.2" x14ac:dyDescent="0.25">
      <c r="B333" s="18"/>
      <c r="C333" s="19"/>
      <c r="D333" s="19"/>
      <c r="O333" s="5"/>
      <c r="P333" s="5"/>
    </row>
    <row r="334" spans="2:16" ht="13.2" x14ac:dyDescent="0.25">
      <c r="B334" s="18"/>
      <c r="C334" s="19"/>
      <c r="D334" s="19"/>
      <c r="O334" s="5"/>
      <c r="P334" s="5"/>
    </row>
    <row r="335" spans="2:16" ht="13.2" x14ac:dyDescent="0.25">
      <c r="B335" s="18"/>
      <c r="C335" s="19"/>
      <c r="D335" s="19"/>
      <c r="O335" s="5"/>
      <c r="P335" s="5"/>
    </row>
    <row r="336" spans="2:16" ht="13.2" x14ac:dyDescent="0.25">
      <c r="B336" s="18"/>
      <c r="C336" s="19"/>
      <c r="D336" s="19"/>
      <c r="O336" s="5"/>
      <c r="P336" s="5"/>
    </row>
    <row r="337" spans="2:16" ht="13.2" x14ac:dyDescent="0.25">
      <c r="B337" s="18"/>
      <c r="C337" s="19"/>
      <c r="D337" s="19"/>
      <c r="O337" s="5"/>
      <c r="P337" s="5"/>
    </row>
    <row r="338" spans="2:16" ht="13.2" x14ac:dyDescent="0.25">
      <c r="B338" s="18"/>
      <c r="C338" s="19"/>
      <c r="D338" s="19"/>
      <c r="O338" s="5"/>
      <c r="P338" s="5"/>
    </row>
    <row r="339" spans="2:16" ht="13.2" x14ac:dyDescent="0.25">
      <c r="B339" s="18"/>
      <c r="C339" s="19"/>
      <c r="D339" s="19"/>
      <c r="O339" s="5"/>
      <c r="P339" s="5"/>
    </row>
    <row r="340" spans="2:16" ht="13.2" x14ac:dyDescent="0.25">
      <c r="B340" s="18"/>
      <c r="C340" s="19"/>
      <c r="D340" s="19"/>
      <c r="O340" s="5"/>
      <c r="P340" s="5"/>
    </row>
    <row r="341" spans="2:16" ht="13.2" x14ac:dyDescent="0.25">
      <c r="B341" s="18"/>
      <c r="C341" s="19"/>
      <c r="D341" s="19"/>
      <c r="O341" s="5"/>
      <c r="P341" s="5"/>
    </row>
    <row r="342" spans="2:16" ht="13.2" x14ac:dyDescent="0.25">
      <c r="B342" s="18"/>
      <c r="C342" s="19"/>
      <c r="D342" s="19"/>
      <c r="O342" s="5"/>
      <c r="P342" s="5"/>
    </row>
    <row r="343" spans="2:16" ht="13.2" x14ac:dyDescent="0.25">
      <c r="B343" s="18"/>
      <c r="C343" s="19"/>
      <c r="D343" s="19"/>
      <c r="O343" s="5"/>
      <c r="P343" s="5"/>
    </row>
    <row r="344" spans="2:16" ht="13.2" x14ac:dyDescent="0.25">
      <c r="B344" s="18"/>
      <c r="C344" s="19"/>
      <c r="D344" s="19"/>
      <c r="O344" s="5"/>
      <c r="P344" s="5"/>
    </row>
    <row r="345" spans="2:16" ht="13.2" x14ac:dyDescent="0.25">
      <c r="B345" s="18"/>
      <c r="C345" s="19"/>
      <c r="D345" s="19"/>
      <c r="O345" s="5"/>
      <c r="P345" s="5"/>
    </row>
    <row r="346" spans="2:16" ht="13.2" x14ac:dyDescent="0.25">
      <c r="B346" s="18"/>
      <c r="C346" s="19"/>
      <c r="D346" s="19"/>
      <c r="O346" s="5"/>
      <c r="P346" s="5"/>
    </row>
    <row r="347" spans="2:16" ht="13.2" x14ac:dyDescent="0.25">
      <c r="B347" s="18"/>
      <c r="C347" s="19"/>
      <c r="D347" s="19"/>
      <c r="O347" s="5"/>
      <c r="P347" s="5"/>
    </row>
    <row r="348" spans="2:16" ht="13.2" x14ac:dyDescent="0.25">
      <c r="B348" s="18"/>
      <c r="C348" s="19"/>
      <c r="D348" s="19"/>
      <c r="O348" s="5"/>
      <c r="P348" s="5"/>
    </row>
    <row r="349" spans="2:16" ht="13.2" x14ac:dyDescent="0.25">
      <c r="B349" s="18"/>
      <c r="C349" s="19"/>
      <c r="D349" s="19"/>
      <c r="O349" s="5"/>
      <c r="P349" s="5"/>
    </row>
    <row r="350" spans="2:16" ht="13.2" x14ac:dyDescent="0.25">
      <c r="B350" s="18"/>
      <c r="C350" s="19"/>
      <c r="D350" s="19"/>
      <c r="O350" s="5"/>
      <c r="P350" s="5"/>
    </row>
    <row r="351" spans="2:16" ht="13.2" x14ac:dyDescent="0.25">
      <c r="B351" s="18"/>
      <c r="C351" s="19"/>
      <c r="D351" s="19"/>
      <c r="O351" s="5"/>
      <c r="P351" s="5"/>
    </row>
    <row r="352" spans="2:16" ht="13.2" x14ac:dyDescent="0.25">
      <c r="B352" s="18"/>
      <c r="C352" s="19"/>
      <c r="D352" s="19"/>
      <c r="O352" s="5"/>
      <c r="P352" s="5"/>
    </row>
    <row r="353" spans="2:16" ht="13.2" x14ac:dyDescent="0.25">
      <c r="B353" s="18"/>
      <c r="C353" s="19"/>
      <c r="D353" s="19"/>
      <c r="O353" s="5"/>
      <c r="P353" s="5"/>
    </row>
    <row r="354" spans="2:16" ht="13.2" x14ac:dyDescent="0.25">
      <c r="B354" s="18"/>
      <c r="C354" s="19"/>
      <c r="D354" s="19"/>
      <c r="O354" s="5"/>
      <c r="P354" s="5"/>
    </row>
    <row r="355" spans="2:16" ht="13.2" x14ac:dyDescent="0.25">
      <c r="B355" s="18"/>
      <c r="C355" s="19"/>
      <c r="D355" s="19"/>
      <c r="O355" s="5"/>
      <c r="P355" s="5"/>
    </row>
    <row r="356" spans="2:16" ht="13.2" x14ac:dyDescent="0.25">
      <c r="B356" s="18"/>
      <c r="C356" s="19"/>
      <c r="D356" s="19"/>
      <c r="O356" s="5"/>
      <c r="P356" s="5"/>
    </row>
    <row r="357" spans="2:16" ht="13.2" x14ac:dyDescent="0.25">
      <c r="B357" s="18"/>
      <c r="C357" s="19"/>
      <c r="D357" s="19"/>
      <c r="O357" s="5"/>
      <c r="P357" s="5"/>
    </row>
    <row r="358" spans="2:16" ht="13.2" x14ac:dyDescent="0.25">
      <c r="B358" s="18"/>
      <c r="C358" s="19"/>
      <c r="D358" s="19"/>
      <c r="O358" s="5"/>
      <c r="P358" s="5"/>
    </row>
    <row r="359" spans="2:16" ht="13.2" x14ac:dyDescent="0.25">
      <c r="B359" s="18"/>
      <c r="C359" s="19"/>
      <c r="D359" s="19"/>
      <c r="O359" s="5"/>
      <c r="P359" s="5"/>
    </row>
    <row r="360" spans="2:16" ht="13.2" x14ac:dyDescent="0.25">
      <c r="B360" s="18"/>
      <c r="C360" s="19"/>
      <c r="D360" s="19"/>
      <c r="O360" s="5"/>
      <c r="P360" s="5"/>
    </row>
    <row r="361" spans="2:16" ht="13.2" x14ac:dyDescent="0.25">
      <c r="B361" s="18"/>
      <c r="C361" s="19"/>
      <c r="D361" s="19"/>
      <c r="O361" s="5"/>
      <c r="P361" s="5"/>
    </row>
    <row r="362" spans="2:16" ht="13.2" x14ac:dyDescent="0.25">
      <c r="B362" s="18"/>
      <c r="C362" s="19"/>
      <c r="D362" s="19"/>
      <c r="O362" s="5"/>
      <c r="P362" s="5"/>
    </row>
    <row r="363" spans="2:16" ht="13.2" x14ac:dyDescent="0.25">
      <c r="B363" s="18"/>
      <c r="C363" s="19"/>
      <c r="D363" s="19"/>
      <c r="O363" s="5"/>
      <c r="P363" s="5"/>
    </row>
    <row r="364" spans="2:16" ht="13.2" x14ac:dyDescent="0.25">
      <c r="B364" s="18"/>
      <c r="C364" s="19"/>
      <c r="D364" s="19"/>
      <c r="O364" s="5"/>
      <c r="P364" s="5"/>
    </row>
    <row r="365" spans="2:16" ht="13.2" x14ac:dyDescent="0.25">
      <c r="B365" s="18"/>
      <c r="C365" s="19"/>
      <c r="D365" s="19"/>
      <c r="O365" s="5"/>
      <c r="P365" s="5"/>
    </row>
    <row r="366" spans="2:16" ht="13.2" x14ac:dyDescent="0.25">
      <c r="B366" s="18"/>
      <c r="C366" s="19"/>
      <c r="D366" s="19"/>
      <c r="O366" s="5"/>
      <c r="P366" s="5"/>
    </row>
    <row r="367" spans="2:16" ht="13.2" x14ac:dyDescent="0.25">
      <c r="B367" s="18"/>
      <c r="C367" s="19"/>
      <c r="D367" s="19"/>
      <c r="O367" s="5"/>
      <c r="P367" s="5"/>
    </row>
    <row r="368" spans="2:16" ht="13.2" x14ac:dyDescent="0.25">
      <c r="B368" s="18"/>
      <c r="C368" s="19"/>
      <c r="D368" s="19"/>
      <c r="O368" s="5"/>
      <c r="P368" s="5"/>
    </row>
    <row r="369" spans="2:16" ht="13.2" x14ac:dyDescent="0.25">
      <c r="B369" s="18"/>
      <c r="C369" s="19"/>
      <c r="D369" s="19"/>
      <c r="O369" s="5"/>
      <c r="P369" s="5"/>
    </row>
    <row r="370" spans="2:16" ht="13.2" x14ac:dyDescent="0.25">
      <c r="B370" s="18"/>
      <c r="C370" s="19"/>
      <c r="D370" s="19"/>
      <c r="O370" s="5"/>
      <c r="P370" s="5"/>
    </row>
    <row r="371" spans="2:16" ht="13.2" x14ac:dyDescent="0.25">
      <c r="B371" s="18"/>
      <c r="C371" s="19"/>
      <c r="D371" s="19"/>
      <c r="O371" s="5"/>
      <c r="P371" s="5"/>
    </row>
    <row r="372" spans="2:16" ht="13.2" x14ac:dyDescent="0.25">
      <c r="B372" s="18"/>
      <c r="C372" s="19"/>
      <c r="D372" s="19"/>
      <c r="O372" s="5"/>
      <c r="P372" s="5"/>
    </row>
    <row r="373" spans="2:16" ht="13.2" x14ac:dyDescent="0.25">
      <c r="B373" s="18"/>
      <c r="C373" s="19"/>
      <c r="D373" s="19"/>
      <c r="O373" s="5"/>
      <c r="P373" s="5"/>
    </row>
    <row r="374" spans="2:16" ht="13.2" x14ac:dyDescent="0.25">
      <c r="B374" s="18"/>
      <c r="C374" s="19"/>
      <c r="D374" s="19"/>
      <c r="O374" s="5"/>
      <c r="P374" s="5"/>
    </row>
    <row r="375" spans="2:16" ht="13.2" x14ac:dyDescent="0.25">
      <c r="B375" s="18"/>
      <c r="C375" s="19"/>
      <c r="D375" s="19"/>
      <c r="O375" s="5"/>
      <c r="P375" s="5"/>
    </row>
    <row r="376" spans="2:16" ht="13.2" x14ac:dyDescent="0.25">
      <c r="B376" s="18"/>
      <c r="C376" s="19"/>
      <c r="D376" s="19"/>
      <c r="O376" s="5"/>
      <c r="P376" s="5"/>
    </row>
    <row r="377" spans="2:16" ht="13.2" x14ac:dyDescent="0.25">
      <c r="B377" s="18"/>
      <c r="C377" s="19"/>
      <c r="D377" s="19"/>
      <c r="O377" s="5"/>
      <c r="P377" s="5"/>
    </row>
    <row r="378" spans="2:16" ht="13.2" x14ac:dyDescent="0.25">
      <c r="B378" s="18"/>
      <c r="C378" s="19"/>
      <c r="D378" s="19"/>
      <c r="O378" s="5"/>
      <c r="P378" s="5"/>
    </row>
    <row r="379" spans="2:16" ht="13.2" x14ac:dyDescent="0.25">
      <c r="B379" s="18"/>
      <c r="C379" s="19"/>
      <c r="D379" s="19"/>
      <c r="O379" s="5"/>
      <c r="P379" s="5"/>
    </row>
    <row r="380" spans="2:16" ht="13.2" x14ac:dyDescent="0.25">
      <c r="B380" s="18"/>
      <c r="C380" s="19"/>
      <c r="D380" s="19"/>
      <c r="O380" s="5"/>
      <c r="P380" s="5"/>
    </row>
    <row r="381" spans="2:16" ht="13.2" x14ac:dyDescent="0.25">
      <c r="B381" s="18"/>
      <c r="C381" s="19"/>
      <c r="D381" s="19"/>
      <c r="O381" s="5"/>
      <c r="P381" s="5"/>
    </row>
    <row r="382" spans="2:16" ht="13.2" x14ac:dyDescent="0.25">
      <c r="B382" s="18"/>
      <c r="C382" s="19"/>
      <c r="D382" s="19"/>
      <c r="O382" s="5"/>
      <c r="P382" s="5"/>
    </row>
    <row r="383" spans="2:16" ht="13.2" x14ac:dyDescent="0.25">
      <c r="B383" s="18"/>
      <c r="C383" s="19"/>
      <c r="D383" s="19"/>
      <c r="O383" s="5"/>
      <c r="P383" s="5"/>
    </row>
    <row r="384" spans="2:16" ht="13.2" x14ac:dyDescent="0.25">
      <c r="B384" s="18"/>
      <c r="C384" s="19"/>
      <c r="D384" s="19"/>
      <c r="O384" s="5"/>
      <c r="P384" s="5"/>
    </row>
    <row r="385" spans="2:16" ht="13.2" x14ac:dyDescent="0.25">
      <c r="B385" s="18"/>
      <c r="C385" s="19"/>
      <c r="D385" s="19"/>
      <c r="O385" s="5"/>
      <c r="P385" s="5"/>
    </row>
    <row r="386" spans="2:16" ht="13.2" x14ac:dyDescent="0.25">
      <c r="B386" s="18"/>
      <c r="C386" s="19"/>
      <c r="D386" s="19"/>
      <c r="O386" s="5"/>
      <c r="P386" s="5"/>
    </row>
    <row r="387" spans="2:16" ht="13.2" x14ac:dyDescent="0.25">
      <c r="B387" s="18"/>
      <c r="C387" s="19"/>
      <c r="D387" s="19"/>
      <c r="O387" s="5"/>
      <c r="P387" s="5"/>
    </row>
    <row r="388" spans="2:16" ht="13.2" x14ac:dyDescent="0.25">
      <c r="B388" s="18"/>
      <c r="C388" s="19"/>
      <c r="D388" s="19"/>
      <c r="O388" s="5"/>
      <c r="P388" s="5"/>
    </row>
    <row r="389" spans="2:16" ht="13.2" x14ac:dyDescent="0.25">
      <c r="B389" s="18"/>
      <c r="C389" s="19"/>
      <c r="D389" s="19"/>
      <c r="O389" s="5"/>
      <c r="P389" s="5"/>
    </row>
    <row r="390" spans="2:16" ht="13.2" x14ac:dyDescent="0.25">
      <c r="B390" s="18"/>
      <c r="C390" s="19"/>
      <c r="D390" s="19"/>
      <c r="O390" s="5"/>
      <c r="P390" s="5"/>
    </row>
    <row r="391" spans="2:16" ht="13.2" x14ac:dyDescent="0.25">
      <c r="B391" s="18"/>
      <c r="C391" s="19"/>
      <c r="D391" s="19"/>
      <c r="O391" s="5"/>
      <c r="P391" s="5"/>
    </row>
    <row r="392" spans="2:16" ht="13.2" x14ac:dyDescent="0.25">
      <c r="B392" s="18"/>
      <c r="C392" s="19"/>
      <c r="D392" s="19"/>
      <c r="O392" s="5"/>
      <c r="P392" s="5"/>
    </row>
    <row r="393" spans="2:16" ht="13.2" x14ac:dyDescent="0.25">
      <c r="B393" s="18"/>
      <c r="C393" s="19"/>
      <c r="D393" s="19"/>
      <c r="O393" s="5"/>
      <c r="P393" s="5"/>
    </row>
    <row r="394" spans="2:16" ht="13.2" x14ac:dyDescent="0.25">
      <c r="B394" s="18"/>
      <c r="C394" s="19"/>
      <c r="D394" s="19"/>
      <c r="O394" s="5"/>
      <c r="P394" s="5"/>
    </row>
    <row r="395" spans="2:16" ht="13.2" x14ac:dyDescent="0.25">
      <c r="B395" s="18"/>
      <c r="C395" s="19"/>
      <c r="D395" s="19"/>
      <c r="O395" s="5"/>
      <c r="P395" s="5"/>
    </row>
    <row r="396" spans="2:16" ht="13.2" x14ac:dyDescent="0.25">
      <c r="B396" s="18"/>
      <c r="C396" s="19"/>
      <c r="D396" s="19"/>
      <c r="O396" s="5"/>
      <c r="P396" s="5"/>
    </row>
    <row r="397" spans="2:16" ht="13.2" x14ac:dyDescent="0.25">
      <c r="B397" s="18"/>
      <c r="C397" s="19"/>
      <c r="D397" s="19"/>
      <c r="O397" s="5"/>
      <c r="P397" s="5"/>
    </row>
    <row r="398" spans="2:16" ht="13.2" x14ac:dyDescent="0.25">
      <c r="B398" s="18"/>
      <c r="C398" s="19"/>
      <c r="D398" s="19"/>
      <c r="O398" s="5"/>
      <c r="P398" s="5"/>
    </row>
    <row r="399" spans="2:16" ht="13.2" x14ac:dyDescent="0.25">
      <c r="B399" s="18"/>
      <c r="C399" s="19"/>
      <c r="D399" s="19"/>
      <c r="O399" s="5"/>
      <c r="P399" s="5"/>
    </row>
    <row r="400" spans="2:16" ht="13.2" x14ac:dyDescent="0.25">
      <c r="B400" s="18"/>
      <c r="C400" s="19"/>
      <c r="D400" s="19"/>
      <c r="O400" s="5"/>
      <c r="P400" s="5"/>
    </row>
    <row r="401" spans="2:16" ht="13.2" x14ac:dyDescent="0.25">
      <c r="B401" s="18"/>
      <c r="C401" s="19"/>
      <c r="D401" s="19"/>
      <c r="O401" s="5"/>
      <c r="P401" s="5"/>
    </row>
    <row r="402" spans="2:16" ht="13.2" x14ac:dyDescent="0.25">
      <c r="B402" s="18"/>
      <c r="C402" s="19"/>
      <c r="D402" s="19"/>
      <c r="O402" s="5"/>
      <c r="P402" s="5"/>
    </row>
    <row r="403" spans="2:16" ht="13.2" x14ac:dyDescent="0.25">
      <c r="B403" s="18"/>
      <c r="C403" s="19"/>
      <c r="D403" s="19"/>
      <c r="O403" s="5"/>
      <c r="P403" s="5"/>
    </row>
    <row r="404" spans="2:16" ht="13.2" x14ac:dyDescent="0.25">
      <c r="B404" s="18"/>
      <c r="C404" s="19"/>
      <c r="D404" s="19"/>
      <c r="O404" s="5"/>
      <c r="P404" s="5"/>
    </row>
    <row r="405" spans="2:16" ht="13.2" x14ac:dyDescent="0.25">
      <c r="B405" s="18"/>
      <c r="C405" s="19"/>
      <c r="D405" s="19"/>
      <c r="O405" s="5"/>
      <c r="P405" s="5"/>
    </row>
    <row r="406" spans="2:16" ht="13.2" x14ac:dyDescent="0.25">
      <c r="B406" s="18"/>
      <c r="C406" s="19"/>
      <c r="D406" s="19"/>
      <c r="O406" s="5"/>
      <c r="P406" s="5"/>
    </row>
    <row r="407" spans="2:16" ht="13.2" x14ac:dyDescent="0.25">
      <c r="B407" s="18"/>
      <c r="C407" s="19"/>
      <c r="D407" s="19"/>
      <c r="O407" s="5"/>
      <c r="P407" s="5"/>
    </row>
    <row r="408" spans="2:16" ht="13.2" x14ac:dyDescent="0.25">
      <c r="B408" s="18"/>
      <c r="C408" s="19"/>
      <c r="D408" s="19"/>
      <c r="O408" s="5"/>
      <c r="P408" s="5"/>
    </row>
    <row r="409" spans="2:16" ht="13.2" x14ac:dyDescent="0.25">
      <c r="B409" s="18"/>
      <c r="C409" s="19"/>
      <c r="D409" s="19"/>
      <c r="O409" s="5"/>
      <c r="P409" s="5"/>
    </row>
    <row r="410" spans="2:16" ht="13.2" x14ac:dyDescent="0.25">
      <c r="B410" s="18"/>
      <c r="C410" s="19"/>
      <c r="D410" s="19"/>
      <c r="O410" s="5"/>
      <c r="P410" s="5"/>
    </row>
    <row r="411" spans="2:16" ht="13.2" x14ac:dyDescent="0.25">
      <c r="B411" s="18"/>
      <c r="C411" s="19"/>
      <c r="D411" s="19"/>
      <c r="O411" s="5"/>
      <c r="P411" s="5"/>
    </row>
    <row r="412" spans="2:16" ht="13.2" x14ac:dyDescent="0.25">
      <c r="B412" s="18"/>
      <c r="C412" s="19"/>
      <c r="D412" s="19"/>
      <c r="O412" s="5"/>
      <c r="P412" s="5"/>
    </row>
    <row r="413" spans="2:16" ht="13.2" x14ac:dyDescent="0.25">
      <c r="B413" s="18"/>
      <c r="C413" s="19"/>
      <c r="D413" s="19"/>
      <c r="O413" s="5"/>
      <c r="P413" s="5"/>
    </row>
    <row r="414" spans="2:16" ht="13.2" x14ac:dyDescent="0.25">
      <c r="B414" s="18"/>
      <c r="C414" s="19"/>
      <c r="D414" s="19"/>
      <c r="O414" s="5"/>
      <c r="P414" s="5"/>
    </row>
    <row r="415" spans="2:16" ht="13.2" x14ac:dyDescent="0.25">
      <c r="B415" s="18"/>
      <c r="C415" s="19"/>
      <c r="D415" s="19"/>
      <c r="O415" s="5"/>
      <c r="P415" s="5"/>
    </row>
    <row r="416" spans="2:16" ht="13.2" x14ac:dyDescent="0.25">
      <c r="B416" s="18"/>
      <c r="C416" s="19"/>
      <c r="D416" s="19"/>
      <c r="O416" s="5"/>
      <c r="P416" s="5"/>
    </row>
    <row r="417" spans="2:16" ht="13.2" x14ac:dyDescent="0.25">
      <c r="B417" s="18"/>
      <c r="C417" s="19"/>
      <c r="D417" s="19"/>
      <c r="O417" s="5"/>
      <c r="P417" s="5"/>
    </row>
    <row r="418" spans="2:16" ht="13.2" x14ac:dyDescent="0.25">
      <c r="B418" s="18"/>
      <c r="C418" s="19"/>
      <c r="D418" s="19"/>
      <c r="O418" s="5"/>
      <c r="P418" s="5"/>
    </row>
    <row r="419" spans="2:16" ht="13.2" x14ac:dyDescent="0.25">
      <c r="B419" s="18"/>
      <c r="C419" s="19"/>
      <c r="D419" s="19"/>
      <c r="O419" s="5"/>
      <c r="P419" s="5"/>
    </row>
    <row r="420" spans="2:16" ht="13.2" x14ac:dyDescent="0.25">
      <c r="B420" s="18"/>
      <c r="C420" s="19"/>
      <c r="D420" s="19"/>
      <c r="O420" s="5"/>
      <c r="P420" s="5"/>
    </row>
    <row r="421" spans="2:16" ht="13.2" x14ac:dyDescent="0.25">
      <c r="B421" s="18"/>
      <c r="C421" s="19"/>
      <c r="D421" s="19"/>
      <c r="O421" s="5"/>
      <c r="P421" s="5"/>
    </row>
    <row r="422" spans="2:16" ht="13.2" x14ac:dyDescent="0.25">
      <c r="B422" s="18"/>
      <c r="C422" s="19"/>
      <c r="D422" s="19"/>
      <c r="O422" s="5"/>
      <c r="P422" s="5"/>
    </row>
    <row r="423" spans="2:16" ht="13.2" x14ac:dyDescent="0.25">
      <c r="B423" s="18"/>
      <c r="C423" s="19"/>
      <c r="D423" s="19"/>
      <c r="O423" s="5"/>
      <c r="P423" s="5"/>
    </row>
    <row r="424" spans="2:16" ht="13.2" x14ac:dyDescent="0.25">
      <c r="B424" s="18"/>
      <c r="C424" s="19"/>
      <c r="D424" s="19"/>
      <c r="O424" s="5"/>
      <c r="P424" s="5"/>
    </row>
    <row r="425" spans="2:16" ht="13.2" x14ac:dyDescent="0.25">
      <c r="B425" s="18"/>
      <c r="C425" s="19"/>
      <c r="D425" s="19"/>
      <c r="O425" s="5"/>
      <c r="P425" s="5"/>
    </row>
    <row r="426" spans="2:16" ht="13.2" x14ac:dyDescent="0.25">
      <c r="B426" s="18"/>
      <c r="C426" s="19"/>
      <c r="D426" s="19"/>
      <c r="O426" s="5"/>
      <c r="P426" s="5"/>
    </row>
    <row r="427" spans="2:16" ht="13.2" x14ac:dyDescent="0.25">
      <c r="B427" s="18"/>
      <c r="C427" s="19"/>
      <c r="D427" s="19"/>
      <c r="O427" s="5"/>
      <c r="P427" s="5"/>
    </row>
    <row r="428" spans="2:16" ht="13.2" x14ac:dyDescent="0.25">
      <c r="B428" s="18"/>
      <c r="C428" s="19"/>
      <c r="D428" s="19"/>
      <c r="O428" s="5"/>
      <c r="P428" s="5"/>
    </row>
    <row r="429" spans="2:16" ht="13.2" x14ac:dyDescent="0.25">
      <c r="B429" s="18"/>
      <c r="C429" s="19"/>
      <c r="D429" s="19"/>
      <c r="O429" s="5"/>
      <c r="P429" s="5"/>
    </row>
    <row r="430" spans="2:16" ht="13.2" x14ac:dyDescent="0.25">
      <c r="B430" s="18"/>
      <c r="C430" s="19"/>
      <c r="D430" s="19"/>
      <c r="O430" s="5"/>
      <c r="P430" s="5"/>
    </row>
    <row r="431" spans="2:16" ht="13.2" x14ac:dyDescent="0.25">
      <c r="B431" s="18"/>
      <c r="C431" s="19"/>
      <c r="D431" s="19"/>
      <c r="O431" s="5"/>
      <c r="P431" s="5"/>
    </row>
    <row r="432" spans="2:16" ht="13.2" x14ac:dyDescent="0.25">
      <c r="B432" s="18"/>
      <c r="C432" s="19"/>
      <c r="D432" s="19"/>
      <c r="O432" s="5"/>
      <c r="P432" s="5"/>
    </row>
    <row r="433" spans="2:16" ht="13.2" x14ac:dyDescent="0.25">
      <c r="B433" s="18"/>
      <c r="C433" s="19"/>
      <c r="D433" s="19"/>
      <c r="O433" s="5"/>
      <c r="P433" s="5"/>
    </row>
    <row r="434" spans="2:16" ht="13.2" x14ac:dyDescent="0.25">
      <c r="B434" s="18"/>
      <c r="C434" s="19"/>
      <c r="D434" s="19"/>
      <c r="O434" s="5"/>
      <c r="P434" s="5"/>
    </row>
    <row r="435" spans="2:16" ht="13.2" x14ac:dyDescent="0.25">
      <c r="B435" s="18"/>
      <c r="C435" s="19"/>
      <c r="D435" s="19"/>
      <c r="O435" s="5"/>
      <c r="P435" s="5"/>
    </row>
    <row r="436" spans="2:16" ht="13.2" x14ac:dyDescent="0.25">
      <c r="B436" s="18"/>
      <c r="C436" s="19"/>
      <c r="D436" s="19"/>
      <c r="O436" s="5"/>
      <c r="P436" s="5"/>
    </row>
    <row r="437" spans="2:16" ht="13.2" x14ac:dyDescent="0.25">
      <c r="B437" s="18"/>
      <c r="C437" s="19"/>
      <c r="D437" s="19"/>
      <c r="O437" s="5"/>
      <c r="P437" s="5"/>
    </row>
    <row r="438" spans="2:16" ht="13.2" x14ac:dyDescent="0.25">
      <c r="B438" s="18"/>
      <c r="C438" s="19"/>
      <c r="D438" s="19"/>
      <c r="O438" s="5"/>
      <c r="P438" s="5"/>
    </row>
    <row r="439" spans="2:16" ht="13.2" x14ac:dyDescent="0.25">
      <c r="B439" s="18"/>
      <c r="C439" s="19"/>
      <c r="D439" s="19"/>
      <c r="O439" s="5"/>
      <c r="P439" s="5"/>
    </row>
    <row r="440" spans="2:16" ht="13.2" x14ac:dyDescent="0.25">
      <c r="B440" s="18"/>
      <c r="C440" s="19"/>
      <c r="D440" s="19"/>
      <c r="O440" s="5"/>
      <c r="P440" s="5"/>
    </row>
    <row r="441" spans="2:16" ht="13.2" x14ac:dyDescent="0.25">
      <c r="B441" s="18"/>
      <c r="C441" s="19"/>
      <c r="D441" s="19"/>
      <c r="O441" s="5"/>
      <c r="P441" s="5"/>
    </row>
    <row r="442" spans="2:16" ht="13.2" x14ac:dyDescent="0.25">
      <c r="B442" s="18"/>
      <c r="C442" s="19"/>
      <c r="D442" s="19"/>
      <c r="O442" s="5"/>
      <c r="P442" s="5"/>
    </row>
    <row r="443" spans="2:16" ht="13.2" x14ac:dyDescent="0.25">
      <c r="B443" s="18"/>
      <c r="C443" s="19"/>
      <c r="D443" s="19"/>
      <c r="O443" s="5"/>
      <c r="P443" s="5"/>
    </row>
    <row r="444" spans="2:16" ht="13.2" x14ac:dyDescent="0.25">
      <c r="B444" s="18"/>
      <c r="C444" s="19"/>
      <c r="D444" s="19"/>
      <c r="O444" s="5"/>
      <c r="P444" s="5"/>
    </row>
    <row r="445" spans="2:16" ht="13.2" x14ac:dyDescent="0.25">
      <c r="B445" s="18"/>
      <c r="C445" s="19"/>
      <c r="D445" s="19"/>
      <c r="O445" s="5"/>
      <c r="P445" s="5"/>
    </row>
    <row r="446" spans="2:16" ht="13.2" x14ac:dyDescent="0.25">
      <c r="B446" s="18"/>
      <c r="C446" s="19"/>
      <c r="D446" s="19"/>
      <c r="O446" s="5"/>
      <c r="P446" s="5"/>
    </row>
    <row r="447" spans="2:16" ht="13.2" x14ac:dyDescent="0.25">
      <c r="B447" s="18"/>
      <c r="C447" s="19"/>
      <c r="D447" s="19"/>
      <c r="O447" s="5"/>
      <c r="P447" s="5"/>
    </row>
    <row r="448" spans="2:16" ht="13.2" x14ac:dyDescent="0.25">
      <c r="B448" s="18"/>
      <c r="C448" s="19"/>
      <c r="D448" s="19"/>
      <c r="O448" s="5"/>
      <c r="P448" s="5"/>
    </row>
    <row r="449" spans="2:16" ht="13.2" x14ac:dyDescent="0.25">
      <c r="B449" s="18"/>
      <c r="C449" s="19"/>
      <c r="D449" s="19"/>
      <c r="O449" s="5"/>
      <c r="P449" s="5"/>
    </row>
    <row r="450" spans="2:16" ht="13.2" x14ac:dyDescent="0.25">
      <c r="B450" s="18"/>
      <c r="C450" s="19"/>
      <c r="D450" s="19"/>
      <c r="O450" s="5"/>
      <c r="P450" s="5"/>
    </row>
    <row r="451" spans="2:16" ht="13.2" x14ac:dyDescent="0.25">
      <c r="B451" s="18"/>
      <c r="C451" s="19"/>
      <c r="D451" s="19"/>
      <c r="O451" s="5"/>
      <c r="P451" s="5"/>
    </row>
    <row r="452" spans="2:16" ht="13.2" x14ac:dyDescent="0.25">
      <c r="B452" s="18"/>
      <c r="C452" s="19"/>
      <c r="D452" s="19"/>
      <c r="O452" s="5"/>
      <c r="P452" s="5"/>
    </row>
    <row r="453" spans="2:16" ht="13.2" x14ac:dyDescent="0.25">
      <c r="B453" s="18"/>
      <c r="C453" s="19"/>
      <c r="D453" s="19"/>
      <c r="O453" s="5"/>
      <c r="P453" s="5"/>
    </row>
    <row r="454" spans="2:16" ht="13.2" x14ac:dyDescent="0.25">
      <c r="B454" s="18"/>
      <c r="C454" s="19"/>
      <c r="D454" s="19"/>
      <c r="O454" s="5"/>
      <c r="P454" s="5"/>
    </row>
    <row r="455" spans="2:16" ht="13.2" x14ac:dyDescent="0.25">
      <c r="B455" s="18"/>
      <c r="C455" s="19"/>
      <c r="D455" s="19"/>
      <c r="O455" s="5"/>
      <c r="P455" s="5"/>
    </row>
    <row r="456" spans="2:16" ht="13.2" x14ac:dyDescent="0.25">
      <c r="B456" s="18"/>
      <c r="C456" s="19"/>
      <c r="D456" s="19"/>
      <c r="O456" s="5"/>
      <c r="P456" s="5"/>
    </row>
    <row r="457" spans="2:16" ht="13.2" x14ac:dyDescent="0.25">
      <c r="B457" s="18"/>
      <c r="C457" s="19"/>
      <c r="D457" s="19"/>
      <c r="O457" s="5"/>
      <c r="P457" s="5"/>
    </row>
    <row r="458" spans="2:16" ht="13.2" x14ac:dyDescent="0.25">
      <c r="B458" s="18"/>
      <c r="C458" s="19"/>
      <c r="D458" s="19"/>
      <c r="O458" s="5"/>
      <c r="P458" s="5"/>
    </row>
    <row r="459" spans="2:16" ht="13.2" x14ac:dyDescent="0.25">
      <c r="B459" s="18"/>
      <c r="C459" s="19"/>
      <c r="D459" s="19"/>
      <c r="O459" s="5"/>
      <c r="P459" s="5"/>
    </row>
    <row r="460" spans="2:16" ht="13.2" x14ac:dyDescent="0.25">
      <c r="B460" s="18"/>
      <c r="C460" s="19"/>
      <c r="D460" s="19"/>
      <c r="O460" s="5"/>
      <c r="P460" s="5"/>
    </row>
    <row r="461" spans="2:16" ht="13.2" x14ac:dyDescent="0.25">
      <c r="B461" s="18"/>
      <c r="C461" s="19"/>
      <c r="D461" s="19"/>
      <c r="O461" s="5"/>
      <c r="P461" s="5"/>
    </row>
    <row r="462" spans="2:16" ht="13.2" x14ac:dyDescent="0.25">
      <c r="B462" s="18"/>
      <c r="C462" s="19"/>
      <c r="D462" s="19"/>
      <c r="O462" s="5"/>
      <c r="P462" s="5"/>
    </row>
    <row r="463" spans="2:16" ht="13.2" x14ac:dyDescent="0.25">
      <c r="B463" s="18"/>
      <c r="C463" s="19"/>
      <c r="D463" s="19"/>
      <c r="O463" s="5"/>
      <c r="P463" s="5"/>
    </row>
    <row r="464" spans="2:16" ht="13.2" x14ac:dyDescent="0.25">
      <c r="B464" s="18"/>
      <c r="C464" s="19"/>
      <c r="D464" s="19"/>
      <c r="O464" s="5"/>
      <c r="P464" s="5"/>
    </row>
    <row r="465" spans="2:16" ht="13.2" x14ac:dyDescent="0.25">
      <c r="B465" s="18"/>
      <c r="C465" s="19"/>
      <c r="D465" s="19"/>
      <c r="O465" s="5"/>
      <c r="P465" s="5"/>
    </row>
    <row r="466" spans="2:16" ht="13.2" x14ac:dyDescent="0.25">
      <c r="B466" s="18"/>
      <c r="C466" s="19"/>
      <c r="D466" s="19"/>
      <c r="O466" s="5"/>
      <c r="P466" s="5"/>
    </row>
    <row r="467" spans="2:16" ht="13.2" x14ac:dyDescent="0.25">
      <c r="B467" s="18"/>
      <c r="C467" s="19"/>
      <c r="D467" s="19"/>
      <c r="O467" s="5"/>
      <c r="P467" s="5"/>
    </row>
    <row r="468" spans="2:16" ht="13.2" x14ac:dyDescent="0.25">
      <c r="B468" s="18"/>
      <c r="C468" s="19"/>
      <c r="D468" s="19"/>
      <c r="O468" s="5"/>
      <c r="P468" s="5"/>
    </row>
    <row r="469" spans="2:16" ht="13.2" x14ac:dyDescent="0.25">
      <c r="B469" s="18"/>
      <c r="C469" s="19"/>
      <c r="D469" s="19"/>
      <c r="O469" s="5"/>
      <c r="P469" s="5"/>
    </row>
    <row r="470" spans="2:16" ht="13.2" x14ac:dyDescent="0.25">
      <c r="B470" s="18"/>
      <c r="C470" s="19"/>
      <c r="D470" s="19"/>
      <c r="O470" s="5"/>
      <c r="P470" s="5"/>
    </row>
    <row r="471" spans="2:16" ht="13.2" x14ac:dyDescent="0.25">
      <c r="B471" s="18"/>
      <c r="C471" s="19"/>
      <c r="D471" s="19"/>
      <c r="O471" s="5"/>
      <c r="P471" s="5"/>
    </row>
    <row r="472" spans="2:16" ht="13.2" x14ac:dyDescent="0.25">
      <c r="B472" s="18"/>
      <c r="C472" s="19"/>
      <c r="D472" s="19"/>
      <c r="O472" s="5"/>
      <c r="P472" s="5"/>
    </row>
    <row r="473" spans="2:16" ht="13.2" x14ac:dyDescent="0.25">
      <c r="B473" s="18"/>
      <c r="C473" s="19"/>
      <c r="D473" s="19"/>
      <c r="O473" s="5"/>
      <c r="P473" s="5"/>
    </row>
    <row r="474" spans="2:16" ht="13.2" x14ac:dyDescent="0.25">
      <c r="B474" s="18"/>
      <c r="C474" s="19"/>
      <c r="D474" s="19"/>
      <c r="O474" s="5"/>
      <c r="P474" s="5"/>
    </row>
    <row r="475" spans="2:16" ht="13.2" x14ac:dyDescent="0.25">
      <c r="B475" s="18"/>
      <c r="C475" s="19"/>
      <c r="D475" s="19"/>
      <c r="O475" s="5"/>
      <c r="P475" s="5"/>
    </row>
    <row r="476" spans="2:16" ht="13.2" x14ac:dyDescent="0.25">
      <c r="B476" s="18"/>
      <c r="C476" s="19"/>
      <c r="D476" s="19"/>
      <c r="O476" s="5"/>
      <c r="P476" s="5"/>
    </row>
    <row r="477" spans="2:16" ht="13.2" x14ac:dyDescent="0.25">
      <c r="B477" s="18"/>
      <c r="C477" s="19"/>
      <c r="D477" s="19"/>
      <c r="O477" s="5"/>
      <c r="P477" s="5"/>
    </row>
    <row r="478" spans="2:16" ht="13.2" x14ac:dyDescent="0.25">
      <c r="B478" s="18"/>
      <c r="C478" s="19"/>
      <c r="D478" s="19"/>
      <c r="O478" s="5"/>
      <c r="P478" s="5"/>
    </row>
    <row r="479" spans="2:16" ht="13.2" x14ac:dyDescent="0.25">
      <c r="B479" s="18"/>
      <c r="C479" s="19"/>
      <c r="D479" s="19"/>
      <c r="O479" s="5"/>
      <c r="P479" s="5"/>
    </row>
    <row r="480" spans="2:16" ht="13.2" x14ac:dyDescent="0.25">
      <c r="B480" s="18"/>
      <c r="C480" s="19"/>
      <c r="D480" s="19"/>
      <c r="O480" s="5"/>
      <c r="P480" s="5"/>
    </row>
    <row r="481" spans="2:16" ht="13.2" x14ac:dyDescent="0.25">
      <c r="B481" s="18"/>
      <c r="C481" s="19"/>
      <c r="D481" s="19"/>
      <c r="O481" s="5"/>
      <c r="P481" s="5"/>
    </row>
    <row r="482" spans="2:16" ht="13.2" x14ac:dyDescent="0.25">
      <c r="B482" s="18"/>
      <c r="C482" s="19"/>
      <c r="D482" s="19"/>
      <c r="O482" s="5"/>
      <c r="P482" s="5"/>
    </row>
    <row r="483" spans="2:16" ht="13.2" x14ac:dyDescent="0.25">
      <c r="B483" s="18"/>
      <c r="C483" s="19"/>
      <c r="D483" s="19"/>
      <c r="O483" s="5"/>
      <c r="P483" s="5"/>
    </row>
    <row r="484" spans="2:16" ht="13.2" x14ac:dyDescent="0.25">
      <c r="B484" s="18"/>
      <c r="C484" s="19"/>
      <c r="D484" s="19"/>
      <c r="O484" s="5"/>
      <c r="P484" s="5"/>
    </row>
    <row r="485" spans="2:16" ht="13.2" x14ac:dyDescent="0.25">
      <c r="B485" s="18"/>
      <c r="C485" s="19"/>
      <c r="D485" s="19"/>
      <c r="O485" s="5"/>
      <c r="P485" s="5"/>
    </row>
    <row r="486" spans="2:16" ht="13.2" x14ac:dyDescent="0.25">
      <c r="B486" s="18"/>
      <c r="C486" s="19"/>
      <c r="D486" s="19"/>
      <c r="O486" s="5"/>
      <c r="P486" s="5"/>
    </row>
    <row r="487" spans="2:16" ht="13.2" x14ac:dyDescent="0.25">
      <c r="B487" s="18"/>
      <c r="C487" s="19"/>
      <c r="D487" s="19"/>
      <c r="O487" s="5"/>
      <c r="P487" s="5"/>
    </row>
    <row r="488" spans="2:16" ht="13.2" x14ac:dyDescent="0.25">
      <c r="B488" s="18"/>
      <c r="C488" s="19"/>
      <c r="D488" s="19"/>
      <c r="O488" s="5"/>
      <c r="P488" s="5"/>
    </row>
    <row r="489" spans="2:16" ht="13.2" x14ac:dyDescent="0.25">
      <c r="B489" s="18"/>
      <c r="C489" s="19"/>
      <c r="D489" s="19"/>
      <c r="O489" s="5"/>
      <c r="P489" s="5"/>
    </row>
    <row r="490" spans="2:16" ht="13.2" x14ac:dyDescent="0.25">
      <c r="B490" s="18"/>
      <c r="C490" s="19"/>
      <c r="D490" s="19"/>
      <c r="O490" s="5"/>
      <c r="P490" s="5"/>
    </row>
    <row r="491" spans="2:16" ht="13.2" x14ac:dyDescent="0.25">
      <c r="B491" s="18"/>
      <c r="C491" s="19"/>
      <c r="D491" s="19"/>
      <c r="O491" s="5"/>
      <c r="P491" s="5"/>
    </row>
    <row r="492" spans="2:16" ht="13.2" x14ac:dyDescent="0.25">
      <c r="B492" s="18"/>
      <c r="C492" s="19"/>
      <c r="D492" s="19"/>
      <c r="O492" s="5"/>
      <c r="P492" s="5"/>
    </row>
    <row r="493" spans="2:16" ht="13.2" x14ac:dyDescent="0.25">
      <c r="B493" s="18"/>
      <c r="C493" s="19"/>
      <c r="D493" s="19"/>
      <c r="O493" s="5"/>
      <c r="P493" s="5"/>
    </row>
    <row r="494" spans="2:16" ht="13.2" x14ac:dyDescent="0.25">
      <c r="B494" s="18"/>
      <c r="C494" s="19"/>
      <c r="D494" s="19"/>
      <c r="O494" s="5"/>
      <c r="P494" s="5"/>
    </row>
    <row r="495" spans="2:16" ht="13.2" x14ac:dyDescent="0.25">
      <c r="B495" s="18"/>
      <c r="C495" s="19"/>
      <c r="D495" s="19"/>
      <c r="O495" s="5"/>
      <c r="P495" s="5"/>
    </row>
    <row r="496" spans="2:16" ht="13.2" x14ac:dyDescent="0.25">
      <c r="B496" s="18"/>
      <c r="C496" s="19"/>
      <c r="D496" s="19"/>
      <c r="O496" s="5"/>
      <c r="P496" s="5"/>
    </row>
    <row r="497" spans="2:16" ht="13.2" x14ac:dyDescent="0.25">
      <c r="B497" s="18"/>
      <c r="C497" s="19"/>
      <c r="D497" s="19"/>
      <c r="O497" s="5"/>
      <c r="P497" s="5"/>
    </row>
    <row r="498" spans="2:16" ht="13.2" x14ac:dyDescent="0.25">
      <c r="B498" s="18"/>
      <c r="C498" s="19"/>
      <c r="D498" s="19"/>
      <c r="O498" s="5"/>
      <c r="P498" s="5"/>
    </row>
    <row r="499" spans="2:16" ht="13.2" x14ac:dyDescent="0.25">
      <c r="B499" s="18"/>
      <c r="C499" s="19"/>
      <c r="D499" s="19"/>
      <c r="O499" s="5"/>
      <c r="P499" s="5"/>
    </row>
    <row r="500" spans="2:16" ht="13.2" x14ac:dyDescent="0.25">
      <c r="B500" s="18"/>
      <c r="C500" s="19"/>
      <c r="D500" s="19"/>
      <c r="O500" s="5"/>
      <c r="P500" s="5"/>
    </row>
    <row r="501" spans="2:16" ht="13.2" x14ac:dyDescent="0.25">
      <c r="B501" s="18"/>
      <c r="C501" s="19"/>
      <c r="D501" s="19"/>
      <c r="O501" s="5"/>
      <c r="P501" s="5"/>
    </row>
    <row r="502" spans="2:16" ht="13.2" x14ac:dyDescent="0.25">
      <c r="B502" s="18"/>
      <c r="C502" s="19"/>
      <c r="D502" s="19"/>
      <c r="O502" s="5"/>
      <c r="P502" s="5"/>
    </row>
    <row r="503" spans="2:16" ht="13.2" x14ac:dyDescent="0.25">
      <c r="B503" s="18"/>
      <c r="C503" s="19"/>
      <c r="D503" s="19"/>
      <c r="O503" s="5"/>
      <c r="P503" s="5"/>
    </row>
    <row r="504" spans="2:16" ht="13.2" x14ac:dyDescent="0.25">
      <c r="B504" s="18"/>
      <c r="C504" s="19"/>
      <c r="D504" s="19"/>
      <c r="O504" s="5"/>
      <c r="P504" s="5"/>
    </row>
    <row r="505" spans="2:16" ht="13.2" x14ac:dyDescent="0.25">
      <c r="B505" s="18"/>
      <c r="C505" s="19"/>
      <c r="D505" s="19"/>
      <c r="O505" s="5"/>
      <c r="P505" s="5"/>
    </row>
    <row r="506" spans="2:16" ht="13.2" x14ac:dyDescent="0.25">
      <c r="B506" s="18"/>
      <c r="C506" s="19"/>
      <c r="D506" s="19"/>
      <c r="O506" s="5"/>
      <c r="P506" s="5"/>
    </row>
    <row r="507" spans="2:16" ht="13.2" x14ac:dyDescent="0.25">
      <c r="B507" s="18"/>
      <c r="C507" s="19"/>
      <c r="D507" s="19"/>
      <c r="O507" s="5"/>
      <c r="P507" s="5"/>
    </row>
    <row r="508" spans="2:16" ht="13.2" x14ac:dyDescent="0.25">
      <c r="B508" s="18"/>
      <c r="C508" s="19"/>
      <c r="D508" s="19"/>
      <c r="O508" s="5"/>
      <c r="P508" s="5"/>
    </row>
    <row r="509" spans="2:16" ht="13.2" x14ac:dyDescent="0.25">
      <c r="B509" s="18"/>
      <c r="C509" s="19"/>
      <c r="D509" s="19"/>
      <c r="O509" s="5"/>
      <c r="P509" s="5"/>
    </row>
    <row r="510" spans="2:16" ht="13.2" x14ac:dyDescent="0.25">
      <c r="B510" s="18"/>
      <c r="C510" s="19"/>
      <c r="D510" s="19"/>
      <c r="O510" s="5"/>
      <c r="P510" s="5"/>
    </row>
    <row r="511" spans="2:16" ht="13.2" x14ac:dyDescent="0.25">
      <c r="B511" s="18"/>
      <c r="C511" s="19"/>
      <c r="D511" s="19"/>
      <c r="O511" s="5"/>
      <c r="P511" s="5"/>
    </row>
    <row r="512" spans="2:16" ht="13.2" x14ac:dyDescent="0.25">
      <c r="B512" s="18"/>
      <c r="C512" s="19"/>
      <c r="D512" s="19"/>
      <c r="O512" s="5"/>
      <c r="P512" s="5"/>
    </row>
    <row r="513" spans="2:16" ht="13.2" x14ac:dyDescent="0.25">
      <c r="B513" s="18"/>
      <c r="C513" s="19"/>
      <c r="D513" s="19"/>
      <c r="O513" s="5"/>
      <c r="P513" s="5"/>
    </row>
    <row r="514" spans="2:16" ht="13.2" x14ac:dyDescent="0.25">
      <c r="B514" s="18"/>
      <c r="C514" s="19"/>
      <c r="D514" s="19"/>
      <c r="O514" s="5"/>
      <c r="P514" s="5"/>
    </row>
    <row r="515" spans="2:16" ht="13.2" x14ac:dyDescent="0.25">
      <c r="B515" s="18"/>
      <c r="C515" s="19"/>
      <c r="D515" s="19"/>
      <c r="O515" s="5"/>
      <c r="P515" s="5"/>
    </row>
    <row r="516" spans="2:16" ht="13.2" x14ac:dyDescent="0.25">
      <c r="B516" s="18"/>
      <c r="C516" s="19"/>
      <c r="D516" s="19"/>
      <c r="O516" s="5"/>
      <c r="P516" s="5"/>
    </row>
    <row r="517" spans="2:16" ht="13.2" x14ac:dyDescent="0.25">
      <c r="B517" s="18"/>
      <c r="C517" s="19"/>
      <c r="D517" s="19"/>
      <c r="O517" s="5"/>
      <c r="P517" s="5"/>
    </row>
    <row r="518" spans="2:16" ht="13.2" x14ac:dyDescent="0.25">
      <c r="B518" s="18"/>
      <c r="C518" s="19"/>
      <c r="D518" s="19"/>
      <c r="O518" s="5"/>
      <c r="P518" s="5"/>
    </row>
    <row r="519" spans="2:16" ht="13.2" x14ac:dyDescent="0.25">
      <c r="B519" s="18"/>
      <c r="C519" s="19"/>
      <c r="D519" s="19"/>
      <c r="O519" s="5"/>
      <c r="P519" s="5"/>
    </row>
    <row r="520" spans="2:16" ht="13.2" x14ac:dyDescent="0.25">
      <c r="B520" s="18"/>
      <c r="C520" s="19"/>
      <c r="D520" s="19"/>
      <c r="O520" s="5"/>
      <c r="P520" s="5"/>
    </row>
    <row r="521" spans="2:16" ht="13.2" x14ac:dyDescent="0.25">
      <c r="B521" s="18"/>
      <c r="C521" s="19"/>
      <c r="D521" s="19"/>
      <c r="O521" s="5"/>
      <c r="P521" s="5"/>
    </row>
    <row r="522" spans="2:16" ht="13.2" x14ac:dyDescent="0.25">
      <c r="B522" s="18"/>
      <c r="C522" s="19"/>
      <c r="D522" s="19"/>
      <c r="O522" s="5"/>
      <c r="P522" s="5"/>
    </row>
    <row r="523" spans="2:16" ht="13.2" x14ac:dyDescent="0.25">
      <c r="B523" s="18"/>
      <c r="C523" s="19"/>
      <c r="D523" s="19"/>
      <c r="O523" s="5"/>
      <c r="P523" s="5"/>
    </row>
    <row r="524" spans="2:16" ht="13.2" x14ac:dyDescent="0.25">
      <c r="B524" s="18"/>
      <c r="C524" s="19"/>
      <c r="D524" s="19"/>
      <c r="O524" s="5"/>
      <c r="P524" s="5"/>
    </row>
    <row r="525" spans="2:16" ht="13.2" x14ac:dyDescent="0.25">
      <c r="B525" s="18"/>
      <c r="C525" s="19"/>
      <c r="D525" s="19"/>
      <c r="O525" s="5"/>
      <c r="P525" s="5"/>
    </row>
    <row r="526" spans="2:16" ht="13.2" x14ac:dyDescent="0.25">
      <c r="B526" s="18"/>
      <c r="C526" s="19"/>
      <c r="D526" s="19"/>
      <c r="O526" s="5"/>
      <c r="P526" s="5"/>
    </row>
    <row r="527" spans="2:16" ht="13.2" x14ac:dyDescent="0.25">
      <c r="B527" s="18"/>
      <c r="C527" s="19"/>
      <c r="D527" s="19"/>
      <c r="O527" s="5"/>
      <c r="P527" s="5"/>
    </row>
    <row r="528" spans="2:16" ht="13.2" x14ac:dyDescent="0.25">
      <c r="B528" s="18"/>
      <c r="C528" s="19"/>
      <c r="D528" s="19"/>
      <c r="O528" s="5"/>
      <c r="P528" s="5"/>
    </row>
    <row r="529" spans="2:16" ht="13.2" x14ac:dyDescent="0.25">
      <c r="B529" s="18"/>
      <c r="C529" s="19"/>
      <c r="D529" s="19"/>
      <c r="O529" s="5"/>
      <c r="P529" s="5"/>
    </row>
    <row r="530" spans="2:16" ht="13.2" x14ac:dyDescent="0.25">
      <c r="B530" s="18"/>
      <c r="C530" s="19"/>
      <c r="D530" s="19"/>
      <c r="O530" s="5"/>
      <c r="P530" s="5"/>
    </row>
    <row r="531" spans="2:16" ht="13.2" x14ac:dyDescent="0.25">
      <c r="B531" s="18"/>
      <c r="C531" s="19"/>
      <c r="D531" s="19"/>
      <c r="O531" s="5"/>
      <c r="P531" s="5"/>
    </row>
    <row r="532" spans="2:16" ht="13.2" x14ac:dyDescent="0.25">
      <c r="B532" s="18"/>
      <c r="C532" s="19"/>
      <c r="D532" s="19"/>
      <c r="O532" s="5"/>
      <c r="P532" s="5"/>
    </row>
    <row r="533" spans="2:16" ht="13.2" x14ac:dyDescent="0.25">
      <c r="B533" s="18"/>
      <c r="C533" s="19"/>
      <c r="D533" s="19"/>
      <c r="O533" s="5"/>
      <c r="P533" s="5"/>
    </row>
    <row r="534" spans="2:16" ht="13.2" x14ac:dyDescent="0.25">
      <c r="B534" s="18"/>
      <c r="C534" s="19"/>
      <c r="D534" s="19"/>
      <c r="O534" s="5"/>
      <c r="P534" s="5"/>
    </row>
    <row r="535" spans="2:16" ht="13.2" x14ac:dyDescent="0.25">
      <c r="B535" s="18"/>
      <c r="C535" s="19"/>
      <c r="D535" s="19"/>
      <c r="O535" s="5"/>
      <c r="P535" s="5"/>
    </row>
    <row r="536" spans="2:16" ht="13.2" x14ac:dyDescent="0.25">
      <c r="B536" s="18"/>
      <c r="C536" s="19"/>
      <c r="D536" s="19"/>
      <c r="O536" s="5"/>
      <c r="P536" s="5"/>
    </row>
    <row r="537" spans="2:16" ht="13.2" x14ac:dyDescent="0.25">
      <c r="B537" s="18"/>
      <c r="C537" s="19"/>
      <c r="D537" s="19"/>
      <c r="O537" s="5"/>
      <c r="P537" s="5"/>
    </row>
    <row r="538" spans="2:16" ht="13.2" x14ac:dyDescent="0.25">
      <c r="B538" s="18"/>
      <c r="C538" s="19"/>
      <c r="D538" s="19"/>
      <c r="O538" s="5"/>
      <c r="P538" s="5"/>
    </row>
    <row r="539" spans="2:16" ht="13.2" x14ac:dyDescent="0.25">
      <c r="B539" s="18"/>
      <c r="C539" s="19"/>
      <c r="D539" s="19"/>
      <c r="O539" s="5"/>
      <c r="P539" s="5"/>
    </row>
    <row r="540" spans="2:16" ht="13.2" x14ac:dyDescent="0.25">
      <c r="B540" s="18"/>
      <c r="C540" s="19"/>
      <c r="D540" s="19"/>
      <c r="O540" s="5"/>
      <c r="P540" s="5"/>
    </row>
    <row r="541" spans="2:16" ht="13.2" x14ac:dyDescent="0.25">
      <c r="B541" s="18"/>
      <c r="C541" s="19"/>
      <c r="D541" s="19"/>
      <c r="O541" s="5"/>
      <c r="P541" s="5"/>
    </row>
    <row r="542" spans="2:16" ht="13.2" x14ac:dyDescent="0.25">
      <c r="B542" s="18"/>
      <c r="C542" s="19"/>
      <c r="D542" s="19"/>
      <c r="O542" s="5"/>
      <c r="P542" s="5"/>
    </row>
    <row r="543" spans="2:16" ht="13.2" x14ac:dyDescent="0.25">
      <c r="B543" s="18"/>
      <c r="C543" s="19"/>
      <c r="D543" s="19"/>
      <c r="O543" s="5"/>
      <c r="P543" s="5"/>
    </row>
    <row r="544" spans="2:16" ht="13.2" x14ac:dyDescent="0.25">
      <c r="B544" s="18"/>
      <c r="C544" s="19"/>
      <c r="D544" s="19"/>
      <c r="O544" s="5"/>
      <c r="P544" s="5"/>
    </row>
    <row r="545" spans="2:16" ht="13.2" x14ac:dyDescent="0.25">
      <c r="B545" s="18"/>
      <c r="C545" s="19"/>
      <c r="D545" s="19"/>
      <c r="O545" s="5"/>
      <c r="P545" s="5"/>
    </row>
    <row r="546" spans="2:16" ht="13.2" x14ac:dyDescent="0.25">
      <c r="B546" s="18"/>
      <c r="C546" s="19"/>
      <c r="D546" s="19"/>
      <c r="O546" s="5"/>
      <c r="P546" s="5"/>
    </row>
    <row r="547" spans="2:16" ht="13.2" x14ac:dyDescent="0.25">
      <c r="B547" s="18"/>
      <c r="C547" s="19"/>
      <c r="D547" s="19"/>
      <c r="O547" s="5"/>
      <c r="P547" s="5"/>
    </row>
    <row r="548" spans="2:16" ht="13.2" x14ac:dyDescent="0.25">
      <c r="B548" s="18"/>
      <c r="C548" s="19"/>
      <c r="D548" s="19"/>
      <c r="O548" s="5"/>
      <c r="P548" s="5"/>
    </row>
    <row r="549" spans="2:16" ht="13.2" x14ac:dyDescent="0.25">
      <c r="B549" s="18"/>
      <c r="C549" s="19"/>
      <c r="D549" s="19"/>
      <c r="O549" s="5"/>
      <c r="P549" s="5"/>
    </row>
    <row r="550" spans="2:16" ht="13.2" x14ac:dyDescent="0.25">
      <c r="B550" s="18"/>
      <c r="C550" s="19"/>
      <c r="D550" s="19"/>
      <c r="O550" s="5"/>
      <c r="P550" s="5"/>
    </row>
    <row r="551" spans="2:16" ht="13.2" x14ac:dyDescent="0.25">
      <c r="B551" s="18"/>
      <c r="C551" s="19"/>
      <c r="D551" s="19"/>
      <c r="O551" s="5"/>
      <c r="P551" s="5"/>
    </row>
    <row r="552" spans="2:16" ht="13.2" x14ac:dyDescent="0.25">
      <c r="B552" s="18"/>
      <c r="C552" s="19"/>
      <c r="D552" s="19"/>
      <c r="O552" s="5"/>
      <c r="P552" s="5"/>
    </row>
    <row r="553" spans="2:16" ht="13.2" x14ac:dyDescent="0.25">
      <c r="B553" s="18"/>
      <c r="C553" s="19"/>
      <c r="D553" s="19"/>
      <c r="O553" s="5"/>
      <c r="P553" s="5"/>
    </row>
    <row r="554" spans="2:16" ht="13.2" x14ac:dyDescent="0.25">
      <c r="B554" s="18"/>
      <c r="C554" s="19"/>
      <c r="D554" s="19"/>
      <c r="O554" s="5"/>
      <c r="P554" s="5"/>
    </row>
    <row r="555" spans="2:16" ht="13.2" x14ac:dyDescent="0.25">
      <c r="B555" s="18"/>
      <c r="C555" s="19"/>
      <c r="D555" s="19"/>
      <c r="O555" s="5"/>
      <c r="P555" s="5"/>
    </row>
    <row r="556" spans="2:16" ht="13.2" x14ac:dyDescent="0.25">
      <c r="B556" s="18"/>
      <c r="C556" s="19"/>
      <c r="D556" s="19"/>
      <c r="O556" s="5"/>
      <c r="P556" s="5"/>
    </row>
    <row r="557" spans="2:16" ht="13.2" x14ac:dyDescent="0.25">
      <c r="B557" s="18"/>
      <c r="C557" s="19"/>
      <c r="D557" s="19"/>
      <c r="O557" s="5"/>
      <c r="P557" s="5"/>
    </row>
    <row r="558" spans="2:16" ht="13.2" x14ac:dyDescent="0.25">
      <c r="B558" s="18"/>
      <c r="C558" s="19"/>
      <c r="D558" s="19"/>
      <c r="O558" s="5"/>
      <c r="P558" s="5"/>
    </row>
    <row r="559" spans="2:16" ht="13.2" x14ac:dyDescent="0.25">
      <c r="B559" s="18"/>
      <c r="C559" s="19"/>
      <c r="D559" s="19"/>
      <c r="O559" s="5"/>
      <c r="P559" s="5"/>
    </row>
    <row r="560" spans="2:16" ht="13.2" x14ac:dyDescent="0.25">
      <c r="B560" s="18"/>
      <c r="C560" s="19"/>
      <c r="D560" s="19"/>
      <c r="O560" s="5"/>
      <c r="P560" s="5"/>
    </row>
    <row r="561" spans="2:16" ht="13.2" x14ac:dyDescent="0.25">
      <c r="B561" s="18"/>
      <c r="C561" s="19"/>
      <c r="D561" s="19"/>
      <c r="O561" s="5"/>
      <c r="P561" s="5"/>
    </row>
    <row r="562" spans="2:16" ht="13.2" x14ac:dyDescent="0.25">
      <c r="B562" s="18"/>
      <c r="C562" s="19"/>
      <c r="D562" s="19"/>
      <c r="O562" s="5"/>
      <c r="P562" s="5"/>
    </row>
    <row r="563" spans="2:16" ht="13.2" x14ac:dyDescent="0.25">
      <c r="B563" s="18"/>
      <c r="C563" s="19"/>
      <c r="D563" s="19"/>
      <c r="O563" s="5"/>
      <c r="P563" s="5"/>
    </row>
    <row r="564" spans="2:16" ht="13.2" x14ac:dyDescent="0.25">
      <c r="B564" s="18"/>
      <c r="C564" s="19"/>
      <c r="D564" s="19"/>
      <c r="O564" s="5"/>
      <c r="P564" s="5"/>
    </row>
    <row r="565" spans="2:16" ht="13.2" x14ac:dyDescent="0.25">
      <c r="B565" s="18"/>
      <c r="C565" s="19"/>
      <c r="D565" s="19"/>
      <c r="O565" s="5"/>
      <c r="P565" s="5"/>
    </row>
    <row r="566" spans="2:16" ht="13.2" x14ac:dyDescent="0.25">
      <c r="B566" s="18"/>
      <c r="C566" s="19"/>
      <c r="D566" s="19"/>
      <c r="O566" s="5"/>
      <c r="P566" s="5"/>
    </row>
    <row r="567" spans="2:16" ht="13.2" x14ac:dyDescent="0.25">
      <c r="B567" s="18"/>
      <c r="C567" s="19"/>
      <c r="D567" s="19"/>
      <c r="O567" s="5"/>
      <c r="P567" s="5"/>
    </row>
    <row r="568" spans="2:16" ht="13.2" x14ac:dyDescent="0.25">
      <c r="B568" s="18"/>
      <c r="C568" s="19"/>
      <c r="D568" s="19"/>
      <c r="O568" s="5"/>
      <c r="P568" s="5"/>
    </row>
    <row r="569" spans="2:16" ht="13.2" x14ac:dyDescent="0.25">
      <c r="B569" s="18"/>
      <c r="C569" s="19"/>
      <c r="D569" s="19"/>
      <c r="O569" s="5"/>
      <c r="P569" s="5"/>
    </row>
    <row r="570" spans="2:16" ht="13.2" x14ac:dyDescent="0.25">
      <c r="B570" s="18"/>
      <c r="C570" s="19"/>
      <c r="D570" s="19"/>
      <c r="O570" s="5"/>
      <c r="P570" s="5"/>
    </row>
    <row r="571" spans="2:16" ht="13.2" x14ac:dyDescent="0.25">
      <c r="B571" s="18"/>
      <c r="C571" s="19"/>
      <c r="D571" s="19"/>
      <c r="O571" s="5"/>
      <c r="P571" s="5"/>
    </row>
    <row r="572" spans="2:16" ht="13.2" x14ac:dyDescent="0.25">
      <c r="B572" s="18"/>
      <c r="C572" s="19"/>
      <c r="D572" s="19"/>
      <c r="O572" s="5"/>
      <c r="P572" s="5"/>
    </row>
    <row r="573" spans="2:16" ht="13.2" x14ac:dyDescent="0.25">
      <c r="B573" s="18"/>
      <c r="C573" s="19"/>
      <c r="D573" s="19"/>
      <c r="O573" s="5"/>
      <c r="P573" s="5"/>
    </row>
    <row r="574" spans="2:16" ht="13.2" x14ac:dyDescent="0.25">
      <c r="B574" s="18"/>
      <c r="C574" s="19"/>
      <c r="D574" s="19"/>
      <c r="O574" s="5"/>
      <c r="P574" s="5"/>
    </row>
    <row r="575" spans="2:16" ht="13.2" x14ac:dyDescent="0.25">
      <c r="B575" s="18"/>
      <c r="C575" s="19"/>
      <c r="D575" s="19"/>
      <c r="O575" s="5"/>
      <c r="P575" s="5"/>
    </row>
    <row r="576" spans="2:16" ht="13.2" x14ac:dyDescent="0.25">
      <c r="B576" s="18"/>
      <c r="C576" s="19"/>
      <c r="D576" s="19"/>
      <c r="O576" s="5"/>
      <c r="P576" s="5"/>
    </row>
    <row r="577" spans="2:16" ht="13.2" x14ac:dyDescent="0.25">
      <c r="B577" s="18"/>
      <c r="C577" s="19"/>
      <c r="D577" s="19"/>
      <c r="O577" s="5"/>
      <c r="P577" s="5"/>
    </row>
    <row r="578" spans="2:16" ht="13.2" x14ac:dyDescent="0.25">
      <c r="B578" s="18"/>
      <c r="C578" s="19"/>
      <c r="D578" s="19"/>
      <c r="O578" s="5"/>
      <c r="P578" s="5"/>
    </row>
    <row r="579" spans="2:16" ht="13.2" x14ac:dyDescent="0.25">
      <c r="B579" s="18"/>
      <c r="C579" s="19"/>
      <c r="D579" s="19"/>
      <c r="O579" s="5"/>
      <c r="P579" s="5"/>
    </row>
    <row r="580" spans="2:16" ht="13.2" x14ac:dyDescent="0.25">
      <c r="B580" s="18"/>
      <c r="C580" s="19"/>
      <c r="D580" s="19"/>
      <c r="O580" s="5"/>
      <c r="P580" s="5"/>
    </row>
    <row r="581" spans="2:16" ht="13.2" x14ac:dyDescent="0.25">
      <c r="B581" s="18"/>
      <c r="C581" s="19"/>
      <c r="D581" s="19"/>
      <c r="O581" s="5"/>
      <c r="P581" s="5"/>
    </row>
    <row r="582" spans="2:16" ht="13.2" x14ac:dyDescent="0.25">
      <c r="B582" s="18"/>
      <c r="C582" s="19"/>
      <c r="D582" s="19"/>
      <c r="O582" s="5"/>
      <c r="P582" s="5"/>
    </row>
    <row r="583" spans="2:16" ht="13.2" x14ac:dyDescent="0.25">
      <c r="B583" s="18"/>
      <c r="C583" s="19"/>
      <c r="D583" s="19"/>
      <c r="O583" s="5"/>
      <c r="P583" s="5"/>
    </row>
    <row r="584" spans="2:16" ht="13.2" x14ac:dyDescent="0.25">
      <c r="B584" s="18"/>
      <c r="C584" s="19"/>
      <c r="D584" s="19"/>
      <c r="O584" s="5"/>
      <c r="P584" s="5"/>
    </row>
    <row r="585" spans="2:16" ht="13.2" x14ac:dyDescent="0.25">
      <c r="B585" s="18"/>
      <c r="C585" s="19"/>
      <c r="D585" s="19"/>
      <c r="O585" s="5"/>
      <c r="P585" s="5"/>
    </row>
    <row r="586" spans="2:16" ht="13.2" x14ac:dyDescent="0.25">
      <c r="B586" s="18"/>
      <c r="C586" s="19"/>
      <c r="D586" s="19"/>
      <c r="O586" s="5"/>
      <c r="P586" s="5"/>
    </row>
    <row r="587" spans="2:16" ht="13.2" x14ac:dyDescent="0.25">
      <c r="B587" s="18"/>
      <c r="C587" s="19"/>
      <c r="D587" s="19"/>
      <c r="O587" s="5"/>
      <c r="P587" s="5"/>
    </row>
    <row r="588" spans="2:16" ht="13.2" x14ac:dyDescent="0.25">
      <c r="B588" s="18"/>
      <c r="C588" s="19"/>
      <c r="D588" s="19"/>
      <c r="O588" s="5"/>
      <c r="P588" s="5"/>
    </row>
    <row r="589" spans="2:16" ht="13.2" x14ac:dyDescent="0.25">
      <c r="B589" s="18"/>
      <c r="C589" s="19"/>
      <c r="D589" s="19"/>
      <c r="O589" s="5"/>
      <c r="P589" s="5"/>
    </row>
    <row r="590" spans="2:16" ht="13.2" x14ac:dyDescent="0.25">
      <c r="B590" s="18"/>
      <c r="C590" s="19"/>
      <c r="D590" s="19"/>
      <c r="O590" s="5"/>
      <c r="P590" s="5"/>
    </row>
    <row r="591" spans="2:16" ht="13.2" x14ac:dyDescent="0.25">
      <c r="B591" s="18"/>
      <c r="C591" s="19"/>
      <c r="D591" s="19"/>
      <c r="O591" s="5"/>
      <c r="P591" s="5"/>
    </row>
    <row r="592" spans="2:16" ht="13.2" x14ac:dyDescent="0.25">
      <c r="B592" s="18"/>
      <c r="C592" s="19"/>
      <c r="D592" s="19"/>
      <c r="O592" s="5"/>
      <c r="P592" s="5"/>
    </row>
    <row r="593" spans="2:16" ht="13.2" x14ac:dyDescent="0.25">
      <c r="B593" s="18"/>
      <c r="C593" s="19"/>
      <c r="D593" s="19"/>
      <c r="O593" s="5"/>
      <c r="P593" s="5"/>
    </row>
    <row r="594" spans="2:16" ht="13.2" x14ac:dyDescent="0.25">
      <c r="B594" s="18"/>
      <c r="C594" s="19"/>
      <c r="D594" s="19"/>
      <c r="O594" s="5"/>
      <c r="P594" s="5"/>
    </row>
    <row r="595" spans="2:16" ht="13.2" x14ac:dyDescent="0.25">
      <c r="B595" s="18"/>
      <c r="C595" s="19"/>
      <c r="D595" s="19"/>
      <c r="O595" s="5"/>
      <c r="P595" s="5"/>
    </row>
    <row r="596" spans="2:16" ht="13.2" x14ac:dyDescent="0.25">
      <c r="B596" s="18"/>
      <c r="C596" s="19"/>
      <c r="D596" s="19"/>
      <c r="O596" s="5"/>
      <c r="P596" s="5"/>
    </row>
    <row r="597" spans="2:16" ht="13.2" x14ac:dyDescent="0.25">
      <c r="B597" s="18"/>
      <c r="C597" s="19"/>
      <c r="D597" s="19"/>
      <c r="O597" s="5"/>
      <c r="P597" s="5"/>
    </row>
    <row r="598" spans="2:16" ht="13.2" x14ac:dyDescent="0.25">
      <c r="B598" s="18"/>
      <c r="C598" s="19"/>
      <c r="D598" s="19"/>
      <c r="O598" s="5"/>
      <c r="P598" s="5"/>
    </row>
    <row r="599" spans="2:16" ht="13.2" x14ac:dyDescent="0.25">
      <c r="B599" s="18"/>
      <c r="C599" s="19"/>
      <c r="D599" s="19"/>
      <c r="O599" s="5"/>
      <c r="P599" s="5"/>
    </row>
    <row r="600" spans="2:16" ht="13.2" x14ac:dyDescent="0.25">
      <c r="B600" s="18"/>
      <c r="C600" s="19"/>
      <c r="D600" s="19"/>
      <c r="O600" s="5"/>
      <c r="P600" s="5"/>
    </row>
    <row r="601" spans="2:16" ht="13.2" x14ac:dyDescent="0.25">
      <c r="B601" s="18"/>
      <c r="C601" s="19"/>
      <c r="D601" s="19"/>
      <c r="O601" s="5"/>
      <c r="P601" s="5"/>
    </row>
    <row r="602" spans="2:16" ht="13.2" x14ac:dyDescent="0.25">
      <c r="B602" s="18"/>
      <c r="C602" s="19"/>
      <c r="D602" s="19"/>
      <c r="O602" s="5"/>
      <c r="P602" s="5"/>
    </row>
    <row r="603" spans="2:16" ht="13.2" x14ac:dyDescent="0.25">
      <c r="B603" s="18"/>
      <c r="C603" s="19"/>
      <c r="D603" s="19"/>
      <c r="O603" s="5"/>
      <c r="P603" s="5"/>
    </row>
    <row r="604" spans="2:16" ht="13.2" x14ac:dyDescent="0.25">
      <c r="B604" s="18"/>
      <c r="C604" s="19"/>
      <c r="D604" s="19"/>
      <c r="O604" s="5"/>
      <c r="P604" s="5"/>
    </row>
    <row r="605" spans="2:16" ht="13.2" x14ac:dyDescent="0.25">
      <c r="B605" s="18"/>
      <c r="C605" s="19"/>
      <c r="D605" s="19"/>
      <c r="O605" s="5"/>
      <c r="P605" s="5"/>
    </row>
    <row r="606" spans="2:16" ht="13.2" x14ac:dyDescent="0.25">
      <c r="B606" s="18"/>
      <c r="C606" s="19"/>
      <c r="D606" s="19"/>
      <c r="O606" s="5"/>
      <c r="P606" s="5"/>
    </row>
    <row r="607" spans="2:16" ht="13.2" x14ac:dyDescent="0.25">
      <c r="B607" s="18"/>
      <c r="C607" s="19"/>
      <c r="D607" s="19"/>
      <c r="O607" s="5"/>
      <c r="P607" s="5"/>
    </row>
    <row r="608" spans="2:16" ht="13.2" x14ac:dyDescent="0.25">
      <c r="B608" s="18"/>
      <c r="C608" s="19"/>
      <c r="D608" s="19"/>
      <c r="O608" s="5"/>
      <c r="P608" s="5"/>
    </row>
    <row r="609" spans="2:16" ht="13.2" x14ac:dyDescent="0.25">
      <c r="B609" s="18"/>
      <c r="C609" s="19"/>
      <c r="D609" s="19"/>
      <c r="O609" s="5"/>
      <c r="P609" s="5"/>
    </row>
    <row r="610" spans="2:16" ht="13.2" x14ac:dyDescent="0.25">
      <c r="B610" s="18"/>
      <c r="C610" s="19"/>
      <c r="D610" s="19"/>
      <c r="O610" s="5"/>
      <c r="P610" s="5"/>
    </row>
    <row r="611" spans="2:16" ht="13.2" x14ac:dyDescent="0.25">
      <c r="B611" s="18"/>
      <c r="C611" s="19"/>
      <c r="D611" s="19"/>
      <c r="O611" s="5"/>
      <c r="P611" s="5"/>
    </row>
    <row r="612" spans="2:16" ht="13.2" x14ac:dyDescent="0.25">
      <c r="B612" s="18"/>
      <c r="C612" s="19"/>
      <c r="D612" s="19"/>
      <c r="O612" s="5"/>
      <c r="P612" s="5"/>
    </row>
    <row r="613" spans="2:16" ht="13.2" x14ac:dyDescent="0.25">
      <c r="B613" s="18"/>
      <c r="C613" s="19"/>
      <c r="D613" s="19"/>
      <c r="O613" s="5"/>
      <c r="P613" s="5"/>
    </row>
    <row r="614" spans="2:16" ht="13.2" x14ac:dyDescent="0.25">
      <c r="B614" s="18"/>
      <c r="C614" s="19"/>
      <c r="D614" s="19"/>
      <c r="O614" s="5"/>
      <c r="P614" s="5"/>
    </row>
    <row r="615" spans="2:16" ht="13.2" x14ac:dyDescent="0.25">
      <c r="B615" s="18"/>
      <c r="C615" s="19"/>
      <c r="D615" s="19"/>
      <c r="O615" s="5"/>
      <c r="P615" s="5"/>
    </row>
    <row r="616" spans="2:16" ht="13.2" x14ac:dyDescent="0.25">
      <c r="B616" s="18"/>
      <c r="C616" s="19"/>
      <c r="D616" s="19"/>
      <c r="O616" s="5"/>
      <c r="P616" s="5"/>
    </row>
    <row r="617" spans="2:16" ht="13.2" x14ac:dyDescent="0.25">
      <c r="B617" s="18"/>
      <c r="C617" s="19"/>
      <c r="D617" s="19"/>
      <c r="O617" s="5"/>
      <c r="P617" s="5"/>
    </row>
    <row r="618" spans="2:16" ht="13.2" x14ac:dyDescent="0.25">
      <c r="B618" s="18"/>
      <c r="C618" s="19"/>
      <c r="D618" s="19"/>
      <c r="O618" s="5"/>
      <c r="P618" s="5"/>
    </row>
    <row r="619" spans="2:16" ht="13.2" x14ac:dyDescent="0.25">
      <c r="B619" s="18"/>
      <c r="C619" s="19"/>
      <c r="D619" s="19"/>
      <c r="O619" s="5"/>
      <c r="P619" s="5"/>
    </row>
    <row r="620" spans="2:16" ht="13.2" x14ac:dyDescent="0.25">
      <c r="B620" s="18"/>
      <c r="C620" s="19"/>
      <c r="D620" s="19"/>
      <c r="O620" s="5"/>
      <c r="P620" s="5"/>
    </row>
    <row r="621" spans="2:16" ht="13.2" x14ac:dyDescent="0.25">
      <c r="B621" s="18"/>
      <c r="C621" s="19"/>
      <c r="D621" s="19"/>
      <c r="O621" s="5"/>
      <c r="P621" s="5"/>
    </row>
    <row r="622" spans="2:16" ht="13.2" x14ac:dyDescent="0.25">
      <c r="B622" s="18"/>
      <c r="C622" s="19"/>
      <c r="D622" s="19"/>
      <c r="O622" s="5"/>
      <c r="P622" s="5"/>
    </row>
    <row r="623" spans="2:16" ht="13.2" x14ac:dyDescent="0.25">
      <c r="B623" s="18"/>
      <c r="C623" s="19"/>
      <c r="D623" s="19"/>
      <c r="O623" s="5"/>
      <c r="P623" s="5"/>
    </row>
    <row r="624" spans="2:16" ht="13.2" x14ac:dyDescent="0.25">
      <c r="B624" s="18"/>
      <c r="C624" s="19"/>
      <c r="D624" s="19"/>
      <c r="O624" s="5"/>
      <c r="P624" s="5"/>
    </row>
    <row r="625" spans="2:16" ht="13.2" x14ac:dyDescent="0.25">
      <c r="B625" s="18"/>
      <c r="C625" s="19"/>
      <c r="D625" s="19"/>
      <c r="O625" s="5"/>
      <c r="P625" s="5"/>
    </row>
    <row r="626" spans="2:16" ht="13.2" x14ac:dyDescent="0.25">
      <c r="B626" s="18"/>
      <c r="C626" s="19"/>
      <c r="D626" s="19"/>
      <c r="O626" s="5"/>
      <c r="P626" s="5"/>
    </row>
    <row r="627" spans="2:16" ht="13.2" x14ac:dyDescent="0.25">
      <c r="B627" s="18"/>
      <c r="C627" s="19"/>
      <c r="D627" s="19"/>
      <c r="O627" s="5"/>
      <c r="P627" s="5"/>
    </row>
    <row r="628" spans="2:16" ht="13.2" x14ac:dyDescent="0.25">
      <c r="B628" s="18"/>
      <c r="C628" s="19"/>
      <c r="D628" s="19"/>
      <c r="O628" s="5"/>
      <c r="P628" s="5"/>
    </row>
    <row r="629" spans="2:16" ht="13.2" x14ac:dyDescent="0.25">
      <c r="B629" s="18"/>
      <c r="C629" s="19"/>
      <c r="D629" s="19"/>
      <c r="O629" s="5"/>
      <c r="P629" s="5"/>
    </row>
    <row r="630" spans="2:16" ht="13.2" x14ac:dyDescent="0.25">
      <c r="B630" s="18"/>
      <c r="C630" s="19"/>
      <c r="D630" s="19"/>
      <c r="O630" s="5"/>
      <c r="P630" s="5"/>
    </row>
    <row r="631" spans="2:16" ht="13.2" x14ac:dyDescent="0.25">
      <c r="B631" s="18"/>
      <c r="C631" s="19"/>
      <c r="D631" s="19"/>
      <c r="O631" s="5"/>
      <c r="P631" s="5"/>
    </row>
    <row r="632" spans="2:16" ht="13.2" x14ac:dyDescent="0.25">
      <c r="B632" s="18"/>
      <c r="C632" s="19"/>
      <c r="D632" s="19"/>
      <c r="O632" s="5"/>
      <c r="P632" s="5"/>
    </row>
    <row r="633" spans="2:16" ht="13.2" x14ac:dyDescent="0.25">
      <c r="B633" s="18"/>
      <c r="C633" s="19"/>
      <c r="D633" s="19"/>
      <c r="O633" s="5"/>
      <c r="P633" s="5"/>
    </row>
    <row r="634" spans="2:16" ht="13.2" x14ac:dyDescent="0.25">
      <c r="B634" s="18"/>
      <c r="C634" s="19"/>
      <c r="D634" s="19"/>
      <c r="O634" s="5"/>
      <c r="P634" s="5"/>
    </row>
    <row r="635" spans="2:16" ht="13.2" x14ac:dyDescent="0.25">
      <c r="B635" s="18"/>
      <c r="C635" s="19"/>
      <c r="D635" s="19"/>
      <c r="O635" s="5"/>
      <c r="P635" s="5"/>
    </row>
    <row r="636" spans="2:16" ht="13.2" x14ac:dyDescent="0.25">
      <c r="B636" s="18"/>
      <c r="C636" s="19"/>
      <c r="D636" s="19"/>
      <c r="O636" s="5"/>
      <c r="P636" s="5"/>
    </row>
    <row r="637" spans="2:16" ht="13.2" x14ac:dyDescent="0.25">
      <c r="B637" s="18"/>
      <c r="C637" s="19"/>
      <c r="D637" s="19"/>
      <c r="O637" s="5"/>
      <c r="P637" s="5"/>
    </row>
    <row r="638" spans="2:16" ht="13.2" x14ac:dyDescent="0.25">
      <c r="B638" s="18"/>
      <c r="C638" s="19"/>
      <c r="D638" s="19"/>
      <c r="O638" s="5"/>
      <c r="P638" s="5"/>
    </row>
    <row r="639" spans="2:16" ht="13.2" x14ac:dyDescent="0.25">
      <c r="B639" s="18"/>
      <c r="C639" s="19"/>
      <c r="D639" s="19"/>
      <c r="O639" s="5"/>
      <c r="P639" s="5"/>
    </row>
    <row r="640" spans="2:16" ht="13.2" x14ac:dyDescent="0.25">
      <c r="B640" s="18"/>
      <c r="C640" s="19"/>
      <c r="D640" s="19"/>
      <c r="O640" s="5"/>
      <c r="P640" s="5"/>
    </row>
    <row r="641" spans="2:16" ht="13.2" x14ac:dyDescent="0.25">
      <c r="B641" s="18"/>
      <c r="C641" s="19"/>
      <c r="D641" s="19"/>
      <c r="O641" s="5"/>
      <c r="P641" s="5"/>
    </row>
    <row r="642" spans="2:16" ht="13.2" x14ac:dyDescent="0.25">
      <c r="B642" s="18"/>
      <c r="C642" s="19"/>
      <c r="D642" s="19"/>
      <c r="O642" s="5"/>
      <c r="P642" s="5"/>
    </row>
    <row r="643" spans="2:16" ht="13.2" x14ac:dyDescent="0.25">
      <c r="B643" s="18"/>
      <c r="C643" s="19"/>
      <c r="D643" s="19"/>
      <c r="O643" s="5"/>
      <c r="P643" s="5"/>
    </row>
    <row r="644" spans="2:16" ht="13.2" x14ac:dyDescent="0.25">
      <c r="B644" s="18"/>
      <c r="C644" s="19"/>
      <c r="D644" s="19"/>
      <c r="O644" s="5"/>
      <c r="P644" s="5"/>
    </row>
    <row r="645" spans="2:16" ht="13.2" x14ac:dyDescent="0.25">
      <c r="B645" s="18"/>
      <c r="C645" s="19"/>
      <c r="D645" s="19"/>
      <c r="O645" s="5"/>
      <c r="P645" s="5"/>
    </row>
    <row r="646" spans="2:16" ht="13.2" x14ac:dyDescent="0.25">
      <c r="B646" s="18"/>
      <c r="C646" s="19"/>
      <c r="D646" s="19"/>
      <c r="O646" s="5"/>
      <c r="P646" s="5"/>
    </row>
    <row r="647" spans="2:16" ht="13.2" x14ac:dyDescent="0.25">
      <c r="B647" s="18"/>
      <c r="C647" s="19"/>
      <c r="D647" s="19"/>
      <c r="O647" s="5"/>
      <c r="P647" s="5"/>
    </row>
    <row r="648" spans="2:16" ht="13.2" x14ac:dyDescent="0.25">
      <c r="B648" s="18"/>
      <c r="C648" s="19"/>
      <c r="D648" s="19"/>
      <c r="O648" s="5"/>
      <c r="P648" s="5"/>
    </row>
    <row r="649" spans="2:16" ht="13.2" x14ac:dyDescent="0.25">
      <c r="B649" s="18"/>
      <c r="C649" s="19"/>
      <c r="D649" s="19"/>
      <c r="O649" s="5"/>
      <c r="P649" s="5"/>
    </row>
    <row r="650" spans="2:16" ht="13.2" x14ac:dyDescent="0.25">
      <c r="B650" s="18"/>
      <c r="C650" s="19"/>
      <c r="D650" s="19"/>
      <c r="O650" s="5"/>
      <c r="P650" s="5"/>
    </row>
    <row r="651" spans="2:16" ht="13.2" x14ac:dyDescent="0.25">
      <c r="B651" s="18"/>
      <c r="C651" s="19"/>
      <c r="D651" s="19"/>
      <c r="O651" s="5"/>
      <c r="P651" s="5"/>
    </row>
    <row r="652" spans="2:16" ht="13.2" x14ac:dyDescent="0.25">
      <c r="B652" s="18"/>
      <c r="C652" s="19"/>
      <c r="D652" s="19"/>
      <c r="O652" s="5"/>
      <c r="P652" s="5"/>
    </row>
    <row r="653" spans="2:16" ht="13.2" x14ac:dyDescent="0.25">
      <c r="B653" s="18"/>
      <c r="C653" s="19"/>
      <c r="D653" s="19"/>
      <c r="O653" s="5"/>
      <c r="P653" s="5"/>
    </row>
    <row r="654" spans="2:16" ht="13.2" x14ac:dyDescent="0.25">
      <c r="B654" s="18"/>
      <c r="C654" s="19"/>
      <c r="D654" s="19"/>
      <c r="O654" s="5"/>
      <c r="P654" s="5"/>
    </row>
    <row r="655" spans="2:16" ht="13.2" x14ac:dyDescent="0.25">
      <c r="B655" s="18"/>
      <c r="C655" s="19"/>
      <c r="D655" s="19"/>
      <c r="O655" s="5"/>
      <c r="P655" s="5"/>
    </row>
    <row r="656" spans="2:16" ht="13.2" x14ac:dyDescent="0.25">
      <c r="B656" s="18"/>
      <c r="C656" s="19"/>
      <c r="D656" s="19"/>
      <c r="O656" s="5"/>
      <c r="P656" s="5"/>
    </row>
    <row r="657" spans="2:16" ht="13.2" x14ac:dyDescent="0.25">
      <c r="B657" s="18"/>
      <c r="C657" s="19"/>
      <c r="D657" s="19"/>
      <c r="O657" s="5"/>
      <c r="P657" s="5"/>
    </row>
    <row r="658" spans="2:16" ht="13.2" x14ac:dyDescent="0.25">
      <c r="B658" s="18"/>
      <c r="C658" s="19"/>
      <c r="D658" s="19"/>
      <c r="O658" s="5"/>
      <c r="P658" s="5"/>
    </row>
    <row r="659" spans="2:16" ht="13.2" x14ac:dyDescent="0.25">
      <c r="B659" s="18"/>
      <c r="C659" s="19"/>
      <c r="D659" s="19"/>
      <c r="O659" s="5"/>
      <c r="P659" s="5"/>
    </row>
    <row r="660" spans="2:16" ht="13.2" x14ac:dyDescent="0.25">
      <c r="B660" s="18"/>
      <c r="C660" s="19"/>
      <c r="D660" s="19"/>
      <c r="O660" s="5"/>
      <c r="P660" s="5"/>
    </row>
    <row r="661" spans="2:16" ht="13.2" x14ac:dyDescent="0.25">
      <c r="B661" s="18"/>
      <c r="C661" s="19"/>
      <c r="D661" s="19"/>
      <c r="O661" s="5"/>
      <c r="P661" s="5"/>
    </row>
    <row r="662" spans="2:16" ht="13.2" x14ac:dyDescent="0.25">
      <c r="B662" s="18"/>
      <c r="C662" s="19"/>
      <c r="D662" s="19"/>
      <c r="O662" s="5"/>
      <c r="P662" s="5"/>
    </row>
    <row r="663" spans="2:16" ht="13.2" x14ac:dyDescent="0.25">
      <c r="B663" s="18"/>
      <c r="C663" s="19"/>
      <c r="D663" s="19"/>
      <c r="O663" s="5"/>
      <c r="P663" s="5"/>
    </row>
    <row r="664" spans="2:16" ht="13.2" x14ac:dyDescent="0.25">
      <c r="B664" s="18"/>
      <c r="C664" s="19"/>
      <c r="D664" s="19"/>
      <c r="O664" s="5"/>
      <c r="P664" s="5"/>
    </row>
    <row r="665" spans="2:16" ht="13.2" x14ac:dyDescent="0.25">
      <c r="B665" s="18"/>
      <c r="C665" s="19"/>
      <c r="D665" s="19"/>
      <c r="O665" s="5"/>
      <c r="P665" s="5"/>
    </row>
    <row r="666" spans="2:16" ht="13.2" x14ac:dyDescent="0.25">
      <c r="B666" s="18"/>
      <c r="C666" s="19"/>
      <c r="D666" s="19"/>
      <c r="O666" s="5"/>
      <c r="P666" s="5"/>
    </row>
    <row r="667" spans="2:16" ht="13.2" x14ac:dyDescent="0.25">
      <c r="B667" s="18"/>
      <c r="C667" s="19"/>
      <c r="D667" s="19"/>
      <c r="O667" s="5"/>
      <c r="P667" s="5"/>
    </row>
    <row r="668" spans="2:16" ht="13.2" x14ac:dyDescent="0.25">
      <c r="B668" s="18"/>
      <c r="C668" s="19"/>
      <c r="D668" s="19"/>
      <c r="O668" s="5"/>
      <c r="P668" s="5"/>
    </row>
    <row r="669" spans="2:16" ht="13.2" x14ac:dyDescent="0.25">
      <c r="B669" s="18"/>
      <c r="C669" s="19"/>
      <c r="D669" s="19"/>
      <c r="O669" s="5"/>
      <c r="P669" s="5"/>
    </row>
    <row r="670" spans="2:16" ht="13.2" x14ac:dyDescent="0.25">
      <c r="B670" s="18"/>
      <c r="C670" s="19"/>
      <c r="D670" s="19"/>
      <c r="O670" s="5"/>
      <c r="P670" s="5"/>
    </row>
    <row r="671" spans="2:16" ht="13.2" x14ac:dyDescent="0.25">
      <c r="B671" s="18"/>
      <c r="C671" s="19"/>
      <c r="D671" s="19"/>
      <c r="O671" s="5"/>
      <c r="P671" s="5"/>
    </row>
    <row r="672" spans="2:16" ht="13.2" x14ac:dyDescent="0.25">
      <c r="B672" s="18"/>
      <c r="C672" s="19"/>
      <c r="D672" s="19"/>
      <c r="O672" s="5"/>
      <c r="P672" s="5"/>
    </row>
    <row r="673" spans="2:16" ht="13.2" x14ac:dyDescent="0.25">
      <c r="B673" s="18"/>
      <c r="C673" s="19"/>
      <c r="D673" s="19"/>
      <c r="O673" s="5"/>
      <c r="P673" s="5"/>
    </row>
    <row r="674" spans="2:16" ht="13.2" x14ac:dyDescent="0.25">
      <c r="B674" s="18"/>
      <c r="C674" s="19"/>
      <c r="D674" s="19"/>
      <c r="O674" s="5"/>
      <c r="P674" s="5"/>
    </row>
    <row r="675" spans="2:16" ht="13.2" x14ac:dyDescent="0.25">
      <c r="B675" s="18"/>
      <c r="C675" s="19"/>
      <c r="D675" s="19"/>
      <c r="O675" s="5"/>
      <c r="P675" s="5"/>
    </row>
    <row r="676" spans="2:16" ht="13.2" x14ac:dyDescent="0.25">
      <c r="B676" s="18"/>
      <c r="C676" s="19"/>
      <c r="D676" s="19"/>
      <c r="O676" s="5"/>
      <c r="P676" s="5"/>
    </row>
    <row r="677" spans="2:16" ht="13.2" x14ac:dyDescent="0.25">
      <c r="B677" s="18"/>
      <c r="C677" s="19"/>
      <c r="D677" s="19"/>
      <c r="O677" s="5"/>
      <c r="P677" s="5"/>
    </row>
    <row r="678" spans="2:16" ht="13.2" x14ac:dyDescent="0.25">
      <c r="B678" s="18"/>
      <c r="C678" s="19"/>
      <c r="D678" s="19"/>
      <c r="O678" s="5"/>
      <c r="P678" s="5"/>
    </row>
    <row r="679" spans="2:16" ht="13.2" x14ac:dyDescent="0.25">
      <c r="B679" s="18"/>
      <c r="C679" s="19"/>
      <c r="D679" s="19"/>
      <c r="O679" s="5"/>
      <c r="P679" s="5"/>
    </row>
    <row r="680" spans="2:16" ht="13.2" x14ac:dyDescent="0.25">
      <c r="B680" s="18"/>
      <c r="C680" s="19"/>
      <c r="D680" s="19"/>
      <c r="O680" s="5"/>
      <c r="P680" s="5"/>
    </row>
    <row r="681" spans="2:16" ht="13.2" x14ac:dyDescent="0.25">
      <c r="B681" s="18"/>
      <c r="C681" s="19"/>
      <c r="D681" s="19"/>
      <c r="O681" s="5"/>
      <c r="P681" s="5"/>
    </row>
    <row r="682" spans="2:16" ht="13.2" x14ac:dyDescent="0.25">
      <c r="B682" s="18"/>
      <c r="C682" s="19"/>
      <c r="D682" s="19"/>
      <c r="O682" s="5"/>
      <c r="P682" s="5"/>
    </row>
    <row r="683" spans="2:16" ht="13.2" x14ac:dyDescent="0.25">
      <c r="B683" s="18"/>
      <c r="C683" s="19"/>
      <c r="D683" s="19"/>
      <c r="O683" s="5"/>
      <c r="P683" s="5"/>
    </row>
    <row r="684" spans="2:16" ht="13.2" x14ac:dyDescent="0.25">
      <c r="B684" s="18"/>
      <c r="C684" s="19"/>
      <c r="D684" s="19"/>
      <c r="O684" s="5"/>
      <c r="P684" s="5"/>
    </row>
    <row r="685" spans="2:16" ht="13.2" x14ac:dyDescent="0.25">
      <c r="B685" s="18"/>
      <c r="C685" s="19"/>
      <c r="D685" s="19"/>
      <c r="O685" s="5"/>
      <c r="P685" s="5"/>
    </row>
    <row r="686" spans="2:16" ht="13.2" x14ac:dyDescent="0.25">
      <c r="B686" s="18"/>
      <c r="C686" s="19"/>
      <c r="D686" s="19"/>
      <c r="O686" s="5"/>
      <c r="P686" s="5"/>
    </row>
    <row r="687" spans="2:16" ht="13.2" x14ac:dyDescent="0.25">
      <c r="B687" s="18"/>
      <c r="C687" s="19"/>
      <c r="D687" s="19"/>
      <c r="O687" s="5"/>
      <c r="P687" s="5"/>
    </row>
    <row r="688" spans="2:16" ht="13.2" x14ac:dyDescent="0.25">
      <c r="B688" s="18"/>
      <c r="C688" s="19"/>
      <c r="D688" s="19"/>
      <c r="O688" s="5"/>
      <c r="P688" s="5"/>
    </row>
    <row r="689" spans="2:16" ht="13.2" x14ac:dyDescent="0.25">
      <c r="B689" s="18"/>
      <c r="C689" s="19"/>
      <c r="D689" s="19"/>
      <c r="O689" s="5"/>
      <c r="P689" s="5"/>
    </row>
    <row r="690" spans="2:16" ht="13.2" x14ac:dyDescent="0.25">
      <c r="B690" s="18"/>
      <c r="C690" s="19"/>
      <c r="D690" s="19"/>
      <c r="O690" s="5"/>
      <c r="P690" s="5"/>
    </row>
    <row r="691" spans="2:16" ht="13.2" x14ac:dyDescent="0.25">
      <c r="B691" s="18"/>
      <c r="C691" s="19"/>
      <c r="D691" s="19"/>
      <c r="O691" s="5"/>
      <c r="P691" s="5"/>
    </row>
    <row r="692" spans="2:16" ht="13.2" x14ac:dyDescent="0.25">
      <c r="B692" s="18"/>
      <c r="C692" s="19"/>
      <c r="D692" s="19"/>
      <c r="O692" s="5"/>
      <c r="P692" s="5"/>
    </row>
    <row r="693" spans="2:16" ht="13.2" x14ac:dyDescent="0.25">
      <c r="B693" s="18"/>
      <c r="C693" s="19"/>
      <c r="D693" s="19"/>
      <c r="O693" s="5"/>
      <c r="P693" s="5"/>
    </row>
    <row r="694" spans="2:16" ht="13.2" x14ac:dyDescent="0.25">
      <c r="B694" s="18"/>
      <c r="C694" s="19"/>
      <c r="D694" s="19"/>
      <c r="O694" s="5"/>
      <c r="P694" s="5"/>
    </row>
    <row r="695" spans="2:16" ht="13.2" x14ac:dyDescent="0.25">
      <c r="B695" s="18"/>
      <c r="C695" s="19"/>
      <c r="D695" s="19"/>
      <c r="O695" s="5"/>
      <c r="P695" s="5"/>
    </row>
    <row r="696" spans="2:16" ht="13.2" x14ac:dyDescent="0.25">
      <c r="B696" s="18"/>
      <c r="C696" s="19"/>
      <c r="D696" s="19"/>
      <c r="O696" s="5"/>
      <c r="P696" s="5"/>
    </row>
    <row r="697" spans="2:16" ht="13.2" x14ac:dyDescent="0.25">
      <c r="B697" s="18"/>
      <c r="C697" s="19"/>
      <c r="D697" s="19"/>
      <c r="O697" s="5"/>
      <c r="P697" s="5"/>
    </row>
    <row r="698" spans="2:16" ht="13.2" x14ac:dyDescent="0.25">
      <c r="B698" s="18"/>
      <c r="C698" s="19"/>
      <c r="D698" s="19"/>
      <c r="O698" s="5"/>
      <c r="P698" s="5"/>
    </row>
    <row r="699" spans="2:16" ht="13.2" x14ac:dyDescent="0.25">
      <c r="B699" s="18"/>
      <c r="C699" s="19"/>
      <c r="D699" s="19"/>
      <c r="O699" s="5"/>
      <c r="P699" s="5"/>
    </row>
    <row r="700" spans="2:16" ht="13.2" x14ac:dyDescent="0.25">
      <c r="B700" s="18"/>
      <c r="C700" s="19"/>
      <c r="D700" s="19"/>
      <c r="O700" s="5"/>
      <c r="P700" s="5"/>
    </row>
    <row r="701" spans="2:16" ht="13.2" x14ac:dyDescent="0.25">
      <c r="B701" s="18"/>
      <c r="C701" s="19"/>
      <c r="D701" s="19"/>
      <c r="O701" s="5"/>
      <c r="P701" s="5"/>
    </row>
    <row r="702" spans="2:16" ht="13.2" x14ac:dyDescent="0.25">
      <c r="B702" s="18"/>
      <c r="C702" s="19"/>
      <c r="D702" s="19"/>
      <c r="O702" s="5"/>
      <c r="P702" s="5"/>
    </row>
    <row r="703" spans="2:16" ht="13.2" x14ac:dyDescent="0.25">
      <c r="B703" s="18"/>
      <c r="C703" s="19"/>
      <c r="D703" s="19"/>
      <c r="O703" s="5"/>
      <c r="P703" s="5"/>
    </row>
    <row r="704" spans="2:16" ht="13.2" x14ac:dyDescent="0.25">
      <c r="B704" s="18"/>
      <c r="C704" s="19"/>
      <c r="D704" s="19"/>
      <c r="O704" s="5"/>
      <c r="P704" s="5"/>
    </row>
    <row r="705" spans="2:16" ht="13.2" x14ac:dyDescent="0.25">
      <c r="B705" s="18"/>
      <c r="C705" s="19"/>
      <c r="D705" s="19"/>
      <c r="O705" s="5"/>
      <c r="P705" s="5"/>
    </row>
    <row r="706" spans="2:16" ht="13.2" x14ac:dyDescent="0.25">
      <c r="B706" s="18"/>
      <c r="C706" s="19"/>
      <c r="D706" s="19"/>
      <c r="O706" s="5"/>
      <c r="P706" s="5"/>
    </row>
    <row r="707" spans="2:16" ht="13.2" x14ac:dyDescent="0.25">
      <c r="B707" s="18"/>
      <c r="C707" s="19"/>
      <c r="D707" s="19"/>
      <c r="O707" s="5"/>
      <c r="P707" s="5"/>
    </row>
    <row r="708" spans="2:16" ht="13.2" x14ac:dyDescent="0.25">
      <c r="B708" s="18"/>
      <c r="C708" s="19"/>
      <c r="D708" s="19"/>
      <c r="O708" s="5"/>
      <c r="P708" s="5"/>
    </row>
    <row r="709" spans="2:16" ht="13.2" x14ac:dyDescent="0.25">
      <c r="B709" s="18"/>
      <c r="C709" s="19"/>
      <c r="D709" s="19"/>
      <c r="O709" s="5"/>
      <c r="P709" s="5"/>
    </row>
    <row r="710" spans="2:16" ht="13.2" x14ac:dyDescent="0.25">
      <c r="B710" s="18"/>
      <c r="C710" s="19"/>
      <c r="D710" s="19"/>
      <c r="O710" s="5"/>
      <c r="P710" s="5"/>
    </row>
    <row r="711" spans="2:16" ht="13.2" x14ac:dyDescent="0.25">
      <c r="B711" s="18"/>
      <c r="C711" s="19"/>
      <c r="D711" s="19"/>
      <c r="O711" s="5"/>
      <c r="P711" s="5"/>
    </row>
    <row r="712" spans="2:16" ht="13.2" x14ac:dyDescent="0.25">
      <c r="B712" s="18"/>
      <c r="C712" s="19"/>
      <c r="D712" s="19"/>
      <c r="O712" s="5"/>
      <c r="P712" s="5"/>
    </row>
    <row r="713" spans="2:16" ht="13.2" x14ac:dyDescent="0.25">
      <c r="B713" s="18"/>
      <c r="C713" s="19"/>
      <c r="D713" s="19"/>
      <c r="O713" s="5"/>
      <c r="P713" s="5"/>
    </row>
    <row r="714" spans="2:16" ht="13.2" x14ac:dyDescent="0.25">
      <c r="B714" s="18"/>
      <c r="C714" s="19"/>
      <c r="D714" s="19"/>
      <c r="O714" s="5"/>
      <c r="P714" s="5"/>
    </row>
    <row r="715" spans="2:16" ht="13.2" x14ac:dyDescent="0.25">
      <c r="B715" s="18"/>
      <c r="C715" s="19"/>
      <c r="D715" s="19"/>
      <c r="O715" s="5"/>
      <c r="P715" s="5"/>
    </row>
    <row r="716" spans="2:16" ht="13.2" x14ac:dyDescent="0.25">
      <c r="B716" s="18"/>
      <c r="C716" s="19"/>
      <c r="D716" s="19"/>
      <c r="O716" s="5"/>
      <c r="P716" s="5"/>
    </row>
    <row r="717" spans="2:16" ht="13.2" x14ac:dyDescent="0.25">
      <c r="B717" s="18"/>
      <c r="C717" s="19"/>
      <c r="D717" s="19"/>
      <c r="O717" s="5"/>
      <c r="P717" s="5"/>
    </row>
    <row r="718" spans="2:16" ht="13.2" x14ac:dyDescent="0.25">
      <c r="B718" s="18"/>
      <c r="C718" s="19"/>
      <c r="D718" s="19"/>
      <c r="O718" s="5"/>
      <c r="P718" s="5"/>
    </row>
    <row r="719" spans="2:16" ht="13.2" x14ac:dyDescent="0.25">
      <c r="B719" s="18"/>
      <c r="C719" s="19"/>
      <c r="D719" s="19"/>
      <c r="O719" s="5"/>
      <c r="P719" s="5"/>
    </row>
    <row r="720" spans="2:16" ht="13.2" x14ac:dyDescent="0.25">
      <c r="B720" s="18"/>
      <c r="C720" s="19"/>
      <c r="D720" s="19"/>
      <c r="O720" s="5"/>
      <c r="P720" s="5"/>
    </row>
    <row r="721" spans="2:16" ht="13.2" x14ac:dyDescent="0.25">
      <c r="B721" s="18"/>
      <c r="C721" s="19"/>
      <c r="D721" s="19"/>
      <c r="O721" s="5"/>
      <c r="P721" s="5"/>
    </row>
    <row r="722" spans="2:16" ht="13.2" x14ac:dyDescent="0.25">
      <c r="B722" s="18"/>
      <c r="C722" s="19"/>
      <c r="D722" s="19"/>
      <c r="O722" s="5"/>
      <c r="P722" s="5"/>
    </row>
    <row r="723" spans="2:16" ht="13.2" x14ac:dyDescent="0.25">
      <c r="B723" s="18"/>
      <c r="C723" s="19"/>
      <c r="D723" s="19"/>
      <c r="O723" s="5"/>
      <c r="P723" s="5"/>
    </row>
    <row r="724" spans="2:16" ht="13.2" x14ac:dyDescent="0.25">
      <c r="B724" s="18"/>
      <c r="C724" s="19"/>
      <c r="D724" s="19"/>
      <c r="O724" s="5"/>
      <c r="P724" s="5"/>
    </row>
    <row r="725" spans="2:16" ht="13.2" x14ac:dyDescent="0.25">
      <c r="B725" s="18"/>
      <c r="C725" s="19"/>
      <c r="D725" s="19"/>
      <c r="O725" s="5"/>
      <c r="P725" s="5"/>
    </row>
    <row r="726" spans="2:16" ht="13.2" x14ac:dyDescent="0.25">
      <c r="B726" s="18"/>
      <c r="C726" s="19"/>
      <c r="D726" s="19"/>
      <c r="O726" s="5"/>
      <c r="P726" s="5"/>
    </row>
    <row r="727" spans="2:16" ht="13.2" x14ac:dyDescent="0.25">
      <c r="B727" s="18"/>
      <c r="C727" s="19"/>
      <c r="D727" s="19"/>
      <c r="O727" s="5"/>
      <c r="P727" s="5"/>
    </row>
    <row r="728" spans="2:16" ht="13.2" x14ac:dyDescent="0.25">
      <c r="B728" s="18"/>
      <c r="C728" s="19"/>
      <c r="D728" s="19"/>
      <c r="O728" s="5"/>
      <c r="P728" s="5"/>
    </row>
    <row r="729" spans="2:16" ht="13.2" x14ac:dyDescent="0.25">
      <c r="B729" s="18"/>
      <c r="C729" s="19"/>
      <c r="D729" s="19"/>
      <c r="O729" s="5"/>
      <c r="P729" s="5"/>
    </row>
    <row r="730" spans="2:16" ht="13.2" x14ac:dyDescent="0.25">
      <c r="B730" s="18"/>
      <c r="C730" s="19"/>
      <c r="D730" s="19"/>
      <c r="O730" s="5"/>
      <c r="P730" s="5"/>
    </row>
    <row r="731" spans="2:16" ht="13.2" x14ac:dyDescent="0.25">
      <c r="B731" s="18"/>
      <c r="C731" s="19"/>
      <c r="D731" s="19"/>
      <c r="O731" s="5"/>
      <c r="P731" s="5"/>
    </row>
    <row r="732" spans="2:16" ht="13.2" x14ac:dyDescent="0.25">
      <c r="B732" s="18"/>
      <c r="C732" s="19"/>
      <c r="D732" s="19"/>
      <c r="O732" s="5"/>
      <c r="P732" s="5"/>
    </row>
    <row r="733" spans="2:16" ht="13.2" x14ac:dyDescent="0.25">
      <c r="B733" s="18"/>
      <c r="C733" s="19"/>
      <c r="D733" s="19"/>
      <c r="O733" s="5"/>
      <c r="P733" s="5"/>
    </row>
    <row r="734" spans="2:16" ht="13.2" x14ac:dyDescent="0.25">
      <c r="B734" s="18"/>
      <c r="C734" s="19"/>
      <c r="D734" s="19"/>
      <c r="O734" s="5"/>
      <c r="P734" s="5"/>
    </row>
    <row r="735" spans="2:16" ht="13.2" x14ac:dyDescent="0.25">
      <c r="B735" s="18"/>
      <c r="C735" s="19"/>
      <c r="D735" s="19"/>
      <c r="O735" s="5"/>
      <c r="P735" s="5"/>
    </row>
    <row r="736" spans="2:16" ht="13.2" x14ac:dyDescent="0.25">
      <c r="B736" s="18"/>
      <c r="C736" s="19"/>
      <c r="D736" s="19"/>
      <c r="O736" s="5"/>
      <c r="P736" s="5"/>
    </row>
    <row r="737" spans="2:16" ht="13.2" x14ac:dyDescent="0.25">
      <c r="B737" s="18"/>
      <c r="C737" s="19"/>
      <c r="D737" s="19"/>
      <c r="O737" s="5"/>
      <c r="P737" s="5"/>
    </row>
    <row r="738" spans="2:16" ht="13.2" x14ac:dyDescent="0.25">
      <c r="B738" s="18"/>
      <c r="C738" s="19"/>
      <c r="D738" s="19"/>
      <c r="O738" s="5"/>
      <c r="P738" s="5"/>
    </row>
    <row r="739" spans="2:16" ht="13.2" x14ac:dyDescent="0.25">
      <c r="B739" s="18"/>
      <c r="C739" s="19"/>
      <c r="D739" s="19"/>
      <c r="O739" s="5"/>
      <c r="P739" s="5"/>
    </row>
    <row r="740" spans="2:16" ht="13.2" x14ac:dyDescent="0.25">
      <c r="B740" s="18"/>
      <c r="C740" s="19"/>
      <c r="D740" s="19"/>
      <c r="O740" s="5"/>
      <c r="P740" s="5"/>
    </row>
    <row r="741" spans="2:16" ht="13.2" x14ac:dyDescent="0.25">
      <c r="B741" s="18"/>
      <c r="C741" s="19"/>
      <c r="D741" s="19"/>
      <c r="O741" s="5"/>
      <c r="P741" s="5"/>
    </row>
    <row r="742" spans="2:16" ht="13.2" x14ac:dyDescent="0.25">
      <c r="B742" s="18"/>
      <c r="C742" s="19"/>
      <c r="D742" s="19"/>
      <c r="O742" s="5"/>
      <c r="P742" s="5"/>
    </row>
    <row r="743" spans="2:16" ht="13.2" x14ac:dyDescent="0.25">
      <c r="B743" s="18"/>
      <c r="C743" s="19"/>
      <c r="D743" s="19"/>
      <c r="O743" s="5"/>
      <c r="P743" s="5"/>
    </row>
    <row r="744" spans="2:16" ht="13.2" x14ac:dyDescent="0.25">
      <c r="B744" s="18"/>
      <c r="C744" s="19"/>
      <c r="D744" s="19"/>
      <c r="O744" s="5"/>
      <c r="P744" s="5"/>
    </row>
    <row r="745" spans="2:16" ht="13.2" x14ac:dyDescent="0.25">
      <c r="B745" s="18"/>
      <c r="C745" s="19"/>
      <c r="D745" s="19"/>
      <c r="O745" s="5"/>
      <c r="P745" s="5"/>
    </row>
    <row r="746" spans="2:16" ht="13.2" x14ac:dyDescent="0.25">
      <c r="B746" s="18"/>
      <c r="C746" s="19"/>
      <c r="D746" s="19"/>
      <c r="O746" s="5"/>
      <c r="P746" s="5"/>
    </row>
    <row r="747" spans="2:16" ht="13.2" x14ac:dyDescent="0.25">
      <c r="B747" s="18"/>
      <c r="C747" s="19"/>
      <c r="D747" s="19"/>
      <c r="O747" s="5"/>
      <c r="P747" s="5"/>
    </row>
    <row r="748" spans="2:16" ht="13.2" x14ac:dyDescent="0.25">
      <c r="B748" s="18"/>
      <c r="C748" s="19"/>
      <c r="D748" s="19"/>
      <c r="O748" s="5"/>
      <c r="P748" s="5"/>
    </row>
    <row r="749" spans="2:16" ht="13.2" x14ac:dyDescent="0.25">
      <c r="B749" s="18"/>
      <c r="C749" s="19"/>
      <c r="D749" s="19"/>
      <c r="O749" s="5"/>
      <c r="P749" s="5"/>
    </row>
    <row r="750" spans="2:16" ht="13.2" x14ac:dyDescent="0.25">
      <c r="B750" s="18"/>
      <c r="C750" s="19"/>
      <c r="D750" s="19"/>
      <c r="O750" s="5"/>
      <c r="P750" s="5"/>
    </row>
    <row r="751" spans="2:16" ht="13.2" x14ac:dyDescent="0.25">
      <c r="B751" s="18"/>
      <c r="C751" s="19"/>
      <c r="D751" s="19"/>
      <c r="O751" s="5"/>
      <c r="P751" s="5"/>
    </row>
    <row r="752" spans="2:16" ht="13.2" x14ac:dyDescent="0.25">
      <c r="B752" s="18"/>
      <c r="C752" s="19"/>
      <c r="D752" s="19"/>
      <c r="O752" s="5"/>
      <c r="P752" s="5"/>
    </row>
    <row r="753" spans="2:16" ht="13.2" x14ac:dyDescent="0.25">
      <c r="B753" s="18"/>
      <c r="C753" s="19"/>
      <c r="D753" s="19"/>
      <c r="O753" s="5"/>
      <c r="P753" s="5"/>
    </row>
    <row r="754" spans="2:16" ht="13.2" x14ac:dyDescent="0.25">
      <c r="B754" s="18"/>
      <c r="C754" s="19"/>
      <c r="D754" s="19"/>
      <c r="O754" s="5"/>
      <c r="P754" s="5"/>
    </row>
    <row r="755" spans="2:16" ht="13.2" x14ac:dyDescent="0.25">
      <c r="B755" s="18"/>
      <c r="C755" s="19"/>
      <c r="D755" s="19"/>
      <c r="O755" s="5"/>
      <c r="P755" s="5"/>
    </row>
    <row r="756" spans="2:16" ht="13.2" x14ac:dyDescent="0.25">
      <c r="B756" s="18"/>
      <c r="C756" s="19"/>
      <c r="D756" s="19"/>
      <c r="O756" s="5"/>
      <c r="P756" s="5"/>
    </row>
    <row r="757" spans="2:16" ht="13.2" x14ac:dyDescent="0.25">
      <c r="B757" s="18"/>
      <c r="C757" s="19"/>
      <c r="D757" s="19"/>
      <c r="O757" s="5"/>
      <c r="P757" s="5"/>
    </row>
    <row r="758" spans="2:16" ht="13.2" x14ac:dyDescent="0.25">
      <c r="B758" s="18"/>
      <c r="C758" s="19"/>
      <c r="D758" s="19"/>
      <c r="O758" s="5"/>
      <c r="P758" s="5"/>
    </row>
    <row r="759" spans="2:16" ht="13.2" x14ac:dyDescent="0.25">
      <c r="B759" s="18"/>
      <c r="C759" s="19"/>
      <c r="D759" s="19"/>
      <c r="O759" s="5"/>
      <c r="P759" s="5"/>
    </row>
    <row r="760" spans="2:16" ht="13.2" x14ac:dyDescent="0.25">
      <c r="B760" s="18"/>
      <c r="C760" s="19"/>
      <c r="D760" s="19"/>
      <c r="O760" s="5"/>
      <c r="P760" s="5"/>
    </row>
    <row r="761" spans="2:16" ht="13.2" x14ac:dyDescent="0.25">
      <c r="B761" s="18"/>
      <c r="C761" s="19"/>
      <c r="D761" s="19"/>
      <c r="O761" s="5"/>
      <c r="P761" s="5"/>
    </row>
    <row r="762" spans="2:16" ht="13.2" x14ac:dyDescent="0.25">
      <c r="B762" s="18"/>
      <c r="C762" s="19"/>
      <c r="D762" s="19"/>
      <c r="O762" s="5"/>
      <c r="P762" s="5"/>
    </row>
    <row r="763" spans="2:16" ht="13.2" x14ac:dyDescent="0.25">
      <c r="B763" s="18"/>
      <c r="C763" s="19"/>
      <c r="D763" s="19"/>
      <c r="O763" s="5"/>
      <c r="P763" s="5"/>
    </row>
    <row r="764" spans="2:16" ht="13.2" x14ac:dyDescent="0.25">
      <c r="B764" s="18"/>
      <c r="C764" s="19"/>
      <c r="D764" s="19"/>
      <c r="O764" s="5"/>
      <c r="P764" s="5"/>
    </row>
    <row r="765" spans="2:16" ht="13.2" x14ac:dyDescent="0.25">
      <c r="B765" s="18"/>
      <c r="C765" s="19"/>
      <c r="D765" s="19"/>
      <c r="O765" s="5"/>
      <c r="P765" s="5"/>
    </row>
    <row r="766" spans="2:16" ht="13.2" x14ac:dyDescent="0.25">
      <c r="B766" s="18"/>
      <c r="C766" s="19"/>
      <c r="D766" s="19"/>
      <c r="O766" s="5"/>
      <c r="P766" s="5"/>
    </row>
    <row r="767" spans="2:16" ht="13.2" x14ac:dyDescent="0.25">
      <c r="B767" s="18"/>
      <c r="C767" s="19"/>
      <c r="D767" s="19"/>
      <c r="O767" s="5"/>
      <c r="P767" s="5"/>
    </row>
    <row r="768" spans="2:16" ht="13.2" x14ac:dyDescent="0.25">
      <c r="B768" s="18"/>
      <c r="C768" s="19"/>
      <c r="D768" s="19"/>
      <c r="O768" s="5"/>
      <c r="P768" s="5"/>
    </row>
    <row r="769" spans="2:16" ht="13.2" x14ac:dyDescent="0.25">
      <c r="B769" s="18"/>
      <c r="C769" s="19"/>
      <c r="D769" s="19"/>
      <c r="O769" s="5"/>
      <c r="P769" s="5"/>
    </row>
    <row r="770" spans="2:16" ht="13.2" x14ac:dyDescent="0.25">
      <c r="B770" s="18"/>
      <c r="C770" s="19"/>
      <c r="D770" s="19"/>
      <c r="O770" s="5"/>
      <c r="P770" s="5"/>
    </row>
    <row r="771" spans="2:16" ht="13.2" x14ac:dyDescent="0.25">
      <c r="B771" s="18"/>
      <c r="C771" s="19"/>
      <c r="D771" s="19"/>
      <c r="O771" s="5"/>
      <c r="P771" s="5"/>
    </row>
    <row r="772" spans="2:16" ht="13.2" x14ac:dyDescent="0.25">
      <c r="B772" s="18"/>
      <c r="C772" s="19"/>
      <c r="D772" s="19"/>
      <c r="O772" s="5"/>
      <c r="P772" s="5"/>
    </row>
    <row r="773" spans="2:16" ht="13.2" x14ac:dyDescent="0.25">
      <c r="B773" s="18"/>
      <c r="C773" s="19"/>
      <c r="D773" s="19"/>
      <c r="O773" s="5"/>
      <c r="P773" s="5"/>
    </row>
    <row r="774" spans="2:16" ht="13.2" x14ac:dyDescent="0.25">
      <c r="B774" s="18"/>
      <c r="C774" s="19"/>
      <c r="D774" s="19"/>
      <c r="O774" s="5"/>
      <c r="P774" s="5"/>
    </row>
    <row r="775" spans="2:16" ht="13.2" x14ac:dyDescent="0.25">
      <c r="B775" s="18"/>
      <c r="C775" s="19"/>
      <c r="D775" s="19"/>
      <c r="O775" s="5"/>
      <c r="P775" s="5"/>
    </row>
    <row r="776" spans="2:16" ht="13.2" x14ac:dyDescent="0.25">
      <c r="B776" s="18"/>
      <c r="C776" s="19"/>
      <c r="D776" s="19"/>
      <c r="O776" s="5"/>
      <c r="P776" s="5"/>
    </row>
    <row r="777" spans="2:16" ht="13.2" x14ac:dyDescent="0.25">
      <c r="B777" s="18"/>
      <c r="C777" s="19"/>
      <c r="D777" s="19"/>
      <c r="O777" s="5"/>
      <c r="P777" s="5"/>
    </row>
    <row r="778" spans="2:16" ht="13.2" x14ac:dyDescent="0.25">
      <c r="B778" s="18"/>
      <c r="C778" s="19"/>
      <c r="D778" s="19"/>
      <c r="O778" s="5"/>
      <c r="P778" s="5"/>
    </row>
    <row r="779" spans="2:16" ht="13.2" x14ac:dyDescent="0.25">
      <c r="B779" s="18"/>
      <c r="C779" s="19"/>
      <c r="D779" s="19"/>
      <c r="O779" s="5"/>
      <c r="P779" s="5"/>
    </row>
    <row r="780" spans="2:16" ht="13.2" x14ac:dyDescent="0.25">
      <c r="B780" s="18"/>
      <c r="C780" s="19"/>
      <c r="D780" s="19"/>
      <c r="O780" s="5"/>
      <c r="P780" s="5"/>
    </row>
    <row r="781" spans="2:16" ht="13.2" x14ac:dyDescent="0.25">
      <c r="B781" s="18"/>
      <c r="C781" s="19"/>
      <c r="D781" s="19"/>
      <c r="O781" s="5"/>
      <c r="P781" s="5"/>
    </row>
    <row r="782" spans="2:16" ht="13.2" x14ac:dyDescent="0.25">
      <c r="B782" s="18"/>
      <c r="C782" s="19"/>
      <c r="D782" s="19"/>
      <c r="O782" s="5"/>
      <c r="P782" s="5"/>
    </row>
    <row r="783" spans="2:16" ht="13.2" x14ac:dyDescent="0.25">
      <c r="B783" s="18"/>
      <c r="C783" s="19"/>
      <c r="D783" s="19"/>
      <c r="O783" s="5"/>
      <c r="P783" s="5"/>
    </row>
    <row r="784" spans="2:16" ht="13.2" x14ac:dyDescent="0.25">
      <c r="B784" s="18"/>
      <c r="C784" s="19"/>
      <c r="D784" s="19"/>
      <c r="O784" s="5"/>
      <c r="P784" s="5"/>
    </row>
    <row r="785" spans="2:16" ht="13.2" x14ac:dyDescent="0.25">
      <c r="B785" s="18"/>
      <c r="C785" s="19"/>
      <c r="D785" s="19"/>
      <c r="O785" s="5"/>
      <c r="P785" s="5"/>
    </row>
    <row r="786" spans="2:16" ht="13.2" x14ac:dyDescent="0.25">
      <c r="B786" s="18"/>
      <c r="C786" s="19"/>
      <c r="D786" s="19"/>
      <c r="O786" s="5"/>
      <c r="P786" s="5"/>
    </row>
    <row r="787" spans="2:16" ht="13.2" x14ac:dyDescent="0.25">
      <c r="B787" s="18"/>
      <c r="C787" s="19"/>
      <c r="D787" s="19"/>
      <c r="O787" s="5"/>
      <c r="P787" s="5"/>
    </row>
    <row r="788" spans="2:16" ht="13.2" x14ac:dyDescent="0.25">
      <c r="B788" s="18"/>
      <c r="C788" s="19"/>
      <c r="D788" s="19"/>
      <c r="O788" s="5"/>
      <c r="P788" s="5"/>
    </row>
    <row r="789" spans="2:16" ht="13.2" x14ac:dyDescent="0.25">
      <c r="B789" s="18"/>
      <c r="C789" s="19"/>
      <c r="D789" s="19"/>
      <c r="O789" s="5"/>
      <c r="P789" s="5"/>
    </row>
    <row r="790" spans="2:16" ht="13.2" x14ac:dyDescent="0.25">
      <c r="B790" s="18"/>
      <c r="C790" s="19"/>
      <c r="D790" s="19"/>
      <c r="O790" s="5"/>
      <c r="P790" s="5"/>
    </row>
    <row r="791" spans="2:16" ht="13.2" x14ac:dyDescent="0.25">
      <c r="B791" s="18"/>
      <c r="C791" s="19"/>
      <c r="D791" s="19"/>
      <c r="O791" s="5"/>
      <c r="P791" s="5"/>
    </row>
    <row r="792" spans="2:16" ht="13.2" x14ac:dyDescent="0.25">
      <c r="B792" s="18"/>
      <c r="C792" s="19"/>
      <c r="D792" s="19"/>
      <c r="O792" s="5"/>
      <c r="P792" s="5"/>
    </row>
    <row r="793" spans="2:16" ht="13.2" x14ac:dyDescent="0.25">
      <c r="B793" s="18"/>
      <c r="C793" s="19"/>
      <c r="D793" s="19"/>
      <c r="O793" s="5"/>
      <c r="P793" s="5"/>
    </row>
    <row r="794" spans="2:16" ht="13.2" x14ac:dyDescent="0.25">
      <c r="B794" s="18"/>
      <c r="C794" s="19"/>
      <c r="D794" s="19"/>
      <c r="O794" s="5"/>
      <c r="P794" s="5"/>
    </row>
    <row r="795" spans="2:16" ht="13.2" x14ac:dyDescent="0.25">
      <c r="B795" s="18"/>
      <c r="C795" s="19"/>
      <c r="D795" s="19"/>
      <c r="O795" s="5"/>
      <c r="P795" s="5"/>
    </row>
    <row r="796" spans="2:16" ht="13.2" x14ac:dyDescent="0.25">
      <c r="B796" s="18"/>
      <c r="C796" s="19"/>
      <c r="D796" s="19"/>
      <c r="O796" s="5"/>
      <c r="P796" s="5"/>
    </row>
    <row r="797" spans="2:16" ht="13.2" x14ac:dyDescent="0.25">
      <c r="B797" s="18"/>
      <c r="C797" s="19"/>
      <c r="D797" s="19"/>
      <c r="O797" s="5"/>
      <c r="P797" s="5"/>
    </row>
    <row r="798" spans="2:16" ht="13.2" x14ac:dyDescent="0.25">
      <c r="B798" s="18"/>
      <c r="C798" s="19"/>
      <c r="D798" s="19"/>
      <c r="O798" s="5"/>
      <c r="P798" s="5"/>
    </row>
    <row r="799" spans="2:16" ht="13.2" x14ac:dyDescent="0.25">
      <c r="B799" s="18"/>
      <c r="C799" s="19"/>
      <c r="D799" s="19"/>
      <c r="O799" s="5"/>
      <c r="P799" s="5"/>
    </row>
    <row r="800" spans="2:16" ht="13.2" x14ac:dyDescent="0.25">
      <c r="B800" s="18"/>
      <c r="C800" s="19"/>
      <c r="D800" s="19"/>
      <c r="O800" s="5"/>
      <c r="P800" s="5"/>
    </row>
    <row r="801" spans="2:16" ht="13.2" x14ac:dyDescent="0.25">
      <c r="B801" s="18"/>
      <c r="C801" s="19"/>
      <c r="D801" s="19"/>
      <c r="O801" s="5"/>
      <c r="P801" s="5"/>
    </row>
    <row r="802" spans="2:16" ht="13.2" x14ac:dyDescent="0.25">
      <c r="B802" s="18"/>
      <c r="C802" s="19"/>
      <c r="D802" s="19"/>
      <c r="O802" s="5"/>
      <c r="P802" s="5"/>
    </row>
    <row r="803" spans="2:16" ht="13.2" x14ac:dyDescent="0.25">
      <c r="B803" s="18"/>
      <c r="C803" s="19"/>
      <c r="D803" s="19"/>
      <c r="O803" s="5"/>
      <c r="P803" s="5"/>
    </row>
    <row r="804" spans="2:16" ht="13.2" x14ac:dyDescent="0.25">
      <c r="B804" s="18"/>
      <c r="C804" s="19"/>
      <c r="D804" s="19"/>
      <c r="O804" s="5"/>
      <c r="P804" s="5"/>
    </row>
    <row r="805" spans="2:16" ht="13.2" x14ac:dyDescent="0.25">
      <c r="B805" s="18"/>
      <c r="C805" s="19"/>
      <c r="D805" s="19"/>
      <c r="O805" s="5"/>
      <c r="P805" s="5"/>
    </row>
    <row r="806" spans="2:16" ht="13.2" x14ac:dyDescent="0.25">
      <c r="B806" s="18"/>
      <c r="C806" s="19"/>
      <c r="D806" s="19"/>
      <c r="O806" s="5"/>
      <c r="P806" s="5"/>
    </row>
    <row r="807" spans="2:16" ht="13.2" x14ac:dyDescent="0.25">
      <c r="B807" s="18"/>
      <c r="C807" s="19"/>
      <c r="D807" s="19"/>
      <c r="O807" s="5"/>
      <c r="P807" s="5"/>
    </row>
    <row r="808" spans="2:16" ht="13.2" x14ac:dyDescent="0.25">
      <c r="B808" s="18"/>
      <c r="C808" s="19"/>
      <c r="D808" s="19"/>
      <c r="O808" s="5"/>
      <c r="P808" s="5"/>
    </row>
    <row r="809" spans="2:16" ht="13.2" x14ac:dyDescent="0.25">
      <c r="B809" s="18"/>
      <c r="C809" s="19"/>
      <c r="D809" s="19"/>
      <c r="O809" s="5"/>
      <c r="P809" s="5"/>
    </row>
    <row r="810" spans="2:16" ht="13.2" x14ac:dyDescent="0.25">
      <c r="B810" s="18"/>
      <c r="C810" s="19"/>
      <c r="D810" s="19"/>
      <c r="O810" s="5"/>
      <c r="P810" s="5"/>
    </row>
    <row r="811" spans="2:16" ht="13.2" x14ac:dyDescent="0.25">
      <c r="B811" s="18"/>
      <c r="C811" s="19"/>
      <c r="D811" s="19"/>
      <c r="O811" s="5"/>
      <c r="P811" s="5"/>
    </row>
    <row r="812" spans="2:16" ht="13.2" x14ac:dyDescent="0.25">
      <c r="B812" s="18"/>
      <c r="C812" s="19"/>
      <c r="D812" s="19"/>
      <c r="O812" s="5"/>
      <c r="P812" s="5"/>
    </row>
    <row r="813" spans="2:16" ht="13.2" x14ac:dyDescent="0.25">
      <c r="B813" s="18"/>
      <c r="C813" s="19"/>
      <c r="D813" s="19"/>
      <c r="O813" s="5"/>
      <c r="P813" s="5"/>
    </row>
    <row r="814" spans="2:16" ht="13.2" x14ac:dyDescent="0.25">
      <c r="B814" s="18"/>
      <c r="C814" s="19"/>
      <c r="D814" s="19"/>
      <c r="O814" s="5"/>
      <c r="P814" s="5"/>
    </row>
    <row r="815" spans="2:16" ht="13.2" x14ac:dyDescent="0.25">
      <c r="B815" s="18"/>
      <c r="C815" s="19"/>
      <c r="D815" s="19"/>
      <c r="O815" s="5"/>
      <c r="P815" s="5"/>
    </row>
    <row r="816" spans="2:16" ht="13.2" x14ac:dyDescent="0.25">
      <c r="B816" s="18"/>
      <c r="C816" s="19"/>
      <c r="D816" s="19"/>
      <c r="O816" s="5"/>
      <c r="P816" s="5"/>
    </row>
    <row r="817" spans="2:16" ht="13.2" x14ac:dyDescent="0.25">
      <c r="B817" s="18"/>
      <c r="C817" s="19"/>
      <c r="D817" s="19"/>
      <c r="O817" s="5"/>
      <c r="P817" s="5"/>
    </row>
    <row r="818" spans="2:16" ht="13.2" x14ac:dyDescent="0.25">
      <c r="B818" s="18"/>
      <c r="C818" s="19"/>
      <c r="D818" s="19"/>
      <c r="O818" s="5"/>
      <c r="P818" s="5"/>
    </row>
    <row r="819" spans="2:16" ht="13.2" x14ac:dyDescent="0.25">
      <c r="B819" s="18"/>
      <c r="C819" s="19"/>
      <c r="D819" s="19"/>
      <c r="O819" s="5"/>
      <c r="P819" s="5"/>
    </row>
    <row r="820" spans="2:16" ht="13.2" x14ac:dyDescent="0.25">
      <c r="B820" s="18"/>
      <c r="C820" s="19"/>
      <c r="D820" s="19"/>
      <c r="O820" s="5"/>
      <c r="P820" s="5"/>
    </row>
    <row r="821" spans="2:16" ht="13.2" x14ac:dyDescent="0.25">
      <c r="B821" s="18"/>
      <c r="C821" s="19"/>
      <c r="D821" s="19"/>
      <c r="O821" s="5"/>
      <c r="P821" s="5"/>
    </row>
    <row r="822" spans="2:16" ht="13.2" x14ac:dyDescent="0.25">
      <c r="B822" s="18"/>
      <c r="C822" s="19"/>
      <c r="D822" s="19"/>
      <c r="O822" s="5"/>
      <c r="P822" s="5"/>
    </row>
    <row r="823" spans="2:16" ht="13.2" x14ac:dyDescent="0.25">
      <c r="B823" s="18"/>
      <c r="C823" s="19"/>
      <c r="D823" s="19"/>
      <c r="O823" s="5"/>
      <c r="P823" s="5"/>
    </row>
    <row r="824" spans="2:16" ht="13.2" x14ac:dyDescent="0.25">
      <c r="B824" s="18"/>
      <c r="C824" s="19"/>
      <c r="D824" s="19"/>
      <c r="O824" s="5"/>
      <c r="P824" s="5"/>
    </row>
    <row r="825" spans="2:16" ht="13.2" x14ac:dyDescent="0.25">
      <c r="B825" s="18"/>
      <c r="C825" s="19"/>
      <c r="D825" s="19"/>
      <c r="O825" s="5"/>
      <c r="P825" s="5"/>
    </row>
    <row r="826" spans="2:16" ht="13.2" x14ac:dyDescent="0.25">
      <c r="B826" s="18"/>
      <c r="C826" s="19"/>
      <c r="D826" s="19"/>
      <c r="O826" s="5"/>
      <c r="P826" s="5"/>
    </row>
    <row r="827" spans="2:16" ht="13.2" x14ac:dyDescent="0.25">
      <c r="B827" s="18"/>
      <c r="C827" s="19"/>
      <c r="D827" s="19"/>
      <c r="O827" s="5"/>
      <c r="P827" s="5"/>
    </row>
    <row r="828" spans="2:16" ht="13.2" x14ac:dyDescent="0.25">
      <c r="B828" s="18"/>
      <c r="C828" s="19"/>
      <c r="D828" s="19"/>
      <c r="O828" s="5"/>
      <c r="P828" s="5"/>
    </row>
    <row r="829" spans="2:16" ht="13.2" x14ac:dyDescent="0.25">
      <c r="B829" s="18"/>
      <c r="C829" s="19"/>
      <c r="D829" s="19"/>
      <c r="O829" s="5"/>
      <c r="P829" s="5"/>
    </row>
    <row r="830" spans="2:16" ht="13.2" x14ac:dyDescent="0.25">
      <c r="B830" s="18"/>
      <c r="C830" s="19"/>
      <c r="D830" s="19"/>
      <c r="O830" s="5"/>
      <c r="P830" s="5"/>
    </row>
    <row r="831" spans="2:16" ht="13.2" x14ac:dyDescent="0.25">
      <c r="B831" s="18"/>
      <c r="C831" s="19"/>
      <c r="D831" s="19"/>
      <c r="O831" s="5"/>
      <c r="P831" s="5"/>
    </row>
    <row r="832" spans="2:16" ht="13.2" x14ac:dyDescent="0.25">
      <c r="B832" s="18"/>
      <c r="C832" s="19"/>
      <c r="D832" s="19"/>
      <c r="O832" s="5"/>
      <c r="P832" s="5"/>
    </row>
    <row r="833" spans="2:16" ht="13.2" x14ac:dyDescent="0.25">
      <c r="B833" s="18"/>
      <c r="C833" s="19"/>
      <c r="D833" s="19"/>
      <c r="O833" s="5"/>
      <c r="P833" s="5"/>
    </row>
    <row r="834" spans="2:16" ht="13.2" x14ac:dyDescent="0.25">
      <c r="B834" s="18"/>
      <c r="C834" s="19"/>
      <c r="D834" s="19"/>
      <c r="O834" s="5"/>
      <c r="P834" s="5"/>
    </row>
    <row r="835" spans="2:16" ht="13.2" x14ac:dyDescent="0.25">
      <c r="B835" s="18"/>
      <c r="C835" s="19"/>
      <c r="D835" s="19"/>
      <c r="O835" s="5"/>
      <c r="P835" s="5"/>
    </row>
    <row r="836" spans="2:16" ht="13.2" x14ac:dyDescent="0.25">
      <c r="B836" s="18"/>
      <c r="C836" s="19"/>
      <c r="D836" s="19"/>
      <c r="O836" s="5"/>
      <c r="P836" s="5"/>
    </row>
    <row r="837" spans="2:16" ht="13.2" x14ac:dyDescent="0.25">
      <c r="B837" s="18"/>
      <c r="C837" s="19"/>
      <c r="D837" s="19"/>
      <c r="O837" s="5"/>
      <c r="P837" s="5"/>
    </row>
    <row r="838" spans="2:16" ht="13.2" x14ac:dyDescent="0.25">
      <c r="B838" s="18"/>
      <c r="C838" s="19"/>
      <c r="D838" s="19"/>
      <c r="O838" s="5"/>
      <c r="P838" s="5"/>
    </row>
    <row r="839" spans="2:16" ht="13.2" x14ac:dyDescent="0.25">
      <c r="B839" s="18"/>
      <c r="C839" s="19"/>
      <c r="D839" s="19"/>
      <c r="O839" s="5"/>
      <c r="P839" s="5"/>
    </row>
    <row r="840" spans="2:16" ht="13.2" x14ac:dyDescent="0.25">
      <c r="B840" s="18"/>
      <c r="C840" s="19"/>
      <c r="D840" s="19"/>
      <c r="O840" s="5"/>
      <c r="P840" s="5"/>
    </row>
    <row r="841" spans="2:16" ht="13.2" x14ac:dyDescent="0.25">
      <c r="B841" s="18"/>
      <c r="C841" s="19"/>
      <c r="D841" s="19"/>
      <c r="O841" s="5"/>
      <c r="P841" s="5"/>
    </row>
    <row r="842" spans="2:16" ht="13.2" x14ac:dyDescent="0.25">
      <c r="B842" s="18"/>
      <c r="C842" s="19"/>
      <c r="D842" s="19"/>
      <c r="O842" s="5"/>
      <c r="P842" s="5"/>
    </row>
    <row r="843" spans="2:16" ht="13.2" x14ac:dyDescent="0.25">
      <c r="B843" s="18"/>
      <c r="C843" s="19"/>
      <c r="D843" s="19"/>
      <c r="O843" s="5"/>
      <c r="P843" s="5"/>
    </row>
    <row r="844" spans="2:16" ht="13.2" x14ac:dyDescent="0.25">
      <c r="B844" s="18"/>
      <c r="C844" s="19"/>
      <c r="D844" s="19"/>
      <c r="O844" s="5"/>
      <c r="P844" s="5"/>
    </row>
    <row r="845" spans="2:16" ht="13.2" x14ac:dyDescent="0.25">
      <c r="B845" s="18"/>
      <c r="C845" s="19"/>
      <c r="D845" s="19"/>
      <c r="O845" s="5"/>
      <c r="P845" s="5"/>
    </row>
    <row r="846" spans="2:16" ht="13.2" x14ac:dyDescent="0.25">
      <c r="B846" s="18"/>
      <c r="C846" s="19"/>
      <c r="D846" s="19"/>
      <c r="O846" s="5"/>
      <c r="P846" s="5"/>
    </row>
    <row r="847" spans="2:16" ht="13.2" x14ac:dyDescent="0.25">
      <c r="B847" s="18"/>
      <c r="C847" s="19"/>
      <c r="D847" s="19"/>
      <c r="O847" s="5"/>
      <c r="P847" s="5"/>
    </row>
    <row r="848" spans="2:16" ht="13.2" x14ac:dyDescent="0.25">
      <c r="B848" s="18"/>
      <c r="C848" s="19"/>
      <c r="D848" s="19"/>
      <c r="O848" s="5"/>
      <c r="P848" s="5"/>
    </row>
    <row r="849" spans="2:16" ht="13.2" x14ac:dyDescent="0.25">
      <c r="B849" s="18"/>
      <c r="C849" s="19"/>
      <c r="D849" s="19"/>
      <c r="O849" s="5"/>
      <c r="P849" s="5"/>
    </row>
    <row r="850" spans="2:16" ht="13.2" x14ac:dyDescent="0.25">
      <c r="B850" s="18"/>
      <c r="C850" s="19"/>
      <c r="D850" s="19"/>
      <c r="O850" s="5"/>
      <c r="P850" s="5"/>
    </row>
    <row r="851" spans="2:16" ht="13.2" x14ac:dyDescent="0.25">
      <c r="B851" s="18"/>
      <c r="C851" s="19"/>
      <c r="D851" s="19"/>
      <c r="O851" s="5"/>
      <c r="P851" s="5"/>
    </row>
    <row r="852" spans="2:16" ht="13.2" x14ac:dyDescent="0.25">
      <c r="B852" s="18"/>
      <c r="C852" s="19"/>
      <c r="D852" s="19"/>
      <c r="O852" s="5"/>
      <c r="P852" s="5"/>
    </row>
    <row r="853" spans="2:16" ht="13.2" x14ac:dyDescent="0.25">
      <c r="B853" s="18"/>
      <c r="C853" s="19"/>
      <c r="D853" s="19"/>
      <c r="O853" s="5"/>
      <c r="P853" s="5"/>
    </row>
    <row r="854" spans="2:16" ht="13.2" x14ac:dyDescent="0.25">
      <c r="B854" s="18"/>
      <c r="C854" s="19"/>
      <c r="D854" s="19"/>
      <c r="O854" s="5"/>
      <c r="P854" s="5"/>
    </row>
    <row r="855" spans="2:16" ht="13.2" x14ac:dyDescent="0.25">
      <c r="B855" s="18"/>
      <c r="C855" s="19"/>
      <c r="D855" s="19"/>
      <c r="O855" s="5"/>
      <c r="P855" s="5"/>
    </row>
    <row r="856" spans="2:16" ht="13.2" x14ac:dyDescent="0.25">
      <c r="B856" s="18"/>
      <c r="C856" s="19"/>
      <c r="D856" s="19"/>
      <c r="O856" s="5"/>
      <c r="P856" s="5"/>
    </row>
    <row r="857" spans="2:16" ht="13.2" x14ac:dyDescent="0.25">
      <c r="B857" s="18"/>
      <c r="C857" s="19"/>
      <c r="D857" s="19"/>
      <c r="O857" s="5"/>
      <c r="P857" s="5"/>
    </row>
    <row r="858" spans="2:16" ht="13.2" x14ac:dyDescent="0.25">
      <c r="B858" s="18"/>
      <c r="C858" s="19"/>
      <c r="D858" s="19"/>
      <c r="O858" s="5"/>
      <c r="P858" s="5"/>
    </row>
    <row r="859" spans="2:16" ht="13.2" x14ac:dyDescent="0.25">
      <c r="B859" s="18"/>
      <c r="C859" s="19"/>
      <c r="D859" s="19"/>
      <c r="O859" s="5"/>
      <c r="P859" s="5"/>
    </row>
    <row r="860" spans="2:16" ht="13.2" x14ac:dyDescent="0.25">
      <c r="B860" s="18"/>
      <c r="C860" s="19"/>
      <c r="D860" s="19"/>
      <c r="O860" s="5"/>
      <c r="P860" s="5"/>
    </row>
    <row r="861" spans="2:16" ht="13.2" x14ac:dyDescent="0.25">
      <c r="B861" s="18"/>
      <c r="C861" s="19"/>
      <c r="D861" s="19"/>
      <c r="O861" s="5"/>
      <c r="P861" s="5"/>
    </row>
    <row r="862" spans="2:16" ht="13.2" x14ac:dyDescent="0.25">
      <c r="B862" s="18"/>
      <c r="C862" s="19"/>
      <c r="D862" s="19"/>
      <c r="O862" s="5"/>
      <c r="P862" s="5"/>
    </row>
    <row r="863" spans="2:16" ht="13.2" x14ac:dyDescent="0.25">
      <c r="B863" s="18"/>
      <c r="C863" s="19"/>
      <c r="D863" s="19"/>
      <c r="O863" s="5"/>
      <c r="P863" s="5"/>
    </row>
    <row r="864" spans="2:16" ht="13.2" x14ac:dyDescent="0.25">
      <c r="B864" s="18"/>
      <c r="C864" s="19"/>
      <c r="D864" s="19"/>
      <c r="O864" s="5"/>
      <c r="P864" s="5"/>
    </row>
    <row r="865" spans="2:16" ht="13.2" x14ac:dyDescent="0.25">
      <c r="B865" s="18"/>
      <c r="C865" s="19"/>
      <c r="D865" s="19"/>
      <c r="O865" s="5"/>
      <c r="P865" s="5"/>
    </row>
    <row r="866" spans="2:16" ht="13.2" x14ac:dyDescent="0.25">
      <c r="B866" s="18"/>
      <c r="C866" s="19"/>
      <c r="D866" s="19"/>
      <c r="O866" s="5"/>
      <c r="P866" s="5"/>
    </row>
    <row r="867" spans="2:16" ht="13.2" x14ac:dyDescent="0.25">
      <c r="B867" s="18"/>
      <c r="C867" s="19"/>
      <c r="D867" s="19"/>
      <c r="O867" s="5"/>
      <c r="P867" s="5"/>
    </row>
    <row r="868" spans="2:16" ht="13.2" x14ac:dyDescent="0.25">
      <c r="B868" s="18"/>
      <c r="C868" s="19"/>
      <c r="D868" s="19"/>
      <c r="O868" s="5"/>
      <c r="P868" s="5"/>
    </row>
    <row r="869" spans="2:16" ht="13.2" x14ac:dyDescent="0.25">
      <c r="B869" s="18"/>
      <c r="C869" s="19"/>
      <c r="D869" s="19"/>
      <c r="O869" s="5"/>
      <c r="P869" s="5"/>
    </row>
    <row r="870" spans="2:16" ht="13.2" x14ac:dyDescent="0.25">
      <c r="B870" s="18"/>
      <c r="C870" s="19"/>
      <c r="D870" s="19"/>
      <c r="O870" s="5"/>
      <c r="P870" s="5"/>
    </row>
    <row r="871" spans="2:16" ht="13.2" x14ac:dyDescent="0.25">
      <c r="B871" s="18"/>
      <c r="C871" s="19"/>
      <c r="D871" s="19"/>
      <c r="O871" s="5"/>
      <c r="P871" s="5"/>
    </row>
    <row r="872" spans="2:16" ht="13.2" x14ac:dyDescent="0.25">
      <c r="B872" s="18"/>
      <c r="C872" s="19"/>
      <c r="D872" s="19"/>
      <c r="O872" s="5"/>
      <c r="P872" s="5"/>
    </row>
    <row r="873" spans="2:16" ht="13.2" x14ac:dyDescent="0.25">
      <c r="B873" s="18"/>
      <c r="C873" s="19"/>
      <c r="D873" s="19"/>
      <c r="O873" s="5"/>
      <c r="P873" s="5"/>
    </row>
    <row r="874" spans="2:16" ht="13.2" x14ac:dyDescent="0.25">
      <c r="B874" s="18"/>
      <c r="C874" s="19"/>
      <c r="D874" s="19"/>
      <c r="O874" s="5"/>
      <c r="P874" s="5"/>
    </row>
    <row r="875" spans="2:16" ht="13.2" x14ac:dyDescent="0.25">
      <c r="B875" s="18"/>
      <c r="C875" s="19"/>
      <c r="D875" s="19"/>
      <c r="O875" s="5"/>
      <c r="P875" s="5"/>
    </row>
    <row r="876" spans="2:16" ht="13.2" x14ac:dyDescent="0.25">
      <c r="B876" s="18"/>
      <c r="C876" s="19"/>
      <c r="D876" s="19"/>
      <c r="O876" s="5"/>
      <c r="P876" s="5"/>
    </row>
    <row r="877" spans="2:16" ht="13.2" x14ac:dyDescent="0.25">
      <c r="B877" s="18"/>
      <c r="C877" s="19"/>
      <c r="D877" s="19"/>
      <c r="O877" s="5"/>
      <c r="P877" s="5"/>
    </row>
    <row r="878" spans="2:16" ht="13.2" x14ac:dyDescent="0.25">
      <c r="B878" s="18"/>
      <c r="C878" s="19"/>
      <c r="D878" s="19"/>
      <c r="O878" s="5"/>
      <c r="P878" s="5"/>
    </row>
    <row r="879" spans="2:16" ht="13.2" x14ac:dyDescent="0.25">
      <c r="B879" s="18"/>
      <c r="C879" s="19"/>
      <c r="D879" s="19"/>
      <c r="O879" s="5"/>
      <c r="P879" s="5"/>
    </row>
    <row r="880" spans="2:16" ht="13.2" x14ac:dyDescent="0.25">
      <c r="B880" s="18"/>
      <c r="C880" s="19"/>
      <c r="D880" s="19"/>
      <c r="O880" s="5"/>
      <c r="P880" s="5"/>
    </row>
    <row r="881" spans="2:16" ht="13.2" x14ac:dyDescent="0.25">
      <c r="B881" s="18"/>
      <c r="C881" s="19"/>
      <c r="D881" s="19"/>
      <c r="O881" s="5"/>
      <c r="P881" s="5"/>
    </row>
    <row r="882" spans="2:16" ht="13.2" x14ac:dyDescent="0.25">
      <c r="B882" s="18"/>
      <c r="C882" s="19"/>
      <c r="D882" s="19"/>
      <c r="O882" s="5"/>
      <c r="P882" s="5"/>
    </row>
    <row r="883" spans="2:16" ht="13.2" x14ac:dyDescent="0.25">
      <c r="B883" s="18"/>
      <c r="C883" s="19"/>
      <c r="D883" s="19"/>
      <c r="O883" s="5"/>
      <c r="P883" s="5"/>
    </row>
    <row r="884" spans="2:16" ht="13.2" x14ac:dyDescent="0.25">
      <c r="B884" s="18"/>
      <c r="C884" s="19"/>
      <c r="D884" s="19"/>
      <c r="O884" s="5"/>
      <c r="P884" s="5"/>
    </row>
    <row r="885" spans="2:16" ht="13.2" x14ac:dyDescent="0.25">
      <c r="B885" s="18"/>
      <c r="C885" s="19"/>
      <c r="D885" s="19"/>
      <c r="O885" s="5"/>
      <c r="P885" s="5"/>
    </row>
    <row r="886" spans="2:16" ht="13.2" x14ac:dyDescent="0.25">
      <c r="B886" s="18"/>
      <c r="C886" s="19"/>
      <c r="D886" s="19"/>
      <c r="O886" s="5"/>
      <c r="P886" s="5"/>
    </row>
    <row r="887" spans="2:16" ht="13.2" x14ac:dyDescent="0.25">
      <c r="B887" s="18"/>
      <c r="C887" s="19"/>
      <c r="D887" s="19"/>
      <c r="O887" s="5"/>
      <c r="P887" s="5"/>
    </row>
    <row r="888" spans="2:16" ht="13.2" x14ac:dyDescent="0.25">
      <c r="B888" s="18"/>
      <c r="C888" s="19"/>
      <c r="D888" s="19"/>
      <c r="O888" s="5"/>
      <c r="P888" s="5"/>
    </row>
    <row r="889" spans="2:16" ht="13.2" x14ac:dyDescent="0.25">
      <c r="B889" s="18"/>
      <c r="C889" s="19"/>
      <c r="D889" s="19"/>
      <c r="O889" s="5"/>
      <c r="P889" s="5"/>
    </row>
    <row r="890" spans="2:16" ht="13.2" x14ac:dyDescent="0.25">
      <c r="B890" s="18"/>
      <c r="C890" s="19"/>
      <c r="D890" s="19"/>
      <c r="O890" s="5"/>
      <c r="P890" s="5"/>
    </row>
    <row r="891" spans="2:16" ht="13.2" x14ac:dyDescent="0.25">
      <c r="B891" s="18"/>
      <c r="C891" s="19"/>
      <c r="D891" s="19"/>
      <c r="O891" s="5"/>
      <c r="P891" s="5"/>
    </row>
    <row r="892" spans="2:16" ht="13.2" x14ac:dyDescent="0.25">
      <c r="B892" s="18"/>
      <c r="C892" s="19"/>
      <c r="D892" s="19"/>
      <c r="O892" s="5"/>
      <c r="P892" s="5"/>
    </row>
    <row r="893" spans="2:16" ht="13.2" x14ac:dyDescent="0.25">
      <c r="B893" s="18"/>
      <c r="C893" s="19"/>
      <c r="D893" s="19"/>
      <c r="O893" s="5"/>
      <c r="P893" s="5"/>
    </row>
    <row r="894" spans="2:16" ht="13.2" x14ac:dyDescent="0.25">
      <c r="B894" s="18"/>
      <c r="C894" s="19"/>
      <c r="D894" s="19"/>
      <c r="O894" s="5"/>
      <c r="P894" s="5"/>
    </row>
    <row r="895" spans="2:16" ht="13.2" x14ac:dyDescent="0.25">
      <c r="B895" s="18"/>
      <c r="C895" s="19"/>
      <c r="D895" s="19"/>
      <c r="O895" s="5"/>
      <c r="P895" s="5"/>
    </row>
    <row r="896" spans="2:16" ht="13.2" x14ac:dyDescent="0.25">
      <c r="B896" s="18"/>
      <c r="C896" s="19"/>
      <c r="D896" s="19"/>
      <c r="O896" s="5"/>
      <c r="P896" s="5"/>
    </row>
    <row r="897" spans="2:16" ht="13.2" x14ac:dyDescent="0.25">
      <c r="B897" s="18"/>
      <c r="C897" s="19"/>
      <c r="D897" s="19"/>
      <c r="O897" s="5"/>
      <c r="P897" s="5"/>
    </row>
    <row r="898" spans="2:16" ht="13.2" x14ac:dyDescent="0.25">
      <c r="B898" s="18"/>
      <c r="C898" s="19"/>
      <c r="D898" s="19"/>
      <c r="O898" s="5"/>
      <c r="P898" s="5"/>
    </row>
    <row r="899" spans="2:16" ht="13.2" x14ac:dyDescent="0.25">
      <c r="B899" s="18"/>
      <c r="C899" s="19"/>
      <c r="D899" s="19"/>
      <c r="O899" s="5"/>
      <c r="P899" s="5"/>
    </row>
    <row r="900" spans="2:16" ht="13.2" x14ac:dyDescent="0.25">
      <c r="B900" s="18"/>
      <c r="C900" s="19"/>
      <c r="D900" s="19"/>
      <c r="O900" s="5"/>
      <c r="P900" s="5"/>
    </row>
    <row r="901" spans="2:16" ht="13.2" x14ac:dyDescent="0.25">
      <c r="B901" s="18"/>
      <c r="C901" s="19"/>
      <c r="D901" s="19"/>
      <c r="O901" s="5"/>
      <c r="P901" s="5"/>
    </row>
    <row r="902" spans="2:16" ht="13.2" x14ac:dyDescent="0.25">
      <c r="B902" s="18"/>
      <c r="C902" s="19"/>
      <c r="D902" s="19"/>
      <c r="O902" s="5"/>
      <c r="P902" s="5"/>
    </row>
    <row r="903" spans="2:16" ht="13.2" x14ac:dyDescent="0.25">
      <c r="B903" s="18"/>
      <c r="C903" s="19"/>
      <c r="D903" s="19"/>
      <c r="O903" s="5"/>
      <c r="P903" s="5"/>
    </row>
    <row r="904" spans="2:16" ht="13.2" x14ac:dyDescent="0.25">
      <c r="B904" s="18"/>
      <c r="C904" s="19"/>
      <c r="D904" s="19"/>
      <c r="O904" s="5"/>
      <c r="P904" s="5"/>
    </row>
    <row r="905" spans="2:16" ht="13.2" x14ac:dyDescent="0.25">
      <c r="B905" s="18"/>
      <c r="C905" s="19"/>
      <c r="D905" s="19"/>
      <c r="O905" s="5"/>
      <c r="P905" s="5"/>
    </row>
    <row r="906" spans="2:16" ht="13.2" x14ac:dyDescent="0.25">
      <c r="B906" s="18"/>
      <c r="C906" s="19"/>
      <c r="D906" s="19"/>
      <c r="O906" s="5"/>
      <c r="P906" s="5"/>
    </row>
    <row r="907" spans="2:16" ht="13.2" x14ac:dyDescent="0.25">
      <c r="B907" s="18"/>
      <c r="C907" s="19"/>
      <c r="D907" s="19"/>
      <c r="O907" s="5"/>
      <c r="P907" s="5"/>
    </row>
    <row r="908" spans="2:16" ht="13.2" x14ac:dyDescent="0.25">
      <c r="B908" s="18"/>
      <c r="C908" s="19"/>
      <c r="D908" s="19"/>
      <c r="O908" s="5"/>
      <c r="P908" s="5"/>
    </row>
    <row r="909" spans="2:16" ht="13.2" x14ac:dyDescent="0.25">
      <c r="B909" s="18"/>
      <c r="C909" s="19"/>
      <c r="D909" s="19"/>
      <c r="O909" s="5"/>
      <c r="P909" s="5"/>
    </row>
    <row r="910" spans="2:16" ht="13.2" x14ac:dyDescent="0.25">
      <c r="B910" s="18"/>
      <c r="C910" s="19"/>
      <c r="D910" s="19"/>
      <c r="O910" s="5"/>
      <c r="P910" s="5"/>
    </row>
    <row r="911" spans="2:16" ht="13.2" x14ac:dyDescent="0.25">
      <c r="B911" s="18"/>
      <c r="C911" s="19"/>
      <c r="D911" s="19"/>
      <c r="O911" s="5"/>
      <c r="P911" s="5"/>
    </row>
    <row r="912" spans="2:16" ht="13.2" x14ac:dyDescent="0.25">
      <c r="B912" s="18"/>
      <c r="C912" s="19"/>
      <c r="D912" s="19"/>
      <c r="O912" s="5"/>
      <c r="P912" s="5"/>
    </row>
    <row r="913" spans="2:16" ht="13.2" x14ac:dyDescent="0.25">
      <c r="B913" s="18"/>
      <c r="C913" s="19"/>
      <c r="D913" s="19"/>
      <c r="O913" s="5"/>
      <c r="P913" s="5"/>
    </row>
    <row r="914" spans="2:16" ht="13.2" x14ac:dyDescent="0.25">
      <c r="B914" s="18"/>
      <c r="C914" s="19"/>
      <c r="D914" s="19"/>
      <c r="O914" s="5"/>
      <c r="P914" s="5"/>
    </row>
    <row r="915" spans="2:16" ht="13.2" x14ac:dyDescent="0.25">
      <c r="B915" s="18"/>
      <c r="C915" s="19"/>
      <c r="D915" s="19"/>
      <c r="O915" s="5"/>
      <c r="P915" s="5"/>
    </row>
    <row r="916" spans="2:16" ht="13.2" x14ac:dyDescent="0.25">
      <c r="B916" s="18"/>
      <c r="C916" s="19"/>
      <c r="D916" s="19"/>
      <c r="O916" s="5"/>
      <c r="P916" s="5"/>
    </row>
    <row r="917" spans="2:16" ht="13.2" x14ac:dyDescent="0.25">
      <c r="B917" s="18"/>
      <c r="C917" s="19"/>
      <c r="D917" s="19"/>
      <c r="O917" s="5"/>
      <c r="P917" s="5"/>
    </row>
    <row r="918" spans="2:16" ht="13.2" x14ac:dyDescent="0.25">
      <c r="B918" s="18"/>
      <c r="C918" s="19"/>
      <c r="D918" s="19"/>
      <c r="O918" s="5"/>
      <c r="P918" s="5"/>
    </row>
    <row r="919" spans="2:16" ht="13.2" x14ac:dyDescent="0.25">
      <c r="B919" s="18"/>
      <c r="C919" s="19"/>
      <c r="D919" s="19"/>
      <c r="O919" s="5"/>
      <c r="P919" s="5"/>
    </row>
    <row r="920" spans="2:16" ht="13.2" x14ac:dyDescent="0.25">
      <c r="B920" s="18"/>
      <c r="C920" s="19"/>
      <c r="D920" s="19"/>
      <c r="O920" s="5"/>
      <c r="P920" s="5"/>
    </row>
    <row r="921" spans="2:16" ht="13.2" x14ac:dyDescent="0.25">
      <c r="B921" s="18"/>
      <c r="C921" s="19"/>
      <c r="D921" s="19"/>
      <c r="O921" s="5"/>
      <c r="P921" s="5"/>
    </row>
    <row r="922" spans="2:16" ht="13.2" x14ac:dyDescent="0.25">
      <c r="B922" s="18"/>
      <c r="C922" s="19"/>
      <c r="D922" s="19"/>
      <c r="O922" s="5"/>
      <c r="P922" s="5"/>
    </row>
    <row r="923" spans="2:16" ht="13.2" x14ac:dyDescent="0.25">
      <c r="B923" s="18"/>
      <c r="C923" s="19"/>
      <c r="D923" s="19"/>
      <c r="O923" s="5"/>
      <c r="P923" s="5"/>
    </row>
    <row r="924" spans="2:16" ht="13.2" x14ac:dyDescent="0.25">
      <c r="B924" s="18"/>
      <c r="C924" s="19"/>
      <c r="D924" s="19"/>
      <c r="O924" s="5"/>
      <c r="P924" s="5"/>
    </row>
    <row r="925" spans="2:16" ht="13.2" x14ac:dyDescent="0.25">
      <c r="B925" s="18"/>
      <c r="C925" s="19"/>
      <c r="D925" s="19"/>
      <c r="O925" s="5"/>
      <c r="P925" s="5"/>
    </row>
    <row r="926" spans="2:16" ht="13.2" x14ac:dyDescent="0.25">
      <c r="B926" s="18"/>
      <c r="C926" s="19"/>
      <c r="D926" s="19"/>
      <c r="O926" s="5"/>
      <c r="P926" s="5"/>
    </row>
    <row r="927" spans="2:16" ht="13.2" x14ac:dyDescent="0.25">
      <c r="B927" s="18"/>
      <c r="C927" s="19"/>
      <c r="D927" s="19"/>
      <c r="O927" s="5"/>
      <c r="P927" s="5"/>
    </row>
    <row r="928" spans="2:16" ht="13.2" x14ac:dyDescent="0.25">
      <c r="B928" s="18"/>
      <c r="C928" s="19"/>
      <c r="D928" s="19"/>
      <c r="O928" s="5"/>
      <c r="P928" s="5"/>
    </row>
    <row r="929" spans="2:16" ht="13.2" x14ac:dyDescent="0.25">
      <c r="B929" s="18"/>
      <c r="C929" s="19"/>
      <c r="D929" s="19"/>
      <c r="O929" s="5"/>
      <c r="P929" s="5"/>
    </row>
    <row r="930" spans="2:16" ht="13.2" x14ac:dyDescent="0.25">
      <c r="B930" s="18"/>
      <c r="C930" s="19"/>
      <c r="D930" s="19"/>
      <c r="O930" s="5"/>
      <c r="P930" s="5"/>
    </row>
    <row r="931" spans="2:16" ht="13.2" x14ac:dyDescent="0.25">
      <c r="B931" s="18"/>
      <c r="C931" s="19"/>
      <c r="D931" s="19"/>
      <c r="O931" s="5"/>
      <c r="P931" s="5"/>
    </row>
    <row r="932" spans="2:16" ht="13.2" x14ac:dyDescent="0.25">
      <c r="B932" s="18"/>
      <c r="C932" s="19"/>
      <c r="D932" s="19"/>
      <c r="O932" s="5"/>
      <c r="P932" s="5"/>
    </row>
    <row r="933" spans="2:16" ht="13.2" x14ac:dyDescent="0.25">
      <c r="B933" s="18"/>
      <c r="C933" s="19"/>
      <c r="D933" s="19"/>
      <c r="O933" s="5"/>
      <c r="P933" s="5"/>
    </row>
    <row r="934" spans="2:16" ht="13.2" x14ac:dyDescent="0.25">
      <c r="B934" s="18"/>
      <c r="C934" s="19"/>
      <c r="D934" s="19"/>
      <c r="O934" s="5"/>
      <c r="P934" s="5"/>
    </row>
    <row r="935" spans="2:16" ht="13.2" x14ac:dyDescent="0.25">
      <c r="B935" s="18"/>
      <c r="C935" s="19"/>
      <c r="D935" s="19"/>
      <c r="O935" s="5"/>
      <c r="P935" s="5"/>
    </row>
    <row r="936" spans="2:16" ht="13.2" x14ac:dyDescent="0.25">
      <c r="B936" s="18"/>
      <c r="C936" s="19"/>
      <c r="D936" s="19"/>
      <c r="O936" s="5"/>
      <c r="P936" s="5"/>
    </row>
    <row r="937" spans="2:16" ht="13.2" x14ac:dyDescent="0.25">
      <c r="B937" s="18"/>
      <c r="C937" s="19"/>
      <c r="D937" s="19"/>
      <c r="O937" s="5"/>
      <c r="P937" s="5"/>
    </row>
    <row r="938" spans="2:16" ht="13.2" x14ac:dyDescent="0.25">
      <c r="B938" s="18"/>
      <c r="C938" s="19"/>
      <c r="D938" s="19"/>
      <c r="O938" s="5"/>
      <c r="P938" s="5"/>
    </row>
    <row r="939" spans="2:16" ht="13.2" x14ac:dyDescent="0.25">
      <c r="B939" s="18"/>
      <c r="C939" s="19"/>
      <c r="D939" s="19"/>
      <c r="O939" s="5"/>
      <c r="P939" s="5"/>
    </row>
    <row r="940" spans="2:16" ht="13.2" x14ac:dyDescent="0.25">
      <c r="B940" s="18"/>
      <c r="C940" s="19"/>
      <c r="D940" s="19"/>
      <c r="O940" s="5"/>
      <c r="P940" s="5"/>
    </row>
    <row r="941" spans="2:16" ht="13.2" x14ac:dyDescent="0.25">
      <c r="B941" s="18"/>
      <c r="C941" s="19"/>
      <c r="D941" s="19"/>
      <c r="O941" s="5"/>
      <c r="P941" s="5"/>
    </row>
    <row r="942" spans="2:16" ht="13.2" x14ac:dyDescent="0.25">
      <c r="B942" s="18"/>
      <c r="C942" s="19"/>
      <c r="D942" s="19"/>
      <c r="O942" s="5"/>
      <c r="P942" s="5"/>
    </row>
    <row r="943" spans="2:16" ht="13.2" x14ac:dyDescent="0.25">
      <c r="B943" s="18"/>
      <c r="C943" s="19"/>
      <c r="D943" s="19"/>
      <c r="O943" s="5"/>
      <c r="P943" s="5"/>
    </row>
    <row r="944" spans="2:16" ht="13.2" x14ac:dyDescent="0.25">
      <c r="B944" s="18"/>
      <c r="C944" s="19"/>
      <c r="D944" s="19"/>
      <c r="O944" s="5"/>
      <c r="P944" s="5"/>
    </row>
    <row r="945" spans="2:16" ht="13.2" x14ac:dyDescent="0.25">
      <c r="B945" s="18"/>
      <c r="C945" s="19"/>
      <c r="D945" s="19"/>
      <c r="O945" s="5"/>
      <c r="P945" s="5"/>
    </row>
    <row r="946" spans="2:16" ht="13.2" x14ac:dyDescent="0.25">
      <c r="B946" s="18"/>
      <c r="C946" s="19"/>
      <c r="D946" s="19"/>
      <c r="O946" s="5"/>
      <c r="P946" s="5"/>
    </row>
    <row r="947" spans="2:16" ht="13.2" x14ac:dyDescent="0.25">
      <c r="B947" s="18"/>
      <c r="C947" s="19"/>
      <c r="D947" s="19"/>
      <c r="O947" s="5"/>
      <c r="P947" s="5"/>
    </row>
    <row r="948" spans="2:16" ht="13.2" x14ac:dyDescent="0.25">
      <c r="B948" s="18"/>
      <c r="C948" s="19"/>
      <c r="D948" s="19"/>
      <c r="O948" s="5"/>
      <c r="P948" s="5"/>
    </row>
    <row r="949" spans="2:16" ht="13.2" x14ac:dyDescent="0.25">
      <c r="B949" s="18"/>
      <c r="C949" s="19"/>
      <c r="D949" s="19"/>
      <c r="O949" s="5"/>
      <c r="P949" s="5"/>
    </row>
    <row r="950" spans="2:16" ht="13.2" x14ac:dyDescent="0.25">
      <c r="B950" s="18"/>
      <c r="C950" s="19"/>
      <c r="D950" s="19"/>
      <c r="O950" s="5"/>
      <c r="P950" s="5"/>
    </row>
    <row r="951" spans="2:16" ht="13.2" x14ac:dyDescent="0.25">
      <c r="B951" s="18"/>
      <c r="C951" s="19"/>
      <c r="D951" s="19"/>
      <c r="O951" s="5"/>
      <c r="P951" s="5"/>
    </row>
    <row r="952" spans="2:16" ht="13.2" x14ac:dyDescent="0.25">
      <c r="B952" s="18"/>
      <c r="C952" s="19"/>
      <c r="D952" s="19"/>
      <c r="O952" s="5"/>
      <c r="P952" s="5"/>
    </row>
    <row r="953" spans="2:16" ht="13.2" x14ac:dyDescent="0.25">
      <c r="B953" s="18"/>
      <c r="C953" s="19"/>
      <c r="D953" s="19"/>
      <c r="O953" s="5"/>
      <c r="P953" s="5"/>
    </row>
    <row r="954" spans="2:16" ht="13.2" x14ac:dyDescent="0.25">
      <c r="B954" s="18"/>
      <c r="C954" s="19"/>
      <c r="D954" s="19"/>
      <c r="O954" s="5"/>
      <c r="P954" s="5"/>
    </row>
    <row r="955" spans="2:16" ht="13.2" x14ac:dyDescent="0.25">
      <c r="B955" s="18"/>
      <c r="C955" s="19"/>
      <c r="D955" s="19"/>
      <c r="O955" s="5"/>
      <c r="P955" s="5"/>
    </row>
    <row r="956" spans="2:16" ht="13.2" x14ac:dyDescent="0.25">
      <c r="B956" s="18"/>
      <c r="C956" s="19"/>
      <c r="D956" s="19"/>
      <c r="O956" s="5"/>
      <c r="P956" s="5"/>
    </row>
    <row r="957" spans="2:16" ht="13.2" x14ac:dyDescent="0.25">
      <c r="B957" s="18"/>
      <c r="C957" s="19"/>
      <c r="D957" s="19"/>
      <c r="O957" s="5"/>
      <c r="P957" s="5"/>
    </row>
    <row r="958" spans="2:16" ht="13.2" x14ac:dyDescent="0.25">
      <c r="B958" s="18"/>
      <c r="C958" s="19"/>
      <c r="D958" s="19"/>
      <c r="O958" s="5"/>
      <c r="P958" s="5"/>
    </row>
    <row r="959" spans="2:16" ht="13.2" x14ac:dyDescent="0.25">
      <c r="B959" s="18"/>
      <c r="C959" s="19"/>
      <c r="D959" s="19"/>
      <c r="O959" s="5"/>
      <c r="P959" s="5"/>
    </row>
    <row r="960" spans="2:16" ht="13.2" x14ac:dyDescent="0.25">
      <c r="B960" s="18"/>
      <c r="C960" s="19"/>
      <c r="D960" s="19"/>
      <c r="O960" s="5"/>
      <c r="P960" s="5"/>
    </row>
    <row r="961" spans="2:16" ht="13.2" x14ac:dyDescent="0.25">
      <c r="B961" s="18"/>
      <c r="C961" s="19"/>
      <c r="D961" s="19"/>
      <c r="O961" s="5"/>
      <c r="P961" s="5"/>
    </row>
    <row r="962" spans="2:16" ht="13.2" x14ac:dyDescent="0.25">
      <c r="B962" s="18"/>
      <c r="C962" s="19"/>
      <c r="D962" s="19"/>
      <c r="O962" s="5"/>
      <c r="P962" s="5"/>
    </row>
    <row r="963" spans="2:16" ht="13.2" x14ac:dyDescent="0.25">
      <c r="B963" s="18"/>
      <c r="C963" s="19"/>
      <c r="D963" s="19"/>
      <c r="O963" s="5"/>
      <c r="P963" s="5"/>
    </row>
    <row r="964" spans="2:16" ht="13.2" x14ac:dyDescent="0.25">
      <c r="B964" s="18"/>
      <c r="C964" s="19"/>
      <c r="D964" s="19"/>
      <c r="O964" s="5"/>
      <c r="P964" s="5"/>
    </row>
    <row r="965" spans="2:16" ht="13.2" x14ac:dyDescent="0.25">
      <c r="B965" s="18"/>
      <c r="C965" s="19"/>
      <c r="D965" s="19"/>
      <c r="O965" s="5"/>
      <c r="P965" s="5"/>
    </row>
    <row r="966" spans="2:16" ht="13.2" x14ac:dyDescent="0.25">
      <c r="B966" s="18"/>
      <c r="C966" s="19"/>
      <c r="D966" s="19"/>
      <c r="O966" s="5"/>
      <c r="P966" s="5"/>
    </row>
    <row r="967" spans="2:16" ht="13.2" x14ac:dyDescent="0.25">
      <c r="B967" s="18"/>
      <c r="C967" s="19"/>
      <c r="D967" s="19"/>
      <c r="O967" s="5"/>
      <c r="P967" s="5"/>
    </row>
    <row r="968" spans="2:16" ht="13.2" x14ac:dyDescent="0.25">
      <c r="B968" s="18"/>
      <c r="C968" s="19"/>
      <c r="D968" s="19"/>
      <c r="O968" s="5"/>
      <c r="P968" s="5"/>
    </row>
    <row r="969" spans="2:16" ht="13.2" x14ac:dyDescent="0.25">
      <c r="B969" s="18"/>
      <c r="C969" s="19"/>
      <c r="D969" s="19"/>
      <c r="O969" s="5"/>
      <c r="P969" s="5"/>
    </row>
    <row r="970" spans="2:16" ht="13.2" x14ac:dyDescent="0.25">
      <c r="B970" s="18"/>
      <c r="C970" s="19"/>
      <c r="D970" s="19"/>
      <c r="O970" s="5"/>
      <c r="P970" s="5"/>
    </row>
    <row r="971" spans="2:16" ht="13.2" x14ac:dyDescent="0.25">
      <c r="B971" s="18"/>
      <c r="C971" s="19"/>
      <c r="D971" s="19"/>
      <c r="O971" s="5"/>
      <c r="P971" s="5"/>
    </row>
    <row r="972" spans="2:16" ht="13.2" x14ac:dyDescent="0.25">
      <c r="B972" s="18"/>
      <c r="C972" s="19"/>
      <c r="D972" s="19"/>
      <c r="O972" s="5"/>
      <c r="P972" s="5"/>
    </row>
    <row r="973" spans="2:16" ht="13.2" x14ac:dyDescent="0.25">
      <c r="B973" s="18"/>
      <c r="C973" s="19"/>
      <c r="D973" s="19"/>
      <c r="O973" s="5"/>
      <c r="P973" s="5"/>
    </row>
    <row r="974" spans="2:16" ht="13.2" x14ac:dyDescent="0.25">
      <c r="B974" s="18"/>
      <c r="C974" s="19"/>
      <c r="D974" s="19"/>
      <c r="O974" s="5"/>
      <c r="P974" s="5"/>
    </row>
    <row r="975" spans="2:16" ht="13.2" x14ac:dyDescent="0.25">
      <c r="B975" s="18"/>
      <c r="C975" s="19"/>
      <c r="D975" s="19"/>
      <c r="O975" s="5"/>
      <c r="P975" s="5"/>
    </row>
    <row r="976" spans="2:16" ht="13.2" x14ac:dyDescent="0.25">
      <c r="B976" s="18"/>
      <c r="C976" s="19"/>
      <c r="D976" s="19"/>
      <c r="O976" s="5"/>
      <c r="P976" s="5"/>
    </row>
    <row r="977" spans="2:16" ht="13.2" x14ac:dyDescent="0.25">
      <c r="B977" s="18"/>
      <c r="C977" s="19"/>
      <c r="D977" s="19"/>
      <c r="O977" s="5"/>
      <c r="P977" s="5"/>
    </row>
    <row r="978" spans="2:16" ht="13.2" x14ac:dyDescent="0.25">
      <c r="B978" s="18"/>
      <c r="C978" s="19"/>
      <c r="D978" s="19"/>
      <c r="O978" s="5"/>
      <c r="P978" s="5"/>
    </row>
    <row r="979" spans="2:16" ht="13.2" x14ac:dyDescent="0.25">
      <c r="B979" s="18"/>
      <c r="C979" s="19"/>
      <c r="D979" s="19"/>
      <c r="O979" s="5"/>
      <c r="P979" s="5"/>
    </row>
    <row r="980" spans="2:16" ht="13.2" x14ac:dyDescent="0.25">
      <c r="B980" s="18"/>
      <c r="C980" s="19"/>
      <c r="D980" s="19"/>
      <c r="O980" s="5"/>
      <c r="P980" s="5"/>
    </row>
    <row r="981" spans="2:16" ht="13.2" x14ac:dyDescent="0.25">
      <c r="B981" s="18"/>
      <c r="C981" s="19"/>
      <c r="D981" s="19"/>
      <c r="O981" s="5"/>
      <c r="P981" s="5"/>
    </row>
    <row r="982" spans="2:16" ht="13.2" x14ac:dyDescent="0.25">
      <c r="B982" s="18"/>
      <c r="C982" s="19"/>
      <c r="D982" s="19"/>
      <c r="O982" s="5"/>
      <c r="P982" s="5"/>
    </row>
    <row r="983" spans="2:16" ht="13.2" x14ac:dyDescent="0.25">
      <c r="B983" s="18"/>
      <c r="C983" s="19"/>
      <c r="D983" s="19"/>
      <c r="O983" s="5"/>
      <c r="P983" s="5"/>
    </row>
    <row r="984" spans="2:16" ht="13.2" x14ac:dyDescent="0.25">
      <c r="B984" s="18"/>
      <c r="C984" s="19"/>
      <c r="D984" s="19"/>
      <c r="O984" s="5"/>
      <c r="P984" s="5"/>
    </row>
    <row r="985" spans="2:16" ht="13.2" x14ac:dyDescent="0.25">
      <c r="B985" s="18"/>
      <c r="C985" s="19"/>
      <c r="D985" s="19"/>
      <c r="O985" s="5"/>
      <c r="P985" s="5"/>
    </row>
    <row r="986" spans="2:16" ht="13.2" x14ac:dyDescent="0.25">
      <c r="B986" s="18"/>
      <c r="C986" s="19"/>
      <c r="D986" s="19"/>
      <c r="O986" s="5"/>
      <c r="P986" s="5"/>
    </row>
    <row r="987" spans="2:16" ht="13.2" x14ac:dyDescent="0.25">
      <c r="B987" s="18"/>
      <c r="C987" s="19"/>
      <c r="D987" s="19"/>
      <c r="O987" s="5"/>
      <c r="P987" s="5"/>
    </row>
    <row r="988" spans="2:16" ht="13.2" x14ac:dyDescent="0.25">
      <c r="B988" s="18"/>
      <c r="C988" s="19"/>
      <c r="D988" s="19"/>
      <c r="O988" s="5"/>
      <c r="P988" s="5"/>
    </row>
    <row r="989" spans="2:16" ht="13.2" x14ac:dyDescent="0.25">
      <c r="B989" s="18"/>
      <c r="C989" s="19"/>
      <c r="D989" s="19"/>
      <c r="O989" s="5"/>
      <c r="P989" s="5"/>
    </row>
    <row r="990" spans="2:16" ht="13.2" x14ac:dyDescent="0.25">
      <c r="B990" s="18"/>
      <c r="C990" s="19"/>
      <c r="D990" s="19"/>
      <c r="O990" s="5"/>
      <c r="P990" s="5"/>
    </row>
    <row r="991" spans="2:16" ht="13.2" x14ac:dyDescent="0.25">
      <c r="B991" s="18"/>
      <c r="C991" s="19"/>
      <c r="D991" s="19"/>
      <c r="O991" s="5"/>
      <c r="P991" s="5"/>
    </row>
    <row r="992" spans="2:16" ht="13.2" x14ac:dyDescent="0.25">
      <c r="B992" s="18"/>
      <c r="C992" s="19"/>
      <c r="D992" s="19"/>
      <c r="O992" s="5"/>
      <c r="P992" s="5"/>
    </row>
    <row r="993" spans="2:16" ht="13.2" x14ac:dyDescent="0.25">
      <c r="B993" s="18"/>
      <c r="C993" s="19"/>
      <c r="D993" s="19"/>
      <c r="O993" s="5"/>
      <c r="P993" s="5"/>
    </row>
    <row r="994" spans="2:16" ht="13.2" x14ac:dyDescent="0.25">
      <c r="B994" s="18"/>
      <c r="C994" s="19"/>
      <c r="D994" s="19"/>
      <c r="O994" s="5"/>
      <c r="P994" s="5"/>
    </row>
    <row r="995" spans="2:16" ht="13.2" x14ac:dyDescent="0.25">
      <c r="B995" s="18"/>
      <c r="C995" s="19"/>
      <c r="D995" s="19"/>
      <c r="O995" s="5"/>
      <c r="P995" s="5"/>
    </row>
    <row r="996" spans="2:16" ht="13.2" x14ac:dyDescent="0.25">
      <c r="B996" s="18"/>
      <c r="C996" s="19"/>
      <c r="D996" s="19"/>
      <c r="O996" s="5"/>
      <c r="P996" s="5"/>
    </row>
    <row r="997" spans="2:16" ht="13.2" x14ac:dyDescent="0.25">
      <c r="B997" s="18"/>
      <c r="C997" s="19"/>
      <c r="D997" s="19"/>
      <c r="O997" s="5"/>
      <c r="P997" s="5"/>
    </row>
    <row r="998" spans="2:16" ht="13.2" x14ac:dyDescent="0.25">
      <c r="B998" s="18"/>
      <c r="C998" s="19"/>
      <c r="D998" s="19"/>
      <c r="O998" s="5"/>
      <c r="P998" s="5"/>
    </row>
    <row r="999" spans="2:16" ht="13.2" x14ac:dyDescent="0.25">
      <c r="B999" s="18"/>
      <c r="C999" s="19"/>
      <c r="D999" s="19"/>
      <c r="O999" s="5"/>
      <c r="P999" s="5"/>
    </row>
    <row r="1000" spans="2:16" ht="13.2" x14ac:dyDescent="0.25">
      <c r="B1000" s="18"/>
      <c r="C1000" s="19"/>
      <c r="D1000" s="19"/>
      <c r="O1000" s="5"/>
      <c r="P1000" s="5"/>
    </row>
    <row r="1001" spans="2:16" ht="13.2" x14ac:dyDescent="0.25">
      <c r="B1001" s="18"/>
      <c r="C1001" s="19"/>
      <c r="D1001" s="19"/>
      <c r="O1001" s="5"/>
      <c r="P1001" s="5"/>
    </row>
    <row r="1002" spans="2:16" ht="13.2" x14ac:dyDescent="0.25">
      <c r="B1002" s="18"/>
      <c r="C1002" s="19"/>
      <c r="D1002" s="19"/>
      <c r="O1002" s="5"/>
      <c r="P1002" s="5"/>
    </row>
    <row r="1003" spans="2:16" ht="13.2" x14ac:dyDescent="0.25">
      <c r="B1003" s="18"/>
      <c r="C1003" s="19"/>
      <c r="D1003" s="19"/>
      <c r="O1003" s="5"/>
      <c r="P1003" s="5"/>
    </row>
    <row r="1004" spans="2:16" ht="13.2" x14ac:dyDescent="0.25">
      <c r="B1004" s="18"/>
      <c r="C1004" s="19"/>
      <c r="D1004" s="19"/>
      <c r="O1004" s="5"/>
      <c r="P1004" s="5"/>
    </row>
    <row r="1005" spans="2:16" ht="13.2" x14ac:dyDescent="0.25">
      <c r="B1005" s="18"/>
      <c r="C1005" s="19"/>
      <c r="D1005" s="19"/>
      <c r="O1005" s="5"/>
      <c r="P1005" s="5"/>
    </row>
    <row r="1006" spans="2:16" ht="13.2" x14ac:dyDescent="0.25">
      <c r="B1006" s="18"/>
      <c r="C1006" s="19"/>
      <c r="D1006" s="19"/>
      <c r="O1006" s="5"/>
      <c r="P1006" s="5"/>
    </row>
    <row r="1007" spans="2:16" ht="13.2" x14ac:dyDescent="0.25">
      <c r="B1007" s="18"/>
      <c r="C1007" s="19"/>
      <c r="D1007" s="19"/>
      <c r="O1007" s="5"/>
      <c r="P1007" s="5"/>
    </row>
    <row r="1008" spans="2:16" ht="13.2" x14ac:dyDescent="0.25">
      <c r="B1008" s="18"/>
      <c r="C1008" s="19"/>
      <c r="D1008" s="19"/>
      <c r="O1008" s="5"/>
      <c r="P1008" s="5"/>
    </row>
    <row r="1009" spans="2:16" ht="13.2" x14ac:dyDescent="0.25">
      <c r="B1009" s="18"/>
      <c r="C1009" s="19"/>
      <c r="D1009" s="19"/>
      <c r="O1009" s="5"/>
      <c r="P1009" s="5"/>
    </row>
    <row r="1010" spans="2:16" ht="13.2" x14ac:dyDescent="0.25">
      <c r="B1010" s="18"/>
      <c r="C1010" s="19"/>
      <c r="D1010" s="19"/>
      <c r="O1010" s="5"/>
      <c r="P1010" s="5"/>
    </row>
    <row r="1011" spans="2:16" ht="13.2" x14ac:dyDescent="0.25">
      <c r="B1011" s="18"/>
      <c r="C1011" s="19"/>
      <c r="D1011" s="19"/>
      <c r="O1011" s="5"/>
      <c r="P1011" s="5"/>
    </row>
    <row r="1012" spans="2:16" ht="13.2" x14ac:dyDescent="0.25">
      <c r="B1012" s="18"/>
      <c r="C1012" s="19"/>
      <c r="D1012" s="19"/>
      <c r="O1012" s="5"/>
      <c r="P1012" s="5"/>
    </row>
    <row r="1013" spans="2:16" ht="13.2" x14ac:dyDescent="0.25">
      <c r="B1013" s="18"/>
      <c r="C1013" s="19"/>
      <c r="D1013" s="19"/>
      <c r="O1013" s="5"/>
      <c r="P1013" s="5"/>
    </row>
    <row r="1014" spans="2:16" ht="13.2" x14ac:dyDescent="0.25">
      <c r="B1014" s="18"/>
      <c r="C1014" s="19"/>
      <c r="D1014" s="19"/>
      <c r="O1014" s="5"/>
      <c r="P1014" s="5"/>
    </row>
    <row r="1015" spans="2:16" ht="13.2" x14ac:dyDescent="0.25">
      <c r="B1015" s="18"/>
      <c r="C1015" s="19"/>
      <c r="D1015" s="19"/>
      <c r="O1015" s="5"/>
      <c r="P1015" s="5"/>
    </row>
    <row r="1016" spans="2:16" ht="13.2" x14ac:dyDescent="0.25">
      <c r="B1016" s="18"/>
      <c r="C1016" s="19"/>
      <c r="D1016" s="19"/>
      <c r="O1016" s="5"/>
      <c r="P1016" s="5"/>
    </row>
    <row r="1017" spans="2:16" ht="13.2" x14ac:dyDescent="0.25">
      <c r="B1017" s="18"/>
      <c r="C1017" s="19"/>
      <c r="D1017" s="19"/>
      <c r="O1017" s="5"/>
      <c r="P1017" s="5"/>
    </row>
    <row r="1018" spans="2:16" ht="13.2" x14ac:dyDescent="0.25">
      <c r="B1018" s="18"/>
      <c r="C1018" s="19"/>
      <c r="D1018" s="19"/>
      <c r="O1018" s="5"/>
      <c r="P1018" s="5"/>
    </row>
    <row r="1019" spans="2:16" ht="13.2" x14ac:dyDescent="0.25">
      <c r="B1019" s="18"/>
      <c r="C1019" s="19"/>
      <c r="D1019" s="19"/>
      <c r="O1019" s="5"/>
      <c r="P1019" s="5"/>
    </row>
    <row r="1020" spans="2:16" ht="13.2" x14ac:dyDescent="0.25">
      <c r="B1020" s="18"/>
      <c r="C1020" s="19"/>
      <c r="D1020" s="19"/>
      <c r="O1020" s="5"/>
      <c r="P1020" s="5"/>
    </row>
    <row r="1021" spans="2:16" ht="13.2" x14ac:dyDescent="0.25">
      <c r="B1021" s="18"/>
      <c r="C1021" s="19"/>
      <c r="D1021" s="19"/>
      <c r="O1021" s="5"/>
      <c r="P1021" s="5"/>
    </row>
    <row r="1022" spans="2:16" ht="13.2" x14ac:dyDescent="0.25">
      <c r="B1022" s="18"/>
      <c r="C1022" s="19"/>
      <c r="D1022" s="19"/>
      <c r="O1022" s="5"/>
      <c r="P1022" s="5"/>
    </row>
    <row r="1023" spans="2:16" ht="13.2" x14ac:dyDescent="0.25">
      <c r="B1023" s="18"/>
      <c r="C1023" s="19"/>
      <c r="D1023" s="19"/>
      <c r="O1023" s="5"/>
      <c r="P1023" s="5"/>
    </row>
    <row r="1024" spans="2:16" ht="13.2" x14ac:dyDescent="0.25">
      <c r="B1024" s="18"/>
      <c r="C1024" s="19"/>
      <c r="D1024" s="19"/>
      <c r="O1024" s="5"/>
      <c r="P1024" s="5"/>
    </row>
    <row r="1025" spans="2:16" ht="13.2" x14ac:dyDescent="0.25">
      <c r="B1025" s="18"/>
      <c r="C1025" s="19"/>
      <c r="D1025" s="19"/>
      <c r="O1025" s="5"/>
      <c r="P1025" s="5"/>
    </row>
    <row r="1026" spans="2:16" ht="13.2" x14ac:dyDescent="0.25">
      <c r="B1026" s="18"/>
      <c r="C1026" s="19"/>
      <c r="D1026" s="19"/>
      <c r="O1026" s="5"/>
      <c r="P1026" s="5"/>
    </row>
    <row r="1027" spans="2:16" ht="13.2" x14ac:dyDescent="0.25">
      <c r="B1027" s="18"/>
      <c r="C1027" s="19"/>
      <c r="D1027" s="19"/>
      <c r="O1027" s="5"/>
      <c r="P1027" s="5"/>
    </row>
    <row r="1028" spans="2:16" ht="13.2" x14ac:dyDescent="0.25">
      <c r="B1028" s="18"/>
      <c r="C1028" s="19"/>
      <c r="D1028" s="19"/>
      <c r="O1028" s="5"/>
      <c r="P1028" s="5"/>
    </row>
    <row r="1029" spans="2:16" ht="13.2" x14ac:dyDescent="0.25">
      <c r="B1029" s="18"/>
      <c r="C1029" s="19"/>
      <c r="D1029" s="19"/>
      <c r="O1029" s="5"/>
      <c r="P1029" s="5"/>
    </row>
    <row r="1030" spans="2:16" ht="13.2" x14ac:dyDescent="0.25">
      <c r="B1030" s="18"/>
      <c r="C1030" s="19"/>
      <c r="D1030" s="19"/>
      <c r="O1030" s="5"/>
      <c r="P1030" s="5"/>
    </row>
    <row r="1031" spans="2:16" ht="13.2" x14ac:dyDescent="0.25">
      <c r="B1031" s="18"/>
      <c r="C1031" s="19"/>
      <c r="D1031" s="19"/>
      <c r="O1031" s="5"/>
      <c r="P1031" s="5"/>
    </row>
    <row r="1032" spans="2:16" ht="13.2" x14ac:dyDescent="0.25">
      <c r="B1032" s="18"/>
      <c r="C1032" s="19"/>
      <c r="D1032" s="19"/>
      <c r="O1032" s="5"/>
      <c r="P1032" s="5"/>
    </row>
    <row r="1033" spans="2:16" ht="13.2" x14ac:dyDescent="0.25">
      <c r="B1033" s="18"/>
      <c r="C1033" s="19"/>
      <c r="D1033" s="19"/>
      <c r="O1033" s="5"/>
      <c r="P1033" s="5"/>
    </row>
    <row r="1034" spans="2:16" ht="13.2" x14ac:dyDescent="0.25">
      <c r="B1034" s="18"/>
      <c r="C1034" s="19"/>
      <c r="D1034" s="19"/>
      <c r="O1034" s="5"/>
      <c r="P1034" s="5"/>
    </row>
    <row r="1035" spans="2:16" ht="13.2" x14ac:dyDescent="0.25">
      <c r="B1035" s="18"/>
      <c r="C1035" s="19"/>
      <c r="D1035" s="19"/>
      <c r="O1035" s="5"/>
      <c r="P1035" s="5"/>
    </row>
    <row r="1036" spans="2:16" ht="13.2" x14ac:dyDescent="0.25">
      <c r="B1036" s="18"/>
      <c r="C1036" s="19"/>
      <c r="D1036" s="19"/>
      <c r="O1036" s="5"/>
      <c r="P1036" s="5"/>
    </row>
    <row r="1037" spans="2:16" ht="13.2" x14ac:dyDescent="0.25">
      <c r="B1037" s="18"/>
      <c r="C1037" s="19"/>
      <c r="D1037" s="19"/>
      <c r="O1037" s="5"/>
      <c r="P1037" s="5"/>
    </row>
    <row r="1038" spans="2:16" ht="13.2" x14ac:dyDescent="0.25">
      <c r="B1038" s="18"/>
      <c r="C1038" s="19"/>
      <c r="D1038" s="19"/>
      <c r="O1038" s="5"/>
      <c r="P1038" s="5"/>
    </row>
    <row r="1039" spans="2:16" ht="13.2" x14ac:dyDescent="0.25">
      <c r="B1039" s="18"/>
      <c r="C1039" s="19"/>
      <c r="D1039" s="19"/>
      <c r="O1039" s="5"/>
      <c r="P1039" s="5"/>
    </row>
    <row r="1040" spans="2:16" ht="13.2" x14ac:dyDescent="0.25">
      <c r="B1040" s="18"/>
      <c r="C1040" s="19"/>
      <c r="D1040" s="19"/>
      <c r="O1040" s="5"/>
      <c r="P1040" s="5"/>
    </row>
    <row r="1041" spans="2:16" ht="13.2" x14ac:dyDescent="0.25">
      <c r="B1041" s="18"/>
      <c r="C1041" s="19"/>
      <c r="D1041" s="19"/>
      <c r="O1041" s="5"/>
      <c r="P1041" s="5"/>
    </row>
    <row r="1042" spans="2:16" ht="13.2" x14ac:dyDescent="0.25">
      <c r="B1042" s="18"/>
      <c r="C1042" s="19"/>
      <c r="D1042" s="19"/>
      <c r="O1042" s="5"/>
      <c r="P1042" s="5"/>
    </row>
    <row r="1043" spans="2:16" ht="13.2" x14ac:dyDescent="0.25">
      <c r="B1043" s="18"/>
      <c r="C1043" s="19"/>
      <c r="D1043" s="19"/>
      <c r="O1043" s="5"/>
      <c r="P1043" s="5"/>
    </row>
    <row r="1044" spans="2:16" ht="13.2" x14ac:dyDescent="0.25">
      <c r="B1044" s="18"/>
      <c r="C1044" s="19"/>
      <c r="D1044" s="19"/>
      <c r="O1044" s="5"/>
      <c r="P1044" s="5"/>
    </row>
    <row r="1045" spans="2:16" ht="13.2" x14ac:dyDescent="0.25">
      <c r="B1045" s="18"/>
      <c r="C1045" s="19"/>
      <c r="D1045" s="19"/>
      <c r="O1045" s="5"/>
      <c r="P1045" s="5"/>
    </row>
    <row r="1046" spans="2:16" ht="13.2" x14ac:dyDescent="0.25">
      <c r="B1046" s="18"/>
      <c r="C1046" s="19"/>
      <c r="D1046" s="19"/>
      <c r="O1046" s="5"/>
      <c r="P1046" s="5"/>
    </row>
    <row r="1047" spans="2:16" ht="13.2" x14ac:dyDescent="0.25">
      <c r="B1047" s="18"/>
      <c r="C1047" s="19"/>
      <c r="D1047" s="19"/>
      <c r="O1047" s="5"/>
      <c r="P1047" s="5"/>
    </row>
    <row r="1048" spans="2:16" ht="13.2" x14ac:dyDescent="0.25">
      <c r="B1048" s="18"/>
      <c r="C1048" s="19"/>
      <c r="D1048" s="19"/>
      <c r="O1048" s="5"/>
      <c r="P1048" s="5"/>
    </row>
    <row r="1049" spans="2:16" ht="13.2" x14ac:dyDescent="0.25">
      <c r="B1049" s="18"/>
      <c r="C1049" s="19"/>
      <c r="D1049" s="19"/>
      <c r="O1049" s="5"/>
      <c r="P1049" s="5"/>
    </row>
    <row r="1050" spans="2:16" ht="13.2" x14ac:dyDescent="0.25">
      <c r="B1050" s="18"/>
      <c r="C1050" s="19"/>
      <c r="D1050" s="19"/>
      <c r="O1050" s="5"/>
      <c r="P1050" s="5"/>
    </row>
    <row r="1051" spans="2:16" ht="13.2" x14ac:dyDescent="0.25">
      <c r="B1051" s="18"/>
      <c r="C1051" s="19"/>
      <c r="D1051" s="19"/>
      <c r="O1051" s="5"/>
      <c r="P1051" s="5"/>
    </row>
    <row r="1052" spans="2:16" ht="13.2" x14ac:dyDescent="0.25">
      <c r="B1052" s="18"/>
      <c r="C1052" s="19"/>
      <c r="D1052" s="19"/>
      <c r="O1052" s="5"/>
      <c r="P1052" s="5"/>
    </row>
    <row r="1053" spans="2:16" ht="13.2" x14ac:dyDescent="0.25">
      <c r="B1053" s="18"/>
      <c r="C1053" s="19"/>
      <c r="D1053" s="19"/>
      <c r="O1053" s="5"/>
      <c r="P1053" s="5"/>
    </row>
    <row r="1054" spans="2:16" ht="13.2" x14ac:dyDescent="0.25">
      <c r="B1054" s="18"/>
      <c r="C1054" s="19"/>
      <c r="D1054" s="19"/>
      <c r="O1054" s="5"/>
      <c r="P1054" s="5"/>
    </row>
    <row r="1055" spans="2:16" ht="13.2" x14ac:dyDescent="0.25">
      <c r="B1055" s="18"/>
      <c r="C1055" s="19"/>
      <c r="D1055" s="19"/>
      <c r="O1055" s="5"/>
      <c r="P1055" s="5"/>
    </row>
    <row r="1056" spans="2:16" ht="13.2" x14ac:dyDescent="0.25">
      <c r="B1056" s="18"/>
      <c r="C1056" s="19"/>
      <c r="D1056" s="19"/>
      <c r="O1056" s="5"/>
      <c r="P1056" s="5"/>
    </row>
    <row r="1057" spans="2:16" ht="13.2" x14ac:dyDescent="0.25">
      <c r="B1057" s="18"/>
      <c r="C1057" s="19"/>
      <c r="D1057" s="19"/>
      <c r="O1057" s="5"/>
      <c r="P1057" s="5"/>
    </row>
    <row r="1058" spans="2:16" ht="13.2" x14ac:dyDescent="0.25">
      <c r="B1058" s="18"/>
      <c r="C1058" s="19"/>
      <c r="D1058" s="19"/>
      <c r="O1058" s="5"/>
      <c r="P1058" s="5"/>
    </row>
    <row r="1059" spans="2:16" ht="13.2" x14ac:dyDescent="0.25">
      <c r="B1059" s="18"/>
      <c r="C1059" s="19"/>
      <c r="D1059" s="19"/>
      <c r="O1059" s="5"/>
      <c r="P1059" s="5"/>
    </row>
    <row r="1060" spans="2:16" ht="13.2" x14ac:dyDescent="0.25">
      <c r="B1060" s="18"/>
      <c r="C1060" s="19"/>
      <c r="D1060" s="19"/>
      <c r="O1060" s="5"/>
      <c r="P1060" s="5"/>
    </row>
    <row r="1061" spans="2:16" ht="13.2" x14ac:dyDescent="0.25">
      <c r="B1061" s="18"/>
      <c r="C1061" s="19"/>
      <c r="D1061" s="19"/>
      <c r="O1061" s="5"/>
      <c r="P1061" s="5"/>
    </row>
    <row r="1062" spans="2:16" ht="13.2" x14ac:dyDescent="0.25">
      <c r="B1062" s="18"/>
      <c r="C1062" s="19"/>
      <c r="D1062" s="19"/>
      <c r="O1062" s="5"/>
      <c r="P1062" s="5"/>
    </row>
    <row r="1063" spans="2:16" ht="13.2" x14ac:dyDescent="0.25">
      <c r="B1063" s="18"/>
      <c r="C1063" s="19"/>
      <c r="D1063" s="19"/>
      <c r="O1063" s="5"/>
      <c r="P1063" s="5"/>
    </row>
    <row r="1064" spans="2:16" ht="13.2" x14ac:dyDescent="0.25">
      <c r="B1064" s="18"/>
      <c r="C1064" s="19"/>
      <c r="D1064" s="19"/>
      <c r="O1064" s="5"/>
      <c r="P1064" s="5"/>
    </row>
    <row r="1065" spans="2:16" ht="13.2" x14ac:dyDescent="0.25">
      <c r="B1065" s="18"/>
      <c r="C1065" s="19"/>
      <c r="D1065" s="19"/>
      <c r="O1065" s="5"/>
      <c r="P1065" s="5"/>
    </row>
    <row r="1066" spans="2:16" ht="13.2" x14ac:dyDescent="0.25">
      <c r="B1066" s="18"/>
      <c r="C1066" s="19"/>
      <c r="D1066" s="19"/>
      <c r="O1066" s="5"/>
      <c r="P1066" s="5"/>
    </row>
    <row r="1067" spans="2:16" ht="13.2" x14ac:dyDescent="0.25">
      <c r="B1067" s="18"/>
      <c r="C1067" s="19"/>
      <c r="D1067" s="19"/>
      <c r="O1067" s="5"/>
      <c r="P1067" s="5"/>
    </row>
    <row r="1068" spans="2:16" ht="13.2" x14ac:dyDescent="0.25">
      <c r="B1068" s="18"/>
      <c r="C1068" s="19"/>
      <c r="D1068" s="19"/>
      <c r="O1068" s="5"/>
      <c r="P1068" s="5"/>
    </row>
    <row r="1069" spans="2:16" ht="13.2" x14ac:dyDescent="0.25">
      <c r="B1069" s="18"/>
      <c r="C1069" s="19"/>
      <c r="D1069" s="19"/>
      <c r="O1069" s="5"/>
      <c r="P1069" s="5"/>
    </row>
    <row r="1070" spans="2:16" ht="13.2" x14ac:dyDescent="0.25">
      <c r="B1070" s="18"/>
      <c r="C1070" s="19"/>
      <c r="D1070" s="19"/>
      <c r="O1070" s="5"/>
      <c r="P1070" s="5"/>
    </row>
    <row r="1071" spans="2:16" ht="13.2" x14ac:dyDescent="0.25">
      <c r="B1071" s="18"/>
      <c r="C1071" s="19"/>
      <c r="D1071" s="19"/>
      <c r="O1071" s="5"/>
      <c r="P1071" s="5"/>
    </row>
    <row r="1072" spans="2:16" ht="13.2" x14ac:dyDescent="0.25">
      <c r="B1072" s="18"/>
      <c r="C1072" s="19"/>
      <c r="D1072" s="19"/>
      <c r="O1072" s="5"/>
      <c r="P1072" s="5"/>
    </row>
    <row r="1073" spans="2:16" ht="13.2" x14ac:dyDescent="0.25">
      <c r="B1073" s="18"/>
      <c r="C1073" s="19"/>
      <c r="D1073" s="19"/>
      <c r="O1073" s="5"/>
      <c r="P1073" s="5"/>
    </row>
    <row r="1074" spans="2:16" ht="13.2" x14ac:dyDescent="0.25">
      <c r="B1074" s="18"/>
      <c r="C1074" s="19"/>
      <c r="D1074" s="19"/>
      <c r="O1074" s="5"/>
      <c r="P1074" s="5"/>
    </row>
    <row r="1075" spans="2:16" ht="13.2" x14ac:dyDescent="0.25">
      <c r="B1075" s="18"/>
      <c r="C1075" s="19"/>
      <c r="D1075" s="19"/>
      <c r="O1075" s="5"/>
      <c r="P1075" s="5"/>
    </row>
    <row r="1076" spans="2:16" ht="13.2" x14ac:dyDescent="0.25">
      <c r="B1076" s="18"/>
      <c r="C1076" s="19"/>
      <c r="D1076" s="19"/>
      <c r="O1076" s="5"/>
      <c r="P1076" s="5"/>
    </row>
    <row r="1077" spans="2:16" ht="13.2" x14ac:dyDescent="0.25">
      <c r="B1077" s="18"/>
      <c r="C1077" s="19"/>
      <c r="D1077" s="19"/>
      <c r="O1077" s="5"/>
      <c r="P1077" s="5"/>
    </row>
    <row r="1078" spans="2:16" ht="13.2" x14ac:dyDescent="0.25">
      <c r="B1078" s="18"/>
      <c r="C1078" s="19"/>
      <c r="D1078" s="19"/>
      <c r="O1078" s="5"/>
      <c r="P1078" s="5"/>
    </row>
    <row r="1079" spans="2:16" ht="13.2" x14ac:dyDescent="0.25">
      <c r="B1079" s="18"/>
      <c r="C1079" s="19"/>
      <c r="D1079" s="19"/>
      <c r="O1079" s="5"/>
      <c r="P1079" s="5"/>
    </row>
    <row r="1080" spans="2:16" ht="13.2" x14ac:dyDescent="0.25">
      <c r="B1080" s="18"/>
      <c r="C1080" s="19"/>
      <c r="D1080" s="19"/>
      <c r="O1080" s="5"/>
      <c r="P1080" s="5"/>
    </row>
    <row r="1081" spans="2:16" ht="13.2" x14ac:dyDescent="0.25">
      <c r="B1081" s="18"/>
      <c r="C1081" s="19"/>
      <c r="D1081" s="19"/>
      <c r="O1081" s="5"/>
      <c r="P1081" s="5"/>
    </row>
    <row r="1082" spans="2:16" ht="13.2" x14ac:dyDescent="0.25">
      <c r="B1082" s="18"/>
      <c r="C1082" s="19"/>
      <c r="D1082" s="19"/>
      <c r="O1082" s="5"/>
      <c r="P1082" s="5"/>
    </row>
    <row r="1083" spans="2:16" ht="13.2" x14ac:dyDescent="0.25">
      <c r="B1083" s="18"/>
      <c r="C1083" s="19"/>
      <c r="D1083" s="19"/>
      <c r="O1083" s="5"/>
      <c r="P1083" s="5"/>
    </row>
    <row r="1084" spans="2:16" ht="13.2" x14ac:dyDescent="0.25">
      <c r="B1084" s="18"/>
      <c r="C1084" s="19"/>
      <c r="D1084" s="19"/>
      <c r="O1084" s="5"/>
      <c r="P1084" s="5"/>
    </row>
    <row r="1085" spans="2:16" ht="13.2" x14ac:dyDescent="0.25">
      <c r="B1085" s="18"/>
      <c r="C1085" s="19"/>
      <c r="D1085" s="19"/>
      <c r="O1085" s="5"/>
      <c r="P1085" s="5"/>
    </row>
    <row r="1086" spans="2:16" ht="13.2" x14ac:dyDescent="0.25">
      <c r="B1086" s="18"/>
      <c r="C1086" s="19"/>
      <c r="D1086" s="19"/>
      <c r="O1086" s="5"/>
      <c r="P1086" s="5"/>
    </row>
    <row r="1087" spans="2:16" ht="13.2" x14ac:dyDescent="0.25">
      <c r="B1087" s="18"/>
      <c r="C1087" s="19"/>
      <c r="D1087" s="19"/>
      <c r="O1087" s="5"/>
      <c r="P1087" s="5"/>
    </row>
    <row r="1088" spans="2:16" ht="13.2" x14ac:dyDescent="0.25">
      <c r="B1088" s="18"/>
      <c r="C1088" s="19"/>
      <c r="D1088" s="19"/>
      <c r="O1088" s="5"/>
      <c r="P1088" s="5"/>
    </row>
    <row r="1089" spans="2:16" ht="13.2" x14ac:dyDescent="0.25">
      <c r="B1089" s="18"/>
      <c r="C1089" s="19"/>
      <c r="D1089" s="19"/>
      <c r="O1089" s="5"/>
      <c r="P1089" s="5"/>
    </row>
    <row r="1090" spans="2:16" ht="13.2" x14ac:dyDescent="0.25">
      <c r="B1090" s="18"/>
      <c r="C1090" s="19"/>
      <c r="D1090" s="19"/>
      <c r="O1090" s="5"/>
      <c r="P1090" s="5"/>
    </row>
    <row r="1091" spans="2:16" ht="13.2" x14ac:dyDescent="0.25">
      <c r="B1091" s="18"/>
      <c r="C1091" s="19"/>
      <c r="D1091" s="19"/>
      <c r="O1091" s="5"/>
      <c r="P1091" s="5"/>
    </row>
    <row r="1092" spans="2:16" ht="13.2" x14ac:dyDescent="0.25">
      <c r="B1092" s="18"/>
      <c r="C1092" s="19"/>
      <c r="D1092" s="19"/>
      <c r="O1092" s="5"/>
      <c r="P1092" s="5"/>
    </row>
    <row r="1093" spans="2:16" ht="13.2" x14ac:dyDescent="0.25">
      <c r="B1093" s="18"/>
      <c r="C1093" s="19"/>
      <c r="D1093" s="19"/>
      <c r="O1093" s="5"/>
      <c r="P1093" s="5"/>
    </row>
    <row r="1094" spans="2:16" ht="13.2" x14ac:dyDescent="0.25">
      <c r="B1094" s="18"/>
      <c r="C1094" s="19"/>
      <c r="D1094" s="19"/>
      <c r="O1094" s="5"/>
      <c r="P1094" s="5"/>
    </row>
    <row r="1095" spans="2:16" ht="13.2" x14ac:dyDescent="0.25">
      <c r="B1095" s="18"/>
      <c r="C1095" s="19"/>
      <c r="D1095" s="19"/>
      <c r="O1095" s="5"/>
      <c r="P1095" s="5"/>
    </row>
    <row r="1096" spans="2:16" ht="13.2" x14ac:dyDescent="0.25">
      <c r="B1096" s="18"/>
      <c r="C1096" s="19"/>
      <c r="D1096" s="19"/>
      <c r="O1096" s="5"/>
      <c r="P1096" s="5"/>
    </row>
    <row r="1097" spans="2:16" ht="13.2" x14ac:dyDescent="0.25">
      <c r="B1097" s="18"/>
      <c r="C1097" s="19"/>
      <c r="D1097" s="19"/>
      <c r="O1097" s="5"/>
      <c r="P1097" s="5"/>
    </row>
    <row r="1098" spans="2:16" ht="13.2" x14ac:dyDescent="0.25">
      <c r="B1098" s="18"/>
      <c r="C1098" s="19"/>
      <c r="D1098" s="19"/>
      <c r="O1098" s="5"/>
      <c r="P1098" s="5"/>
    </row>
    <row r="1099" spans="2:16" ht="13.2" x14ac:dyDescent="0.25">
      <c r="B1099" s="18"/>
      <c r="C1099" s="19"/>
      <c r="D1099" s="19"/>
      <c r="O1099" s="5"/>
      <c r="P1099" s="5"/>
    </row>
    <row r="1100" spans="2:16" ht="13.2" x14ac:dyDescent="0.25">
      <c r="B1100" s="18"/>
      <c r="C1100" s="19"/>
      <c r="D1100" s="19"/>
      <c r="O1100" s="5"/>
      <c r="P1100" s="5"/>
    </row>
    <row r="1101" spans="2:16" ht="13.2" x14ac:dyDescent="0.25">
      <c r="B1101" s="18"/>
      <c r="C1101" s="19"/>
      <c r="D1101" s="19"/>
      <c r="O1101" s="5"/>
      <c r="P1101" s="5"/>
    </row>
    <row r="1102" spans="2:16" ht="13.2" x14ac:dyDescent="0.25">
      <c r="B1102" s="18"/>
      <c r="C1102" s="19"/>
      <c r="D1102" s="19"/>
      <c r="O1102" s="5"/>
      <c r="P1102" s="5"/>
    </row>
    <row r="1103" spans="2:16" ht="13.2" x14ac:dyDescent="0.25">
      <c r="B1103" s="18"/>
      <c r="C1103" s="19"/>
      <c r="D1103" s="19"/>
      <c r="O1103" s="5"/>
      <c r="P1103" s="5"/>
    </row>
    <row r="1104" spans="2:16" ht="13.2" x14ac:dyDescent="0.25">
      <c r="B1104" s="18"/>
      <c r="C1104" s="19"/>
      <c r="D1104" s="19"/>
      <c r="O1104" s="5"/>
      <c r="P1104" s="5"/>
    </row>
    <row r="1105" spans="2:16" ht="13.2" x14ac:dyDescent="0.25">
      <c r="B1105" s="18"/>
      <c r="C1105" s="19"/>
      <c r="D1105" s="19"/>
      <c r="O1105" s="5"/>
      <c r="P1105" s="5"/>
    </row>
    <row r="1106" spans="2:16" ht="13.2" x14ac:dyDescent="0.25">
      <c r="B1106" s="18"/>
      <c r="C1106" s="19"/>
      <c r="D1106" s="19"/>
      <c r="O1106" s="5"/>
      <c r="P1106" s="5"/>
    </row>
    <row r="1107" spans="2:16" ht="13.2" x14ac:dyDescent="0.25">
      <c r="B1107" s="18"/>
      <c r="C1107" s="19"/>
      <c r="D1107" s="19"/>
      <c r="O1107" s="5"/>
      <c r="P1107" s="5"/>
    </row>
    <row r="1108" spans="2:16" ht="13.2" x14ac:dyDescent="0.25">
      <c r="B1108" s="18"/>
      <c r="C1108" s="19"/>
      <c r="D1108" s="19"/>
      <c r="O1108" s="5"/>
      <c r="P1108" s="5"/>
    </row>
    <row r="1109" spans="2:16" ht="13.2" x14ac:dyDescent="0.25">
      <c r="B1109" s="18"/>
      <c r="C1109" s="19"/>
      <c r="D1109" s="19"/>
      <c r="O1109" s="5"/>
      <c r="P1109" s="5"/>
    </row>
    <row r="1110" spans="2:16" ht="13.2" x14ac:dyDescent="0.25">
      <c r="B1110" s="18"/>
      <c r="C1110" s="19"/>
      <c r="D1110" s="19"/>
      <c r="O1110" s="5"/>
      <c r="P1110" s="5"/>
    </row>
    <row r="1111" spans="2:16" ht="13.2" x14ac:dyDescent="0.25">
      <c r="B1111" s="18"/>
      <c r="C1111" s="19"/>
      <c r="D1111" s="19"/>
      <c r="O1111" s="5"/>
      <c r="P1111" s="5"/>
    </row>
    <row r="1112" spans="2:16" ht="13.2" x14ac:dyDescent="0.25">
      <c r="B1112" s="18"/>
      <c r="C1112" s="19"/>
      <c r="D1112" s="19"/>
      <c r="O1112" s="5"/>
      <c r="P1112" s="5"/>
    </row>
    <row r="1113" spans="2:16" ht="13.2" x14ac:dyDescent="0.25">
      <c r="B1113" s="18"/>
      <c r="C1113" s="19"/>
      <c r="D1113" s="19"/>
      <c r="O1113" s="5"/>
      <c r="P1113" s="5"/>
    </row>
    <row r="1114" spans="2:16" ht="13.2" x14ac:dyDescent="0.25">
      <c r="B1114" s="18"/>
      <c r="C1114" s="19"/>
      <c r="D1114" s="19"/>
      <c r="O1114" s="5"/>
      <c r="P1114" s="5"/>
    </row>
    <row r="1115" spans="2:16" ht="13.2" x14ac:dyDescent="0.25">
      <c r="B1115" s="18"/>
      <c r="C1115" s="19"/>
      <c r="D1115" s="19"/>
      <c r="O1115" s="5"/>
      <c r="P1115" s="5"/>
    </row>
    <row r="1116" spans="2:16" ht="13.2" x14ac:dyDescent="0.25">
      <c r="B1116" s="18"/>
      <c r="C1116" s="19"/>
      <c r="D1116" s="19"/>
      <c r="O1116" s="5"/>
      <c r="P1116" s="5"/>
    </row>
    <row r="1117" spans="2:16" ht="13.2" x14ac:dyDescent="0.25">
      <c r="B1117" s="18"/>
      <c r="C1117" s="19"/>
      <c r="D1117" s="19"/>
      <c r="O1117" s="5"/>
      <c r="P1117" s="5"/>
    </row>
    <row r="1118" spans="2:16" ht="13.2" x14ac:dyDescent="0.25">
      <c r="B1118" s="18"/>
      <c r="C1118" s="19"/>
      <c r="D1118" s="19"/>
      <c r="O1118" s="5"/>
      <c r="P1118" s="5"/>
    </row>
    <row r="1119" spans="2:16" ht="13.2" x14ac:dyDescent="0.25">
      <c r="B1119" s="18"/>
      <c r="C1119" s="19"/>
      <c r="D1119" s="19"/>
      <c r="O1119" s="5"/>
      <c r="P1119" s="5"/>
    </row>
    <row r="1120" spans="2:16" ht="13.2" x14ac:dyDescent="0.25">
      <c r="B1120" s="18"/>
      <c r="C1120" s="19"/>
      <c r="D1120" s="19"/>
      <c r="O1120" s="5"/>
      <c r="P1120" s="5"/>
    </row>
    <row r="1121" spans="2:16" ht="13.2" x14ac:dyDescent="0.25">
      <c r="B1121" s="18"/>
      <c r="C1121" s="19"/>
      <c r="D1121" s="19"/>
      <c r="O1121" s="5"/>
      <c r="P1121" s="5"/>
    </row>
    <row r="1122" spans="2:16" ht="13.2" x14ac:dyDescent="0.25">
      <c r="B1122" s="18"/>
      <c r="C1122" s="19"/>
      <c r="D1122" s="19"/>
      <c r="O1122" s="5"/>
      <c r="P1122" s="5"/>
    </row>
    <row r="1123" spans="2:16" ht="13.2" x14ac:dyDescent="0.25">
      <c r="B1123" s="18"/>
      <c r="C1123" s="19"/>
      <c r="D1123" s="19"/>
      <c r="O1123" s="5"/>
      <c r="P1123" s="5"/>
    </row>
    <row r="1124" spans="2:16" ht="13.2" x14ac:dyDescent="0.25">
      <c r="B1124" s="18"/>
      <c r="C1124" s="19"/>
      <c r="D1124" s="19"/>
      <c r="O1124" s="5"/>
      <c r="P1124" s="5"/>
    </row>
    <row r="1125" spans="2:16" ht="13.2" x14ac:dyDescent="0.25">
      <c r="B1125" s="18"/>
      <c r="C1125" s="19"/>
      <c r="D1125" s="19"/>
      <c r="O1125" s="5"/>
      <c r="P1125" s="5"/>
    </row>
    <row r="1126" spans="2:16" ht="13.2" x14ac:dyDescent="0.25">
      <c r="B1126" s="18"/>
      <c r="C1126" s="19"/>
      <c r="D1126" s="19"/>
      <c r="O1126" s="5"/>
      <c r="P1126" s="5"/>
    </row>
    <row r="1127" spans="2:16" ht="13.2" x14ac:dyDescent="0.25">
      <c r="B1127" s="18"/>
      <c r="C1127" s="19"/>
      <c r="D1127" s="19"/>
      <c r="O1127" s="5"/>
      <c r="P1127" s="5"/>
    </row>
    <row r="1128" spans="2:16" ht="13.2" x14ac:dyDescent="0.25">
      <c r="B1128" s="18"/>
      <c r="C1128" s="19"/>
      <c r="D1128" s="19"/>
      <c r="O1128" s="5"/>
      <c r="P1128" s="5"/>
    </row>
    <row r="1129" spans="2:16" ht="13.2" x14ac:dyDescent="0.25">
      <c r="B1129" s="18"/>
      <c r="C1129" s="19"/>
      <c r="D1129" s="19"/>
      <c r="O1129" s="5"/>
      <c r="P1129" s="5"/>
    </row>
    <row r="1130" spans="2:16" ht="13.2" x14ac:dyDescent="0.25">
      <c r="B1130" s="18"/>
      <c r="C1130" s="19"/>
      <c r="D1130" s="19"/>
      <c r="O1130" s="5"/>
      <c r="P1130" s="5"/>
    </row>
    <row r="1131" spans="2:16" ht="13.2" x14ac:dyDescent="0.25">
      <c r="B1131" s="18"/>
      <c r="C1131" s="19"/>
      <c r="D1131" s="19"/>
      <c r="O1131" s="5"/>
      <c r="P1131" s="5"/>
    </row>
    <row r="1132" spans="2:16" ht="13.2" x14ac:dyDescent="0.25">
      <c r="B1132" s="18"/>
      <c r="C1132" s="19"/>
      <c r="D1132" s="19"/>
      <c r="O1132" s="5"/>
      <c r="P1132" s="5"/>
    </row>
    <row r="1133" spans="2:16" ht="13.2" x14ac:dyDescent="0.25">
      <c r="B1133" s="18"/>
      <c r="C1133" s="19"/>
      <c r="D1133" s="19"/>
      <c r="O1133" s="5"/>
      <c r="P1133" s="5"/>
    </row>
    <row r="1134" spans="2:16" ht="13.2" x14ac:dyDescent="0.25">
      <c r="B1134" s="18"/>
      <c r="C1134" s="19"/>
      <c r="D1134" s="19"/>
      <c r="O1134" s="5"/>
      <c r="P1134" s="5"/>
    </row>
    <row r="1135" spans="2:16" ht="13.2" x14ac:dyDescent="0.25">
      <c r="B1135" s="18"/>
      <c r="C1135" s="19"/>
      <c r="D1135" s="19"/>
      <c r="O1135" s="5"/>
      <c r="P1135" s="5"/>
    </row>
    <row r="1136" spans="2:16" ht="13.2" x14ac:dyDescent="0.25">
      <c r="B1136" s="18"/>
      <c r="C1136" s="19"/>
      <c r="D1136" s="19"/>
      <c r="O1136" s="5"/>
      <c r="P1136" s="5"/>
    </row>
    <row r="1137" spans="2:16" ht="13.2" x14ac:dyDescent="0.25">
      <c r="B1137" s="18"/>
      <c r="C1137" s="19"/>
      <c r="D1137" s="19"/>
      <c r="O1137" s="5"/>
      <c r="P1137" s="5"/>
    </row>
    <row r="1138" spans="2:16" ht="13.2" x14ac:dyDescent="0.25">
      <c r="B1138" s="18"/>
      <c r="C1138" s="19"/>
      <c r="D1138" s="19"/>
      <c r="O1138" s="5"/>
      <c r="P1138" s="5"/>
    </row>
    <row r="1139" spans="2:16" ht="13.2" x14ac:dyDescent="0.25">
      <c r="B1139" s="18"/>
      <c r="C1139" s="19"/>
      <c r="D1139" s="19"/>
      <c r="O1139" s="5"/>
      <c r="P1139" s="5"/>
    </row>
    <row r="1140" spans="2:16" ht="13.2" x14ac:dyDescent="0.25">
      <c r="B1140" s="18"/>
      <c r="C1140" s="19"/>
      <c r="D1140" s="19"/>
      <c r="O1140" s="5"/>
      <c r="P1140" s="5"/>
    </row>
    <row r="1141" spans="2:16" ht="13.2" x14ac:dyDescent="0.25">
      <c r="B1141" s="18"/>
      <c r="C1141" s="19"/>
      <c r="D1141" s="19"/>
      <c r="O1141" s="5"/>
      <c r="P1141" s="5"/>
    </row>
    <row r="1142" spans="2:16" ht="13.2" x14ac:dyDescent="0.25">
      <c r="B1142" s="18"/>
      <c r="C1142" s="19"/>
      <c r="D1142" s="19"/>
      <c r="O1142" s="5"/>
      <c r="P1142" s="5"/>
    </row>
    <row r="1143" spans="2:16" ht="13.2" x14ac:dyDescent="0.25">
      <c r="B1143" s="18"/>
      <c r="C1143" s="19"/>
      <c r="D1143" s="19"/>
      <c r="O1143" s="5"/>
      <c r="P1143" s="5"/>
    </row>
    <row r="1144" spans="2:16" ht="13.2" x14ac:dyDescent="0.25">
      <c r="B1144" s="18"/>
      <c r="C1144" s="19"/>
      <c r="D1144" s="19"/>
      <c r="O1144" s="5"/>
      <c r="P1144" s="5"/>
    </row>
    <row r="1145" spans="2:16" ht="13.2" x14ac:dyDescent="0.25">
      <c r="B1145" s="18"/>
      <c r="C1145" s="19"/>
      <c r="D1145" s="19"/>
      <c r="O1145" s="5"/>
      <c r="P1145" s="5"/>
    </row>
    <row r="1146" spans="2:16" ht="13.2" x14ac:dyDescent="0.25">
      <c r="B1146" s="18"/>
      <c r="C1146" s="19"/>
      <c r="D1146" s="19"/>
      <c r="O1146" s="5"/>
      <c r="P1146" s="5"/>
    </row>
    <row r="1147" spans="2:16" ht="13.2" x14ac:dyDescent="0.25">
      <c r="B1147" s="18"/>
      <c r="C1147" s="19"/>
      <c r="D1147" s="19"/>
      <c r="O1147" s="5"/>
      <c r="P1147" s="5"/>
    </row>
    <row r="1148" spans="2:16" ht="13.2" x14ac:dyDescent="0.25">
      <c r="B1148" s="18"/>
      <c r="C1148" s="19"/>
      <c r="D1148" s="19"/>
      <c r="O1148" s="5"/>
      <c r="P1148" s="5"/>
    </row>
    <row r="1149" spans="2:16" ht="13.2" x14ac:dyDescent="0.25">
      <c r="B1149" s="18"/>
      <c r="C1149" s="19"/>
      <c r="D1149" s="19"/>
      <c r="O1149" s="5"/>
      <c r="P1149" s="5"/>
    </row>
    <row r="1150" spans="2:16" ht="13.2" x14ac:dyDescent="0.25">
      <c r="B1150" s="18"/>
      <c r="C1150" s="19"/>
      <c r="D1150" s="19"/>
      <c r="O1150" s="5"/>
      <c r="P1150" s="5"/>
    </row>
    <row r="1151" spans="2:16" ht="13.2" x14ac:dyDescent="0.25">
      <c r="B1151" s="18"/>
      <c r="C1151" s="19"/>
      <c r="D1151" s="19"/>
      <c r="O1151" s="5"/>
      <c r="P1151" s="5"/>
    </row>
    <row r="1152" spans="2:16" ht="13.2" x14ac:dyDescent="0.25">
      <c r="B1152" s="18"/>
      <c r="C1152" s="19"/>
      <c r="D1152" s="19"/>
      <c r="O1152" s="5"/>
      <c r="P1152" s="5"/>
    </row>
    <row r="1153" spans="2:16" ht="13.2" x14ac:dyDescent="0.25">
      <c r="B1153" s="18"/>
      <c r="C1153" s="19"/>
      <c r="D1153" s="19"/>
      <c r="O1153" s="5"/>
      <c r="P1153" s="5"/>
    </row>
    <row r="1154" spans="2:16" ht="13.2" x14ac:dyDescent="0.25">
      <c r="B1154" s="18"/>
      <c r="C1154" s="19"/>
      <c r="D1154" s="19"/>
      <c r="O1154" s="5"/>
      <c r="P1154" s="5"/>
    </row>
    <row r="1155" spans="2:16" ht="13.2" x14ac:dyDescent="0.25">
      <c r="B1155" s="18"/>
      <c r="C1155" s="19"/>
      <c r="D1155" s="19"/>
      <c r="O1155" s="5"/>
      <c r="P1155" s="5"/>
    </row>
    <row r="1156" spans="2:16" ht="13.2" x14ac:dyDescent="0.25">
      <c r="B1156" s="18"/>
      <c r="C1156" s="19"/>
      <c r="D1156" s="19"/>
      <c r="O1156" s="5"/>
      <c r="P1156" s="5"/>
    </row>
    <row r="1157" spans="2:16" ht="13.2" x14ac:dyDescent="0.25">
      <c r="B1157" s="18"/>
      <c r="C1157" s="19"/>
      <c r="D1157" s="19"/>
      <c r="O1157" s="5"/>
      <c r="P1157" s="5"/>
    </row>
    <row r="1158" spans="2:16" ht="13.2" x14ac:dyDescent="0.25">
      <c r="B1158" s="18"/>
      <c r="C1158" s="19"/>
      <c r="D1158" s="19"/>
      <c r="O1158" s="5"/>
      <c r="P1158" s="5"/>
    </row>
    <row r="1159" spans="2:16" ht="13.2" x14ac:dyDescent="0.25">
      <c r="B1159" s="18"/>
      <c r="C1159" s="19"/>
      <c r="D1159" s="19"/>
      <c r="O1159" s="5"/>
      <c r="P1159" s="5"/>
    </row>
    <row r="1160" spans="2:16" ht="13.2" x14ac:dyDescent="0.25">
      <c r="B1160" s="18"/>
      <c r="C1160" s="19"/>
      <c r="D1160" s="19"/>
      <c r="O1160" s="5"/>
      <c r="P1160" s="5"/>
    </row>
    <row r="1161" spans="2:16" ht="13.2" x14ac:dyDescent="0.25">
      <c r="B1161" s="18"/>
      <c r="C1161" s="19"/>
      <c r="D1161" s="19"/>
      <c r="O1161" s="5"/>
      <c r="P1161" s="5"/>
    </row>
    <row r="1162" spans="2:16" ht="13.2" x14ac:dyDescent="0.25">
      <c r="B1162" s="18"/>
      <c r="C1162" s="19"/>
      <c r="D1162" s="19"/>
      <c r="O1162" s="5"/>
      <c r="P1162" s="5"/>
    </row>
    <row r="1163" spans="2:16" ht="13.2" x14ac:dyDescent="0.25">
      <c r="B1163" s="18"/>
      <c r="C1163" s="19"/>
      <c r="D1163" s="19"/>
      <c r="O1163" s="5"/>
      <c r="P1163" s="5"/>
    </row>
    <row r="1164" spans="2:16" ht="13.2" x14ac:dyDescent="0.25">
      <c r="B1164" s="18"/>
      <c r="C1164" s="19"/>
      <c r="D1164" s="19"/>
      <c r="O1164" s="5"/>
      <c r="P1164" s="5"/>
    </row>
    <row r="1165" spans="2:16" ht="13.2" x14ac:dyDescent="0.25">
      <c r="B1165" s="18"/>
      <c r="C1165" s="19"/>
      <c r="D1165" s="19"/>
      <c r="O1165" s="5"/>
      <c r="P1165" s="5"/>
    </row>
    <row r="1166" spans="2:16" ht="13.2" x14ac:dyDescent="0.25">
      <c r="B1166" s="18"/>
      <c r="C1166" s="19"/>
      <c r="D1166" s="19"/>
      <c r="O1166" s="5"/>
      <c r="P1166" s="5"/>
    </row>
    <row r="1167" spans="2:16" ht="13.2" x14ac:dyDescent="0.25">
      <c r="B1167" s="18"/>
      <c r="C1167" s="19"/>
      <c r="D1167" s="19"/>
      <c r="O1167" s="5"/>
      <c r="P1167" s="5"/>
    </row>
    <row r="1168" spans="2:16" ht="13.2" x14ac:dyDescent="0.25">
      <c r="B1168" s="18"/>
      <c r="C1168" s="19"/>
      <c r="D1168" s="19"/>
      <c r="O1168" s="5"/>
      <c r="P1168" s="5"/>
    </row>
    <row r="1169" spans="2:16" ht="13.2" x14ac:dyDescent="0.25">
      <c r="B1169" s="18"/>
      <c r="C1169" s="19"/>
      <c r="D1169" s="19"/>
      <c r="O1169" s="5"/>
      <c r="P1169" s="5"/>
    </row>
    <row r="1170" spans="2:16" ht="13.2" x14ac:dyDescent="0.25">
      <c r="B1170" s="18"/>
      <c r="C1170" s="19"/>
      <c r="D1170" s="19"/>
      <c r="O1170" s="5"/>
      <c r="P1170" s="5"/>
    </row>
    <row r="1171" spans="2:16" ht="13.2" x14ac:dyDescent="0.25">
      <c r="B1171" s="18"/>
      <c r="C1171" s="19"/>
      <c r="D1171" s="19"/>
      <c r="O1171" s="5"/>
      <c r="P1171" s="5"/>
    </row>
    <row r="1172" spans="2:16" ht="13.2" x14ac:dyDescent="0.25">
      <c r="B1172" s="18"/>
      <c r="C1172" s="19"/>
      <c r="D1172" s="19"/>
      <c r="O1172" s="5"/>
      <c r="P1172" s="5"/>
    </row>
    <row r="1173" spans="2:16" ht="13.2" x14ac:dyDescent="0.25">
      <c r="B1173" s="18"/>
      <c r="C1173" s="19"/>
      <c r="D1173" s="19"/>
      <c r="O1173" s="5"/>
      <c r="P1173" s="5"/>
    </row>
    <row r="1174" spans="2:16" ht="13.2" x14ac:dyDescent="0.25">
      <c r="B1174" s="18"/>
      <c r="C1174" s="19"/>
      <c r="D1174" s="19"/>
      <c r="O1174" s="5"/>
      <c r="P1174" s="5"/>
    </row>
    <row r="1175" spans="2:16" ht="13.2" x14ac:dyDescent="0.25">
      <c r="B1175" s="18"/>
      <c r="C1175" s="19"/>
      <c r="D1175" s="19"/>
      <c r="O1175" s="5"/>
      <c r="P1175" s="5"/>
    </row>
    <row r="1176" spans="2:16" ht="13.2" x14ac:dyDescent="0.25">
      <c r="B1176" s="18"/>
      <c r="C1176" s="19"/>
      <c r="D1176" s="19"/>
      <c r="O1176" s="5"/>
      <c r="P1176" s="5"/>
    </row>
    <row r="1177" spans="2:16" ht="13.2" x14ac:dyDescent="0.25">
      <c r="B1177" s="18"/>
      <c r="C1177" s="19"/>
      <c r="D1177" s="19"/>
      <c r="O1177" s="5"/>
      <c r="P1177" s="5"/>
    </row>
    <row r="1178" spans="2:16" ht="13.2" x14ac:dyDescent="0.25">
      <c r="B1178" s="18"/>
      <c r="C1178" s="19"/>
      <c r="D1178" s="19"/>
      <c r="O1178" s="5"/>
      <c r="P1178" s="5"/>
    </row>
    <row r="1179" spans="2:16" ht="13.2" x14ac:dyDescent="0.25">
      <c r="B1179" s="18"/>
      <c r="C1179" s="19"/>
      <c r="D1179" s="19"/>
      <c r="O1179" s="5"/>
      <c r="P1179" s="5"/>
    </row>
    <row r="1180" spans="2:16" ht="13.2" x14ac:dyDescent="0.25">
      <c r="B1180" s="18"/>
      <c r="C1180" s="19"/>
      <c r="D1180" s="19"/>
      <c r="O1180" s="5"/>
      <c r="P1180" s="5"/>
    </row>
    <row r="1181" spans="2:16" ht="13.2" x14ac:dyDescent="0.25">
      <c r="B1181" s="18"/>
      <c r="C1181" s="19"/>
      <c r="D1181" s="19"/>
      <c r="O1181" s="5"/>
      <c r="P1181" s="5"/>
    </row>
    <row r="1182" spans="2:16" ht="13.2" x14ac:dyDescent="0.25">
      <c r="B1182" s="18"/>
      <c r="C1182" s="19"/>
      <c r="D1182" s="19"/>
      <c r="O1182" s="5"/>
      <c r="P1182" s="5"/>
    </row>
    <row r="1183" spans="2:16" ht="13.2" x14ac:dyDescent="0.25">
      <c r="B1183" s="18"/>
      <c r="C1183" s="19"/>
      <c r="D1183" s="19"/>
      <c r="O1183" s="5"/>
      <c r="P1183" s="5"/>
    </row>
    <row r="1184" spans="2:16" ht="13.2" x14ac:dyDescent="0.25">
      <c r="B1184" s="18"/>
      <c r="C1184" s="19"/>
      <c r="D1184" s="19"/>
      <c r="O1184" s="5"/>
      <c r="P1184" s="5"/>
    </row>
    <row r="1185" spans="2:16" ht="13.2" x14ac:dyDescent="0.25">
      <c r="B1185" s="18"/>
      <c r="C1185" s="19"/>
      <c r="D1185" s="19"/>
      <c r="O1185" s="5"/>
      <c r="P1185" s="5"/>
    </row>
    <row r="1186" spans="2:16" ht="13.2" x14ac:dyDescent="0.25">
      <c r="B1186" s="18"/>
      <c r="C1186" s="19"/>
      <c r="D1186" s="19"/>
      <c r="O1186" s="5"/>
      <c r="P1186" s="5"/>
    </row>
    <row r="1187" spans="2:16" ht="13.2" x14ac:dyDescent="0.25">
      <c r="B1187" s="18"/>
      <c r="C1187" s="19"/>
      <c r="D1187" s="19"/>
      <c r="O1187" s="5"/>
      <c r="P1187" s="5"/>
    </row>
    <row r="1188" spans="2:16" ht="13.2" x14ac:dyDescent="0.25">
      <c r="B1188" s="18"/>
      <c r="C1188" s="19"/>
      <c r="D1188" s="19"/>
      <c r="O1188" s="5"/>
      <c r="P1188" s="5"/>
    </row>
    <row r="1189" spans="2:16" ht="13.2" x14ac:dyDescent="0.25">
      <c r="B1189" s="18"/>
      <c r="C1189" s="19"/>
      <c r="D1189" s="19"/>
      <c r="O1189" s="5"/>
      <c r="P1189" s="5"/>
    </row>
    <row r="1190" spans="2:16" ht="13.2" x14ac:dyDescent="0.25">
      <c r="B1190" s="18"/>
      <c r="C1190" s="19"/>
      <c r="D1190" s="19"/>
      <c r="O1190" s="5"/>
      <c r="P1190" s="5"/>
    </row>
    <row r="1191" spans="2:16" ht="13.2" x14ac:dyDescent="0.25">
      <c r="B1191" s="18"/>
      <c r="C1191" s="19"/>
      <c r="D1191" s="19"/>
      <c r="O1191" s="5"/>
      <c r="P1191" s="5"/>
    </row>
    <row r="1192" spans="2:16" ht="13.2" x14ac:dyDescent="0.25">
      <c r="B1192" s="18"/>
      <c r="C1192" s="19"/>
      <c r="D1192" s="19"/>
      <c r="O1192" s="5"/>
      <c r="P1192" s="5"/>
    </row>
    <row r="1193" spans="2:16" ht="13.2" x14ac:dyDescent="0.25">
      <c r="B1193" s="18"/>
      <c r="C1193" s="19"/>
      <c r="D1193" s="19"/>
      <c r="O1193" s="5"/>
      <c r="P1193" s="5"/>
    </row>
    <row r="1194" spans="2:16" ht="13.2" x14ac:dyDescent="0.25">
      <c r="B1194" s="18"/>
      <c r="C1194" s="19"/>
      <c r="D1194" s="19"/>
      <c r="O1194" s="5"/>
      <c r="P1194" s="5"/>
    </row>
    <row r="1195" spans="2:16" ht="13.2" x14ac:dyDescent="0.25">
      <c r="B1195" s="18"/>
      <c r="C1195" s="19"/>
      <c r="D1195" s="19"/>
      <c r="O1195" s="5"/>
      <c r="P1195" s="5"/>
    </row>
    <row r="1196" spans="2:16" ht="13.2" x14ac:dyDescent="0.25">
      <c r="B1196" s="18"/>
      <c r="C1196" s="19"/>
      <c r="D1196" s="19"/>
      <c r="O1196" s="5"/>
      <c r="P1196" s="5"/>
    </row>
    <row r="1197" spans="2:16" ht="13.2" x14ac:dyDescent="0.25">
      <c r="B1197" s="18"/>
      <c r="C1197" s="19"/>
      <c r="D1197" s="19"/>
      <c r="O1197" s="5"/>
      <c r="P1197" s="5"/>
    </row>
    <row r="1198" spans="2:16" ht="13.2" x14ac:dyDescent="0.25">
      <c r="B1198" s="18"/>
      <c r="C1198" s="19"/>
      <c r="D1198" s="19"/>
      <c r="O1198" s="5"/>
      <c r="P1198" s="5"/>
    </row>
    <row r="1199" spans="2:16" ht="13.2" x14ac:dyDescent="0.25">
      <c r="B1199" s="18"/>
      <c r="C1199" s="19"/>
      <c r="D1199" s="19"/>
      <c r="O1199" s="5"/>
      <c r="P1199" s="5"/>
    </row>
    <row r="1200" spans="2:16" ht="13.2" x14ac:dyDescent="0.25">
      <c r="B1200" s="18"/>
      <c r="C1200" s="19"/>
      <c r="D1200" s="19"/>
      <c r="O1200" s="5"/>
      <c r="P1200" s="5"/>
    </row>
    <row r="1201" spans="2:16" ht="13.2" x14ac:dyDescent="0.25">
      <c r="B1201" s="18"/>
      <c r="C1201" s="19"/>
      <c r="D1201" s="19"/>
      <c r="O1201" s="5"/>
      <c r="P1201" s="5"/>
    </row>
    <row r="1202" spans="2:16" ht="13.2" x14ac:dyDescent="0.25">
      <c r="B1202" s="18"/>
      <c r="C1202" s="19"/>
      <c r="D1202" s="19"/>
      <c r="O1202" s="5"/>
      <c r="P1202" s="5"/>
    </row>
    <row r="1203" spans="2:16" ht="13.2" x14ac:dyDescent="0.25">
      <c r="B1203" s="18"/>
      <c r="C1203" s="19"/>
      <c r="D1203" s="19"/>
      <c r="O1203" s="5"/>
      <c r="P1203" s="5"/>
    </row>
    <row r="1204" spans="2:16" ht="13.2" x14ac:dyDescent="0.25">
      <c r="B1204" s="18"/>
      <c r="C1204" s="19"/>
      <c r="D1204" s="19"/>
      <c r="O1204" s="5"/>
      <c r="P1204" s="5"/>
    </row>
    <row r="1205" spans="2:16" ht="13.2" x14ac:dyDescent="0.25">
      <c r="B1205" s="18"/>
      <c r="C1205" s="19"/>
      <c r="D1205" s="19"/>
      <c r="O1205" s="5"/>
      <c r="P1205" s="5"/>
    </row>
    <row r="1206" spans="2:16" ht="13.2" x14ac:dyDescent="0.25">
      <c r="B1206" s="18"/>
      <c r="C1206" s="19"/>
      <c r="D1206" s="19"/>
      <c r="O1206" s="5"/>
      <c r="P1206" s="5"/>
    </row>
    <row r="1207" spans="2:16" ht="13.2" x14ac:dyDescent="0.25">
      <c r="B1207" s="18"/>
      <c r="C1207" s="19"/>
      <c r="D1207" s="19"/>
      <c r="O1207" s="5"/>
      <c r="P1207" s="5"/>
    </row>
    <row r="1208" spans="2:16" ht="13.2" x14ac:dyDescent="0.25">
      <c r="B1208" s="18"/>
      <c r="C1208" s="19"/>
      <c r="D1208" s="19"/>
      <c r="O1208" s="5"/>
      <c r="P1208" s="5"/>
    </row>
    <row r="1209" spans="2:16" ht="13.2" x14ac:dyDescent="0.25">
      <c r="B1209" s="18"/>
      <c r="C1209" s="19"/>
      <c r="D1209" s="19"/>
      <c r="O1209" s="5"/>
      <c r="P1209" s="5"/>
    </row>
    <row r="1210" spans="2:16" ht="13.2" x14ac:dyDescent="0.25">
      <c r="B1210" s="18"/>
      <c r="C1210" s="19"/>
      <c r="D1210" s="19"/>
      <c r="O1210" s="5"/>
      <c r="P1210" s="5"/>
    </row>
    <row r="1211" spans="2:16" ht="13.2" x14ac:dyDescent="0.25">
      <c r="B1211" s="18"/>
      <c r="C1211" s="19"/>
      <c r="D1211" s="19"/>
      <c r="O1211" s="5"/>
      <c r="P1211" s="5"/>
    </row>
    <row r="1212" spans="2:16" ht="13.2" x14ac:dyDescent="0.25">
      <c r="B1212" s="18"/>
      <c r="C1212" s="19"/>
      <c r="D1212" s="19"/>
      <c r="O1212" s="5"/>
      <c r="P1212" s="5"/>
    </row>
    <row r="1213" spans="2:16" ht="13.2" x14ac:dyDescent="0.25">
      <c r="B1213" s="18"/>
      <c r="C1213" s="19"/>
      <c r="D1213" s="19"/>
      <c r="O1213" s="5"/>
      <c r="P1213" s="5"/>
    </row>
    <row r="1214" spans="2:16" ht="13.2" x14ac:dyDescent="0.25">
      <c r="B1214" s="18"/>
      <c r="C1214" s="19"/>
      <c r="D1214" s="19"/>
      <c r="O1214" s="5"/>
      <c r="P1214" s="5"/>
    </row>
    <row r="1215" spans="2:16" ht="13.2" x14ac:dyDescent="0.25">
      <c r="B1215" s="18"/>
      <c r="C1215" s="19"/>
      <c r="D1215" s="19"/>
      <c r="O1215" s="5"/>
      <c r="P1215" s="5"/>
    </row>
    <row r="1216" spans="2:16" ht="13.2" x14ac:dyDescent="0.25">
      <c r="B1216" s="18"/>
      <c r="C1216" s="19"/>
      <c r="D1216" s="19"/>
      <c r="O1216" s="5"/>
      <c r="P1216" s="5"/>
    </row>
    <row r="1217" spans="2:16" ht="13.2" x14ac:dyDescent="0.25">
      <c r="B1217" s="18"/>
      <c r="C1217" s="19"/>
      <c r="D1217" s="19"/>
      <c r="O1217" s="5"/>
      <c r="P1217" s="5"/>
    </row>
    <row r="1218" spans="2:16" ht="13.2" x14ac:dyDescent="0.25">
      <c r="B1218" s="18"/>
      <c r="C1218" s="19"/>
      <c r="D1218" s="19"/>
      <c r="O1218" s="5"/>
      <c r="P1218" s="5"/>
    </row>
    <row r="1219" spans="2:16" ht="13.2" x14ac:dyDescent="0.25">
      <c r="B1219" s="18"/>
      <c r="C1219" s="19"/>
      <c r="D1219" s="19"/>
      <c r="O1219" s="5"/>
      <c r="P1219" s="5"/>
    </row>
    <row r="1220" spans="2:16" ht="13.2" x14ac:dyDescent="0.25">
      <c r="B1220" s="18"/>
      <c r="C1220" s="19"/>
      <c r="D1220" s="19"/>
      <c r="O1220" s="5"/>
      <c r="P1220" s="5"/>
    </row>
    <row r="1221" spans="2:16" ht="13.2" x14ac:dyDescent="0.25">
      <c r="B1221" s="18"/>
      <c r="C1221" s="19"/>
      <c r="D1221" s="19"/>
      <c r="O1221" s="5"/>
      <c r="P1221" s="5"/>
    </row>
    <row r="1222" spans="2:16" ht="13.2" x14ac:dyDescent="0.25">
      <c r="B1222" s="18"/>
      <c r="C1222" s="19"/>
      <c r="D1222" s="19"/>
      <c r="O1222" s="5"/>
      <c r="P1222" s="5"/>
    </row>
    <row r="1223" spans="2:16" ht="13.2" x14ac:dyDescent="0.25">
      <c r="B1223" s="18"/>
      <c r="C1223" s="19"/>
      <c r="D1223" s="19"/>
      <c r="O1223" s="5"/>
      <c r="P1223" s="5"/>
    </row>
    <row r="1224" spans="2:16" ht="13.2" x14ac:dyDescent="0.25">
      <c r="B1224" s="18"/>
      <c r="C1224" s="19"/>
      <c r="D1224" s="19"/>
      <c r="O1224" s="5"/>
      <c r="P1224" s="5"/>
    </row>
    <row r="1225" spans="2:16" ht="13.2" x14ac:dyDescent="0.25">
      <c r="B1225" s="18"/>
      <c r="C1225" s="19"/>
      <c r="D1225" s="19"/>
      <c r="O1225" s="5"/>
      <c r="P1225" s="5"/>
    </row>
    <row r="1226" spans="2:16" ht="13.2" x14ac:dyDescent="0.25">
      <c r="B1226" s="18"/>
      <c r="C1226" s="19"/>
      <c r="D1226" s="19"/>
      <c r="O1226" s="5"/>
      <c r="P1226" s="5"/>
    </row>
    <row r="1227" spans="2:16" ht="13.2" x14ac:dyDescent="0.25">
      <c r="B1227" s="18"/>
      <c r="C1227" s="19"/>
      <c r="D1227" s="19"/>
      <c r="O1227" s="5"/>
      <c r="P1227" s="5"/>
    </row>
    <row r="1228" spans="2:16" ht="13.2" x14ac:dyDescent="0.25">
      <c r="B1228" s="18"/>
      <c r="C1228" s="19"/>
      <c r="D1228" s="19"/>
      <c r="O1228" s="5"/>
      <c r="P1228" s="5"/>
    </row>
    <row r="1229" spans="2:16" ht="13.2" x14ac:dyDescent="0.25">
      <c r="B1229" s="18"/>
      <c r="C1229" s="19"/>
      <c r="D1229" s="19"/>
      <c r="O1229" s="5"/>
      <c r="P1229" s="5"/>
    </row>
    <row r="1230" spans="2:16" ht="13.2" x14ac:dyDescent="0.25">
      <c r="B1230" s="18"/>
      <c r="C1230" s="19"/>
      <c r="D1230" s="19"/>
      <c r="O1230" s="5"/>
      <c r="P1230" s="5"/>
    </row>
    <row r="1231" spans="2:16" ht="13.2" x14ac:dyDescent="0.25">
      <c r="B1231" s="18"/>
      <c r="C1231" s="19"/>
      <c r="D1231" s="19"/>
      <c r="O1231" s="5"/>
      <c r="P1231" s="5"/>
    </row>
    <row r="1232" spans="2:16" ht="13.2" x14ac:dyDescent="0.25">
      <c r="B1232" s="18"/>
      <c r="C1232" s="19"/>
      <c r="D1232" s="19"/>
      <c r="O1232" s="5"/>
      <c r="P1232" s="5"/>
    </row>
    <row r="1233" spans="2:16" ht="13.2" x14ac:dyDescent="0.25">
      <c r="B1233" s="18"/>
      <c r="C1233" s="19"/>
      <c r="D1233" s="19"/>
      <c r="O1233" s="5"/>
      <c r="P1233" s="5"/>
    </row>
    <row r="1234" spans="2:16" ht="13.2" x14ac:dyDescent="0.25">
      <c r="B1234" s="18"/>
      <c r="C1234" s="19"/>
      <c r="D1234" s="19"/>
      <c r="O1234" s="5"/>
      <c r="P1234" s="5"/>
    </row>
    <row r="1235" spans="2:16" ht="13.2" x14ac:dyDescent="0.25">
      <c r="B1235" s="18"/>
      <c r="C1235" s="19"/>
      <c r="D1235" s="19"/>
      <c r="O1235" s="5"/>
      <c r="P1235" s="5"/>
    </row>
    <row r="1236" spans="2:16" ht="13.2" x14ac:dyDescent="0.25">
      <c r="B1236" s="18"/>
      <c r="C1236" s="19"/>
      <c r="D1236" s="19"/>
      <c r="O1236" s="5"/>
      <c r="P1236" s="5"/>
    </row>
    <row r="1237" spans="2:16" ht="13.2" x14ac:dyDescent="0.25">
      <c r="B1237" s="18"/>
      <c r="C1237" s="19"/>
      <c r="D1237" s="19"/>
      <c r="O1237" s="5"/>
      <c r="P1237" s="5"/>
    </row>
    <row r="1238" spans="2:16" ht="13.2" x14ac:dyDescent="0.25">
      <c r="B1238" s="18"/>
      <c r="C1238" s="19"/>
      <c r="D1238" s="19"/>
      <c r="O1238" s="5"/>
      <c r="P1238" s="5"/>
    </row>
    <row r="1239" spans="2:16" ht="13.2" x14ac:dyDescent="0.25">
      <c r="B1239" s="18"/>
      <c r="C1239" s="19"/>
      <c r="D1239" s="19"/>
      <c r="O1239" s="5"/>
      <c r="P1239" s="5"/>
    </row>
    <row r="1240" spans="2:16" ht="13.2" x14ac:dyDescent="0.25">
      <c r="B1240" s="18"/>
      <c r="C1240" s="19"/>
      <c r="D1240" s="19"/>
      <c r="O1240" s="5"/>
      <c r="P1240" s="5"/>
    </row>
    <row r="1241" spans="2:16" ht="13.2" x14ac:dyDescent="0.25">
      <c r="B1241" s="18"/>
      <c r="C1241" s="19"/>
      <c r="D1241" s="19"/>
      <c r="O1241" s="5"/>
      <c r="P1241" s="5"/>
    </row>
    <row r="1242" spans="2:16" ht="13.2" x14ac:dyDescent="0.25">
      <c r="B1242" s="18"/>
      <c r="C1242" s="19"/>
      <c r="D1242" s="19"/>
      <c r="O1242" s="5"/>
      <c r="P1242" s="5"/>
    </row>
    <row r="1243" spans="2:16" ht="13.2" x14ac:dyDescent="0.25">
      <c r="B1243" s="18"/>
      <c r="C1243" s="19"/>
      <c r="D1243" s="19"/>
      <c r="O1243" s="5"/>
      <c r="P1243" s="5"/>
    </row>
    <row r="1244" spans="2:16" ht="13.2" x14ac:dyDescent="0.25">
      <c r="B1244" s="18"/>
      <c r="C1244" s="19"/>
      <c r="D1244" s="19"/>
      <c r="O1244" s="5"/>
      <c r="P1244" s="5"/>
    </row>
    <row r="1245" spans="2:16" ht="13.2" x14ac:dyDescent="0.25">
      <c r="B1245" s="18"/>
      <c r="C1245" s="19"/>
      <c r="D1245" s="19"/>
      <c r="O1245" s="5"/>
      <c r="P1245" s="5"/>
    </row>
    <row r="1246" spans="2:16" ht="13.2" x14ac:dyDescent="0.25">
      <c r="B1246" s="18"/>
      <c r="C1246" s="19"/>
      <c r="D1246" s="19"/>
      <c r="O1246" s="5"/>
      <c r="P1246" s="5"/>
    </row>
    <row r="1247" spans="2:16" ht="13.2" x14ac:dyDescent="0.25">
      <c r="B1247" s="18"/>
      <c r="C1247" s="19"/>
      <c r="D1247" s="19"/>
      <c r="O1247" s="5"/>
      <c r="P1247" s="5"/>
    </row>
    <row r="1248" spans="2:16" ht="13.2" x14ac:dyDescent="0.25">
      <c r="B1248" s="18"/>
      <c r="C1248" s="19"/>
      <c r="D1248" s="19"/>
      <c r="O1248" s="5"/>
      <c r="P1248" s="5"/>
    </row>
    <row r="1249" spans="2:16" ht="13.2" x14ac:dyDescent="0.25">
      <c r="B1249" s="18"/>
      <c r="C1249" s="19"/>
      <c r="D1249" s="19"/>
      <c r="O1249" s="5"/>
      <c r="P1249" s="5"/>
    </row>
    <row r="1250" spans="2:16" ht="13.2" x14ac:dyDescent="0.25">
      <c r="B1250" s="18"/>
      <c r="C1250" s="19"/>
      <c r="D1250" s="19"/>
      <c r="O1250" s="5"/>
      <c r="P1250" s="5"/>
    </row>
    <row r="1251" spans="2:16" ht="13.2" x14ac:dyDescent="0.25">
      <c r="B1251" s="18"/>
      <c r="C1251" s="19"/>
      <c r="D1251" s="19"/>
      <c r="O1251" s="5"/>
      <c r="P1251" s="5"/>
    </row>
    <row r="1252" spans="2:16" ht="13.2" x14ac:dyDescent="0.25">
      <c r="B1252" s="18"/>
      <c r="C1252" s="19"/>
      <c r="D1252" s="19"/>
      <c r="O1252" s="5"/>
      <c r="P1252" s="5"/>
    </row>
    <row r="1253" spans="2:16" ht="13.2" x14ac:dyDescent="0.25">
      <c r="B1253" s="18"/>
      <c r="C1253" s="19"/>
      <c r="D1253" s="19"/>
      <c r="O1253" s="5"/>
      <c r="P1253" s="5"/>
    </row>
    <row r="1254" spans="2:16" ht="13.2" x14ac:dyDescent="0.25">
      <c r="B1254" s="18"/>
      <c r="C1254" s="19"/>
      <c r="D1254" s="19"/>
      <c r="O1254" s="5"/>
      <c r="P1254" s="5"/>
    </row>
    <row r="1255" spans="2:16" ht="13.2" x14ac:dyDescent="0.25">
      <c r="B1255" s="18"/>
      <c r="C1255" s="19"/>
      <c r="D1255" s="19"/>
      <c r="O1255" s="5"/>
      <c r="P1255" s="5"/>
    </row>
    <row r="1256" spans="2:16" ht="13.2" x14ac:dyDescent="0.25">
      <c r="B1256" s="18"/>
      <c r="C1256" s="19"/>
      <c r="D1256" s="19"/>
      <c r="O1256" s="5"/>
      <c r="P1256" s="5"/>
    </row>
    <row r="1257" spans="2:16" ht="13.2" x14ac:dyDescent="0.25">
      <c r="B1257" s="18"/>
      <c r="C1257" s="19"/>
      <c r="D1257" s="19"/>
      <c r="O1257" s="5"/>
      <c r="P1257" s="5"/>
    </row>
    <row r="1258" spans="2:16" ht="13.2" x14ac:dyDescent="0.25">
      <c r="B1258" s="18"/>
      <c r="C1258" s="19"/>
      <c r="D1258" s="19"/>
      <c r="O1258" s="5"/>
      <c r="P1258" s="5"/>
    </row>
    <row r="1259" spans="2:16" ht="13.2" x14ac:dyDescent="0.25">
      <c r="B1259" s="18"/>
      <c r="C1259" s="19"/>
      <c r="D1259" s="19"/>
      <c r="O1259" s="5"/>
      <c r="P1259" s="5"/>
    </row>
    <row r="1260" spans="2:16" ht="13.2" x14ac:dyDescent="0.25">
      <c r="B1260" s="18"/>
      <c r="C1260" s="19"/>
      <c r="D1260" s="19"/>
      <c r="O1260" s="5"/>
      <c r="P1260" s="5"/>
    </row>
    <row r="1261" spans="2:16" ht="13.2" x14ac:dyDescent="0.25">
      <c r="B1261" s="18"/>
      <c r="C1261" s="19"/>
      <c r="D1261" s="19"/>
      <c r="O1261" s="5"/>
      <c r="P1261" s="5"/>
    </row>
    <row r="1262" spans="2:16" ht="13.2" x14ac:dyDescent="0.25">
      <c r="B1262" s="18"/>
      <c r="C1262" s="19"/>
      <c r="D1262" s="19"/>
      <c r="O1262" s="5"/>
      <c r="P1262" s="5"/>
    </row>
    <row r="1263" spans="2:16" ht="13.2" x14ac:dyDescent="0.25">
      <c r="B1263" s="18"/>
      <c r="C1263" s="19"/>
      <c r="D1263" s="19"/>
      <c r="O1263" s="5"/>
      <c r="P1263" s="5"/>
    </row>
    <row r="1264" spans="2:16" ht="13.2" x14ac:dyDescent="0.25">
      <c r="B1264" s="18"/>
      <c r="C1264" s="19"/>
      <c r="D1264" s="19"/>
      <c r="O1264" s="5"/>
      <c r="P1264" s="5"/>
    </row>
    <row r="1265" spans="2:16" ht="13.2" x14ac:dyDescent="0.25">
      <c r="B1265" s="18"/>
      <c r="C1265" s="19"/>
      <c r="D1265" s="19"/>
      <c r="O1265" s="5"/>
      <c r="P1265" s="5"/>
    </row>
    <row r="1266" spans="2:16" ht="13.2" x14ac:dyDescent="0.25">
      <c r="B1266" s="18"/>
      <c r="C1266" s="19"/>
      <c r="D1266" s="19"/>
      <c r="O1266" s="5"/>
      <c r="P1266" s="5"/>
    </row>
    <row r="1267" spans="2:16" ht="13.2" x14ac:dyDescent="0.25">
      <c r="B1267" s="18"/>
      <c r="C1267" s="19"/>
      <c r="D1267" s="19"/>
      <c r="O1267" s="5"/>
      <c r="P1267" s="5"/>
    </row>
    <row r="1268" spans="2:16" ht="13.2" x14ac:dyDescent="0.25">
      <c r="B1268" s="18"/>
      <c r="C1268" s="19"/>
      <c r="D1268" s="19"/>
      <c r="O1268" s="5"/>
      <c r="P1268" s="5"/>
    </row>
    <row r="1269" spans="2:16" ht="13.2" x14ac:dyDescent="0.25">
      <c r="B1269" s="18"/>
      <c r="C1269" s="19"/>
      <c r="D1269" s="19"/>
      <c r="O1269" s="5"/>
      <c r="P1269" s="5"/>
    </row>
    <row r="1270" spans="2:16" ht="13.2" x14ac:dyDescent="0.25">
      <c r="B1270" s="18"/>
      <c r="C1270" s="19"/>
      <c r="D1270" s="19"/>
      <c r="O1270" s="5"/>
      <c r="P1270" s="5"/>
    </row>
    <row r="1271" spans="2:16" ht="13.2" x14ac:dyDescent="0.25">
      <c r="B1271" s="18"/>
      <c r="C1271" s="19"/>
      <c r="D1271" s="19"/>
      <c r="O1271" s="5"/>
      <c r="P1271" s="5"/>
    </row>
    <row r="1272" spans="2:16" ht="13.2" x14ac:dyDescent="0.25">
      <c r="B1272" s="18"/>
      <c r="C1272" s="19"/>
      <c r="D1272" s="19"/>
      <c r="O1272" s="5"/>
      <c r="P1272" s="5"/>
    </row>
    <row r="1273" spans="2:16" ht="13.2" x14ac:dyDescent="0.25">
      <c r="B1273" s="18"/>
      <c r="C1273" s="19"/>
      <c r="D1273" s="19"/>
      <c r="O1273" s="5"/>
      <c r="P1273" s="5"/>
    </row>
    <row r="1274" spans="2:16" ht="13.2" x14ac:dyDescent="0.25">
      <c r="B1274" s="18"/>
      <c r="C1274" s="19"/>
      <c r="D1274" s="19"/>
      <c r="O1274" s="5"/>
      <c r="P1274" s="5"/>
    </row>
    <row r="1275" spans="2:16" ht="13.2" x14ac:dyDescent="0.25">
      <c r="B1275" s="18"/>
      <c r="C1275" s="19"/>
      <c r="D1275" s="19"/>
      <c r="O1275" s="5"/>
      <c r="P1275" s="5"/>
    </row>
    <row r="1276" spans="2:16" ht="13.2" x14ac:dyDescent="0.25">
      <c r="B1276" s="18"/>
      <c r="C1276" s="19"/>
      <c r="D1276" s="19"/>
      <c r="O1276" s="5"/>
      <c r="P1276" s="5"/>
    </row>
    <row r="1277" spans="2:16" ht="13.2" x14ac:dyDescent="0.25">
      <c r="B1277" s="18"/>
      <c r="C1277" s="19"/>
      <c r="D1277" s="19"/>
      <c r="O1277" s="5"/>
      <c r="P1277" s="5"/>
    </row>
    <row r="1278" spans="2:16" ht="13.2" x14ac:dyDescent="0.25">
      <c r="B1278" s="18"/>
      <c r="C1278" s="19"/>
      <c r="D1278" s="19"/>
      <c r="O1278" s="5"/>
      <c r="P1278" s="5"/>
    </row>
    <row r="1279" spans="2:16" ht="13.2" x14ac:dyDescent="0.25">
      <c r="B1279" s="18"/>
      <c r="C1279" s="19"/>
      <c r="D1279" s="19"/>
      <c r="O1279" s="5"/>
      <c r="P1279" s="5"/>
    </row>
    <row r="1280" spans="2:16" ht="13.2" x14ac:dyDescent="0.25">
      <c r="B1280" s="18"/>
      <c r="C1280" s="19"/>
      <c r="D1280" s="19"/>
      <c r="O1280" s="5"/>
      <c r="P1280" s="5"/>
    </row>
    <row r="1281" spans="2:16" ht="13.2" x14ac:dyDescent="0.25">
      <c r="B1281" s="18"/>
      <c r="C1281" s="19"/>
      <c r="D1281" s="19"/>
      <c r="O1281" s="5"/>
      <c r="P1281" s="5"/>
    </row>
    <row r="1282" spans="2:16" ht="13.2" x14ac:dyDescent="0.25">
      <c r="B1282" s="18"/>
      <c r="C1282" s="19"/>
      <c r="D1282" s="19"/>
      <c r="O1282" s="5"/>
      <c r="P1282" s="5"/>
    </row>
    <row r="1283" spans="2:16" ht="13.2" x14ac:dyDescent="0.25">
      <c r="B1283" s="18"/>
      <c r="C1283" s="19"/>
      <c r="D1283" s="19"/>
      <c r="O1283" s="5"/>
      <c r="P1283" s="5"/>
    </row>
    <row r="1284" spans="2:16" ht="13.2" x14ac:dyDescent="0.25">
      <c r="B1284" s="18"/>
      <c r="C1284" s="19"/>
      <c r="D1284" s="19"/>
      <c r="O1284" s="5"/>
      <c r="P1284" s="5"/>
    </row>
    <row r="1285" spans="2:16" ht="13.2" x14ac:dyDescent="0.25">
      <c r="B1285" s="18"/>
      <c r="C1285" s="19"/>
      <c r="D1285" s="19"/>
      <c r="O1285" s="5"/>
      <c r="P1285" s="5"/>
    </row>
    <row r="1286" spans="2:16" ht="13.2" x14ac:dyDescent="0.25">
      <c r="B1286" s="18"/>
      <c r="C1286" s="19"/>
      <c r="D1286" s="19"/>
      <c r="O1286" s="5"/>
      <c r="P1286" s="5"/>
    </row>
    <row r="1287" spans="2:16" ht="13.2" x14ac:dyDescent="0.25">
      <c r="B1287" s="18"/>
      <c r="C1287" s="19"/>
      <c r="D1287" s="19"/>
      <c r="O1287" s="5"/>
      <c r="P1287" s="5"/>
    </row>
    <row r="1288" spans="2:16" ht="13.2" x14ac:dyDescent="0.25">
      <c r="B1288" s="18"/>
      <c r="C1288" s="19"/>
      <c r="D1288" s="19"/>
      <c r="O1288" s="5"/>
      <c r="P1288" s="5"/>
    </row>
    <row r="1289" spans="2:16" ht="13.2" x14ac:dyDescent="0.25">
      <c r="B1289" s="18"/>
      <c r="C1289" s="19"/>
      <c r="D1289" s="19"/>
      <c r="O1289" s="5"/>
      <c r="P1289" s="5"/>
    </row>
    <row r="1290" spans="2:16" ht="13.2" x14ac:dyDescent="0.25">
      <c r="B1290" s="18"/>
      <c r="C1290" s="19"/>
      <c r="D1290" s="19"/>
      <c r="O1290" s="5"/>
      <c r="P1290" s="5"/>
    </row>
    <row r="1291" spans="2:16" ht="13.2" x14ac:dyDescent="0.25">
      <c r="B1291" s="18"/>
      <c r="C1291" s="19"/>
      <c r="D1291" s="19"/>
      <c r="O1291" s="5"/>
      <c r="P1291" s="5"/>
    </row>
    <row r="1292" spans="2:16" ht="13.2" x14ac:dyDescent="0.25">
      <c r="B1292" s="18"/>
      <c r="C1292" s="19"/>
      <c r="D1292" s="19"/>
      <c r="O1292" s="5"/>
      <c r="P1292" s="5"/>
    </row>
    <row r="1293" spans="2:16" ht="13.2" x14ac:dyDescent="0.25">
      <c r="B1293" s="18"/>
      <c r="C1293" s="19"/>
      <c r="D1293" s="19"/>
      <c r="O1293" s="5"/>
      <c r="P1293" s="5"/>
    </row>
    <row r="1294" spans="2:16" ht="13.2" x14ac:dyDescent="0.25">
      <c r="B1294" s="18"/>
      <c r="C1294" s="19"/>
      <c r="D1294" s="19"/>
      <c r="O1294" s="5"/>
      <c r="P1294" s="5"/>
    </row>
    <row r="1295" spans="2:16" ht="13.2" x14ac:dyDescent="0.25">
      <c r="B1295" s="18"/>
      <c r="C1295" s="19"/>
      <c r="D1295" s="19"/>
      <c r="O1295" s="5"/>
      <c r="P1295" s="5"/>
    </row>
    <row r="1296" spans="2:16" ht="13.2" x14ac:dyDescent="0.25">
      <c r="B1296" s="18"/>
      <c r="C1296" s="19"/>
      <c r="D1296" s="19"/>
      <c r="O1296" s="5"/>
      <c r="P1296" s="5"/>
    </row>
    <row r="1297" spans="2:16" ht="13.2" x14ac:dyDescent="0.25">
      <c r="B1297" s="18"/>
      <c r="C1297" s="19"/>
      <c r="D1297" s="19"/>
      <c r="O1297" s="5"/>
      <c r="P1297" s="5"/>
    </row>
    <row r="1298" spans="2:16" ht="13.2" x14ac:dyDescent="0.25">
      <c r="B1298" s="18"/>
      <c r="C1298" s="19"/>
      <c r="D1298" s="19"/>
      <c r="O1298" s="5"/>
      <c r="P1298" s="5"/>
    </row>
    <row r="1299" spans="2:16" ht="13.2" x14ac:dyDescent="0.25">
      <c r="B1299" s="18"/>
      <c r="C1299" s="19"/>
      <c r="D1299" s="19"/>
      <c r="O1299" s="5"/>
      <c r="P1299" s="5"/>
    </row>
    <row r="1300" spans="2:16" ht="13.2" x14ac:dyDescent="0.25">
      <c r="B1300" s="18"/>
      <c r="C1300" s="19"/>
      <c r="D1300" s="19"/>
      <c r="O1300" s="5"/>
      <c r="P1300" s="5"/>
    </row>
    <row r="1301" spans="2:16" ht="13.2" x14ac:dyDescent="0.25">
      <c r="B1301" s="18"/>
      <c r="C1301" s="19"/>
      <c r="D1301" s="19"/>
      <c r="O1301" s="5"/>
      <c r="P1301" s="5"/>
    </row>
    <row r="1302" spans="2:16" ht="13.2" x14ac:dyDescent="0.25">
      <c r="B1302" s="18"/>
      <c r="C1302" s="19"/>
      <c r="D1302" s="19"/>
      <c r="O1302" s="5"/>
      <c r="P1302" s="5"/>
    </row>
    <row r="1303" spans="2:16" ht="13.2" x14ac:dyDescent="0.25">
      <c r="B1303" s="18"/>
      <c r="C1303" s="19"/>
      <c r="D1303" s="19"/>
      <c r="O1303" s="5"/>
      <c r="P1303" s="5"/>
    </row>
    <row r="1304" spans="2:16" ht="13.2" x14ac:dyDescent="0.25">
      <c r="B1304" s="18"/>
      <c r="C1304" s="19"/>
      <c r="D1304" s="19"/>
      <c r="O1304" s="5"/>
      <c r="P1304" s="5"/>
    </row>
    <row r="1305" spans="2:16" ht="13.2" x14ac:dyDescent="0.25">
      <c r="B1305" s="18"/>
      <c r="C1305" s="19"/>
      <c r="D1305" s="19"/>
      <c r="O1305" s="5"/>
      <c r="P1305" s="5"/>
    </row>
    <row r="1306" spans="2:16" ht="13.2" x14ac:dyDescent="0.25">
      <c r="B1306" s="18"/>
      <c r="C1306" s="19"/>
      <c r="D1306" s="19"/>
      <c r="O1306" s="5"/>
      <c r="P1306" s="5"/>
    </row>
    <row r="1307" spans="2:16" ht="13.2" x14ac:dyDescent="0.25">
      <c r="B1307" s="18"/>
      <c r="C1307" s="19"/>
      <c r="D1307" s="19"/>
      <c r="O1307" s="5"/>
      <c r="P1307" s="5"/>
    </row>
    <row r="1308" spans="2:16" ht="13.2" x14ac:dyDescent="0.25">
      <c r="B1308" s="18"/>
      <c r="C1308" s="19"/>
      <c r="D1308" s="19"/>
      <c r="O1308" s="5"/>
      <c r="P1308" s="5"/>
    </row>
    <row r="1309" spans="2:16" ht="13.2" x14ac:dyDescent="0.25">
      <c r="B1309" s="18"/>
      <c r="C1309" s="19"/>
      <c r="D1309" s="19"/>
      <c r="O1309" s="5"/>
      <c r="P1309" s="5"/>
    </row>
    <row r="1310" spans="2:16" ht="13.2" x14ac:dyDescent="0.25">
      <c r="B1310" s="18"/>
      <c r="C1310" s="19"/>
      <c r="D1310" s="19"/>
      <c r="O1310" s="5"/>
      <c r="P1310" s="5"/>
    </row>
    <row r="1311" spans="2:16" ht="13.2" x14ac:dyDescent="0.25">
      <c r="B1311" s="18"/>
      <c r="C1311" s="19"/>
      <c r="D1311" s="19"/>
      <c r="O1311" s="5"/>
      <c r="P1311" s="5"/>
    </row>
    <row r="1312" spans="2:16" ht="13.2" x14ac:dyDescent="0.25">
      <c r="B1312" s="18"/>
      <c r="C1312" s="19"/>
      <c r="D1312" s="19"/>
      <c r="O1312" s="5"/>
      <c r="P1312" s="5"/>
    </row>
    <row r="1313" spans="2:16" ht="13.2" x14ac:dyDescent="0.25">
      <c r="B1313" s="18"/>
      <c r="C1313" s="19"/>
      <c r="D1313" s="19"/>
      <c r="O1313" s="5"/>
      <c r="P1313" s="5"/>
    </row>
    <row r="1314" spans="2:16" ht="13.2" x14ac:dyDescent="0.25">
      <c r="B1314" s="18"/>
      <c r="C1314" s="19"/>
      <c r="D1314" s="19"/>
      <c r="O1314" s="5"/>
      <c r="P1314" s="5"/>
    </row>
    <row r="1315" spans="2:16" ht="13.2" x14ac:dyDescent="0.25">
      <c r="B1315" s="18"/>
      <c r="C1315" s="19"/>
      <c r="D1315" s="19"/>
      <c r="O1315" s="5"/>
      <c r="P1315" s="5"/>
    </row>
    <row r="1316" spans="2:16" ht="13.2" x14ac:dyDescent="0.25">
      <c r="B1316" s="18"/>
      <c r="C1316" s="19"/>
      <c r="D1316" s="19"/>
      <c r="O1316" s="5"/>
      <c r="P1316" s="5"/>
    </row>
    <row r="1317" spans="2:16" ht="13.2" x14ac:dyDescent="0.25">
      <c r="B1317" s="18"/>
      <c r="C1317" s="19"/>
      <c r="D1317" s="19"/>
      <c r="O1317" s="5"/>
      <c r="P1317" s="5"/>
    </row>
    <row r="1318" spans="2:16" ht="13.2" x14ac:dyDescent="0.25">
      <c r="B1318" s="18"/>
      <c r="C1318" s="19"/>
      <c r="D1318" s="19"/>
      <c r="O1318" s="5"/>
      <c r="P1318" s="5"/>
    </row>
    <row r="1319" spans="2:16" ht="13.2" x14ac:dyDescent="0.25">
      <c r="B1319" s="18"/>
      <c r="C1319" s="19"/>
      <c r="D1319" s="19"/>
      <c r="O1319" s="5"/>
      <c r="P1319" s="5"/>
    </row>
    <row r="1320" spans="2:16" ht="13.2" x14ac:dyDescent="0.25">
      <c r="B1320" s="18"/>
      <c r="C1320" s="19"/>
      <c r="D1320" s="19"/>
      <c r="O1320" s="5"/>
      <c r="P1320" s="5"/>
    </row>
    <row r="1321" spans="2:16" ht="13.2" x14ac:dyDescent="0.25">
      <c r="B1321" s="18"/>
      <c r="C1321" s="19"/>
      <c r="D1321" s="19"/>
      <c r="O1321" s="5"/>
      <c r="P1321" s="5"/>
    </row>
    <row r="1322" spans="2:16" ht="13.2" x14ac:dyDescent="0.25">
      <c r="B1322" s="18"/>
      <c r="C1322" s="19"/>
      <c r="D1322" s="19"/>
      <c r="O1322" s="5"/>
      <c r="P1322" s="5"/>
    </row>
    <row r="1323" spans="2:16" ht="13.2" x14ac:dyDescent="0.25">
      <c r="B1323" s="18"/>
      <c r="C1323" s="19"/>
      <c r="D1323" s="19"/>
      <c r="O1323" s="5"/>
      <c r="P1323" s="5"/>
    </row>
    <row r="1324" spans="2:16" ht="13.2" x14ac:dyDescent="0.25">
      <c r="B1324" s="18"/>
      <c r="C1324" s="19"/>
      <c r="D1324" s="19"/>
      <c r="O1324" s="5"/>
      <c r="P1324" s="5"/>
    </row>
    <row r="1325" spans="2:16" ht="13.2" x14ac:dyDescent="0.25">
      <c r="B1325" s="18"/>
      <c r="C1325" s="19"/>
      <c r="D1325" s="19"/>
      <c r="O1325" s="5"/>
      <c r="P1325" s="5"/>
    </row>
    <row r="1326" spans="2:16" ht="13.2" x14ac:dyDescent="0.25">
      <c r="B1326" s="18"/>
      <c r="C1326" s="19"/>
      <c r="D1326" s="19"/>
      <c r="O1326" s="5"/>
      <c r="P1326" s="5"/>
    </row>
    <row r="1327" spans="2:16" ht="13.2" x14ac:dyDescent="0.25">
      <c r="B1327" s="18"/>
      <c r="C1327" s="19"/>
      <c r="D1327" s="19"/>
      <c r="O1327" s="5"/>
      <c r="P1327" s="5"/>
    </row>
    <row r="1328" spans="2:16" ht="13.2" x14ac:dyDescent="0.25">
      <c r="B1328" s="18"/>
      <c r="C1328" s="19"/>
      <c r="D1328" s="19"/>
      <c r="O1328" s="5"/>
      <c r="P1328" s="5"/>
    </row>
    <row r="1329" spans="2:16" ht="13.2" x14ac:dyDescent="0.25">
      <c r="B1329" s="18"/>
      <c r="C1329" s="19"/>
      <c r="D1329" s="19"/>
      <c r="O1329" s="5"/>
      <c r="P1329" s="5"/>
    </row>
    <row r="1330" spans="2:16" ht="13.2" x14ac:dyDescent="0.25">
      <c r="B1330" s="18"/>
      <c r="C1330" s="19"/>
      <c r="D1330" s="19"/>
      <c r="O1330" s="5"/>
      <c r="P1330" s="5"/>
    </row>
    <row r="1331" spans="2:16" ht="13.2" x14ac:dyDescent="0.25">
      <c r="B1331" s="18"/>
      <c r="C1331" s="19"/>
      <c r="D1331" s="19"/>
      <c r="O1331" s="5"/>
      <c r="P1331" s="5"/>
    </row>
    <row r="1332" spans="2:16" ht="13.2" x14ac:dyDescent="0.25">
      <c r="B1332" s="18"/>
      <c r="C1332" s="19"/>
      <c r="D1332" s="19"/>
      <c r="O1332" s="5"/>
      <c r="P1332" s="5"/>
    </row>
    <row r="1333" spans="2:16" ht="13.2" x14ac:dyDescent="0.25">
      <c r="B1333" s="18"/>
      <c r="C1333" s="19"/>
      <c r="D1333" s="19"/>
      <c r="O1333" s="5"/>
      <c r="P1333" s="5"/>
    </row>
    <row r="1334" spans="2:16" ht="13.2" x14ac:dyDescent="0.25">
      <c r="B1334" s="18"/>
      <c r="C1334" s="19"/>
      <c r="D1334" s="19"/>
      <c r="O1334" s="5"/>
      <c r="P1334" s="5"/>
    </row>
    <row r="1335" spans="2:16" ht="13.2" x14ac:dyDescent="0.25">
      <c r="B1335" s="18"/>
      <c r="C1335" s="19"/>
      <c r="D1335" s="19"/>
      <c r="O1335" s="5"/>
      <c r="P1335" s="5"/>
    </row>
    <row r="1336" spans="2:16" ht="13.2" x14ac:dyDescent="0.25">
      <c r="B1336" s="18"/>
      <c r="C1336" s="19"/>
      <c r="D1336" s="19"/>
      <c r="O1336" s="5"/>
      <c r="P1336" s="5"/>
    </row>
    <row r="1337" spans="2:16" ht="13.2" x14ac:dyDescent="0.25">
      <c r="B1337" s="18"/>
      <c r="C1337" s="19"/>
      <c r="D1337" s="19"/>
      <c r="O1337" s="5"/>
      <c r="P1337" s="5"/>
    </row>
    <row r="1338" spans="2:16" ht="13.2" x14ac:dyDescent="0.25">
      <c r="B1338" s="18"/>
      <c r="C1338" s="19"/>
      <c r="D1338" s="19"/>
      <c r="O1338" s="5"/>
      <c r="P1338" s="5"/>
    </row>
    <row r="1339" spans="2:16" ht="13.2" x14ac:dyDescent="0.25">
      <c r="B1339" s="18"/>
      <c r="C1339" s="19"/>
      <c r="D1339" s="19"/>
      <c r="O1339" s="5"/>
      <c r="P1339" s="5"/>
    </row>
    <row r="1340" spans="2:16" ht="13.2" x14ac:dyDescent="0.25">
      <c r="B1340" s="18"/>
      <c r="C1340" s="19"/>
      <c r="D1340" s="19"/>
      <c r="O1340" s="5"/>
      <c r="P1340" s="5"/>
    </row>
    <row r="1341" spans="2:16" ht="13.2" x14ac:dyDescent="0.25">
      <c r="B1341" s="18"/>
      <c r="C1341" s="19"/>
      <c r="D1341" s="19"/>
      <c r="O1341" s="5"/>
      <c r="P1341" s="5"/>
    </row>
    <row r="1342" spans="2:16" ht="13.2" x14ac:dyDescent="0.25">
      <c r="B1342" s="18"/>
      <c r="C1342" s="19"/>
      <c r="D1342" s="19"/>
      <c r="O1342" s="5"/>
      <c r="P1342" s="5"/>
    </row>
    <row r="1343" spans="2:16" ht="13.2" x14ac:dyDescent="0.25">
      <c r="B1343" s="18"/>
      <c r="C1343" s="19"/>
      <c r="D1343" s="19"/>
      <c r="O1343" s="5"/>
      <c r="P1343" s="5"/>
    </row>
    <row r="1344" spans="2:16" ht="13.2" x14ac:dyDescent="0.25">
      <c r="B1344" s="18"/>
      <c r="C1344" s="19"/>
      <c r="D1344" s="19"/>
      <c r="O1344" s="5"/>
      <c r="P1344" s="5"/>
    </row>
    <row r="1345" spans="2:16" ht="13.2" x14ac:dyDescent="0.25">
      <c r="B1345" s="18"/>
      <c r="C1345" s="19"/>
      <c r="D1345" s="19"/>
      <c r="O1345" s="5"/>
      <c r="P1345" s="5"/>
    </row>
    <row r="1346" spans="2:16" ht="13.2" x14ac:dyDescent="0.25">
      <c r="B1346" s="18"/>
      <c r="C1346" s="19"/>
      <c r="D1346" s="19"/>
      <c r="O1346" s="5"/>
      <c r="P1346" s="5"/>
    </row>
    <row r="1347" spans="2:16" ht="13.2" x14ac:dyDescent="0.25">
      <c r="B1347" s="18"/>
      <c r="C1347" s="19"/>
      <c r="D1347" s="19"/>
      <c r="O1347" s="5"/>
      <c r="P1347" s="5"/>
    </row>
    <row r="1348" spans="2:16" ht="13.2" x14ac:dyDescent="0.25">
      <c r="B1348" s="18"/>
      <c r="C1348" s="19"/>
      <c r="D1348" s="19"/>
      <c r="O1348" s="5"/>
      <c r="P1348" s="5"/>
    </row>
    <row r="1349" spans="2:16" ht="13.2" x14ac:dyDescent="0.25">
      <c r="B1349" s="18"/>
      <c r="C1349" s="19"/>
      <c r="D1349" s="19"/>
      <c r="O1349" s="5"/>
      <c r="P1349" s="5"/>
    </row>
    <row r="1350" spans="2:16" ht="13.2" x14ac:dyDescent="0.25">
      <c r="B1350" s="18"/>
      <c r="C1350" s="19"/>
      <c r="D1350" s="19"/>
      <c r="O1350" s="5"/>
      <c r="P1350" s="5"/>
    </row>
    <row r="1351" spans="2:16" ht="13.2" x14ac:dyDescent="0.25">
      <c r="B1351" s="18"/>
      <c r="C1351" s="19"/>
      <c r="D1351" s="19"/>
      <c r="O1351" s="5"/>
      <c r="P1351" s="5"/>
    </row>
    <row r="1352" spans="2:16" ht="13.2" x14ac:dyDescent="0.25">
      <c r="B1352" s="18"/>
      <c r="C1352" s="19"/>
      <c r="D1352" s="19"/>
      <c r="O1352" s="5"/>
      <c r="P1352" s="5"/>
    </row>
    <row r="1353" spans="2:16" ht="13.2" x14ac:dyDescent="0.25">
      <c r="B1353" s="18"/>
      <c r="C1353" s="19"/>
      <c r="D1353" s="19"/>
      <c r="O1353" s="5"/>
      <c r="P1353" s="5"/>
    </row>
    <row r="1354" spans="2:16" ht="13.2" x14ac:dyDescent="0.25">
      <c r="B1354" s="18"/>
      <c r="C1354" s="19"/>
      <c r="D1354" s="19"/>
      <c r="O1354" s="5"/>
      <c r="P1354" s="5"/>
    </row>
    <row r="1355" spans="2:16" ht="13.2" x14ac:dyDescent="0.25">
      <c r="B1355" s="18"/>
      <c r="C1355" s="19"/>
      <c r="D1355" s="19"/>
      <c r="O1355" s="5"/>
      <c r="P1355" s="5"/>
    </row>
    <row r="1356" spans="2:16" ht="13.2" x14ac:dyDescent="0.25">
      <c r="B1356" s="18"/>
      <c r="C1356" s="19"/>
      <c r="D1356" s="19"/>
      <c r="O1356" s="5"/>
      <c r="P1356" s="5"/>
    </row>
    <row r="1357" spans="2:16" ht="13.2" x14ac:dyDescent="0.25">
      <c r="B1357" s="18"/>
      <c r="C1357" s="19"/>
      <c r="D1357" s="19"/>
      <c r="O1357" s="5"/>
      <c r="P1357" s="5"/>
    </row>
    <row r="1358" spans="2:16" ht="13.2" x14ac:dyDescent="0.25">
      <c r="B1358" s="18"/>
      <c r="C1358" s="19"/>
      <c r="D1358" s="19"/>
      <c r="O1358" s="5"/>
      <c r="P1358" s="5"/>
    </row>
    <row r="1359" spans="2:16" ht="13.2" x14ac:dyDescent="0.25">
      <c r="B1359" s="18"/>
      <c r="C1359" s="19"/>
      <c r="D1359" s="19"/>
      <c r="O1359" s="5"/>
      <c r="P1359" s="5"/>
    </row>
    <row r="1360" spans="2:16" ht="13.2" x14ac:dyDescent="0.25">
      <c r="B1360" s="18"/>
      <c r="C1360" s="19"/>
      <c r="D1360" s="19"/>
      <c r="O1360" s="5"/>
      <c r="P1360" s="5"/>
    </row>
    <row r="1361" spans="2:16" ht="13.2" x14ac:dyDescent="0.25">
      <c r="B1361" s="18"/>
      <c r="C1361" s="19"/>
      <c r="D1361" s="19"/>
      <c r="O1361" s="5"/>
      <c r="P1361" s="5"/>
    </row>
    <row r="1362" spans="2:16" ht="13.2" x14ac:dyDescent="0.25">
      <c r="B1362" s="18"/>
      <c r="C1362" s="19"/>
      <c r="D1362" s="19"/>
      <c r="O1362" s="5"/>
      <c r="P1362" s="5"/>
    </row>
    <row r="1363" spans="2:16" ht="13.2" x14ac:dyDescent="0.25">
      <c r="B1363" s="18"/>
      <c r="C1363" s="19"/>
      <c r="D1363" s="19"/>
      <c r="O1363" s="5"/>
      <c r="P1363" s="5"/>
    </row>
    <row r="1364" spans="2:16" ht="13.2" x14ac:dyDescent="0.25">
      <c r="B1364" s="18"/>
      <c r="C1364" s="19"/>
      <c r="D1364" s="19"/>
      <c r="O1364" s="5"/>
      <c r="P1364" s="5"/>
    </row>
    <row r="1365" spans="2:16" ht="13.2" x14ac:dyDescent="0.25">
      <c r="B1365" s="18"/>
      <c r="C1365" s="19"/>
      <c r="D1365" s="19"/>
      <c r="O1365" s="5"/>
      <c r="P1365" s="5"/>
    </row>
    <row r="1366" spans="2:16" ht="13.2" x14ac:dyDescent="0.25">
      <c r="B1366" s="18"/>
      <c r="C1366" s="19"/>
      <c r="D1366" s="19"/>
      <c r="O1366" s="5"/>
      <c r="P1366" s="5"/>
    </row>
    <row r="1367" spans="2:16" ht="13.2" x14ac:dyDescent="0.25">
      <c r="B1367" s="18"/>
      <c r="C1367" s="19"/>
      <c r="D1367" s="19"/>
      <c r="O1367" s="5"/>
      <c r="P1367" s="5"/>
    </row>
    <row r="1368" spans="2:16" ht="13.2" x14ac:dyDescent="0.25">
      <c r="B1368" s="18"/>
      <c r="C1368" s="19"/>
      <c r="D1368" s="19"/>
      <c r="O1368" s="5"/>
      <c r="P1368" s="5"/>
    </row>
    <row r="1369" spans="2:16" ht="13.2" x14ac:dyDescent="0.25">
      <c r="B1369" s="18"/>
      <c r="C1369" s="19"/>
      <c r="D1369" s="19"/>
      <c r="O1369" s="5"/>
      <c r="P1369" s="5"/>
    </row>
    <row r="1370" spans="2:16" ht="13.2" x14ac:dyDescent="0.25">
      <c r="B1370" s="18"/>
      <c r="C1370" s="19"/>
      <c r="D1370" s="19"/>
      <c r="O1370" s="5"/>
      <c r="P1370" s="5"/>
    </row>
    <row r="1371" spans="2:16" ht="13.2" x14ac:dyDescent="0.25">
      <c r="B1371" s="18"/>
      <c r="C1371" s="19"/>
      <c r="D1371" s="19"/>
      <c r="O1371" s="5"/>
      <c r="P1371" s="5"/>
    </row>
    <row r="1372" spans="2:16" ht="13.2" x14ac:dyDescent="0.25">
      <c r="B1372" s="18"/>
      <c r="C1372" s="19"/>
      <c r="D1372" s="19"/>
      <c r="O1372" s="5"/>
      <c r="P1372" s="5"/>
    </row>
    <row r="1373" spans="2:16" ht="13.2" x14ac:dyDescent="0.25">
      <c r="B1373" s="18"/>
      <c r="C1373" s="19"/>
      <c r="D1373" s="19"/>
      <c r="O1373" s="5"/>
      <c r="P1373" s="5"/>
    </row>
    <row r="1374" spans="2:16" ht="13.2" x14ac:dyDescent="0.25">
      <c r="B1374" s="18"/>
      <c r="C1374" s="19"/>
      <c r="D1374" s="19"/>
      <c r="O1374" s="5"/>
      <c r="P1374" s="5"/>
    </row>
    <row r="1375" spans="2:16" ht="13.2" x14ac:dyDescent="0.25">
      <c r="B1375" s="18"/>
      <c r="C1375" s="19"/>
      <c r="D1375" s="19"/>
      <c r="O1375" s="5"/>
      <c r="P1375" s="5"/>
    </row>
    <row r="1376" spans="2:16" ht="13.2" x14ac:dyDescent="0.25">
      <c r="B1376" s="18"/>
      <c r="C1376" s="19"/>
      <c r="D1376" s="19"/>
      <c r="O1376" s="5"/>
      <c r="P1376" s="5"/>
    </row>
    <row r="1377" spans="2:16" ht="13.2" x14ac:dyDescent="0.25">
      <c r="B1377" s="18"/>
      <c r="C1377" s="19"/>
      <c r="D1377" s="19"/>
      <c r="O1377" s="5"/>
      <c r="P1377" s="5"/>
    </row>
    <row r="1378" spans="2:16" ht="13.2" x14ac:dyDescent="0.25">
      <c r="B1378" s="18"/>
      <c r="C1378" s="19"/>
      <c r="D1378" s="19"/>
      <c r="O1378" s="5"/>
      <c r="P1378" s="5"/>
    </row>
    <row r="1379" spans="2:16" ht="13.2" x14ac:dyDescent="0.25">
      <c r="B1379" s="18"/>
      <c r="C1379" s="19"/>
      <c r="D1379" s="19"/>
      <c r="O1379" s="5"/>
      <c r="P1379" s="5"/>
    </row>
    <row r="1380" spans="2:16" ht="13.2" x14ac:dyDescent="0.25">
      <c r="B1380" s="18"/>
      <c r="C1380" s="19"/>
      <c r="D1380" s="19"/>
      <c r="O1380" s="5"/>
      <c r="P1380" s="5"/>
    </row>
    <row r="1381" spans="2:16" ht="13.2" x14ac:dyDescent="0.25">
      <c r="B1381" s="18"/>
      <c r="C1381" s="19"/>
      <c r="D1381" s="19"/>
      <c r="O1381" s="5"/>
      <c r="P1381" s="5"/>
    </row>
    <row r="1382" spans="2:16" ht="13.2" x14ac:dyDescent="0.25">
      <c r="B1382" s="18"/>
      <c r="C1382" s="19"/>
      <c r="D1382" s="19"/>
      <c r="O1382" s="5"/>
      <c r="P1382" s="5"/>
    </row>
    <row r="1383" spans="2:16" ht="13.2" x14ac:dyDescent="0.25">
      <c r="B1383" s="18"/>
      <c r="C1383" s="19"/>
      <c r="D1383" s="19"/>
      <c r="O1383" s="5"/>
      <c r="P1383" s="5"/>
    </row>
    <row r="1384" spans="2:16" ht="13.2" x14ac:dyDescent="0.25">
      <c r="B1384" s="18"/>
      <c r="C1384" s="19"/>
      <c r="D1384" s="19"/>
      <c r="O1384" s="5"/>
      <c r="P1384" s="5"/>
    </row>
    <row r="1385" spans="2:16" ht="13.2" x14ac:dyDescent="0.25">
      <c r="B1385" s="18"/>
      <c r="C1385" s="19"/>
      <c r="D1385" s="19"/>
      <c r="O1385" s="5"/>
      <c r="P1385" s="5"/>
    </row>
    <row r="1386" spans="2:16" ht="13.2" x14ac:dyDescent="0.25">
      <c r="B1386" s="18"/>
      <c r="C1386" s="19"/>
      <c r="D1386" s="19"/>
      <c r="O1386" s="5"/>
      <c r="P1386" s="5"/>
    </row>
    <row r="1387" spans="2:16" ht="13.2" x14ac:dyDescent="0.25">
      <c r="B1387" s="18"/>
      <c r="C1387" s="19"/>
      <c r="D1387" s="19"/>
      <c r="O1387" s="5"/>
      <c r="P1387" s="5"/>
    </row>
    <row r="1388" spans="2:16" ht="13.2" x14ac:dyDescent="0.25">
      <c r="B1388" s="18"/>
      <c r="C1388" s="19"/>
      <c r="D1388" s="19"/>
      <c r="O1388" s="5"/>
      <c r="P1388" s="5"/>
    </row>
    <row r="1389" spans="2:16" ht="13.2" x14ac:dyDescent="0.25">
      <c r="B1389" s="18"/>
      <c r="C1389" s="19"/>
      <c r="D1389" s="19"/>
      <c r="O1389" s="5"/>
      <c r="P1389" s="5"/>
    </row>
    <row r="1390" spans="2:16" ht="13.2" x14ac:dyDescent="0.25">
      <c r="B1390" s="18"/>
      <c r="C1390" s="19"/>
      <c r="D1390" s="19"/>
      <c r="O1390" s="5"/>
      <c r="P1390" s="5"/>
    </row>
    <row r="1391" spans="2:16" ht="13.2" x14ac:dyDescent="0.25">
      <c r="B1391" s="18"/>
      <c r="C1391" s="19"/>
      <c r="D1391" s="19"/>
      <c r="O1391" s="5"/>
      <c r="P1391" s="5"/>
    </row>
    <row r="1392" spans="2:16" ht="13.2" x14ac:dyDescent="0.25">
      <c r="B1392" s="18"/>
      <c r="C1392" s="19"/>
      <c r="D1392" s="19"/>
      <c r="O1392" s="5"/>
      <c r="P1392" s="5"/>
    </row>
    <row r="1393" spans="2:16" ht="13.2" x14ac:dyDescent="0.25">
      <c r="B1393" s="18"/>
      <c r="C1393" s="19"/>
      <c r="D1393" s="19"/>
      <c r="O1393" s="5"/>
      <c r="P1393" s="5"/>
    </row>
    <row r="1394" spans="2:16" ht="13.2" x14ac:dyDescent="0.25">
      <c r="B1394" s="18"/>
      <c r="C1394" s="19"/>
      <c r="D1394" s="19"/>
      <c r="O1394" s="5"/>
      <c r="P1394" s="5"/>
    </row>
    <row r="1395" spans="2:16" ht="13.2" x14ac:dyDescent="0.25">
      <c r="B1395" s="18"/>
      <c r="C1395" s="19"/>
      <c r="D1395" s="19"/>
      <c r="O1395" s="5"/>
      <c r="P1395" s="5"/>
    </row>
    <row r="1396" spans="2:16" ht="13.2" x14ac:dyDescent="0.25">
      <c r="B1396" s="18"/>
      <c r="C1396" s="19"/>
      <c r="D1396" s="19"/>
      <c r="O1396" s="5"/>
      <c r="P1396" s="5"/>
    </row>
    <row r="1397" spans="2:16" ht="13.2" x14ac:dyDescent="0.25">
      <c r="B1397" s="18"/>
      <c r="C1397" s="19"/>
      <c r="D1397" s="19"/>
      <c r="O1397" s="5"/>
      <c r="P1397" s="5"/>
    </row>
    <row r="1398" spans="2:16" ht="13.2" x14ac:dyDescent="0.25">
      <c r="B1398" s="18"/>
      <c r="C1398" s="19"/>
      <c r="D1398" s="19"/>
      <c r="O1398" s="5"/>
      <c r="P1398" s="5"/>
    </row>
    <row r="1399" spans="2:16" ht="13.2" x14ac:dyDescent="0.25">
      <c r="B1399" s="18"/>
      <c r="C1399" s="19"/>
      <c r="D1399" s="19"/>
      <c r="O1399" s="5"/>
      <c r="P1399" s="5"/>
    </row>
    <row r="1400" spans="2:16" ht="13.2" x14ac:dyDescent="0.25">
      <c r="B1400" s="18"/>
      <c r="C1400" s="19"/>
      <c r="D1400" s="19"/>
      <c r="O1400" s="5"/>
      <c r="P1400" s="5"/>
    </row>
    <row r="1401" spans="2:16" ht="13.2" x14ac:dyDescent="0.25">
      <c r="B1401" s="18"/>
      <c r="C1401" s="19"/>
      <c r="D1401" s="19"/>
      <c r="O1401" s="5"/>
      <c r="P1401" s="5"/>
    </row>
    <row r="1402" spans="2:16" ht="13.2" x14ac:dyDescent="0.25">
      <c r="B1402" s="18"/>
      <c r="C1402" s="19"/>
      <c r="D1402" s="19"/>
      <c r="O1402" s="5"/>
      <c r="P1402" s="5"/>
    </row>
    <row r="1403" spans="2:16" ht="13.2" x14ac:dyDescent="0.25">
      <c r="B1403" s="18"/>
      <c r="C1403" s="19"/>
      <c r="D1403" s="19"/>
      <c r="O1403" s="5"/>
      <c r="P1403" s="5"/>
    </row>
    <row r="1404" spans="2:16" ht="13.2" x14ac:dyDescent="0.25">
      <c r="B1404" s="18"/>
      <c r="C1404" s="19"/>
      <c r="D1404" s="19"/>
      <c r="O1404" s="5"/>
      <c r="P1404" s="5"/>
    </row>
    <row r="1405" spans="2:16" ht="13.2" x14ac:dyDescent="0.25">
      <c r="B1405" s="18"/>
      <c r="C1405" s="19"/>
      <c r="D1405" s="19"/>
      <c r="O1405" s="5"/>
      <c r="P1405" s="5"/>
    </row>
    <row r="1406" spans="2:16" ht="13.2" x14ac:dyDescent="0.25">
      <c r="B1406" s="18"/>
      <c r="C1406" s="19"/>
      <c r="D1406" s="19"/>
      <c r="O1406" s="5"/>
      <c r="P1406" s="5"/>
    </row>
    <row r="1407" spans="2:16" ht="13.2" x14ac:dyDescent="0.25">
      <c r="B1407" s="18"/>
      <c r="C1407" s="19"/>
      <c r="D1407" s="19"/>
      <c r="O1407" s="5"/>
      <c r="P1407" s="5"/>
    </row>
    <row r="1408" spans="2:16" ht="13.2" x14ac:dyDescent="0.25">
      <c r="B1408" s="18"/>
      <c r="C1408" s="19"/>
      <c r="D1408" s="19"/>
      <c r="O1408" s="5"/>
      <c r="P1408" s="5"/>
    </row>
    <row r="1409" spans="2:16" ht="13.2" x14ac:dyDescent="0.25">
      <c r="B1409" s="18"/>
      <c r="C1409" s="19"/>
      <c r="D1409" s="19"/>
      <c r="O1409" s="5"/>
      <c r="P1409" s="5"/>
    </row>
    <row r="1410" spans="2:16" ht="13.2" x14ac:dyDescent="0.25">
      <c r="B1410" s="18"/>
      <c r="C1410" s="19"/>
      <c r="D1410" s="19"/>
      <c r="O1410" s="5"/>
      <c r="P1410" s="5"/>
    </row>
    <row r="1411" spans="2:16" ht="13.2" x14ac:dyDescent="0.25">
      <c r="B1411" s="18"/>
      <c r="C1411" s="19"/>
      <c r="D1411" s="19"/>
      <c r="O1411" s="5"/>
      <c r="P1411" s="5"/>
    </row>
    <row r="1412" spans="2:16" ht="13.2" x14ac:dyDescent="0.25">
      <c r="B1412" s="18"/>
      <c r="C1412" s="19"/>
      <c r="D1412" s="19"/>
      <c r="O1412" s="5"/>
      <c r="P1412" s="5"/>
    </row>
    <row r="1413" spans="2:16" ht="13.2" x14ac:dyDescent="0.25">
      <c r="B1413" s="18"/>
      <c r="C1413" s="19"/>
      <c r="D1413" s="19"/>
      <c r="O1413" s="5"/>
      <c r="P1413" s="5"/>
    </row>
    <row r="1414" spans="2:16" ht="13.2" x14ac:dyDescent="0.25">
      <c r="B1414" s="18"/>
      <c r="C1414" s="19"/>
      <c r="D1414" s="19"/>
      <c r="O1414" s="5"/>
      <c r="P1414" s="5"/>
    </row>
    <row r="1415" spans="2:16" ht="13.2" x14ac:dyDescent="0.25">
      <c r="B1415" s="18"/>
      <c r="C1415" s="19"/>
      <c r="D1415" s="19"/>
      <c r="O1415" s="5"/>
      <c r="P1415" s="5"/>
    </row>
    <row r="1416" spans="2:16" ht="13.2" x14ac:dyDescent="0.25">
      <c r="B1416" s="18"/>
      <c r="C1416" s="19"/>
      <c r="D1416" s="19"/>
      <c r="O1416" s="5"/>
      <c r="P1416" s="5"/>
    </row>
    <row r="1417" spans="2:16" ht="13.2" x14ac:dyDescent="0.25">
      <c r="B1417" s="18"/>
      <c r="C1417" s="19"/>
      <c r="D1417" s="19"/>
      <c r="O1417" s="5"/>
      <c r="P1417" s="5"/>
    </row>
    <row r="1418" spans="2:16" ht="13.2" x14ac:dyDescent="0.25">
      <c r="B1418" s="18"/>
      <c r="C1418" s="19"/>
      <c r="D1418" s="19"/>
      <c r="O1418" s="5"/>
      <c r="P1418" s="5"/>
    </row>
    <row r="1419" spans="2:16" ht="13.2" x14ac:dyDescent="0.25">
      <c r="B1419" s="18"/>
      <c r="C1419" s="19"/>
      <c r="D1419" s="19"/>
      <c r="O1419" s="5"/>
      <c r="P1419" s="5"/>
    </row>
    <row r="1420" spans="2:16" ht="13.2" x14ac:dyDescent="0.25">
      <c r="B1420" s="18"/>
      <c r="C1420" s="19"/>
      <c r="D1420" s="19"/>
      <c r="O1420" s="5"/>
      <c r="P1420" s="5"/>
    </row>
    <row r="1421" spans="2:16" ht="13.2" x14ac:dyDescent="0.25">
      <c r="B1421" s="18"/>
      <c r="C1421" s="19"/>
      <c r="D1421" s="19"/>
      <c r="O1421" s="5"/>
      <c r="P1421" s="5"/>
    </row>
    <row r="1422" spans="2:16" ht="13.2" x14ac:dyDescent="0.25">
      <c r="B1422" s="18"/>
      <c r="C1422" s="19"/>
      <c r="D1422" s="19"/>
      <c r="O1422" s="5"/>
      <c r="P1422" s="5"/>
    </row>
    <row r="1423" spans="2:16" ht="13.2" x14ac:dyDescent="0.25">
      <c r="B1423" s="18"/>
      <c r="C1423" s="19"/>
      <c r="D1423" s="19"/>
      <c r="O1423" s="5"/>
      <c r="P1423" s="5"/>
    </row>
    <row r="1424" spans="2:16" ht="13.2" x14ac:dyDescent="0.25">
      <c r="B1424" s="18"/>
      <c r="C1424" s="19"/>
      <c r="D1424" s="19"/>
      <c r="O1424" s="5"/>
      <c r="P1424" s="5"/>
    </row>
    <row r="1425" spans="2:16" ht="13.2" x14ac:dyDescent="0.25">
      <c r="B1425" s="18"/>
      <c r="C1425" s="19"/>
      <c r="D1425" s="19"/>
      <c r="O1425" s="5"/>
      <c r="P1425" s="5"/>
    </row>
    <row r="1426" spans="2:16" ht="13.2" x14ac:dyDescent="0.25">
      <c r="B1426" s="18"/>
      <c r="C1426" s="19"/>
      <c r="D1426" s="19"/>
      <c r="O1426" s="5"/>
      <c r="P1426" s="5"/>
    </row>
    <row r="1427" spans="2:16" ht="13.2" x14ac:dyDescent="0.25">
      <c r="B1427" s="18"/>
      <c r="C1427" s="19"/>
      <c r="D1427" s="19"/>
      <c r="O1427" s="5"/>
      <c r="P1427" s="5"/>
    </row>
    <row r="1428" spans="2:16" ht="13.2" x14ac:dyDescent="0.25">
      <c r="B1428" s="18"/>
      <c r="C1428" s="19"/>
      <c r="D1428" s="19"/>
      <c r="O1428" s="5"/>
      <c r="P1428" s="5"/>
    </row>
    <row r="1429" spans="2:16" ht="13.2" x14ac:dyDescent="0.25">
      <c r="B1429" s="18"/>
      <c r="C1429" s="19"/>
      <c r="D1429" s="19"/>
      <c r="O1429" s="5"/>
      <c r="P1429" s="5"/>
    </row>
    <row r="1430" spans="2:16" ht="13.2" x14ac:dyDescent="0.25">
      <c r="B1430" s="18"/>
      <c r="C1430" s="19"/>
      <c r="D1430" s="19"/>
      <c r="O1430" s="5"/>
      <c r="P1430" s="5"/>
    </row>
    <row r="1431" spans="2:16" ht="13.2" x14ac:dyDescent="0.25">
      <c r="B1431" s="18"/>
      <c r="C1431" s="19"/>
      <c r="D1431" s="19"/>
      <c r="O1431" s="5"/>
      <c r="P1431" s="5"/>
    </row>
    <row r="1432" spans="2:16" ht="13.2" x14ac:dyDescent="0.25">
      <c r="B1432" s="18"/>
      <c r="C1432" s="19"/>
      <c r="D1432" s="19"/>
      <c r="O1432" s="5"/>
      <c r="P1432" s="5"/>
    </row>
    <row r="1433" spans="2:16" ht="13.2" x14ac:dyDescent="0.25">
      <c r="B1433" s="18"/>
      <c r="C1433" s="19"/>
      <c r="D1433" s="19"/>
      <c r="O1433" s="5"/>
      <c r="P1433" s="5"/>
    </row>
    <row r="1434" spans="2:16" ht="13.2" x14ac:dyDescent="0.25">
      <c r="B1434" s="18"/>
      <c r="C1434" s="19"/>
      <c r="D1434" s="19"/>
      <c r="O1434" s="5"/>
      <c r="P1434" s="5"/>
    </row>
    <row r="1435" spans="2:16" ht="13.2" x14ac:dyDescent="0.25">
      <c r="B1435" s="18"/>
      <c r="C1435" s="19"/>
      <c r="D1435" s="19"/>
      <c r="O1435" s="5"/>
      <c r="P1435" s="5"/>
    </row>
    <row r="1436" spans="2:16" ht="13.2" x14ac:dyDescent="0.25">
      <c r="B1436" s="18"/>
      <c r="C1436" s="19"/>
      <c r="D1436" s="19"/>
      <c r="O1436" s="5"/>
      <c r="P1436" s="5"/>
    </row>
    <row r="1437" spans="2:16" ht="13.2" x14ac:dyDescent="0.25">
      <c r="B1437" s="18"/>
      <c r="C1437" s="19"/>
      <c r="D1437" s="19"/>
      <c r="O1437" s="5"/>
      <c r="P1437" s="5"/>
    </row>
    <row r="1438" spans="2:16" ht="13.2" x14ac:dyDescent="0.25">
      <c r="B1438" s="18"/>
      <c r="C1438" s="19"/>
      <c r="D1438" s="19"/>
      <c r="O1438" s="5"/>
      <c r="P1438" s="5"/>
    </row>
    <row r="1439" spans="2:16" ht="13.2" x14ac:dyDescent="0.25">
      <c r="B1439" s="18"/>
      <c r="C1439" s="19"/>
      <c r="D1439" s="19"/>
      <c r="O1439" s="5"/>
      <c r="P1439" s="5"/>
    </row>
    <row r="1440" spans="2:16" ht="13.2" x14ac:dyDescent="0.25">
      <c r="B1440" s="18"/>
      <c r="C1440" s="19"/>
      <c r="D1440" s="19"/>
      <c r="O1440" s="5"/>
      <c r="P1440" s="5"/>
    </row>
    <row r="1441" spans="2:16" ht="13.2" x14ac:dyDescent="0.25">
      <c r="B1441" s="18"/>
      <c r="C1441" s="19"/>
      <c r="D1441" s="19"/>
      <c r="O1441" s="5"/>
      <c r="P1441" s="5"/>
    </row>
    <row r="1442" spans="2:16" ht="13.2" x14ac:dyDescent="0.25">
      <c r="B1442" s="18"/>
      <c r="C1442" s="19"/>
      <c r="D1442" s="19"/>
      <c r="O1442" s="5"/>
      <c r="P1442" s="5"/>
    </row>
    <row r="1443" spans="2:16" ht="13.2" x14ac:dyDescent="0.25">
      <c r="B1443" s="18"/>
      <c r="C1443" s="19"/>
      <c r="D1443" s="19"/>
      <c r="O1443" s="5"/>
      <c r="P1443" s="5"/>
    </row>
    <row r="1444" spans="2:16" ht="13.2" x14ac:dyDescent="0.25">
      <c r="B1444" s="18"/>
      <c r="C1444" s="19"/>
      <c r="D1444" s="19"/>
      <c r="O1444" s="5"/>
      <c r="P1444" s="5"/>
    </row>
    <row r="1445" spans="2:16" ht="13.2" x14ac:dyDescent="0.25">
      <c r="B1445" s="18"/>
      <c r="C1445" s="19"/>
      <c r="D1445" s="19"/>
      <c r="O1445" s="5"/>
      <c r="P1445" s="5"/>
    </row>
    <row r="1446" spans="2:16" ht="13.2" x14ac:dyDescent="0.25">
      <c r="B1446" s="18"/>
      <c r="C1446" s="19"/>
      <c r="D1446" s="19"/>
      <c r="O1446" s="5"/>
      <c r="P1446" s="5"/>
    </row>
    <row r="1447" spans="2:16" ht="13.2" x14ac:dyDescent="0.25">
      <c r="B1447" s="18"/>
      <c r="C1447" s="19"/>
      <c r="D1447" s="19"/>
      <c r="O1447" s="5"/>
      <c r="P1447" s="5"/>
    </row>
    <row r="1448" spans="2:16" ht="13.2" x14ac:dyDescent="0.25">
      <c r="B1448" s="18"/>
      <c r="C1448" s="19"/>
      <c r="D1448" s="19"/>
      <c r="O1448" s="5"/>
      <c r="P1448" s="5"/>
    </row>
    <row r="1449" spans="2:16" ht="13.2" x14ac:dyDescent="0.25">
      <c r="B1449" s="18"/>
      <c r="C1449" s="19"/>
      <c r="D1449" s="19"/>
      <c r="O1449" s="5"/>
      <c r="P1449" s="5"/>
    </row>
    <row r="1450" spans="2:16" ht="13.2" x14ac:dyDescent="0.25">
      <c r="B1450" s="18"/>
      <c r="C1450" s="19"/>
      <c r="D1450" s="19"/>
      <c r="O1450" s="5"/>
      <c r="P1450" s="5"/>
    </row>
    <row r="1451" spans="2:16" ht="13.2" x14ac:dyDescent="0.25">
      <c r="B1451" s="18"/>
      <c r="C1451" s="19"/>
      <c r="D1451" s="19"/>
      <c r="O1451" s="5"/>
      <c r="P1451" s="5"/>
    </row>
    <row r="1452" spans="2:16" ht="13.2" x14ac:dyDescent="0.25">
      <c r="B1452" s="18"/>
      <c r="C1452" s="19"/>
      <c r="D1452" s="19"/>
      <c r="O1452" s="5"/>
      <c r="P1452" s="5"/>
    </row>
    <row r="1453" spans="2:16" ht="13.2" x14ac:dyDescent="0.25">
      <c r="B1453" s="18"/>
      <c r="C1453" s="19"/>
      <c r="D1453" s="19"/>
      <c r="O1453" s="5"/>
      <c r="P1453" s="5"/>
    </row>
    <row r="1454" spans="2:16" ht="13.2" x14ac:dyDescent="0.25">
      <c r="B1454" s="18"/>
      <c r="C1454" s="19"/>
      <c r="D1454" s="19"/>
      <c r="O1454" s="5"/>
      <c r="P1454" s="5"/>
    </row>
    <row r="1455" spans="2:16" ht="13.2" x14ac:dyDescent="0.25">
      <c r="B1455" s="18"/>
      <c r="C1455" s="19"/>
      <c r="D1455" s="19"/>
      <c r="O1455" s="5"/>
      <c r="P1455" s="5"/>
    </row>
    <row r="1456" spans="2:16" ht="13.2" x14ac:dyDescent="0.25">
      <c r="B1456" s="18"/>
      <c r="C1456" s="19"/>
      <c r="D1456" s="19"/>
      <c r="O1456" s="5"/>
      <c r="P1456" s="5"/>
    </row>
    <row r="1457" spans="2:16" ht="13.2" x14ac:dyDescent="0.25">
      <c r="B1457" s="18"/>
      <c r="C1457" s="19"/>
      <c r="D1457" s="19"/>
      <c r="O1457" s="5"/>
      <c r="P1457" s="5"/>
    </row>
    <row r="1458" spans="2:16" ht="13.2" x14ac:dyDescent="0.25">
      <c r="B1458" s="18"/>
      <c r="C1458" s="19"/>
      <c r="D1458" s="19"/>
      <c r="O1458" s="5"/>
      <c r="P1458" s="5"/>
    </row>
    <row r="1459" spans="2:16" ht="13.2" x14ac:dyDescent="0.25">
      <c r="B1459" s="18"/>
      <c r="C1459" s="19"/>
      <c r="D1459" s="19"/>
      <c r="O1459" s="5"/>
      <c r="P1459" s="5"/>
    </row>
    <row r="1460" spans="2:16" ht="13.2" x14ac:dyDescent="0.25">
      <c r="B1460" s="18"/>
      <c r="C1460" s="19"/>
      <c r="D1460" s="19"/>
      <c r="O1460" s="5"/>
      <c r="P1460" s="5"/>
    </row>
    <row r="1461" spans="2:16" ht="13.2" x14ac:dyDescent="0.25">
      <c r="B1461" s="18"/>
      <c r="C1461" s="19"/>
      <c r="D1461" s="19"/>
      <c r="O1461" s="5"/>
      <c r="P1461" s="5"/>
    </row>
    <row r="1462" spans="2:16" ht="13.2" x14ac:dyDescent="0.25">
      <c r="B1462" s="18"/>
      <c r="C1462" s="19"/>
      <c r="D1462" s="19"/>
      <c r="O1462" s="5"/>
      <c r="P1462" s="5"/>
    </row>
    <row r="1463" spans="2:16" ht="13.2" x14ac:dyDescent="0.25">
      <c r="B1463" s="18"/>
      <c r="C1463" s="19"/>
      <c r="D1463" s="19"/>
      <c r="O1463" s="5"/>
      <c r="P1463" s="5"/>
    </row>
    <row r="1464" spans="2:16" ht="13.2" x14ac:dyDescent="0.25">
      <c r="B1464" s="18"/>
      <c r="C1464" s="19"/>
      <c r="D1464" s="19"/>
      <c r="O1464" s="5"/>
      <c r="P1464" s="5"/>
    </row>
    <row r="1465" spans="2:16" ht="13.2" x14ac:dyDescent="0.25">
      <c r="B1465" s="18"/>
      <c r="C1465" s="19"/>
      <c r="D1465" s="19"/>
      <c r="O1465" s="5"/>
      <c r="P1465" s="5"/>
    </row>
    <row r="1466" spans="2:16" ht="13.2" x14ac:dyDescent="0.25">
      <c r="B1466" s="18"/>
      <c r="C1466" s="19"/>
      <c r="D1466" s="19"/>
      <c r="O1466" s="5"/>
      <c r="P1466" s="5"/>
    </row>
    <row r="1467" spans="2:16" ht="13.2" x14ac:dyDescent="0.25">
      <c r="B1467" s="18"/>
      <c r="C1467" s="19"/>
      <c r="D1467" s="19"/>
      <c r="O1467" s="5"/>
      <c r="P1467" s="5"/>
    </row>
    <row r="1468" spans="2:16" ht="13.2" x14ac:dyDescent="0.25">
      <c r="B1468" s="18"/>
      <c r="C1468" s="19"/>
      <c r="D1468" s="19"/>
      <c r="O1468" s="5"/>
      <c r="P1468" s="5"/>
    </row>
    <row r="1469" spans="2:16" ht="13.2" x14ac:dyDescent="0.25">
      <c r="B1469" s="18"/>
      <c r="C1469" s="19"/>
      <c r="D1469" s="19"/>
      <c r="O1469" s="5"/>
      <c r="P1469" s="5"/>
    </row>
    <row r="1470" spans="2:16" ht="13.2" x14ac:dyDescent="0.25">
      <c r="B1470" s="18"/>
      <c r="C1470" s="19"/>
      <c r="D1470" s="19"/>
      <c r="O1470" s="5"/>
      <c r="P1470" s="5"/>
    </row>
    <row r="1471" spans="2:16" ht="13.2" x14ac:dyDescent="0.25">
      <c r="B1471" s="18"/>
      <c r="C1471" s="19"/>
      <c r="D1471" s="19"/>
      <c r="O1471" s="5"/>
      <c r="P1471" s="5"/>
    </row>
    <row r="1472" spans="2:16" ht="13.2" x14ac:dyDescent="0.25">
      <c r="B1472" s="18"/>
      <c r="C1472" s="19"/>
      <c r="D1472" s="19"/>
      <c r="O1472" s="5"/>
      <c r="P1472" s="5"/>
    </row>
    <row r="1473" spans="2:16" ht="13.2" x14ac:dyDescent="0.25">
      <c r="B1473" s="18"/>
      <c r="C1473" s="19"/>
      <c r="D1473" s="19"/>
      <c r="O1473" s="5"/>
      <c r="P1473" s="5"/>
    </row>
    <row r="1474" spans="2:16" ht="13.2" x14ac:dyDescent="0.25">
      <c r="B1474" s="18"/>
      <c r="C1474" s="19"/>
      <c r="D1474" s="19"/>
      <c r="O1474" s="5"/>
      <c r="P1474" s="5"/>
    </row>
    <row r="1475" spans="2:16" ht="13.2" x14ac:dyDescent="0.25">
      <c r="B1475" s="18"/>
      <c r="C1475" s="19"/>
      <c r="D1475" s="19"/>
      <c r="O1475" s="5"/>
      <c r="P1475" s="5"/>
    </row>
    <row r="1476" spans="2:16" ht="13.2" x14ac:dyDescent="0.25">
      <c r="B1476" s="18"/>
      <c r="C1476" s="19"/>
      <c r="D1476" s="19"/>
      <c r="O1476" s="5"/>
      <c r="P1476" s="5"/>
    </row>
    <row r="1477" spans="2:16" ht="13.2" x14ac:dyDescent="0.25">
      <c r="B1477" s="18"/>
      <c r="C1477" s="19"/>
      <c r="D1477" s="19"/>
      <c r="O1477" s="5"/>
      <c r="P1477" s="5"/>
    </row>
    <row r="1478" spans="2:16" ht="13.2" x14ac:dyDescent="0.25">
      <c r="B1478" s="18"/>
      <c r="C1478" s="19"/>
      <c r="D1478" s="19"/>
      <c r="O1478" s="5"/>
      <c r="P1478" s="5"/>
    </row>
    <row r="1479" spans="2:16" ht="13.2" x14ac:dyDescent="0.25">
      <c r="B1479" s="18"/>
      <c r="C1479" s="19"/>
      <c r="D1479" s="19"/>
      <c r="O1479" s="5"/>
      <c r="P1479" s="5"/>
    </row>
    <row r="1480" spans="2:16" ht="13.2" x14ac:dyDescent="0.25">
      <c r="B1480" s="18"/>
      <c r="C1480" s="19"/>
      <c r="D1480" s="19"/>
      <c r="O1480" s="5"/>
      <c r="P1480" s="5"/>
    </row>
    <row r="1481" spans="2:16" ht="13.2" x14ac:dyDescent="0.25">
      <c r="B1481" s="18"/>
      <c r="C1481" s="19"/>
      <c r="D1481" s="19"/>
      <c r="O1481" s="5"/>
      <c r="P1481" s="5"/>
    </row>
    <row r="1482" spans="2:16" ht="13.2" x14ac:dyDescent="0.25">
      <c r="B1482" s="18"/>
      <c r="C1482" s="19"/>
      <c r="D1482" s="19"/>
      <c r="O1482" s="5"/>
      <c r="P1482" s="5"/>
    </row>
    <row r="1483" spans="2:16" ht="13.2" x14ac:dyDescent="0.25">
      <c r="B1483" s="18"/>
      <c r="C1483" s="19"/>
      <c r="D1483" s="19"/>
      <c r="O1483" s="5"/>
      <c r="P1483" s="5"/>
    </row>
    <row r="1484" spans="2:16" ht="13.2" x14ac:dyDescent="0.25">
      <c r="B1484" s="18"/>
      <c r="C1484" s="19"/>
      <c r="D1484" s="19"/>
      <c r="O1484" s="5"/>
      <c r="P1484" s="5"/>
    </row>
    <row r="1485" spans="2:16" ht="13.2" x14ac:dyDescent="0.25">
      <c r="B1485" s="18"/>
      <c r="C1485" s="19"/>
      <c r="D1485" s="19"/>
      <c r="O1485" s="5"/>
      <c r="P1485" s="5"/>
    </row>
    <row r="1486" spans="2:16" ht="13.2" x14ac:dyDescent="0.25">
      <c r="B1486" s="18"/>
      <c r="C1486" s="19"/>
      <c r="D1486" s="19"/>
      <c r="O1486" s="5"/>
      <c r="P1486" s="5"/>
    </row>
    <row r="1487" spans="2:16" ht="13.2" x14ac:dyDescent="0.25">
      <c r="B1487" s="18"/>
      <c r="C1487" s="19"/>
      <c r="D1487" s="19"/>
      <c r="O1487" s="5"/>
      <c r="P1487" s="5"/>
    </row>
    <row r="1488" spans="2:16" ht="13.2" x14ac:dyDescent="0.25">
      <c r="B1488" s="18"/>
      <c r="C1488" s="19"/>
      <c r="D1488" s="19"/>
      <c r="O1488" s="5"/>
      <c r="P1488" s="5"/>
    </row>
    <row r="1489" spans="2:16" ht="13.2" x14ac:dyDescent="0.25">
      <c r="B1489" s="18"/>
      <c r="C1489" s="19"/>
      <c r="D1489" s="19"/>
      <c r="O1489" s="5"/>
      <c r="P1489" s="5"/>
    </row>
    <row r="1490" spans="2:16" ht="13.2" x14ac:dyDescent="0.25">
      <c r="B1490" s="18"/>
      <c r="C1490" s="19"/>
      <c r="D1490" s="19"/>
      <c r="O1490" s="5"/>
      <c r="P1490" s="5"/>
    </row>
    <row r="1491" spans="2:16" ht="13.2" x14ac:dyDescent="0.25">
      <c r="B1491" s="18"/>
      <c r="C1491" s="19"/>
      <c r="D1491" s="19"/>
      <c r="O1491" s="5"/>
      <c r="P1491" s="5"/>
    </row>
    <row r="1492" spans="2:16" ht="13.2" x14ac:dyDescent="0.25">
      <c r="B1492" s="18"/>
      <c r="C1492" s="19"/>
      <c r="D1492" s="19"/>
      <c r="O1492" s="5"/>
      <c r="P1492" s="5"/>
    </row>
    <row r="1493" spans="2:16" ht="13.2" x14ac:dyDescent="0.25">
      <c r="B1493" s="18"/>
      <c r="C1493" s="19"/>
      <c r="D1493" s="19"/>
      <c r="O1493" s="5"/>
      <c r="P1493" s="5"/>
    </row>
    <row r="1494" spans="2:16" ht="13.2" x14ac:dyDescent="0.25">
      <c r="B1494" s="18"/>
      <c r="C1494" s="19"/>
      <c r="D1494" s="19"/>
      <c r="O1494" s="5"/>
      <c r="P1494" s="5"/>
    </row>
    <row r="1495" spans="2:16" ht="13.2" x14ac:dyDescent="0.25">
      <c r="B1495" s="18"/>
      <c r="C1495" s="19"/>
      <c r="D1495" s="19"/>
      <c r="O1495" s="5"/>
      <c r="P1495" s="5"/>
    </row>
    <row r="1496" spans="2:16" ht="13.2" x14ac:dyDescent="0.25">
      <c r="B1496" s="18"/>
      <c r="C1496" s="19"/>
      <c r="D1496" s="19"/>
      <c r="O1496" s="5"/>
      <c r="P1496" s="5"/>
    </row>
    <row r="1497" spans="2:16" ht="13.2" x14ac:dyDescent="0.25">
      <c r="B1497" s="18"/>
      <c r="C1497" s="19"/>
      <c r="D1497" s="19"/>
      <c r="O1497" s="5"/>
      <c r="P1497" s="5"/>
    </row>
    <row r="1498" spans="2:16" ht="13.2" x14ac:dyDescent="0.25">
      <c r="B1498" s="18"/>
      <c r="C1498" s="19"/>
      <c r="D1498" s="19"/>
      <c r="O1498" s="5"/>
      <c r="P1498" s="5"/>
    </row>
    <row r="1499" spans="2:16" ht="13.2" x14ac:dyDescent="0.25">
      <c r="B1499" s="18"/>
      <c r="C1499" s="19"/>
      <c r="D1499" s="19"/>
      <c r="O1499" s="5"/>
      <c r="P1499" s="5"/>
    </row>
    <row r="1500" spans="2:16" ht="13.2" x14ac:dyDescent="0.25">
      <c r="B1500" s="18"/>
      <c r="C1500" s="19"/>
      <c r="D1500" s="19"/>
      <c r="O1500" s="5"/>
      <c r="P1500" s="5"/>
    </row>
    <row r="1501" spans="2:16" ht="13.2" x14ac:dyDescent="0.25">
      <c r="B1501" s="18"/>
      <c r="C1501" s="19"/>
      <c r="D1501" s="19"/>
      <c r="O1501" s="5"/>
      <c r="P1501" s="5"/>
    </row>
    <row r="1502" spans="2:16" ht="13.2" x14ac:dyDescent="0.25">
      <c r="B1502" s="18"/>
      <c r="C1502" s="19"/>
      <c r="D1502" s="19"/>
      <c r="O1502" s="5"/>
      <c r="P1502" s="5"/>
    </row>
    <row r="1503" spans="2:16" ht="13.2" x14ac:dyDescent="0.25">
      <c r="B1503" s="18"/>
      <c r="C1503" s="19"/>
      <c r="D1503" s="19"/>
      <c r="O1503" s="5"/>
      <c r="P1503" s="5"/>
    </row>
    <row r="1504" spans="2:16" ht="13.2" x14ac:dyDescent="0.25">
      <c r="B1504" s="18"/>
      <c r="C1504" s="19"/>
      <c r="D1504" s="19"/>
      <c r="O1504" s="5"/>
      <c r="P1504" s="5"/>
    </row>
    <row r="1505" spans="2:16" ht="13.2" x14ac:dyDescent="0.25">
      <c r="B1505" s="18"/>
      <c r="C1505" s="19"/>
      <c r="D1505" s="19"/>
      <c r="O1505" s="5"/>
      <c r="P1505" s="5"/>
    </row>
    <row r="1506" spans="2:16" ht="13.2" x14ac:dyDescent="0.25">
      <c r="B1506" s="18"/>
      <c r="C1506" s="19"/>
      <c r="D1506" s="19"/>
      <c r="O1506" s="5"/>
      <c r="P1506" s="5"/>
    </row>
    <row r="1507" spans="2:16" ht="13.2" x14ac:dyDescent="0.25">
      <c r="B1507" s="18"/>
      <c r="C1507" s="19"/>
      <c r="D1507" s="19"/>
      <c r="O1507" s="5"/>
      <c r="P1507" s="5"/>
    </row>
    <row r="1508" spans="2:16" ht="13.2" x14ac:dyDescent="0.25">
      <c r="B1508" s="18"/>
      <c r="C1508" s="19"/>
      <c r="D1508" s="19"/>
      <c r="O1508" s="5"/>
      <c r="P1508" s="5"/>
    </row>
    <row r="1509" spans="2:16" ht="13.2" x14ac:dyDescent="0.25">
      <c r="B1509" s="18"/>
      <c r="C1509" s="19"/>
      <c r="D1509" s="19"/>
      <c r="O1509" s="5"/>
      <c r="P1509" s="5"/>
    </row>
    <row r="1510" spans="2:16" ht="13.2" x14ac:dyDescent="0.25">
      <c r="B1510" s="18"/>
      <c r="C1510" s="19"/>
      <c r="D1510" s="19"/>
      <c r="O1510" s="5"/>
      <c r="P1510" s="5"/>
    </row>
    <row r="1511" spans="2:16" ht="13.2" x14ac:dyDescent="0.25">
      <c r="B1511" s="18"/>
      <c r="C1511" s="19"/>
      <c r="D1511" s="19"/>
      <c r="O1511" s="5"/>
      <c r="P1511" s="5"/>
    </row>
    <row r="1512" spans="2:16" ht="13.2" x14ac:dyDescent="0.25">
      <c r="B1512" s="18"/>
      <c r="C1512" s="19"/>
      <c r="D1512" s="19"/>
      <c r="O1512" s="5"/>
      <c r="P1512" s="5"/>
    </row>
    <row r="1513" spans="2:16" ht="13.2" x14ac:dyDescent="0.25">
      <c r="B1513" s="18"/>
      <c r="C1513" s="19"/>
      <c r="D1513" s="19"/>
      <c r="O1513" s="5"/>
      <c r="P1513" s="5"/>
    </row>
    <row r="1514" spans="2:16" ht="13.2" x14ac:dyDescent="0.25">
      <c r="B1514" s="18"/>
      <c r="C1514" s="19"/>
      <c r="D1514" s="19"/>
      <c r="O1514" s="5"/>
      <c r="P1514" s="5"/>
    </row>
    <row r="1515" spans="2:16" ht="13.2" x14ac:dyDescent="0.25">
      <c r="B1515" s="18"/>
      <c r="C1515" s="19"/>
      <c r="D1515" s="19"/>
      <c r="O1515" s="5"/>
      <c r="P1515" s="5"/>
    </row>
    <row r="1516" spans="2:16" ht="13.2" x14ac:dyDescent="0.25">
      <c r="B1516" s="18"/>
      <c r="C1516" s="19"/>
      <c r="D1516" s="19"/>
      <c r="O1516" s="5"/>
      <c r="P1516" s="5"/>
    </row>
    <row r="1517" spans="2:16" ht="13.2" x14ac:dyDescent="0.25">
      <c r="B1517" s="18"/>
      <c r="C1517" s="19"/>
      <c r="D1517" s="19"/>
      <c r="O1517" s="5"/>
      <c r="P1517" s="5"/>
    </row>
    <row r="1518" spans="2:16" ht="13.2" x14ac:dyDescent="0.25">
      <c r="B1518" s="18"/>
      <c r="C1518" s="19"/>
      <c r="D1518" s="19"/>
      <c r="O1518" s="5"/>
      <c r="P1518" s="5"/>
    </row>
    <row r="1519" spans="2:16" ht="13.2" x14ac:dyDescent="0.25">
      <c r="B1519" s="18"/>
      <c r="C1519" s="19"/>
      <c r="D1519" s="19"/>
      <c r="O1519" s="5"/>
      <c r="P1519" s="5"/>
    </row>
    <row r="1520" spans="2:16" ht="13.2" x14ac:dyDescent="0.25">
      <c r="B1520" s="18"/>
      <c r="C1520" s="19"/>
      <c r="D1520" s="19"/>
      <c r="O1520" s="5"/>
      <c r="P1520" s="5"/>
    </row>
    <row r="1521" spans="2:16" ht="13.2" x14ac:dyDescent="0.25">
      <c r="B1521" s="18"/>
      <c r="C1521" s="19"/>
      <c r="D1521" s="19"/>
      <c r="O1521" s="5"/>
      <c r="P1521" s="5"/>
    </row>
    <row r="1522" spans="2:16" ht="13.2" x14ac:dyDescent="0.25">
      <c r="B1522" s="18"/>
      <c r="C1522" s="19"/>
      <c r="D1522" s="19"/>
      <c r="O1522" s="5"/>
      <c r="P1522" s="5"/>
    </row>
    <row r="1523" spans="2:16" ht="13.2" x14ac:dyDescent="0.25">
      <c r="B1523" s="18"/>
      <c r="C1523" s="19"/>
      <c r="D1523" s="19"/>
      <c r="O1523" s="5"/>
      <c r="P1523" s="5"/>
    </row>
    <row r="1524" spans="2:16" ht="13.2" x14ac:dyDescent="0.25">
      <c r="B1524" s="18"/>
      <c r="C1524" s="19"/>
      <c r="D1524" s="19"/>
      <c r="O1524" s="5"/>
      <c r="P1524" s="5"/>
    </row>
    <row r="1525" spans="2:16" ht="13.2" x14ac:dyDescent="0.25">
      <c r="B1525" s="18"/>
      <c r="C1525" s="19"/>
      <c r="D1525" s="19"/>
      <c r="O1525" s="5"/>
      <c r="P1525" s="5"/>
    </row>
    <row r="1526" spans="2:16" ht="13.2" x14ac:dyDescent="0.25">
      <c r="B1526" s="18"/>
      <c r="C1526" s="19"/>
      <c r="D1526" s="19"/>
      <c r="O1526" s="5"/>
      <c r="P1526" s="5"/>
    </row>
    <row r="1527" spans="2:16" ht="13.2" x14ac:dyDescent="0.25">
      <c r="B1527" s="18"/>
      <c r="C1527" s="19"/>
      <c r="D1527" s="19"/>
      <c r="O1527" s="5"/>
      <c r="P1527" s="5"/>
    </row>
    <row r="1528" spans="2:16" ht="13.2" x14ac:dyDescent="0.25">
      <c r="B1528" s="18"/>
      <c r="C1528" s="19"/>
      <c r="D1528" s="19"/>
      <c r="O1528" s="5"/>
      <c r="P1528" s="5"/>
    </row>
    <row r="1529" spans="2:16" ht="13.2" x14ac:dyDescent="0.25">
      <c r="B1529" s="18"/>
      <c r="C1529" s="19"/>
      <c r="D1529" s="19"/>
      <c r="O1529" s="5"/>
      <c r="P1529" s="5"/>
    </row>
    <row r="1530" spans="2:16" ht="13.2" x14ac:dyDescent="0.25">
      <c r="B1530" s="18"/>
      <c r="C1530" s="19"/>
      <c r="D1530" s="19"/>
      <c r="O1530" s="5"/>
      <c r="P1530" s="5"/>
    </row>
    <row r="1531" spans="2:16" ht="13.2" x14ac:dyDescent="0.25">
      <c r="B1531" s="18"/>
      <c r="C1531" s="19"/>
      <c r="D1531" s="19"/>
      <c r="O1531" s="5"/>
      <c r="P1531" s="5"/>
    </row>
    <row r="1532" spans="2:16" ht="13.2" x14ac:dyDescent="0.25">
      <c r="B1532" s="18"/>
      <c r="C1532" s="19"/>
      <c r="D1532" s="19"/>
      <c r="O1532" s="5"/>
      <c r="P1532" s="5"/>
    </row>
    <row r="1533" spans="2:16" ht="13.2" x14ac:dyDescent="0.25">
      <c r="B1533" s="18"/>
      <c r="C1533" s="19"/>
      <c r="D1533" s="19"/>
      <c r="O1533" s="5"/>
      <c r="P1533" s="5"/>
    </row>
    <row r="1534" spans="2:16" ht="13.2" x14ac:dyDescent="0.25">
      <c r="B1534" s="18"/>
      <c r="C1534" s="19"/>
      <c r="D1534" s="19"/>
      <c r="O1534" s="5"/>
      <c r="P1534" s="5"/>
    </row>
    <row r="1535" spans="2:16" ht="13.2" x14ac:dyDescent="0.25">
      <c r="B1535" s="18"/>
      <c r="C1535" s="19"/>
      <c r="D1535" s="19"/>
      <c r="O1535" s="5"/>
      <c r="P1535" s="5"/>
    </row>
    <row r="1536" spans="2:16" ht="13.2" x14ac:dyDescent="0.25">
      <c r="B1536" s="18"/>
      <c r="C1536" s="19"/>
      <c r="D1536" s="19"/>
      <c r="O1536" s="5"/>
      <c r="P1536" s="5"/>
    </row>
    <row r="1537" spans="2:16" ht="13.2" x14ac:dyDescent="0.25">
      <c r="B1537" s="18"/>
      <c r="C1537" s="19"/>
      <c r="D1537" s="19"/>
      <c r="O1537" s="5"/>
      <c r="P1537" s="5"/>
    </row>
    <row r="1538" spans="2:16" ht="13.2" x14ac:dyDescent="0.25">
      <c r="B1538" s="18"/>
      <c r="C1538" s="19"/>
      <c r="D1538" s="19"/>
      <c r="O1538" s="5"/>
      <c r="P1538" s="5"/>
    </row>
    <row r="1539" spans="2:16" ht="13.2" x14ac:dyDescent="0.25">
      <c r="B1539" s="18"/>
      <c r="C1539" s="19"/>
      <c r="D1539" s="19"/>
      <c r="O1539" s="5"/>
      <c r="P1539" s="5"/>
    </row>
    <row r="1540" spans="2:16" ht="13.2" x14ac:dyDescent="0.25">
      <c r="B1540" s="18"/>
      <c r="C1540" s="19"/>
      <c r="D1540" s="19"/>
      <c r="O1540" s="5"/>
      <c r="P1540" s="5"/>
    </row>
    <row r="1541" spans="2:16" ht="13.2" x14ac:dyDescent="0.25">
      <c r="B1541" s="18"/>
      <c r="C1541" s="19"/>
      <c r="D1541" s="19"/>
      <c r="O1541" s="5"/>
      <c r="P1541" s="5"/>
    </row>
    <row r="1542" spans="2:16" ht="13.2" x14ac:dyDescent="0.25">
      <c r="B1542" s="18"/>
      <c r="C1542" s="19"/>
      <c r="D1542" s="19"/>
      <c r="O1542" s="5"/>
      <c r="P1542" s="5"/>
    </row>
    <row r="1543" spans="2:16" ht="13.2" x14ac:dyDescent="0.25">
      <c r="B1543" s="18"/>
      <c r="C1543" s="19"/>
      <c r="D1543" s="19"/>
      <c r="O1543" s="5"/>
      <c r="P1543" s="5"/>
    </row>
    <row r="1544" spans="2:16" ht="13.2" x14ac:dyDescent="0.25">
      <c r="B1544" s="18"/>
      <c r="C1544" s="19"/>
      <c r="D1544" s="19"/>
      <c r="O1544" s="5"/>
      <c r="P1544" s="5"/>
    </row>
    <row r="1545" spans="2:16" ht="13.2" x14ac:dyDescent="0.25">
      <c r="B1545" s="18"/>
      <c r="C1545" s="19"/>
      <c r="D1545" s="19"/>
      <c r="O1545" s="5"/>
      <c r="P1545" s="5"/>
    </row>
    <row r="1546" spans="2:16" ht="13.2" x14ac:dyDescent="0.25">
      <c r="B1546" s="18"/>
      <c r="C1546" s="19"/>
      <c r="D1546" s="19"/>
      <c r="O1546" s="5"/>
      <c r="P1546" s="5"/>
    </row>
    <row r="1547" spans="2:16" ht="13.2" x14ac:dyDescent="0.25">
      <c r="B1547" s="18"/>
      <c r="C1547" s="19"/>
      <c r="D1547" s="19"/>
      <c r="O1547" s="5"/>
      <c r="P1547" s="5"/>
    </row>
    <row r="1548" spans="2:16" ht="13.2" x14ac:dyDescent="0.25">
      <c r="B1548" s="18"/>
      <c r="C1548" s="19"/>
      <c r="D1548" s="19"/>
      <c r="O1548" s="5"/>
      <c r="P1548" s="5"/>
    </row>
    <row r="1549" spans="2:16" ht="13.2" x14ac:dyDescent="0.25">
      <c r="B1549" s="18"/>
      <c r="C1549" s="19"/>
      <c r="D1549" s="19"/>
      <c r="O1549" s="5"/>
      <c r="P1549" s="5"/>
    </row>
    <row r="1550" spans="2:16" ht="13.2" x14ac:dyDescent="0.25">
      <c r="B1550" s="18"/>
      <c r="C1550" s="19"/>
      <c r="D1550" s="19"/>
      <c r="O1550" s="5"/>
      <c r="P1550" s="5"/>
    </row>
    <row r="1551" spans="2:16" ht="13.2" x14ac:dyDescent="0.25">
      <c r="B1551" s="18"/>
      <c r="C1551" s="19"/>
      <c r="D1551" s="19"/>
      <c r="O1551" s="5"/>
      <c r="P1551" s="5"/>
    </row>
    <row r="1552" spans="2:16" ht="13.2" x14ac:dyDescent="0.25">
      <c r="B1552" s="18"/>
      <c r="C1552" s="19"/>
      <c r="D1552" s="19"/>
      <c r="O1552" s="5"/>
      <c r="P1552" s="5"/>
    </row>
    <row r="1553" spans="2:16" ht="13.2" x14ac:dyDescent="0.25">
      <c r="B1553" s="18"/>
      <c r="C1553" s="19"/>
      <c r="D1553" s="19"/>
      <c r="O1553" s="5"/>
      <c r="P1553" s="5"/>
    </row>
    <row r="1554" spans="2:16" ht="13.2" x14ac:dyDescent="0.25">
      <c r="B1554" s="18"/>
      <c r="C1554" s="19"/>
      <c r="D1554" s="19"/>
      <c r="O1554" s="5"/>
      <c r="P1554" s="5"/>
    </row>
    <row r="1555" spans="2:16" ht="13.2" x14ac:dyDescent="0.25">
      <c r="B1555" s="18"/>
      <c r="C1555" s="19"/>
      <c r="D1555" s="19"/>
      <c r="O1555" s="5"/>
      <c r="P1555" s="5"/>
    </row>
    <row r="1556" spans="2:16" ht="13.2" x14ac:dyDescent="0.25">
      <c r="B1556" s="18"/>
      <c r="C1556" s="19"/>
      <c r="D1556" s="19"/>
      <c r="O1556" s="5"/>
      <c r="P1556" s="5"/>
    </row>
    <row r="1557" spans="2:16" ht="13.2" x14ac:dyDescent="0.25">
      <c r="B1557" s="18"/>
      <c r="C1557" s="19"/>
      <c r="D1557" s="19"/>
      <c r="O1557" s="5"/>
      <c r="P1557" s="5"/>
    </row>
    <row r="1558" spans="2:16" ht="13.2" x14ac:dyDescent="0.25">
      <c r="B1558" s="18"/>
      <c r="C1558" s="19"/>
      <c r="D1558" s="19"/>
      <c r="O1558" s="5"/>
      <c r="P1558" s="5"/>
    </row>
    <row r="1559" spans="2:16" ht="13.2" x14ac:dyDescent="0.25">
      <c r="B1559" s="18"/>
      <c r="C1559" s="19"/>
      <c r="D1559" s="19"/>
      <c r="O1559" s="5"/>
      <c r="P1559" s="5"/>
    </row>
    <row r="1560" spans="2:16" ht="13.2" x14ac:dyDescent="0.25">
      <c r="B1560" s="18"/>
      <c r="C1560" s="19"/>
      <c r="D1560" s="19"/>
      <c r="O1560" s="5"/>
      <c r="P1560" s="5"/>
    </row>
    <row r="1561" spans="2:16" ht="13.2" x14ac:dyDescent="0.25">
      <c r="B1561" s="18"/>
      <c r="C1561" s="19"/>
      <c r="D1561" s="19"/>
      <c r="O1561" s="5"/>
      <c r="P1561" s="5"/>
    </row>
    <row r="1562" spans="2:16" ht="13.2" x14ac:dyDescent="0.25">
      <c r="B1562" s="18"/>
      <c r="C1562" s="19"/>
      <c r="D1562" s="19"/>
      <c r="O1562" s="5"/>
      <c r="P1562" s="5"/>
    </row>
    <row r="1563" spans="2:16" ht="13.2" x14ac:dyDescent="0.25">
      <c r="B1563" s="18"/>
      <c r="C1563" s="19"/>
      <c r="D1563" s="19"/>
      <c r="O1563" s="5"/>
      <c r="P1563" s="5"/>
    </row>
    <row r="1564" spans="2:16" ht="13.2" x14ac:dyDescent="0.25">
      <c r="B1564" s="18"/>
      <c r="C1564" s="19"/>
      <c r="D1564" s="19"/>
      <c r="O1564" s="5"/>
      <c r="P1564" s="5"/>
    </row>
    <row r="1565" spans="2:16" ht="13.2" x14ac:dyDescent="0.25">
      <c r="B1565" s="18"/>
      <c r="C1565" s="19"/>
      <c r="D1565" s="19"/>
      <c r="O1565" s="5"/>
      <c r="P1565" s="5"/>
    </row>
    <row r="1566" spans="2:16" ht="13.2" x14ac:dyDescent="0.25">
      <c r="B1566" s="18"/>
      <c r="C1566" s="19"/>
      <c r="D1566" s="19"/>
      <c r="O1566" s="5"/>
      <c r="P1566" s="5"/>
    </row>
    <row r="1567" spans="2:16" ht="13.2" x14ac:dyDescent="0.25">
      <c r="B1567" s="18"/>
      <c r="C1567" s="19"/>
      <c r="D1567" s="19"/>
      <c r="O1567" s="5"/>
      <c r="P1567" s="5"/>
    </row>
    <row r="1568" spans="2:16" ht="13.2" x14ac:dyDescent="0.25">
      <c r="B1568" s="18"/>
      <c r="C1568" s="19"/>
      <c r="D1568" s="19"/>
      <c r="O1568" s="5"/>
      <c r="P1568" s="5"/>
    </row>
    <row r="1569" spans="2:16" ht="13.2" x14ac:dyDescent="0.25">
      <c r="B1569" s="18"/>
      <c r="C1569" s="19"/>
      <c r="D1569" s="19"/>
      <c r="O1569" s="5"/>
      <c r="P1569" s="5"/>
    </row>
    <row r="1570" spans="2:16" ht="13.2" x14ac:dyDescent="0.25">
      <c r="B1570" s="18"/>
      <c r="C1570" s="19"/>
      <c r="D1570" s="19"/>
      <c r="O1570" s="5"/>
      <c r="P1570" s="5"/>
    </row>
    <row r="1571" spans="2:16" ht="13.2" x14ac:dyDescent="0.25">
      <c r="B1571" s="18"/>
      <c r="C1571" s="19"/>
      <c r="D1571" s="19"/>
      <c r="O1571" s="5"/>
      <c r="P1571" s="5"/>
    </row>
    <row r="1572" spans="2:16" ht="13.2" x14ac:dyDescent="0.25">
      <c r="B1572" s="18"/>
      <c r="C1572" s="19"/>
      <c r="D1572" s="19"/>
      <c r="O1572" s="5"/>
      <c r="P1572" s="5"/>
    </row>
    <row r="1573" spans="2:16" ht="13.2" x14ac:dyDescent="0.25">
      <c r="B1573" s="18"/>
      <c r="C1573" s="19"/>
      <c r="D1573" s="19"/>
      <c r="O1573" s="5"/>
      <c r="P1573" s="5"/>
    </row>
    <row r="1574" spans="2:16" ht="13.2" x14ac:dyDescent="0.25">
      <c r="B1574" s="18"/>
      <c r="C1574" s="19"/>
      <c r="D1574" s="19"/>
      <c r="O1574" s="5"/>
      <c r="P1574" s="5"/>
    </row>
    <row r="1575" spans="2:16" ht="13.2" x14ac:dyDescent="0.25">
      <c r="B1575" s="18"/>
      <c r="C1575" s="19"/>
      <c r="D1575" s="19"/>
      <c r="O1575" s="5"/>
      <c r="P1575" s="5"/>
    </row>
    <row r="1576" spans="2:16" ht="13.2" x14ac:dyDescent="0.25">
      <c r="B1576" s="18"/>
      <c r="C1576" s="19"/>
      <c r="D1576" s="19"/>
      <c r="O1576" s="5"/>
      <c r="P1576" s="5"/>
    </row>
    <row r="1577" spans="2:16" ht="13.2" x14ac:dyDescent="0.25">
      <c r="B1577" s="18"/>
      <c r="C1577" s="19"/>
      <c r="D1577" s="19"/>
      <c r="O1577" s="5"/>
      <c r="P1577" s="5"/>
    </row>
    <row r="1578" spans="2:16" ht="13.2" x14ac:dyDescent="0.25">
      <c r="B1578" s="18"/>
      <c r="C1578" s="19"/>
      <c r="D1578" s="19"/>
      <c r="O1578" s="5"/>
      <c r="P1578" s="5"/>
    </row>
    <row r="1579" spans="2:16" ht="13.2" x14ac:dyDescent="0.25">
      <c r="B1579" s="18"/>
      <c r="C1579" s="19"/>
      <c r="D1579" s="19"/>
      <c r="O1579" s="5"/>
      <c r="P1579" s="5"/>
    </row>
    <row r="1580" spans="2:16" ht="13.2" x14ac:dyDescent="0.25">
      <c r="B1580" s="18"/>
      <c r="C1580" s="19"/>
      <c r="D1580" s="19"/>
      <c r="O1580" s="5"/>
      <c r="P1580" s="5"/>
    </row>
    <row r="1581" spans="2:16" ht="13.2" x14ac:dyDescent="0.25">
      <c r="B1581" s="18"/>
      <c r="C1581" s="19"/>
      <c r="D1581" s="19"/>
      <c r="O1581" s="5"/>
      <c r="P1581" s="5"/>
    </row>
    <row r="1582" spans="2:16" ht="13.2" x14ac:dyDescent="0.25">
      <c r="B1582" s="18"/>
      <c r="C1582" s="19"/>
      <c r="D1582" s="19"/>
      <c r="O1582" s="5"/>
      <c r="P1582" s="5"/>
    </row>
    <row r="1583" spans="2:16" ht="13.2" x14ac:dyDescent="0.25">
      <c r="B1583" s="18"/>
      <c r="C1583" s="19"/>
      <c r="D1583" s="19"/>
      <c r="O1583" s="5"/>
      <c r="P1583" s="5"/>
    </row>
    <row r="1584" spans="2:16" ht="13.2" x14ac:dyDescent="0.25">
      <c r="B1584" s="18"/>
      <c r="C1584" s="19"/>
      <c r="D1584" s="19"/>
      <c r="O1584" s="5"/>
      <c r="P1584" s="5"/>
    </row>
    <row r="1585" spans="2:16" ht="13.2" x14ac:dyDescent="0.25">
      <c r="B1585" s="18"/>
      <c r="C1585" s="19"/>
      <c r="D1585" s="19"/>
      <c r="O1585" s="5"/>
      <c r="P1585" s="5"/>
    </row>
    <row r="1586" spans="2:16" ht="13.2" x14ac:dyDescent="0.25">
      <c r="B1586" s="18"/>
      <c r="C1586" s="19"/>
      <c r="D1586" s="19"/>
      <c r="O1586" s="5"/>
      <c r="P1586" s="5"/>
    </row>
    <row r="1587" spans="2:16" ht="13.2" x14ac:dyDescent="0.25">
      <c r="B1587" s="18"/>
      <c r="C1587" s="19"/>
      <c r="D1587" s="19"/>
      <c r="O1587" s="5"/>
      <c r="P1587" s="5"/>
    </row>
    <row r="1588" spans="2:16" ht="13.2" x14ac:dyDescent="0.25">
      <c r="B1588" s="18"/>
      <c r="C1588" s="19"/>
      <c r="D1588" s="19"/>
      <c r="O1588" s="5"/>
      <c r="P1588" s="5"/>
    </row>
    <row r="1589" spans="2:16" ht="13.2" x14ac:dyDescent="0.25">
      <c r="B1589" s="18"/>
      <c r="C1589" s="19"/>
      <c r="D1589" s="19"/>
      <c r="O1589" s="5"/>
      <c r="P1589" s="5"/>
    </row>
    <row r="1590" spans="2:16" ht="13.2" x14ac:dyDescent="0.25">
      <c r="B1590" s="18"/>
      <c r="C1590" s="19"/>
      <c r="D1590" s="19"/>
      <c r="O1590" s="5"/>
      <c r="P1590" s="5"/>
    </row>
    <row r="1591" spans="2:16" ht="13.2" x14ac:dyDescent="0.25">
      <c r="B1591" s="18"/>
      <c r="C1591" s="19"/>
      <c r="D1591" s="19"/>
      <c r="O1591" s="5"/>
      <c r="P1591" s="5"/>
    </row>
    <row r="1592" spans="2:16" ht="13.2" x14ac:dyDescent="0.25">
      <c r="B1592" s="18"/>
      <c r="C1592" s="19"/>
      <c r="D1592" s="19"/>
      <c r="O1592" s="5"/>
      <c r="P1592" s="5"/>
    </row>
    <row r="1593" spans="2:16" ht="13.2" x14ac:dyDescent="0.25">
      <c r="B1593" s="18"/>
      <c r="C1593" s="19"/>
      <c r="D1593" s="19"/>
      <c r="O1593" s="5"/>
      <c r="P1593" s="5"/>
    </row>
    <row r="1594" spans="2:16" ht="13.2" x14ac:dyDescent="0.25">
      <c r="B1594" s="18"/>
      <c r="C1594" s="19"/>
      <c r="D1594" s="19"/>
      <c r="O1594" s="5"/>
      <c r="P1594" s="5"/>
    </row>
    <row r="1595" spans="2:16" ht="13.2" x14ac:dyDescent="0.25">
      <c r="B1595" s="18"/>
      <c r="C1595" s="19"/>
      <c r="D1595" s="19"/>
      <c r="O1595" s="5"/>
      <c r="P1595" s="5"/>
    </row>
    <row r="1596" spans="2:16" ht="13.2" x14ac:dyDescent="0.25">
      <c r="B1596" s="18"/>
      <c r="C1596" s="19"/>
      <c r="D1596" s="19"/>
      <c r="O1596" s="5"/>
      <c r="P1596" s="5"/>
    </row>
    <row r="1597" spans="2:16" ht="13.2" x14ac:dyDescent="0.25">
      <c r="B1597" s="18"/>
      <c r="C1597" s="19"/>
      <c r="D1597" s="19"/>
      <c r="O1597" s="5"/>
      <c r="P1597" s="5"/>
    </row>
    <row r="1598" spans="2:16" ht="13.2" x14ac:dyDescent="0.25">
      <c r="B1598" s="18"/>
      <c r="C1598" s="19"/>
      <c r="D1598" s="19"/>
      <c r="O1598" s="5"/>
      <c r="P1598" s="5"/>
    </row>
    <row r="1599" spans="2:16" ht="13.2" x14ac:dyDescent="0.25">
      <c r="B1599" s="18"/>
      <c r="C1599" s="19"/>
      <c r="D1599" s="19"/>
      <c r="O1599" s="5"/>
      <c r="P1599" s="5"/>
    </row>
    <row r="1600" spans="2:16" ht="13.2" x14ac:dyDescent="0.25">
      <c r="B1600" s="18"/>
      <c r="C1600" s="19"/>
      <c r="D1600" s="19"/>
      <c r="O1600" s="5"/>
      <c r="P1600" s="5"/>
    </row>
    <row r="1601" spans="2:16" ht="13.2" x14ac:dyDescent="0.25">
      <c r="B1601" s="18"/>
      <c r="C1601" s="19"/>
      <c r="D1601" s="19"/>
      <c r="O1601" s="5"/>
      <c r="P1601" s="5"/>
    </row>
    <row r="1602" spans="2:16" ht="13.2" x14ac:dyDescent="0.25">
      <c r="B1602" s="18"/>
      <c r="C1602" s="19"/>
      <c r="D1602" s="19"/>
      <c r="O1602" s="5"/>
      <c r="P1602" s="5"/>
    </row>
    <row r="1603" spans="2:16" ht="13.2" x14ac:dyDescent="0.25">
      <c r="B1603" s="18"/>
      <c r="C1603" s="19"/>
      <c r="D1603" s="19"/>
      <c r="O1603" s="5"/>
      <c r="P1603" s="5"/>
    </row>
    <row r="1604" spans="2:16" ht="13.2" x14ac:dyDescent="0.25">
      <c r="B1604" s="18"/>
      <c r="C1604" s="19"/>
      <c r="D1604" s="19"/>
      <c r="O1604" s="5"/>
      <c r="P1604" s="5"/>
    </row>
    <row r="1605" spans="2:16" ht="13.2" x14ac:dyDescent="0.25">
      <c r="B1605" s="18"/>
      <c r="C1605" s="19"/>
      <c r="D1605" s="19"/>
      <c r="O1605" s="5"/>
      <c r="P1605" s="5"/>
    </row>
    <row r="1606" spans="2:16" ht="13.2" x14ac:dyDescent="0.25">
      <c r="B1606" s="18"/>
      <c r="C1606" s="19"/>
      <c r="D1606" s="19"/>
      <c r="O1606" s="5"/>
      <c r="P1606" s="5"/>
    </row>
    <row r="1607" spans="2:16" ht="13.2" x14ac:dyDescent="0.25">
      <c r="B1607" s="18"/>
      <c r="C1607" s="19"/>
      <c r="D1607" s="19"/>
      <c r="O1607" s="5"/>
      <c r="P1607" s="5"/>
    </row>
    <row r="1608" spans="2:16" ht="13.2" x14ac:dyDescent="0.25">
      <c r="B1608" s="18"/>
      <c r="C1608" s="19"/>
      <c r="D1608" s="19"/>
      <c r="O1608" s="5"/>
      <c r="P1608" s="5"/>
    </row>
    <row r="1609" spans="2:16" ht="13.2" x14ac:dyDescent="0.25">
      <c r="B1609" s="18"/>
      <c r="C1609" s="19"/>
      <c r="D1609" s="19"/>
      <c r="O1609" s="5"/>
      <c r="P1609" s="5"/>
    </row>
    <row r="1610" spans="2:16" ht="13.2" x14ac:dyDescent="0.25">
      <c r="B1610" s="18"/>
      <c r="C1610" s="19"/>
      <c r="D1610" s="19"/>
      <c r="O1610" s="5"/>
      <c r="P1610" s="5"/>
    </row>
    <row r="1611" spans="2:16" ht="13.2" x14ac:dyDescent="0.25">
      <c r="B1611" s="18"/>
      <c r="C1611" s="19"/>
      <c r="D1611" s="19"/>
      <c r="O1611" s="5"/>
      <c r="P1611" s="5"/>
    </row>
    <row r="1612" spans="2:16" ht="13.2" x14ac:dyDescent="0.25">
      <c r="B1612" s="18"/>
      <c r="C1612" s="19"/>
      <c r="D1612" s="19"/>
      <c r="O1612" s="5"/>
      <c r="P1612" s="5"/>
    </row>
    <row r="1613" spans="2:16" ht="13.2" x14ac:dyDescent="0.25">
      <c r="B1613" s="18"/>
      <c r="C1613" s="19"/>
      <c r="D1613" s="19"/>
      <c r="O1613" s="5"/>
      <c r="P1613" s="5"/>
    </row>
    <row r="1614" spans="2:16" ht="13.2" x14ac:dyDescent="0.25">
      <c r="B1614" s="18"/>
      <c r="C1614" s="19"/>
      <c r="D1614" s="19"/>
      <c r="O1614" s="5"/>
      <c r="P1614" s="5"/>
    </row>
    <row r="1615" spans="2:16" ht="13.2" x14ac:dyDescent="0.25">
      <c r="B1615" s="18"/>
      <c r="C1615" s="19"/>
      <c r="D1615" s="19"/>
      <c r="O1615" s="5"/>
      <c r="P1615" s="5"/>
    </row>
    <row r="1616" spans="2:16" ht="13.2" x14ac:dyDescent="0.25">
      <c r="B1616" s="18"/>
      <c r="C1616" s="19"/>
      <c r="D1616" s="19"/>
      <c r="O1616" s="5"/>
      <c r="P1616" s="5"/>
    </row>
    <row r="1617" spans="2:16" ht="13.2" x14ac:dyDescent="0.25">
      <c r="B1617" s="18"/>
      <c r="C1617" s="19"/>
      <c r="D1617" s="19"/>
      <c r="O1617" s="5"/>
      <c r="P1617" s="5"/>
    </row>
    <row r="1618" spans="2:16" ht="13.2" x14ac:dyDescent="0.25">
      <c r="B1618" s="18"/>
      <c r="C1618" s="19"/>
      <c r="D1618" s="19"/>
      <c r="O1618" s="5"/>
      <c r="P1618" s="5"/>
    </row>
    <row r="1619" spans="2:16" ht="13.2" x14ac:dyDescent="0.25">
      <c r="B1619" s="18"/>
      <c r="C1619" s="19"/>
      <c r="D1619" s="19"/>
      <c r="O1619" s="5"/>
      <c r="P1619" s="5"/>
    </row>
    <row r="1620" spans="2:16" ht="13.2" x14ac:dyDescent="0.25">
      <c r="B1620" s="18"/>
      <c r="C1620" s="19"/>
      <c r="D1620" s="19"/>
      <c r="O1620" s="5"/>
      <c r="P1620" s="5"/>
    </row>
    <row r="1621" spans="2:16" ht="13.2" x14ac:dyDescent="0.25">
      <c r="B1621" s="18"/>
      <c r="C1621" s="19"/>
      <c r="D1621" s="19"/>
      <c r="O1621" s="5"/>
      <c r="P1621" s="5"/>
    </row>
    <row r="1622" spans="2:16" ht="13.2" x14ac:dyDescent="0.25">
      <c r="B1622" s="18"/>
      <c r="C1622" s="19"/>
      <c r="D1622" s="19"/>
      <c r="O1622" s="5"/>
      <c r="P1622" s="5"/>
    </row>
    <row r="1623" spans="2:16" ht="13.2" x14ac:dyDescent="0.25">
      <c r="B1623" s="18"/>
      <c r="C1623" s="19"/>
      <c r="D1623" s="19"/>
      <c r="O1623" s="5"/>
      <c r="P1623" s="5"/>
    </row>
    <row r="1624" spans="2:16" ht="13.2" x14ac:dyDescent="0.25">
      <c r="B1624" s="18"/>
      <c r="C1624" s="19"/>
      <c r="D1624" s="19"/>
      <c r="O1624" s="5"/>
      <c r="P1624" s="5"/>
    </row>
    <row r="1625" spans="2:16" ht="13.2" x14ac:dyDescent="0.25">
      <c r="B1625" s="18"/>
      <c r="C1625" s="19"/>
      <c r="D1625" s="19"/>
      <c r="O1625" s="5"/>
      <c r="P1625" s="5"/>
    </row>
    <row r="1626" spans="2:16" ht="13.2" x14ac:dyDescent="0.25">
      <c r="B1626" s="18"/>
      <c r="C1626" s="19"/>
      <c r="D1626" s="19"/>
      <c r="O1626" s="5"/>
      <c r="P1626" s="5"/>
    </row>
    <row r="1627" spans="2:16" ht="13.2" x14ac:dyDescent="0.25">
      <c r="B1627" s="18"/>
      <c r="C1627" s="19"/>
      <c r="D1627" s="19"/>
      <c r="O1627" s="5"/>
      <c r="P1627" s="5"/>
    </row>
    <row r="1628" spans="2:16" ht="13.2" x14ac:dyDescent="0.25">
      <c r="B1628" s="18"/>
      <c r="C1628" s="19"/>
      <c r="D1628" s="19"/>
      <c r="O1628" s="5"/>
      <c r="P1628" s="5"/>
    </row>
    <row r="1629" spans="2:16" ht="13.2" x14ac:dyDescent="0.25">
      <c r="B1629" s="18"/>
      <c r="C1629" s="19"/>
      <c r="D1629" s="19"/>
      <c r="O1629" s="5"/>
      <c r="P1629" s="5"/>
    </row>
    <row r="1630" spans="2:16" ht="13.2" x14ac:dyDescent="0.25">
      <c r="B1630" s="18"/>
      <c r="C1630" s="19"/>
      <c r="D1630" s="19"/>
      <c r="O1630" s="5"/>
      <c r="P1630" s="5"/>
    </row>
    <row r="1631" spans="2:16" ht="13.2" x14ac:dyDescent="0.25">
      <c r="B1631" s="18"/>
      <c r="C1631" s="19"/>
      <c r="D1631" s="19"/>
      <c r="O1631" s="5"/>
      <c r="P1631" s="5"/>
    </row>
    <row r="1632" spans="2:16" ht="13.2" x14ac:dyDescent="0.25">
      <c r="B1632" s="18"/>
      <c r="C1632" s="19"/>
      <c r="D1632" s="19"/>
      <c r="O1632" s="5"/>
      <c r="P1632" s="5"/>
    </row>
    <row r="1633" spans="2:16" ht="13.2" x14ac:dyDescent="0.25">
      <c r="B1633" s="18"/>
      <c r="C1633" s="19"/>
      <c r="D1633" s="19"/>
      <c r="O1633" s="5"/>
      <c r="P1633" s="5"/>
    </row>
    <row r="1634" spans="2:16" ht="13.2" x14ac:dyDescent="0.25">
      <c r="B1634" s="18"/>
      <c r="C1634" s="19"/>
      <c r="D1634" s="19"/>
      <c r="O1634" s="5"/>
      <c r="P1634" s="5"/>
    </row>
    <row r="1635" spans="2:16" ht="13.2" x14ac:dyDescent="0.25">
      <c r="B1635" s="18"/>
      <c r="C1635" s="19"/>
      <c r="D1635" s="19"/>
      <c r="O1635" s="5"/>
      <c r="P1635" s="5"/>
    </row>
    <row r="1636" spans="2:16" ht="13.2" x14ac:dyDescent="0.25">
      <c r="B1636" s="18"/>
      <c r="C1636" s="19"/>
      <c r="D1636" s="19"/>
      <c r="O1636" s="5"/>
      <c r="P1636" s="5"/>
    </row>
    <row r="1637" spans="2:16" ht="13.2" x14ac:dyDescent="0.25">
      <c r="B1637" s="18"/>
      <c r="C1637" s="19"/>
      <c r="D1637" s="19"/>
      <c r="O1637" s="5"/>
      <c r="P1637" s="5"/>
    </row>
    <row r="1638" spans="2:16" ht="13.2" x14ac:dyDescent="0.25">
      <c r="B1638" s="18"/>
      <c r="C1638" s="19"/>
      <c r="D1638" s="19"/>
      <c r="O1638" s="5"/>
      <c r="P1638" s="5"/>
    </row>
    <row r="1639" spans="2:16" ht="13.2" x14ac:dyDescent="0.25">
      <c r="B1639" s="18"/>
      <c r="C1639" s="19"/>
      <c r="D1639" s="19"/>
      <c r="O1639" s="5"/>
      <c r="P1639" s="5"/>
    </row>
    <row r="1640" spans="2:16" ht="13.2" x14ac:dyDescent="0.25">
      <c r="B1640" s="18"/>
      <c r="C1640" s="19"/>
      <c r="D1640" s="19"/>
      <c r="O1640" s="5"/>
      <c r="P1640" s="5"/>
    </row>
    <row r="1641" spans="2:16" ht="13.2" x14ac:dyDescent="0.25">
      <c r="B1641" s="18"/>
      <c r="C1641" s="19"/>
      <c r="D1641" s="19"/>
      <c r="O1641" s="5"/>
      <c r="P1641" s="5"/>
    </row>
    <row r="1642" spans="2:16" ht="13.2" x14ac:dyDescent="0.25">
      <c r="B1642" s="18"/>
      <c r="C1642" s="19"/>
      <c r="D1642" s="19"/>
      <c r="O1642" s="5"/>
      <c r="P1642" s="5"/>
    </row>
    <row r="1643" spans="2:16" ht="13.2" x14ac:dyDescent="0.25">
      <c r="B1643" s="18"/>
      <c r="C1643" s="19"/>
      <c r="D1643" s="19"/>
      <c r="O1643" s="5"/>
      <c r="P1643" s="5"/>
    </row>
    <row r="1644" spans="2:16" ht="13.2" x14ac:dyDescent="0.25">
      <c r="B1644" s="18"/>
      <c r="C1644" s="19"/>
      <c r="D1644" s="19"/>
      <c r="O1644" s="5"/>
      <c r="P1644" s="5"/>
    </row>
    <row r="1645" spans="2:16" ht="13.2" x14ac:dyDescent="0.25">
      <c r="B1645" s="18"/>
      <c r="C1645" s="19"/>
      <c r="D1645" s="19"/>
      <c r="O1645" s="5"/>
      <c r="P1645" s="5"/>
    </row>
    <row r="1646" spans="2:16" ht="13.2" x14ac:dyDescent="0.25">
      <c r="B1646" s="18"/>
      <c r="C1646" s="19"/>
      <c r="D1646" s="19"/>
      <c r="O1646" s="5"/>
      <c r="P1646" s="5"/>
    </row>
    <row r="1647" spans="2:16" ht="13.2" x14ac:dyDescent="0.25">
      <c r="B1647" s="18"/>
      <c r="C1647" s="19"/>
      <c r="D1647" s="19"/>
      <c r="O1647" s="5"/>
      <c r="P1647" s="5"/>
    </row>
    <row r="1648" spans="2:16" ht="13.2" x14ac:dyDescent="0.25">
      <c r="B1648" s="18"/>
      <c r="C1648" s="19"/>
      <c r="D1648" s="19"/>
      <c r="O1648" s="5"/>
      <c r="P1648" s="5"/>
    </row>
    <row r="1649" spans="2:16" ht="13.2" x14ac:dyDescent="0.25">
      <c r="B1649" s="18"/>
      <c r="C1649" s="19"/>
      <c r="D1649" s="19"/>
      <c r="O1649" s="5"/>
      <c r="P1649" s="5"/>
    </row>
    <row r="1650" spans="2:16" ht="13.2" x14ac:dyDescent="0.25">
      <c r="B1650" s="18"/>
      <c r="C1650" s="19"/>
      <c r="D1650" s="19"/>
      <c r="O1650" s="5"/>
      <c r="P1650" s="5"/>
    </row>
    <row r="1651" spans="2:16" ht="13.2" x14ac:dyDescent="0.25">
      <c r="B1651" s="18"/>
      <c r="C1651" s="19"/>
      <c r="D1651" s="19"/>
      <c r="O1651" s="5"/>
      <c r="P1651" s="5"/>
    </row>
    <row r="1652" spans="2:16" ht="13.2" x14ac:dyDescent="0.25">
      <c r="B1652" s="18"/>
      <c r="C1652" s="19"/>
      <c r="D1652" s="19"/>
      <c r="O1652" s="5"/>
      <c r="P1652" s="5"/>
    </row>
    <row r="1653" spans="2:16" ht="13.2" x14ac:dyDescent="0.25">
      <c r="B1653" s="18"/>
      <c r="C1653" s="19"/>
      <c r="D1653" s="19"/>
      <c r="O1653" s="5"/>
      <c r="P1653" s="5"/>
    </row>
    <row r="1654" spans="2:16" ht="13.2" x14ac:dyDescent="0.25">
      <c r="B1654" s="18"/>
      <c r="C1654" s="19"/>
      <c r="D1654" s="19"/>
      <c r="O1654" s="5"/>
      <c r="P1654" s="5"/>
    </row>
    <row r="1655" spans="2:16" ht="13.2" x14ac:dyDescent="0.25">
      <c r="B1655" s="18"/>
      <c r="C1655" s="19"/>
      <c r="D1655" s="19"/>
      <c r="O1655" s="5"/>
      <c r="P1655" s="5"/>
    </row>
    <row r="1656" spans="2:16" ht="13.2" x14ac:dyDescent="0.25">
      <c r="B1656" s="18"/>
      <c r="C1656" s="19"/>
      <c r="D1656" s="19"/>
      <c r="O1656" s="5"/>
      <c r="P1656" s="5"/>
    </row>
    <row r="1657" spans="2:16" ht="13.2" x14ac:dyDescent="0.25">
      <c r="B1657" s="18"/>
      <c r="C1657" s="19"/>
      <c r="D1657" s="19"/>
      <c r="O1657" s="5"/>
      <c r="P1657" s="5"/>
    </row>
    <row r="1658" spans="2:16" ht="13.2" x14ac:dyDescent="0.25">
      <c r="B1658" s="18"/>
      <c r="C1658" s="19"/>
      <c r="D1658" s="19"/>
      <c r="O1658" s="5"/>
      <c r="P1658" s="5"/>
    </row>
    <row r="1659" spans="2:16" ht="13.2" x14ac:dyDescent="0.25">
      <c r="B1659" s="18"/>
      <c r="C1659" s="19"/>
      <c r="D1659" s="19"/>
      <c r="O1659" s="5"/>
      <c r="P1659" s="5"/>
    </row>
    <row r="1660" spans="2:16" ht="13.2" x14ac:dyDescent="0.25">
      <c r="B1660" s="18"/>
      <c r="C1660" s="19"/>
      <c r="D1660" s="19"/>
      <c r="O1660" s="5"/>
      <c r="P1660" s="5"/>
    </row>
    <row r="1661" spans="2:16" ht="13.2" x14ac:dyDescent="0.25">
      <c r="B1661" s="18"/>
      <c r="C1661" s="19"/>
      <c r="D1661" s="19"/>
      <c r="O1661" s="5"/>
      <c r="P1661" s="5"/>
    </row>
    <row r="1662" spans="2:16" ht="13.2" x14ac:dyDescent="0.25">
      <c r="B1662" s="18"/>
      <c r="C1662" s="19"/>
      <c r="D1662" s="19"/>
      <c r="O1662" s="5"/>
      <c r="P1662" s="5"/>
    </row>
    <row r="1663" spans="2:16" ht="13.2" x14ac:dyDescent="0.25">
      <c r="B1663" s="18"/>
      <c r="C1663" s="19"/>
      <c r="D1663" s="19"/>
      <c r="O1663" s="5"/>
      <c r="P1663" s="5"/>
    </row>
    <row r="1664" spans="2:16" ht="13.2" x14ac:dyDescent="0.25">
      <c r="B1664" s="18"/>
      <c r="C1664" s="19"/>
      <c r="D1664" s="19"/>
      <c r="O1664" s="5"/>
      <c r="P1664" s="5"/>
    </row>
    <row r="1665" spans="2:16" ht="13.2" x14ac:dyDescent="0.25">
      <c r="B1665" s="18"/>
      <c r="C1665" s="19"/>
      <c r="D1665" s="19"/>
      <c r="O1665" s="5"/>
      <c r="P1665" s="5"/>
    </row>
    <row r="1666" spans="2:16" ht="13.2" x14ac:dyDescent="0.25">
      <c r="B1666" s="18"/>
      <c r="C1666" s="19"/>
      <c r="D1666" s="19"/>
      <c r="O1666" s="5"/>
      <c r="P1666" s="5"/>
    </row>
    <row r="1667" spans="2:16" ht="13.2" x14ac:dyDescent="0.25">
      <c r="B1667" s="18"/>
      <c r="C1667" s="19"/>
      <c r="D1667" s="19"/>
      <c r="O1667" s="5"/>
      <c r="P1667" s="5"/>
    </row>
    <row r="1668" spans="2:16" ht="13.2" x14ac:dyDescent="0.25">
      <c r="B1668" s="18"/>
      <c r="C1668" s="19"/>
      <c r="D1668" s="19"/>
      <c r="O1668" s="5"/>
      <c r="P1668" s="5"/>
    </row>
    <row r="1669" spans="2:16" ht="13.2" x14ac:dyDescent="0.25">
      <c r="B1669" s="18"/>
      <c r="C1669" s="19"/>
      <c r="D1669" s="19"/>
      <c r="O1669" s="5"/>
      <c r="P1669" s="5"/>
    </row>
    <row r="1670" spans="2:16" ht="13.2" x14ac:dyDescent="0.25">
      <c r="B1670" s="18"/>
      <c r="C1670" s="19"/>
      <c r="D1670" s="19"/>
      <c r="O1670" s="5"/>
      <c r="P1670" s="5"/>
    </row>
    <row r="1671" spans="2:16" ht="13.2" x14ac:dyDescent="0.25">
      <c r="B1671" s="18"/>
      <c r="C1671" s="19"/>
      <c r="D1671" s="19"/>
      <c r="O1671" s="5"/>
      <c r="P1671" s="5"/>
    </row>
    <row r="1672" spans="2:16" ht="13.2" x14ac:dyDescent="0.25">
      <c r="B1672" s="18"/>
      <c r="C1672" s="19"/>
      <c r="D1672" s="19"/>
      <c r="O1672" s="5"/>
      <c r="P1672" s="5"/>
    </row>
    <row r="1673" spans="2:16" ht="13.2" x14ac:dyDescent="0.25">
      <c r="B1673" s="18"/>
      <c r="C1673" s="19"/>
      <c r="D1673" s="19"/>
      <c r="O1673" s="5"/>
      <c r="P1673" s="5"/>
    </row>
    <row r="1674" spans="2:16" ht="13.2" x14ac:dyDescent="0.25">
      <c r="B1674" s="18"/>
      <c r="C1674" s="19"/>
      <c r="D1674" s="19"/>
      <c r="O1674" s="5"/>
      <c r="P1674" s="5"/>
    </row>
    <row r="1675" spans="2:16" ht="13.2" x14ac:dyDescent="0.25">
      <c r="B1675" s="18"/>
      <c r="C1675" s="19"/>
      <c r="D1675" s="19"/>
      <c r="O1675" s="5"/>
      <c r="P1675" s="5"/>
    </row>
    <row r="1676" spans="2:16" ht="13.2" x14ac:dyDescent="0.25">
      <c r="B1676" s="18"/>
      <c r="C1676" s="19"/>
      <c r="D1676" s="19"/>
      <c r="O1676" s="5"/>
      <c r="P1676" s="5"/>
    </row>
    <row r="1677" spans="2:16" ht="13.2" x14ac:dyDescent="0.25">
      <c r="B1677" s="18"/>
      <c r="C1677" s="19"/>
      <c r="D1677" s="19"/>
      <c r="O1677" s="5"/>
      <c r="P1677" s="5"/>
    </row>
    <row r="1678" spans="2:16" ht="13.2" x14ac:dyDescent="0.25">
      <c r="B1678" s="18"/>
      <c r="C1678" s="19"/>
      <c r="D1678" s="19"/>
      <c r="O1678" s="5"/>
      <c r="P1678" s="5"/>
    </row>
    <row r="1679" spans="2:16" ht="13.2" x14ac:dyDescent="0.25">
      <c r="B1679" s="18"/>
      <c r="C1679" s="19"/>
      <c r="D1679" s="19"/>
      <c r="O1679" s="5"/>
      <c r="P1679" s="5"/>
    </row>
    <row r="1680" spans="2:16" ht="13.2" x14ac:dyDescent="0.25">
      <c r="B1680" s="18"/>
      <c r="C1680" s="19"/>
      <c r="D1680" s="19"/>
      <c r="O1680" s="5"/>
      <c r="P1680" s="5"/>
    </row>
    <row r="1681" spans="2:16" ht="13.2" x14ac:dyDescent="0.25">
      <c r="B1681" s="18"/>
      <c r="C1681" s="19"/>
      <c r="D1681" s="19"/>
      <c r="O1681" s="5"/>
      <c r="P1681" s="5"/>
    </row>
    <row r="1682" spans="2:16" ht="13.2" x14ac:dyDescent="0.25">
      <c r="B1682" s="18"/>
      <c r="C1682" s="19"/>
      <c r="D1682" s="19"/>
      <c r="O1682" s="5"/>
      <c r="P1682" s="5"/>
    </row>
    <row r="1683" spans="2:16" ht="13.2" x14ac:dyDescent="0.25">
      <c r="B1683" s="18"/>
      <c r="C1683" s="19"/>
      <c r="D1683" s="19"/>
      <c r="O1683" s="5"/>
      <c r="P1683" s="5"/>
    </row>
    <row r="1684" spans="2:16" ht="13.2" x14ac:dyDescent="0.25">
      <c r="B1684" s="18"/>
      <c r="C1684" s="19"/>
      <c r="D1684" s="19"/>
      <c r="O1684" s="5"/>
      <c r="P1684" s="5"/>
    </row>
    <row r="1685" spans="2:16" ht="13.2" x14ac:dyDescent="0.25">
      <c r="B1685" s="18"/>
      <c r="C1685" s="19"/>
      <c r="D1685" s="19"/>
      <c r="O1685" s="5"/>
      <c r="P1685" s="5"/>
    </row>
    <row r="1686" spans="2:16" ht="13.2" x14ac:dyDescent="0.25">
      <c r="B1686" s="18"/>
      <c r="C1686" s="19"/>
      <c r="D1686" s="19"/>
      <c r="O1686" s="5"/>
      <c r="P1686" s="5"/>
    </row>
    <row r="1687" spans="2:16" ht="13.2" x14ac:dyDescent="0.25">
      <c r="B1687" s="18"/>
      <c r="C1687" s="19"/>
      <c r="D1687" s="19"/>
      <c r="O1687" s="5"/>
      <c r="P1687" s="5"/>
    </row>
    <row r="1688" spans="2:16" ht="13.2" x14ac:dyDescent="0.25">
      <c r="B1688" s="18"/>
      <c r="C1688" s="19"/>
      <c r="D1688" s="19"/>
      <c r="O1688" s="5"/>
      <c r="P1688" s="5"/>
    </row>
    <row r="1689" spans="2:16" ht="13.2" x14ac:dyDescent="0.25">
      <c r="B1689" s="18"/>
      <c r="C1689" s="19"/>
      <c r="D1689" s="19"/>
      <c r="O1689" s="5"/>
      <c r="P1689" s="5"/>
    </row>
    <row r="1690" spans="2:16" ht="13.2" x14ac:dyDescent="0.25">
      <c r="B1690" s="18"/>
      <c r="C1690" s="19"/>
      <c r="D1690" s="19"/>
      <c r="O1690" s="5"/>
      <c r="P1690" s="5"/>
    </row>
    <row r="1691" spans="2:16" ht="13.2" x14ac:dyDescent="0.25">
      <c r="B1691" s="18"/>
      <c r="C1691" s="19"/>
      <c r="D1691" s="19"/>
      <c r="O1691" s="5"/>
      <c r="P1691" s="5"/>
    </row>
    <row r="1692" spans="2:16" ht="13.2" x14ac:dyDescent="0.25">
      <c r="B1692" s="18"/>
      <c r="C1692" s="19"/>
      <c r="D1692" s="19"/>
      <c r="O1692" s="5"/>
      <c r="P1692" s="5"/>
    </row>
    <row r="1693" spans="2:16" ht="13.2" x14ac:dyDescent="0.25">
      <c r="B1693" s="18"/>
      <c r="C1693" s="19"/>
      <c r="D1693" s="19"/>
      <c r="O1693" s="5"/>
      <c r="P1693" s="5"/>
    </row>
    <row r="1694" spans="2:16" ht="13.2" x14ac:dyDescent="0.25">
      <c r="B1694" s="18"/>
      <c r="C1694" s="19"/>
      <c r="D1694" s="19"/>
      <c r="O1694" s="5"/>
      <c r="P1694" s="5"/>
    </row>
    <row r="1695" spans="2:16" ht="13.2" x14ac:dyDescent="0.25">
      <c r="B1695" s="18"/>
      <c r="C1695" s="19"/>
      <c r="D1695" s="19"/>
      <c r="O1695" s="5"/>
      <c r="P1695" s="5"/>
    </row>
    <row r="1696" spans="2:16" ht="13.2" x14ac:dyDescent="0.25">
      <c r="B1696" s="18"/>
      <c r="C1696" s="19"/>
      <c r="D1696" s="19"/>
      <c r="O1696" s="5"/>
      <c r="P1696" s="5"/>
    </row>
    <row r="1697" spans="2:16" ht="13.2" x14ac:dyDescent="0.25">
      <c r="B1697" s="18"/>
      <c r="C1697" s="19"/>
      <c r="D1697" s="19"/>
      <c r="O1697" s="5"/>
      <c r="P1697" s="5"/>
    </row>
    <row r="1698" spans="2:16" ht="13.2" x14ac:dyDescent="0.25">
      <c r="B1698" s="18"/>
      <c r="C1698" s="19"/>
      <c r="D1698" s="19"/>
      <c r="O1698" s="5"/>
      <c r="P1698" s="5"/>
    </row>
    <row r="1699" spans="2:16" ht="13.2" x14ac:dyDescent="0.25">
      <c r="B1699" s="18"/>
      <c r="C1699" s="19"/>
      <c r="D1699" s="19"/>
      <c r="O1699" s="5"/>
      <c r="P1699" s="5"/>
    </row>
    <row r="1700" spans="2:16" ht="13.2" x14ac:dyDescent="0.25">
      <c r="B1700" s="18"/>
      <c r="C1700" s="19"/>
      <c r="D1700" s="19"/>
      <c r="O1700" s="5"/>
      <c r="P1700" s="5"/>
    </row>
    <row r="1701" spans="2:16" ht="13.2" x14ac:dyDescent="0.25">
      <c r="B1701" s="18"/>
      <c r="C1701" s="19"/>
      <c r="D1701" s="19"/>
      <c r="O1701" s="5"/>
      <c r="P1701" s="5"/>
    </row>
    <row r="1702" spans="2:16" ht="13.2" x14ac:dyDescent="0.25">
      <c r="B1702" s="18"/>
      <c r="C1702" s="19"/>
      <c r="D1702" s="19"/>
      <c r="O1702" s="5"/>
      <c r="P1702" s="5"/>
    </row>
    <row r="1703" spans="2:16" ht="13.2" x14ac:dyDescent="0.25">
      <c r="B1703" s="18"/>
      <c r="C1703" s="19"/>
      <c r="D1703" s="19"/>
      <c r="O1703" s="5"/>
      <c r="P1703" s="5"/>
    </row>
    <row r="1704" spans="2:16" ht="13.2" x14ac:dyDescent="0.25">
      <c r="B1704" s="18"/>
      <c r="C1704" s="19"/>
      <c r="D1704" s="19"/>
      <c r="O1704" s="5"/>
      <c r="P1704" s="5"/>
    </row>
    <row r="1705" spans="2:16" ht="13.2" x14ac:dyDescent="0.25">
      <c r="B1705" s="18"/>
      <c r="C1705" s="19"/>
      <c r="D1705" s="19"/>
      <c r="O1705" s="5"/>
      <c r="P1705" s="5"/>
    </row>
    <row r="1706" spans="2:16" ht="13.2" x14ac:dyDescent="0.25">
      <c r="B1706" s="18"/>
      <c r="C1706" s="19"/>
      <c r="D1706" s="19"/>
      <c r="O1706" s="5"/>
      <c r="P1706" s="5"/>
    </row>
    <row r="1707" spans="2:16" ht="13.2" x14ac:dyDescent="0.25">
      <c r="B1707" s="18"/>
      <c r="C1707" s="19"/>
      <c r="D1707" s="19"/>
      <c r="O1707" s="5"/>
      <c r="P1707" s="5"/>
    </row>
    <row r="1708" spans="2:16" ht="13.2" x14ac:dyDescent="0.25">
      <c r="B1708" s="18"/>
      <c r="C1708" s="19"/>
      <c r="D1708" s="19"/>
      <c r="O1708" s="5"/>
      <c r="P1708" s="5"/>
    </row>
    <row r="1709" spans="2:16" ht="13.2" x14ac:dyDescent="0.25">
      <c r="B1709" s="18"/>
      <c r="C1709" s="19"/>
      <c r="D1709" s="19"/>
      <c r="O1709" s="5"/>
      <c r="P1709" s="5"/>
    </row>
    <row r="1710" spans="2:16" ht="13.2" x14ac:dyDescent="0.25">
      <c r="B1710" s="18"/>
      <c r="C1710" s="19"/>
      <c r="D1710" s="19"/>
      <c r="O1710" s="5"/>
      <c r="P1710" s="5"/>
    </row>
    <row r="1711" spans="2:16" ht="13.2" x14ac:dyDescent="0.25">
      <c r="B1711" s="18"/>
      <c r="C1711" s="19"/>
      <c r="D1711" s="19"/>
      <c r="O1711" s="5"/>
      <c r="P1711" s="5"/>
    </row>
    <row r="1712" spans="2:16" ht="13.2" x14ac:dyDescent="0.25">
      <c r="B1712" s="18"/>
      <c r="C1712" s="19"/>
      <c r="D1712" s="19"/>
      <c r="O1712" s="5"/>
      <c r="P1712" s="5"/>
    </row>
    <row r="1713" spans="2:16" ht="13.2" x14ac:dyDescent="0.25">
      <c r="B1713" s="18"/>
      <c r="C1713" s="19"/>
      <c r="D1713" s="19"/>
      <c r="O1713" s="5"/>
      <c r="P1713" s="5"/>
    </row>
    <row r="1714" spans="2:16" ht="13.2" x14ac:dyDescent="0.25">
      <c r="B1714" s="18"/>
      <c r="C1714" s="19"/>
      <c r="D1714" s="19"/>
      <c r="O1714" s="5"/>
      <c r="P1714" s="5"/>
    </row>
    <row r="1715" spans="2:16" ht="13.2" x14ac:dyDescent="0.25">
      <c r="B1715" s="18"/>
      <c r="C1715" s="19"/>
      <c r="D1715" s="19"/>
      <c r="O1715" s="5"/>
      <c r="P1715" s="5"/>
    </row>
    <row r="1716" spans="2:16" ht="13.2" x14ac:dyDescent="0.25">
      <c r="B1716" s="18"/>
      <c r="C1716" s="19"/>
      <c r="D1716" s="19"/>
      <c r="O1716" s="5"/>
      <c r="P1716" s="5"/>
    </row>
    <row r="1717" spans="2:16" ht="13.2" x14ac:dyDescent="0.25">
      <c r="B1717" s="18"/>
      <c r="C1717" s="19"/>
      <c r="D1717" s="19"/>
      <c r="O1717" s="5"/>
      <c r="P1717" s="5"/>
    </row>
    <row r="1718" spans="2:16" ht="13.2" x14ac:dyDescent="0.25">
      <c r="B1718" s="18"/>
      <c r="C1718" s="19"/>
      <c r="D1718" s="19"/>
      <c r="O1718" s="5"/>
      <c r="P1718" s="5"/>
    </row>
    <row r="1719" spans="2:16" ht="13.2" x14ac:dyDescent="0.25">
      <c r="B1719" s="18"/>
      <c r="C1719" s="19"/>
      <c r="D1719" s="19"/>
      <c r="O1719" s="5"/>
      <c r="P1719" s="5"/>
    </row>
    <row r="1720" spans="2:16" ht="13.2" x14ac:dyDescent="0.25">
      <c r="B1720" s="18"/>
      <c r="C1720" s="19"/>
      <c r="D1720" s="19"/>
      <c r="O1720" s="5"/>
      <c r="P1720" s="5"/>
    </row>
    <row r="1721" spans="2:16" ht="13.2" x14ac:dyDescent="0.25">
      <c r="B1721" s="18"/>
      <c r="C1721" s="19"/>
      <c r="D1721" s="19"/>
      <c r="O1721" s="5"/>
      <c r="P1721" s="5"/>
    </row>
    <row r="1722" spans="2:16" ht="13.2" x14ac:dyDescent="0.25">
      <c r="B1722" s="18"/>
      <c r="C1722" s="19"/>
      <c r="D1722" s="19"/>
      <c r="O1722" s="5"/>
      <c r="P1722" s="5"/>
    </row>
    <row r="1723" spans="2:16" ht="13.2" x14ac:dyDescent="0.25">
      <c r="B1723" s="18"/>
      <c r="C1723" s="19"/>
      <c r="D1723" s="19"/>
      <c r="O1723" s="5"/>
      <c r="P1723" s="5"/>
    </row>
    <row r="1724" spans="2:16" ht="13.2" x14ac:dyDescent="0.25">
      <c r="B1724" s="18"/>
      <c r="C1724" s="19"/>
      <c r="D1724" s="19"/>
      <c r="O1724" s="5"/>
      <c r="P1724" s="5"/>
    </row>
    <row r="1725" spans="2:16" ht="13.2" x14ac:dyDescent="0.25">
      <c r="B1725" s="18"/>
      <c r="C1725" s="19"/>
      <c r="D1725" s="19"/>
      <c r="O1725" s="5"/>
      <c r="P1725" s="5"/>
    </row>
    <row r="1726" spans="2:16" ht="13.2" x14ac:dyDescent="0.25">
      <c r="B1726" s="18"/>
      <c r="C1726" s="19"/>
      <c r="D1726" s="19"/>
      <c r="O1726" s="5"/>
      <c r="P1726" s="5"/>
    </row>
    <row r="1727" spans="2:16" ht="13.2" x14ac:dyDescent="0.25">
      <c r="B1727" s="18"/>
      <c r="C1727" s="19"/>
      <c r="D1727" s="19"/>
      <c r="O1727" s="5"/>
      <c r="P1727" s="5"/>
    </row>
    <row r="1728" spans="2:16" ht="13.2" x14ac:dyDescent="0.25">
      <c r="B1728" s="18"/>
      <c r="C1728" s="19"/>
      <c r="D1728" s="19"/>
      <c r="O1728" s="5"/>
      <c r="P1728" s="5"/>
    </row>
    <row r="1729" spans="2:16" ht="13.2" x14ac:dyDescent="0.25">
      <c r="B1729" s="18"/>
      <c r="C1729" s="19"/>
      <c r="D1729" s="19"/>
      <c r="O1729" s="5"/>
      <c r="P1729" s="5"/>
    </row>
    <row r="1730" spans="2:16" ht="13.2" x14ac:dyDescent="0.25">
      <c r="B1730" s="18"/>
      <c r="C1730" s="19"/>
      <c r="D1730" s="19"/>
      <c r="O1730" s="5"/>
      <c r="P1730" s="5"/>
    </row>
    <row r="1731" spans="2:16" ht="13.2" x14ac:dyDescent="0.25">
      <c r="B1731" s="18"/>
      <c r="C1731" s="19"/>
      <c r="D1731" s="19"/>
      <c r="O1731" s="5"/>
      <c r="P1731" s="5"/>
    </row>
    <row r="1732" spans="2:16" ht="13.2" x14ac:dyDescent="0.25">
      <c r="B1732" s="18"/>
      <c r="C1732" s="19"/>
      <c r="D1732" s="19"/>
      <c r="O1732" s="5"/>
      <c r="P1732" s="5"/>
    </row>
    <row r="1733" spans="2:16" ht="13.2" x14ac:dyDescent="0.25">
      <c r="B1733" s="18"/>
      <c r="C1733" s="19"/>
      <c r="D1733" s="19"/>
      <c r="O1733" s="5"/>
      <c r="P1733" s="5"/>
    </row>
    <row r="1734" spans="2:16" ht="13.2" x14ac:dyDescent="0.25">
      <c r="B1734" s="18"/>
      <c r="C1734" s="19"/>
      <c r="D1734" s="19"/>
      <c r="O1734" s="5"/>
      <c r="P1734" s="5"/>
    </row>
    <row r="1735" spans="2:16" ht="13.2" x14ac:dyDescent="0.25">
      <c r="B1735" s="18"/>
      <c r="C1735" s="19"/>
      <c r="D1735" s="19"/>
      <c r="O1735" s="5"/>
      <c r="P1735" s="5"/>
    </row>
    <row r="1736" spans="2:16" ht="13.2" x14ac:dyDescent="0.25">
      <c r="B1736" s="18"/>
      <c r="C1736" s="19"/>
      <c r="D1736" s="19"/>
      <c r="O1736" s="5"/>
      <c r="P1736" s="5"/>
    </row>
    <row r="1737" spans="2:16" ht="13.2" x14ac:dyDescent="0.25">
      <c r="B1737" s="18"/>
      <c r="C1737" s="19"/>
      <c r="D1737" s="19"/>
      <c r="O1737" s="5"/>
      <c r="P1737" s="5"/>
    </row>
    <row r="1738" spans="2:16" ht="13.2" x14ac:dyDescent="0.25">
      <c r="B1738" s="18"/>
      <c r="C1738" s="19"/>
      <c r="D1738" s="19"/>
      <c r="O1738" s="5"/>
      <c r="P1738" s="5"/>
    </row>
    <row r="1739" spans="2:16" ht="13.2" x14ac:dyDescent="0.25">
      <c r="B1739" s="18"/>
      <c r="C1739" s="19"/>
      <c r="D1739" s="19"/>
      <c r="O1739" s="5"/>
      <c r="P1739" s="5"/>
    </row>
    <row r="1740" spans="2:16" ht="13.2" x14ac:dyDescent="0.25">
      <c r="B1740" s="18"/>
      <c r="C1740" s="19"/>
      <c r="D1740" s="19"/>
      <c r="O1740" s="5"/>
      <c r="P1740" s="5"/>
    </row>
    <row r="1741" spans="2:16" ht="13.2" x14ac:dyDescent="0.25">
      <c r="B1741" s="18"/>
      <c r="C1741" s="19"/>
      <c r="D1741" s="19"/>
      <c r="O1741" s="5"/>
      <c r="P1741" s="5"/>
    </row>
    <row r="1742" spans="2:16" ht="13.2" x14ac:dyDescent="0.25">
      <c r="B1742" s="18"/>
      <c r="C1742" s="19"/>
      <c r="D1742" s="19"/>
      <c r="O1742" s="5"/>
      <c r="P1742" s="5"/>
    </row>
    <row r="1743" spans="2:16" ht="13.2" x14ac:dyDescent="0.25">
      <c r="B1743" s="18"/>
      <c r="C1743" s="19"/>
      <c r="D1743" s="19"/>
      <c r="O1743" s="5"/>
      <c r="P1743" s="5"/>
    </row>
    <row r="1744" spans="2:16" ht="13.2" x14ac:dyDescent="0.25">
      <c r="B1744" s="18"/>
      <c r="C1744" s="19"/>
      <c r="D1744" s="19"/>
      <c r="O1744" s="5"/>
      <c r="P1744" s="5"/>
    </row>
    <row r="1745" spans="2:16" ht="13.2" x14ac:dyDescent="0.25">
      <c r="B1745" s="18"/>
      <c r="C1745" s="19"/>
      <c r="D1745" s="19"/>
      <c r="O1745" s="5"/>
      <c r="P1745" s="5"/>
    </row>
    <row r="1746" spans="2:16" ht="13.2" x14ac:dyDescent="0.25">
      <c r="B1746" s="18"/>
      <c r="C1746" s="19"/>
      <c r="D1746" s="19"/>
      <c r="O1746" s="5"/>
      <c r="P1746" s="5"/>
    </row>
    <row r="1747" spans="2:16" ht="13.2" x14ac:dyDescent="0.25">
      <c r="B1747" s="18"/>
      <c r="C1747" s="19"/>
      <c r="D1747" s="19"/>
      <c r="O1747" s="5"/>
      <c r="P1747" s="5"/>
    </row>
    <row r="1748" spans="2:16" ht="13.2" x14ac:dyDescent="0.25">
      <c r="B1748" s="18"/>
      <c r="C1748" s="19"/>
      <c r="D1748" s="19"/>
      <c r="O1748" s="5"/>
      <c r="P1748" s="5"/>
    </row>
    <row r="1749" spans="2:16" ht="13.2" x14ac:dyDescent="0.25">
      <c r="B1749" s="18"/>
      <c r="C1749" s="19"/>
      <c r="D1749" s="19"/>
      <c r="O1749" s="5"/>
      <c r="P1749" s="5"/>
    </row>
    <row r="1750" spans="2:16" ht="13.2" x14ac:dyDescent="0.25">
      <c r="B1750" s="18"/>
      <c r="C1750" s="19"/>
      <c r="D1750" s="19"/>
      <c r="O1750" s="5"/>
      <c r="P1750" s="5"/>
    </row>
    <row r="1751" spans="2:16" ht="13.2" x14ac:dyDescent="0.25">
      <c r="B1751" s="18"/>
      <c r="C1751" s="19"/>
      <c r="D1751" s="19"/>
      <c r="O1751" s="5"/>
      <c r="P1751" s="5"/>
    </row>
    <row r="1752" spans="2:16" ht="13.2" x14ac:dyDescent="0.25">
      <c r="B1752" s="18"/>
      <c r="C1752" s="19"/>
      <c r="D1752" s="19"/>
      <c r="O1752" s="5"/>
      <c r="P1752" s="5"/>
    </row>
    <row r="1753" spans="2:16" ht="13.2" x14ac:dyDescent="0.25">
      <c r="B1753" s="18"/>
      <c r="C1753" s="19"/>
      <c r="D1753" s="19"/>
      <c r="O1753" s="5"/>
      <c r="P1753" s="5"/>
    </row>
    <row r="1754" spans="2:16" ht="13.2" x14ac:dyDescent="0.25">
      <c r="B1754" s="18"/>
      <c r="C1754" s="19"/>
      <c r="D1754" s="19"/>
      <c r="O1754" s="5"/>
      <c r="P1754" s="5"/>
    </row>
    <row r="1755" spans="2:16" ht="13.2" x14ac:dyDescent="0.25">
      <c r="B1755" s="18"/>
      <c r="C1755" s="19"/>
      <c r="D1755" s="19"/>
      <c r="O1755" s="5"/>
      <c r="P1755" s="5"/>
    </row>
    <row r="1756" spans="2:16" ht="13.2" x14ac:dyDescent="0.25">
      <c r="B1756" s="18"/>
      <c r="C1756" s="19"/>
      <c r="D1756" s="19"/>
      <c r="O1756" s="5"/>
      <c r="P1756" s="5"/>
    </row>
    <row r="1757" spans="2:16" ht="13.2" x14ac:dyDescent="0.25">
      <c r="B1757" s="18"/>
      <c r="C1757" s="19"/>
      <c r="D1757" s="19"/>
      <c r="O1757" s="5"/>
      <c r="P1757" s="5"/>
    </row>
    <row r="1758" spans="2:16" ht="13.2" x14ac:dyDescent="0.25">
      <c r="B1758" s="18"/>
      <c r="C1758" s="19"/>
      <c r="D1758" s="19"/>
      <c r="O1758" s="5"/>
      <c r="P1758" s="5"/>
    </row>
    <row r="1759" spans="2:16" ht="13.2" x14ac:dyDescent="0.25">
      <c r="B1759" s="18"/>
      <c r="C1759" s="19"/>
      <c r="D1759" s="19"/>
      <c r="O1759" s="5"/>
      <c r="P1759" s="5"/>
    </row>
    <row r="1760" spans="2:16" ht="13.2" x14ac:dyDescent="0.25">
      <c r="B1760" s="18"/>
      <c r="C1760" s="19"/>
      <c r="D1760" s="19"/>
      <c r="O1760" s="5"/>
      <c r="P1760" s="5"/>
    </row>
    <row r="1761" spans="2:16" ht="13.2" x14ac:dyDescent="0.25">
      <c r="B1761" s="18"/>
      <c r="C1761" s="19"/>
      <c r="D1761" s="19"/>
      <c r="O1761" s="5"/>
      <c r="P1761" s="5"/>
    </row>
    <row r="1762" spans="2:16" ht="13.2" x14ac:dyDescent="0.25">
      <c r="B1762" s="18"/>
      <c r="C1762" s="19"/>
      <c r="D1762" s="19"/>
      <c r="O1762" s="5"/>
      <c r="P1762" s="5"/>
    </row>
    <row r="1763" spans="2:16" ht="13.2" x14ac:dyDescent="0.25">
      <c r="B1763" s="18"/>
      <c r="C1763" s="19"/>
      <c r="D1763" s="19"/>
      <c r="O1763" s="5"/>
      <c r="P1763" s="5"/>
    </row>
    <row r="1764" spans="2:16" ht="13.2" x14ac:dyDescent="0.25">
      <c r="B1764" s="18"/>
      <c r="C1764" s="19"/>
      <c r="D1764" s="19"/>
      <c r="O1764" s="5"/>
      <c r="P1764" s="5"/>
    </row>
    <row r="1765" spans="2:16" ht="13.2" x14ac:dyDescent="0.25">
      <c r="B1765" s="18"/>
      <c r="C1765" s="19"/>
      <c r="D1765" s="19"/>
      <c r="O1765" s="5"/>
      <c r="P1765" s="5"/>
    </row>
    <row r="1766" spans="2:16" ht="13.2" x14ac:dyDescent="0.25">
      <c r="B1766" s="18"/>
      <c r="C1766" s="19"/>
      <c r="D1766" s="19"/>
      <c r="O1766" s="5"/>
      <c r="P1766" s="5"/>
    </row>
    <row r="1767" spans="2:16" ht="13.2" x14ac:dyDescent="0.25">
      <c r="B1767" s="18"/>
      <c r="C1767" s="19"/>
      <c r="D1767" s="19"/>
      <c r="O1767" s="5"/>
      <c r="P1767" s="5"/>
    </row>
    <row r="1768" spans="2:16" ht="13.2" x14ac:dyDescent="0.25">
      <c r="B1768" s="18"/>
      <c r="C1768" s="19"/>
      <c r="D1768" s="19"/>
      <c r="O1768" s="5"/>
      <c r="P1768" s="5"/>
    </row>
    <row r="1769" spans="2:16" ht="13.2" x14ac:dyDescent="0.25">
      <c r="B1769" s="18"/>
      <c r="C1769" s="19"/>
      <c r="D1769" s="19"/>
      <c r="O1769" s="5"/>
      <c r="P1769" s="5"/>
    </row>
    <row r="1770" spans="2:16" ht="13.2" x14ac:dyDescent="0.25">
      <c r="B1770" s="18"/>
      <c r="C1770" s="19"/>
      <c r="D1770" s="19"/>
      <c r="O1770" s="5"/>
      <c r="P1770" s="5"/>
    </row>
    <row r="1771" spans="2:16" ht="13.2" x14ac:dyDescent="0.25">
      <c r="B1771" s="18"/>
      <c r="C1771" s="19"/>
      <c r="D1771" s="19"/>
      <c r="O1771" s="5"/>
      <c r="P1771" s="5"/>
    </row>
    <row r="1772" spans="2:16" ht="13.2" x14ac:dyDescent="0.25">
      <c r="B1772" s="18"/>
      <c r="C1772" s="19"/>
      <c r="D1772" s="19"/>
      <c r="O1772" s="5"/>
      <c r="P1772" s="5"/>
    </row>
    <row r="1773" spans="2:16" ht="13.2" x14ac:dyDescent="0.25">
      <c r="B1773" s="18"/>
      <c r="C1773" s="19"/>
      <c r="D1773" s="19"/>
      <c r="O1773" s="5"/>
      <c r="P1773" s="5"/>
    </row>
    <row r="1774" spans="2:16" ht="13.2" x14ac:dyDescent="0.25">
      <c r="B1774" s="18"/>
      <c r="C1774" s="19"/>
      <c r="D1774" s="19"/>
      <c r="O1774" s="5"/>
      <c r="P1774" s="5"/>
    </row>
    <row r="1775" spans="2:16" ht="13.2" x14ac:dyDescent="0.25">
      <c r="B1775" s="18"/>
      <c r="C1775" s="19"/>
      <c r="D1775" s="19"/>
      <c r="O1775" s="5"/>
      <c r="P1775" s="5"/>
    </row>
    <row r="1776" spans="2:16" ht="13.2" x14ac:dyDescent="0.25">
      <c r="B1776" s="18"/>
      <c r="C1776" s="19"/>
      <c r="D1776" s="19"/>
      <c r="O1776" s="5"/>
      <c r="P1776" s="5"/>
    </row>
    <row r="1777" spans="2:16" ht="13.2" x14ac:dyDescent="0.25">
      <c r="B1777" s="18"/>
      <c r="C1777" s="19"/>
      <c r="D1777" s="19"/>
      <c r="O1777" s="5"/>
      <c r="P1777" s="5"/>
    </row>
    <row r="1778" spans="2:16" ht="13.2" x14ac:dyDescent="0.25">
      <c r="B1778" s="18"/>
      <c r="C1778" s="19"/>
      <c r="D1778" s="19"/>
      <c r="O1778" s="5"/>
      <c r="P1778" s="5"/>
    </row>
    <row r="1779" spans="2:16" ht="13.2" x14ac:dyDescent="0.25">
      <c r="B1779" s="18"/>
      <c r="C1779" s="19"/>
      <c r="D1779" s="19"/>
      <c r="O1779" s="5"/>
      <c r="P1779" s="5"/>
    </row>
    <row r="1780" spans="2:16" ht="13.2" x14ac:dyDescent="0.25">
      <c r="B1780" s="18"/>
      <c r="C1780" s="19"/>
      <c r="D1780" s="19"/>
      <c r="O1780" s="5"/>
      <c r="P1780" s="5"/>
    </row>
    <row r="1781" spans="2:16" ht="13.2" x14ac:dyDescent="0.25">
      <c r="B1781" s="18"/>
      <c r="C1781" s="19"/>
      <c r="D1781" s="19"/>
      <c r="O1781" s="5"/>
      <c r="P1781" s="5"/>
    </row>
    <row r="1782" spans="2:16" ht="13.2" x14ac:dyDescent="0.25">
      <c r="B1782" s="18"/>
      <c r="C1782" s="19"/>
      <c r="D1782" s="19"/>
      <c r="O1782" s="5"/>
      <c r="P1782" s="5"/>
    </row>
    <row r="1783" spans="2:16" ht="13.2" x14ac:dyDescent="0.25">
      <c r="B1783" s="18"/>
      <c r="C1783" s="19"/>
      <c r="D1783" s="19"/>
      <c r="O1783" s="5"/>
      <c r="P1783" s="5"/>
    </row>
    <row r="1784" spans="2:16" ht="13.2" x14ac:dyDescent="0.25">
      <c r="B1784" s="18"/>
      <c r="C1784" s="19"/>
      <c r="D1784" s="19"/>
      <c r="O1784" s="5"/>
      <c r="P1784" s="5"/>
    </row>
    <row r="1785" spans="2:16" ht="13.2" x14ac:dyDescent="0.25">
      <c r="B1785" s="18"/>
      <c r="C1785" s="19"/>
      <c r="D1785" s="19"/>
      <c r="O1785" s="5"/>
      <c r="P1785" s="5"/>
    </row>
    <row r="1786" spans="2:16" ht="13.2" x14ac:dyDescent="0.25">
      <c r="B1786" s="18"/>
      <c r="C1786" s="19"/>
      <c r="D1786" s="19"/>
      <c r="O1786" s="5"/>
      <c r="P1786" s="5"/>
    </row>
    <row r="1787" spans="2:16" ht="13.2" x14ac:dyDescent="0.25">
      <c r="B1787" s="18"/>
      <c r="C1787" s="19"/>
      <c r="D1787" s="19"/>
      <c r="O1787" s="5"/>
      <c r="P1787" s="5"/>
    </row>
    <row r="1788" spans="2:16" ht="13.2" x14ac:dyDescent="0.25">
      <c r="B1788" s="18"/>
      <c r="C1788" s="19"/>
      <c r="D1788" s="19"/>
      <c r="O1788" s="5"/>
      <c r="P1788" s="5"/>
    </row>
    <row r="1789" spans="2:16" ht="13.2" x14ac:dyDescent="0.25">
      <c r="B1789" s="18"/>
      <c r="C1789" s="19"/>
      <c r="D1789" s="19"/>
      <c r="O1789" s="5"/>
      <c r="P1789" s="5"/>
    </row>
    <row r="1790" spans="2:16" ht="13.2" x14ac:dyDescent="0.25">
      <c r="B1790" s="18"/>
      <c r="C1790" s="19"/>
      <c r="D1790" s="19"/>
      <c r="O1790" s="5"/>
      <c r="P1790" s="5"/>
    </row>
    <row r="1791" spans="2:16" ht="13.2" x14ac:dyDescent="0.25">
      <c r="B1791" s="18"/>
      <c r="C1791" s="19"/>
      <c r="D1791" s="19"/>
      <c r="O1791" s="5"/>
      <c r="P1791" s="5"/>
    </row>
    <row r="1792" spans="2:16" ht="13.2" x14ac:dyDescent="0.25">
      <c r="B1792" s="18"/>
      <c r="C1792" s="19"/>
      <c r="D1792" s="19"/>
      <c r="O1792" s="5"/>
      <c r="P1792" s="5"/>
    </row>
    <row r="1793" spans="2:16" ht="13.2" x14ac:dyDescent="0.25">
      <c r="B1793" s="18"/>
      <c r="C1793" s="19"/>
      <c r="D1793" s="19"/>
      <c r="O1793" s="5"/>
      <c r="P1793" s="5"/>
    </row>
    <row r="1794" spans="2:16" ht="13.2" x14ac:dyDescent="0.25">
      <c r="B1794" s="18"/>
      <c r="C1794" s="19"/>
      <c r="D1794" s="19"/>
      <c r="O1794" s="5"/>
      <c r="P1794" s="5"/>
    </row>
    <row r="1795" spans="2:16" ht="13.2" x14ac:dyDescent="0.25">
      <c r="B1795" s="18"/>
      <c r="C1795" s="19"/>
      <c r="D1795" s="19"/>
      <c r="O1795" s="5"/>
      <c r="P1795" s="5"/>
    </row>
    <row r="1796" spans="2:16" ht="13.2" x14ac:dyDescent="0.25">
      <c r="B1796" s="18"/>
      <c r="C1796" s="19"/>
      <c r="D1796" s="19"/>
      <c r="O1796" s="5"/>
      <c r="P1796" s="5"/>
    </row>
    <row r="1797" spans="2:16" ht="13.2" x14ac:dyDescent="0.25">
      <c r="B1797" s="18"/>
      <c r="C1797" s="19"/>
      <c r="D1797" s="19"/>
      <c r="O1797" s="5"/>
      <c r="P1797" s="5"/>
    </row>
    <row r="1798" spans="2:16" ht="13.2" x14ac:dyDescent="0.25">
      <c r="B1798" s="18"/>
      <c r="C1798" s="19"/>
      <c r="D1798" s="19"/>
      <c r="O1798" s="5"/>
      <c r="P1798" s="5"/>
    </row>
    <row r="1799" spans="2:16" ht="13.2" x14ac:dyDescent="0.25">
      <c r="B1799" s="18"/>
      <c r="C1799" s="19"/>
      <c r="D1799" s="19"/>
      <c r="O1799" s="5"/>
      <c r="P1799" s="5"/>
    </row>
    <row r="1800" spans="2:16" ht="13.2" x14ac:dyDescent="0.25">
      <c r="B1800" s="18"/>
      <c r="C1800" s="19"/>
      <c r="D1800" s="19"/>
      <c r="O1800" s="5"/>
      <c r="P1800" s="5"/>
    </row>
    <row r="1801" spans="2:16" ht="13.2" x14ac:dyDescent="0.25">
      <c r="B1801" s="18"/>
      <c r="C1801" s="19"/>
      <c r="D1801" s="19"/>
      <c r="O1801" s="5"/>
      <c r="P1801" s="5"/>
    </row>
    <row r="1802" spans="2:16" ht="13.2" x14ac:dyDescent="0.25">
      <c r="B1802" s="18"/>
      <c r="C1802" s="19"/>
      <c r="D1802" s="19"/>
      <c r="O1802" s="5"/>
      <c r="P1802" s="5"/>
    </row>
    <row r="1803" spans="2:16" ht="13.2" x14ac:dyDescent="0.25">
      <c r="B1803" s="18"/>
      <c r="C1803" s="19"/>
      <c r="D1803" s="19"/>
      <c r="O1803" s="5"/>
      <c r="P1803" s="5"/>
    </row>
    <row r="1804" spans="2:16" ht="13.2" x14ac:dyDescent="0.25">
      <c r="B1804" s="18"/>
      <c r="C1804" s="19"/>
      <c r="D1804" s="19"/>
      <c r="O1804" s="5"/>
      <c r="P1804" s="5"/>
    </row>
    <row r="1805" spans="2:16" ht="13.2" x14ac:dyDescent="0.25">
      <c r="B1805" s="18"/>
      <c r="C1805" s="19"/>
      <c r="D1805" s="19"/>
      <c r="O1805" s="5"/>
      <c r="P1805" s="5"/>
    </row>
    <row r="1806" spans="2:16" ht="13.2" x14ac:dyDescent="0.25">
      <c r="B1806" s="18"/>
      <c r="C1806" s="19"/>
      <c r="D1806" s="19"/>
      <c r="O1806" s="5"/>
      <c r="P1806" s="5"/>
    </row>
    <row r="1807" spans="2:16" ht="13.2" x14ac:dyDescent="0.25">
      <c r="B1807" s="18"/>
      <c r="C1807" s="19"/>
      <c r="D1807" s="19"/>
      <c r="O1807" s="5"/>
      <c r="P1807" s="5"/>
    </row>
    <row r="1808" spans="2:16" ht="13.2" x14ac:dyDescent="0.25">
      <c r="B1808" s="18"/>
      <c r="C1808" s="19"/>
      <c r="D1808" s="19"/>
      <c r="O1808" s="5"/>
      <c r="P1808" s="5"/>
    </row>
    <row r="1809" spans="2:16" ht="13.2" x14ac:dyDescent="0.25">
      <c r="B1809" s="18"/>
      <c r="C1809" s="19"/>
      <c r="D1809" s="19"/>
      <c r="O1809" s="5"/>
      <c r="P1809" s="5"/>
    </row>
    <row r="1810" spans="2:16" ht="13.2" x14ac:dyDescent="0.25">
      <c r="B1810" s="18"/>
      <c r="C1810" s="19"/>
      <c r="D1810" s="19"/>
      <c r="O1810" s="5"/>
      <c r="P1810" s="5"/>
    </row>
    <row r="1811" spans="2:16" ht="13.2" x14ac:dyDescent="0.25">
      <c r="B1811" s="18"/>
      <c r="C1811" s="19"/>
      <c r="D1811" s="19"/>
      <c r="O1811" s="5"/>
      <c r="P1811" s="5"/>
    </row>
    <row r="1812" spans="2:16" ht="13.2" x14ac:dyDescent="0.25">
      <c r="B1812" s="18"/>
      <c r="C1812" s="19"/>
      <c r="D1812" s="19"/>
      <c r="O1812" s="5"/>
      <c r="P1812" s="5"/>
    </row>
    <row r="1813" spans="2:16" ht="13.2" x14ac:dyDescent="0.25">
      <c r="B1813" s="18"/>
      <c r="C1813" s="19"/>
      <c r="D1813" s="19"/>
      <c r="O1813" s="5"/>
      <c r="P1813" s="5"/>
    </row>
    <row r="1814" spans="2:16" ht="13.2" x14ac:dyDescent="0.25">
      <c r="B1814" s="18"/>
      <c r="C1814" s="19"/>
      <c r="D1814" s="19"/>
      <c r="O1814" s="5"/>
      <c r="P1814" s="5"/>
    </row>
    <row r="1815" spans="2:16" ht="13.2" x14ac:dyDescent="0.25">
      <c r="B1815" s="18"/>
      <c r="C1815" s="19"/>
      <c r="D1815" s="19"/>
      <c r="O1815" s="5"/>
      <c r="P1815" s="5"/>
    </row>
    <row r="1816" spans="2:16" ht="13.2" x14ac:dyDescent="0.25">
      <c r="B1816" s="18"/>
      <c r="C1816" s="19"/>
      <c r="D1816" s="19"/>
      <c r="O1816" s="5"/>
      <c r="P1816" s="5"/>
    </row>
    <row r="1817" spans="2:16" ht="13.2" x14ac:dyDescent="0.25">
      <c r="B1817" s="18"/>
      <c r="C1817" s="19"/>
      <c r="D1817" s="19"/>
      <c r="O1817" s="5"/>
      <c r="P1817" s="5"/>
    </row>
    <row r="1818" spans="2:16" ht="13.2" x14ac:dyDescent="0.25">
      <c r="B1818" s="18"/>
      <c r="C1818" s="19"/>
      <c r="D1818" s="19"/>
      <c r="O1818" s="5"/>
      <c r="P1818" s="5"/>
    </row>
    <row r="1819" spans="2:16" ht="13.2" x14ac:dyDescent="0.25">
      <c r="B1819" s="18"/>
      <c r="C1819" s="19"/>
      <c r="D1819" s="19"/>
      <c r="O1819" s="5"/>
      <c r="P1819" s="5"/>
    </row>
    <row r="1820" spans="2:16" ht="13.2" x14ac:dyDescent="0.25">
      <c r="B1820" s="18"/>
      <c r="C1820" s="19"/>
      <c r="D1820" s="19"/>
      <c r="O1820" s="5"/>
      <c r="P1820" s="5"/>
    </row>
    <row r="1821" spans="2:16" ht="13.2" x14ac:dyDescent="0.25">
      <c r="B1821" s="18"/>
      <c r="C1821" s="19"/>
      <c r="D1821" s="19"/>
      <c r="O1821" s="5"/>
      <c r="P1821" s="5"/>
    </row>
    <row r="1822" spans="2:16" ht="13.2" x14ac:dyDescent="0.25">
      <c r="B1822" s="18"/>
      <c r="C1822" s="19"/>
      <c r="D1822" s="19"/>
      <c r="O1822" s="5"/>
      <c r="P1822" s="5"/>
    </row>
    <row r="1823" spans="2:16" ht="13.2" x14ac:dyDescent="0.25">
      <c r="B1823" s="18"/>
      <c r="C1823" s="19"/>
      <c r="D1823" s="19"/>
      <c r="O1823" s="5"/>
      <c r="P1823" s="5"/>
    </row>
    <row r="1824" spans="2:16" ht="13.2" x14ac:dyDescent="0.25">
      <c r="B1824" s="18"/>
      <c r="C1824" s="19"/>
      <c r="D1824" s="19"/>
      <c r="O1824" s="5"/>
      <c r="P1824" s="5"/>
    </row>
    <row r="1825" spans="2:16" ht="13.2" x14ac:dyDescent="0.25">
      <c r="B1825" s="18"/>
      <c r="C1825" s="19"/>
      <c r="D1825" s="19"/>
      <c r="O1825" s="5"/>
      <c r="P1825" s="5"/>
    </row>
    <row r="1826" spans="2:16" ht="13.2" x14ac:dyDescent="0.25">
      <c r="B1826" s="18"/>
      <c r="C1826" s="19"/>
      <c r="D1826" s="19"/>
      <c r="O1826" s="5"/>
      <c r="P1826" s="5"/>
    </row>
    <row r="1827" spans="2:16" ht="13.2" x14ac:dyDescent="0.25">
      <c r="B1827" s="18"/>
      <c r="C1827" s="19"/>
      <c r="D1827" s="19"/>
      <c r="O1827" s="5"/>
      <c r="P1827" s="5"/>
    </row>
    <row r="1828" spans="2:16" ht="13.2" x14ac:dyDescent="0.25">
      <c r="B1828" s="18"/>
      <c r="C1828" s="19"/>
      <c r="D1828" s="19"/>
      <c r="O1828" s="5"/>
      <c r="P1828" s="5"/>
    </row>
    <row r="1829" spans="2:16" ht="13.2" x14ac:dyDescent="0.25">
      <c r="B1829" s="18"/>
      <c r="C1829" s="19"/>
      <c r="D1829" s="19"/>
      <c r="O1829" s="5"/>
      <c r="P1829" s="5"/>
    </row>
    <row r="1830" spans="2:16" ht="13.2" x14ac:dyDescent="0.25">
      <c r="B1830" s="18"/>
      <c r="C1830" s="19"/>
      <c r="D1830" s="19"/>
      <c r="O1830" s="5"/>
      <c r="P1830" s="5"/>
    </row>
    <row r="1831" spans="2:16" ht="13.2" x14ac:dyDescent="0.25">
      <c r="B1831" s="18"/>
      <c r="C1831" s="19"/>
      <c r="D1831" s="19"/>
      <c r="O1831" s="5"/>
      <c r="P1831" s="5"/>
    </row>
    <row r="1832" spans="2:16" ht="13.2" x14ac:dyDescent="0.25">
      <c r="B1832" s="18"/>
      <c r="C1832" s="19"/>
      <c r="D1832" s="19"/>
      <c r="O1832" s="5"/>
      <c r="P1832" s="5"/>
    </row>
    <row r="1833" spans="2:16" ht="13.2" x14ac:dyDescent="0.25">
      <c r="B1833" s="18"/>
      <c r="C1833" s="19"/>
      <c r="D1833" s="19"/>
      <c r="O1833" s="5"/>
      <c r="P1833" s="5"/>
    </row>
    <row r="1834" spans="2:16" ht="13.2" x14ac:dyDescent="0.25">
      <c r="B1834" s="18"/>
      <c r="C1834" s="19"/>
      <c r="D1834" s="19"/>
      <c r="O1834" s="5"/>
      <c r="P1834" s="5"/>
    </row>
    <row r="1835" spans="2:16" ht="13.2" x14ac:dyDescent="0.25">
      <c r="B1835" s="18"/>
      <c r="C1835" s="19"/>
      <c r="D1835" s="19"/>
      <c r="O1835" s="5"/>
      <c r="P1835" s="5"/>
    </row>
    <row r="1836" spans="2:16" ht="13.2" x14ac:dyDescent="0.25">
      <c r="B1836" s="18"/>
      <c r="C1836" s="19"/>
      <c r="D1836" s="19"/>
      <c r="O1836" s="5"/>
      <c r="P1836" s="5"/>
    </row>
    <row r="1837" spans="2:16" ht="13.2" x14ac:dyDescent="0.25">
      <c r="B1837" s="18"/>
      <c r="C1837" s="19"/>
      <c r="D1837" s="19"/>
      <c r="O1837" s="5"/>
      <c r="P1837" s="5"/>
    </row>
    <row r="1838" spans="2:16" ht="13.2" x14ac:dyDescent="0.25">
      <c r="B1838" s="18"/>
      <c r="C1838" s="19"/>
      <c r="D1838" s="19"/>
      <c r="O1838" s="5"/>
      <c r="P1838" s="5"/>
    </row>
    <row r="1839" spans="2:16" ht="13.2" x14ac:dyDescent="0.25">
      <c r="B1839" s="18"/>
      <c r="C1839" s="19"/>
      <c r="D1839" s="19"/>
      <c r="O1839" s="5"/>
      <c r="P1839" s="5"/>
    </row>
    <row r="1840" spans="2:16" ht="13.2" x14ac:dyDescent="0.25">
      <c r="B1840" s="18"/>
      <c r="C1840" s="19"/>
      <c r="D1840" s="19"/>
      <c r="O1840" s="5"/>
      <c r="P1840" s="5"/>
    </row>
    <row r="1841" spans="2:16" ht="13.2" x14ac:dyDescent="0.25">
      <c r="B1841" s="18"/>
      <c r="C1841" s="19"/>
      <c r="D1841" s="19"/>
      <c r="O1841" s="5"/>
      <c r="P1841" s="5"/>
    </row>
    <row r="1842" spans="2:16" ht="13.2" x14ac:dyDescent="0.25">
      <c r="B1842" s="18"/>
      <c r="C1842" s="19"/>
      <c r="D1842" s="19"/>
      <c r="O1842" s="5"/>
      <c r="P1842" s="5"/>
    </row>
    <row r="1843" spans="2:16" ht="13.2" x14ac:dyDescent="0.25">
      <c r="B1843" s="18"/>
      <c r="C1843" s="19"/>
      <c r="D1843" s="19"/>
      <c r="O1843" s="5"/>
      <c r="P1843" s="5"/>
    </row>
    <row r="1844" spans="2:16" ht="13.2" x14ac:dyDescent="0.25">
      <c r="B1844" s="18"/>
      <c r="C1844" s="19"/>
      <c r="D1844" s="19"/>
      <c r="O1844" s="5"/>
      <c r="P1844" s="5"/>
    </row>
    <row r="1845" spans="2:16" ht="13.2" x14ac:dyDescent="0.25">
      <c r="B1845" s="18"/>
      <c r="C1845" s="19"/>
      <c r="D1845" s="19"/>
      <c r="O1845" s="5"/>
      <c r="P1845" s="5"/>
    </row>
    <row r="1846" spans="2:16" ht="13.2" x14ac:dyDescent="0.25">
      <c r="B1846" s="18"/>
      <c r="C1846" s="19"/>
      <c r="D1846" s="19"/>
      <c r="O1846" s="5"/>
      <c r="P1846" s="5"/>
    </row>
    <row r="1847" spans="2:16" ht="13.2" x14ac:dyDescent="0.25">
      <c r="B1847" s="18"/>
      <c r="C1847" s="19"/>
      <c r="D1847" s="19"/>
      <c r="O1847" s="5"/>
      <c r="P1847" s="5"/>
    </row>
    <row r="1848" spans="2:16" ht="13.2" x14ac:dyDescent="0.25">
      <c r="B1848" s="18"/>
      <c r="C1848" s="19"/>
      <c r="D1848" s="19"/>
      <c r="O1848" s="5"/>
      <c r="P1848" s="5"/>
    </row>
    <row r="1849" spans="2:16" ht="13.2" x14ac:dyDescent="0.25">
      <c r="B1849" s="18"/>
      <c r="C1849" s="19"/>
      <c r="D1849" s="19"/>
      <c r="O1849" s="5"/>
      <c r="P1849" s="5"/>
    </row>
    <row r="1850" spans="2:16" ht="13.2" x14ac:dyDescent="0.25">
      <c r="B1850" s="18"/>
      <c r="C1850" s="19"/>
      <c r="D1850" s="19"/>
      <c r="O1850" s="5"/>
      <c r="P1850" s="5"/>
    </row>
    <row r="1851" spans="2:16" ht="13.2" x14ac:dyDescent="0.25">
      <c r="B1851" s="18"/>
      <c r="C1851" s="19"/>
      <c r="D1851" s="19"/>
      <c r="O1851" s="5"/>
      <c r="P1851" s="5"/>
    </row>
    <row r="1852" spans="2:16" ht="13.2" x14ac:dyDescent="0.25">
      <c r="B1852" s="18"/>
      <c r="C1852" s="19"/>
      <c r="D1852" s="19"/>
      <c r="O1852" s="5"/>
      <c r="P1852" s="5"/>
    </row>
    <row r="1853" spans="2:16" ht="13.2" x14ac:dyDescent="0.25">
      <c r="B1853" s="18"/>
      <c r="C1853" s="19"/>
      <c r="D1853" s="19"/>
      <c r="O1853" s="5"/>
      <c r="P1853" s="5"/>
    </row>
    <row r="1854" spans="2:16" ht="13.2" x14ac:dyDescent="0.25">
      <c r="B1854" s="18"/>
      <c r="C1854" s="19"/>
      <c r="D1854" s="19"/>
      <c r="O1854" s="5"/>
      <c r="P1854" s="5"/>
    </row>
    <row r="1855" spans="2:16" ht="13.2" x14ac:dyDescent="0.25">
      <c r="B1855" s="18"/>
      <c r="C1855" s="19"/>
      <c r="D1855" s="19"/>
      <c r="O1855" s="5"/>
      <c r="P1855" s="5"/>
    </row>
    <row r="1856" spans="2:16" ht="13.2" x14ac:dyDescent="0.25">
      <c r="B1856" s="18"/>
      <c r="C1856" s="19"/>
      <c r="D1856" s="19"/>
      <c r="O1856" s="5"/>
      <c r="P1856" s="5"/>
    </row>
    <row r="1857" spans="2:16" ht="13.2" x14ac:dyDescent="0.25">
      <c r="B1857" s="18"/>
      <c r="C1857" s="19"/>
      <c r="D1857" s="19"/>
      <c r="O1857" s="5"/>
      <c r="P1857" s="5"/>
    </row>
    <row r="1858" spans="2:16" ht="13.2" x14ac:dyDescent="0.25">
      <c r="B1858" s="18"/>
      <c r="C1858" s="19"/>
      <c r="D1858" s="19"/>
      <c r="O1858" s="5"/>
      <c r="P1858" s="5"/>
    </row>
    <row r="1859" spans="2:16" ht="13.2" x14ac:dyDescent="0.25">
      <c r="B1859" s="18"/>
      <c r="C1859" s="19"/>
      <c r="D1859" s="19"/>
      <c r="O1859" s="5"/>
      <c r="P1859" s="5"/>
    </row>
    <row r="1860" spans="2:16" ht="13.2" x14ac:dyDescent="0.25">
      <c r="B1860" s="18"/>
      <c r="C1860" s="19"/>
      <c r="D1860" s="19"/>
      <c r="O1860" s="5"/>
      <c r="P1860" s="5"/>
    </row>
    <row r="1861" spans="2:16" ht="13.2" x14ac:dyDescent="0.25">
      <c r="B1861" s="18"/>
      <c r="C1861" s="19"/>
      <c r="D1861" s="19"/>
      <c r="O1861" s="5"/>
      <c r="P1861" s="5"/>
    </row>
    <row r="1862" spans="2:16" ht="13.2" x14ac:dyDescent="0.25">
      <c r="B1862" s="18"/>
      <c r="C1862" s="19"/>
      <c r="D1862" s="19"/>
      <c r="O1862" s="5"/>
      <c r="P1862" s="5"/>
    </row>
    <row r="1863" spans="2:16" ht="13.2" x14ac:dyDescent="0.25">
      <c r="B1863" s="18"/>
      <c r="C1863" s="19"/>
      <c r="D1863" s="19"/>
      <c r="O1863" s="5"/>
      <c r="P1863" s="5"/>
    </row>
    <row r="1864" spans="2:16" ht="13.2" x14ac:dyDescent="0.25">
      <c r="B1864" s="18"/>
      <c r="C1864" s="19"/>
      <c r="D1864" s="19"/>
      <c r="O1864" s="5"/>
      <c r="P1864" s="5"/>
    </row>
    <row r="1865" spans="2:16" ht="13.2" x14ac:dyDescent="0.25">
      <c r="B1865" s="18"/>
      <c r="C1865" s="19"/>
      <c r="D1865" s="19"/>
      <c r="O1865" s="5"/>
      <c r="P1865" s="5"/>
    </row>
    <row r="1866" spans="2:16" ht="13.2" x14ac:dyDescent="0.25">
      <c r="B1866" s="18"/>
      <c r="C1866" s="19"/>
      <c r="D1866" s="19"/>
      <c r="O1866" s="5"/>
      <c r="P1866" s="5"/>
    </row>
    <row r="1867" spans="2:16" ht="13.2" x14ac:dyDescent="0.25">
      <c r="B1867" s="18"/>
      <c r="C1867" s="19"/>
      <c r="D1867" s="19"/>
      <c r="O1867" s="5"/>
      <c r="P1867" s="5"/>
    </row>
    <row r="1868" spans="2:16" ht="13.2" x14ac:dyDescent="0.25">
      <c r="B1868" s="18"/>
      <c r="C1868" s="19"/>
      <c r="D1868" s="19"/>
      <c r="O1868" s="5"/>
      <c r="P1868" s="5"/>
    </row>
    <row r="1869" spans="2:16" ht="13.2" x14ac:dyDescent="0.25">
      <c r="B1869" s="18"/>
      <c r="C1869" s="19"/>
      <c r="D1869" s="19"/>
      <c r="O1869" s="5"/>
      <c r="P1869" s="5"/>
    </row>
    <row r="1870" spans="2:16" ht="13.2" x14ac:dyDescent="0.25">
      <c r="B1870" s="18"/>
      <c r="C1870" s="19"/>
      <c r="D1870" s="19"/>
      <c r="O1870" s="5"/>
      <c r="P1870" s="5"/>
    </row>
    <row r="1871" spans="2:16" ht="13.2" x14ac:dyDescent="0.25">
      <c r="B1871" s="18"/>
      <c r="C1871" s="19"/>
      <c r="D1871" s="19"/>
      <c r="O1871" s="5"/>
      <c r="P1871" s="5"/>
    </row>
    <row r="1872" spans="2:16" ht="13.2" x14ac:dyDescent="0.25">
      <c r="B1872" s="18"/>
      <c r="C1872" s="19"/>
      <c r="D1872" s="19"/>
      <c r="O1872" s="5"/>
      <c r="P1872" s="5"/>
    </row>
    <row r="1873" spans="2:16" ht="13.2" x14ac:dyDescent="0.25">
      <c r="B1873" s="18"/>
      <c r="C1873" s="19"/>
      <c r="D1873" s="19"/>
      <c r="O1873" s="5"/>
      <c r="P1873" s="5"/>
    </row>
    <row r="1874" spans="2:16" ht="13.2" x14ac:dyDescent="0.25">
      <c r="B1874" s="18"/>
      <c r="C1874" s="19"/>
      <c r="D1874" s="19"/>
      <c r="O1874" s="5"/>
      <c r="P1874" s="5"/>
    </row>
    <row r="1875" spans="2:16" ht="13.2" x14ac:dyDescent="0.25">
      <c r="B1875" s="18"/>
      <c r="C1875" s="19"/>
      <c r="D1875" s="19"/>
      <c r="O1875" s="5"/>
      <c r="P1875" s="5"/>
    </row>
    <row r="1876" spans="2:16" ht="13.2" x14ac:dyDescent="0.25">
      <c r="B1876" s="18"/>
      <c r="C1876" s="19"/>
      <c r="D1876" s="19"/>
      <c r="O1876" s="5"/>
      <c r="P1876" s="5"/>
    </row>
    <row r="1877" spans="2:16" ht="13.2" x14ac:dyDescent="0.25">
      <c r="B1877" s="18"/>
      <c r="C1877" s="19"/>
      <c r="D1877" s="19"/>
      <c r="O1877" s="5"/>
      <c r="P1877" s="5"/>
    </row>
    <row r="1878" spans="2:16" ht="13.2" x14ac:dyDescent="0.25">
      <c r="B1878" s="18"/>
      <c r="C1878" s="19"/>
      <c r="D1878" s="19"/>
      <c r="O1878" s="5"/>
      <c r="P1878" s="5"/>
    </row>
    <row r="1879" spans="2:16" ht="13.2" x14ac:dyDescent="0.25">
      <c r="B1879" s="18"/>
      <c r="C1879" s="19"/>
      <c r="D1879" s="19"/>
      <c r="O1879" s="5"/>
      <c r="P1879" s="5"/>
    </row>
    <row r="1880" spans="2:16" ht="13.2" x14ac:dyDescent="0.25">
      <c r="B1880" s="18"/>
      <c r="C1880" s="19"/>
      <c r="D1880" s="19"/>
      <c r="O1880" s="5"/>
      <c r="P1880" s="5"/>
    </row>
    <row r="1881" spans="2:16" ht="13.2" x14ac:dyDescent="0.25">
      <c r="B1881" s="18"/>
      <c r="C1881" s="19"/>
      <c r="D1881" s="19"/>
      <c r="O1881" s="5"/>
      <c r="P1881" s="5"/>
    </row>
    <row r="1882" spans="2:16" ht="13.2" x14ac:dyDescent="0.25">
      <c r="B1882" s="18"/>
      <c r="C1882" s="19"/>
      <c r="D1882" s="19"/>
      <c r="O1882" s="5"/>
      <c r="P1882" s="5"/>
    </row>
    <row r="1883" spans="2:16" ht="13.2" x14ac:dyDescent="0.25">
      <c r="B1883" s="18"/>
      <c r="C1883" s="19"/>
      <c r="D1883" s="19"/>
      <c r="O1883" s="5"/>
      <c r="P1883" s="5"/>
    </row>
    <row r="1884" spans="2:16" ht="13.2" x14ac:dyDescent="0.25">
      <c r="B1884" s="18"/>
      <c r="C1884" s="19"/>
      <c r="D1884" s="19"/>
      <c r="O1884" s="5"/>
      <c r="P1884" s="5"/>
    </row>
    <row r="1885" spans="2:16" ht="13.2" x14ac:dyDescent="0.25">
      <c r="B1885" s="18"/>
      <c r="C1885" s="19"/>
      <c r="D1885" s="19"/>
      <c r="O1885" s="5"/>
      <c r="P1885" s="5"/>
    </row>
    <row r="1886" spans="2:16" ht="13.2" x14ac:dyDescent="0.25">
      <c r="B1886" s="18"/>
      <c r="C1886" s="19"/>
      <c r="D1886" s="19"/>
      <c r="O1886" s="5"/>
      <c r="P1886" s="5"/>
    </row>
    <row r="1887" spans="2:16" ht="13.2" x14ac:dyDescent="0.25">
      <c r="B1887" s="18"/>
      <c r="C1887" s="19"/>
      <c r="D1887" s="19"/>
      <c r="O1887" s="5"/>
      <c r="P1887" s="5"/>
    </row>
    <row r="1888" spans="2:16" ht="13.2" x14ac:dyDescent="0.25">
      <c r="B1888" s="18"/>
      <c r="C1888" s="19"/>
      <c r="D1888" s="19"/>
      <c r="O1888" s="5"/>
      <c r="P1888" s="5"/>
    </row>
    <row r="1889" spans="2:16" ht="13.2" x14ac:dyDescent="0.25">
      <c r="B1889" s="18"/>
      <c r="C1889" s="19"/>
      <c r="D1889" s="19"/>
      <c r="O1889" s="5"/>
      <c r="P1889" s="5"/>
    </row>
    <row r="1890" spans="2:16" ht="13.2" x14ac:dyDescent="0.25">
      <c r="B1890" s="18"/>
      <c r="C1890" s="19"/>
      <c r="D1890" s="19"/>
      <c r="O1890" s="5"/>
      <c r="P1890" s="5"/>
    </row>
    <row r="1891" spans="2:16" ht="13.2" x14ac:dyDescent="0.25">
      <c r="B1891" s="18"/>
      <c r="C1891" s="19"/>
      <c r="D1891" s="19"/>
      <c r="O1891" s="5"/>
      <c r="P1891" s="5"/>
    </row>
    <row r="1892" spans="2:16" ht="13.2" x14ac:dyDescent="0.25">
      <c r="B1892" s="18"/>
      <c r="C1892" s="19"/>
      <c r="D1892" s="19"/>
      <c r="O1892" s="5"/>
      <c r="P1892" s="5"/>
    </row>
    <row r="1893" spans="2:16" ht="13.2" x14ac:dyDescent="0.25">
      <c r="B1893" s="18"/>
      <c r="C1893" s="19"/>
      <c r="D1893" s="19"/>
      <c r="O1893" s="5"/>
      <c r="P1893" s="5"/>
    </row>
    <row r="1894" spans="2:16" ht="13.2" x14ac:dyDescent="0.25">
      <c r="B1894" s="18"/>
      <c r="C1894" s="19"/>
      <c r="D1894" s="19"/>
      <c r="O1894" s="5"/>
      <c r="P1894" s="5"/>
    </row>
    <row r="1895" spans="2:16" ht="13.2" x14ac:dyDescent="0.25">
      <c r="B1895" s="18"/>
      <c r="C1895" s="19"/>
      <c r="D1895" s="19"/>
      <c r="O1895" s="5"/>
      <c r="P1895" s="5"/>
    </row>
    <row r="1896" spans="2:16" ht="13.2" x14ac:dyDescent="0.25">
      <c r="B1896" s="18"/>
      <c r="C1896" s="19"/>
      <c r="D1896" s="19"/>
      <c r="O1896" s="5"/>
      <c r="P1896" s="5"/>
    </row>
    <row r="1897" spans="2:16" ht="13.2" x14ac:dyDescent="0.25">
      <c r="B1897" s="18"/>
      <c r="C1897" s="19"/>
      <c r="D1897" s="19"/>
      <c r="O1897" s="5"/>
      <c r="P1897" s="5"/>
    </row>
    <row r="1898" spans="2:16" ht="13.2" x14ac:dyDescent="0.25">
      <c r="B1898" s="18"/>
      <c r="C1898" s="19"/>
      <c r="D1898" s="19"/>
      <c r="O1898" s="5"/>
      <c r="P1898" s="5"/>
    </row>
    <row r="1899" spans="2:16" ht="13.2" x14ac:dyDescent="0.25">
      <c r="B1899" s="18"/>
      <c r="C1899" s="19"/>
      <c r="D1899" s="19"/>
      <c r="O1899" s="5"/>
      <c r="P1899" s="5"/>
    </row>
    <row r="1900" spans="2:16" ht="13.2" x14ac:dyDescent="0.25">
      <c r="B1900" s="18"/>
      <c r="C1900" s="19"/>
      <c r="D1900" s="19"/>
      <c r="O1900" s="5"/>
      <c r="P1900" s="5"/>
    </row>
    <row r="1901" spans="2:16" ht="13.2" x14ac:dyDescent="0.25">
      <c r="B1901" s="18"/>
      <c r="C1901" s="19"/>
      <c r="D1901" s="19"/>
      <c r="O1901" s="5"/>
      <c r="P1901" s="5"/>
    </row>
    <row r="1902" spans="2:16" ht="13.2" x14ac:dyDescent="0.25">
      <c r="B1902" s="18"/>
      <c r="C1902" s="19"/>
      <c r="D1902" s="19"/>
      <c r="O1902" s="5"/>
      <c r="P1902" s="5"/>
    </row>
    <row r="1903" spans="2:16" ht="13.2" x14ac:dyDescent="0.25">
      <c r="B1903" s="18"/>
      <c r="C1903" s="19"/>
      <c r="D1903" s="19"/>
      <c r="O1903" s="5"/>
      <c r="P1903" s="5"/>
    </row>
    <row r="1904" spans="2:16" ht="13.2" x14ac:dyDescent="0.25">
      <c r="B1904" s="18"/>
      <c r="C1904" s="19"/>
      <c r="D1904" s="19"/>
      <c r="O1904" s="5"/>
      <c r="P1904" s="5"/>
    </row>
    <row r="1905" spans="2:16" ht="13.2" x14ac:dyDescent="0.25">
      <c r="B1905" s="18"/>
      <c r="C1905" s="19"/>
      <c r="D1905" s="19"/>
      <c r="O1905" s="5"/>
      <c r="P1905" s="5"/>
    </row>
    <row r="1906" spans="2:16" ht="13.2" x14ac:dyDescent="0.25">
      <c r="B1906" s="18"/>
      <c r="C1906" s="19"/>
      <c r="D1906" s="19"/>
      <c r="O1906" s="5"/>
      <c r="P1906" s="5"/>
    </row>
    <row r="1907" spans="2:16" ht="13.2" x14ac:dyDescent="0.25">
      <c r="B1907" s="18"/>
      <c r="C1907" s="19"/>
      <c r="D1907" s="19"/>
      <c r="O1907" s="5"/>
      <c r="P1907" s="5"/>
    </row>
    <row r="1908" spans="2:16" ht="13.2" x14ac:dyDescent="0.25">
      <c r="B1908" s="18"/>
      <c r="C1908" s="19"/>
      <c r="D1908" s="19"/>
      <c r="O1908" s="5"/>
      <c r="P1908" s="5"/>
    </row>
    <row r="1909" spans="2:16" ht="13.2" x14ac:dyDescent="0.25">
      <c r="B1909" s="18"/>
      <c r="C1909" s="19"/>
      <c r="D1909" s="19"/>
      <c r="O1909" s="5"/>
      <c r="P1909" s="5"/>
    </row>
    <row r="1910" spans="2:16" ht="13.2" x14ac:dyDescent="0.25">
      <c r="B1910" s="18"/>
      <c r="C1910" s="19"/>
      <c r="D1910" s="19"/>
      <c r="O1910" s="5"/>
      <c r="P1910" s="5"/>
    </row>
    <row r="1911" spans="2:16" ht="13.2" x14ac:dyDescent="0.25">
      <c r="B1911" s="18"/>
      <c r="C1911" s="19"/>
      <c r="D1911" s="19"/>
      <c r="O1911" s="5"/>
      <c r="P1911" s="5"/>
    </row>
    <row r="1912" spans="2:16" ht="13.2" x14ac:dyDescent="0.25">
      <c r="B1912" s="18"/>
      <c r="C1912" s="19"/>
      <c r="D1912" s="19"/>
      <c r="O1912" s="5"/>
      <c r="P1912" s="5"/>
    </row>
    <row r="1913" spans="2:16" ht="13.2" x14ac:dyDescent="0.25">
      <c r="B1913" s="18"/>
      <c r="C1913" s="19"/>
      <c r="D1913" s="19"/>
      <c r="O1913" s="5"/>
      <c r="P1913" s="5"/>
    </row>
    <row r="1914" spans="2:16" ht="13.2" x14ac:dyDescent="0.25">
      <c r="B1914" s="18"/>
      <c r="C1914" s="19"/>
      <c r="D1914" s="19"/>
      <c r="O1914" s="5"/>
      <c r="P1914" s="5"/>
    </row>
    <row r="1915" spans="2:16" ht="13.2" x14ac:dyDescent="0.25">
      <c r="B1915" s="18"/>
      <c r="C1915" s="19"/>
      <c r="D1915" s="19"/>
      <c r="O1915" s="5"/>
      <c r="P1915" s="5"/>
    </row>
    <row r="1916" spans="2:16" ht="13.2" x14ac:dyDescent="0.25">
      <c r="B1916" s="18"/>
      <c r="C1916" s="19"/>
      <c r="D1916" s="19"/>
      <c r="O1916" s="5"/>
      <c r="P1916" s="5"/>
    </row>
    <row r="1917" spans="2:16" ht="13.2" x14ac:dyDescent="0.25">
      <c r="B1917" s="18"/>
      <c r="C1917" s="19"/>
      <c r="D1917" s="19"/>
      <c r="O1917" s="5"/>
      <c r="P1917" s="5"/>
    </row>
    <row r="1918" spans="2:16" ht="13.2" x14ac:dyDescent="0.25">
      <c r="B1918" s="18"/>
      <c r="C1918" s="19"/>
      <c r="D1918" s="19"/>
      <c r="O1918" s="5"/>
      <c r="P1918" s="5"/>
    </row>
    <row r="1919" spans="2:16" ht="13.2" x14ac:dyDescent="0.25">
      <c r="B1919" s="18"/>
      <c r="C1919" s="19"/>
      <c r="D1919" s="19"/>
      <c r="O1919" s="5"/>
      <c r="P1919" s="5"/>
    </row>
    <row r="1920" spans="2:16" ht="13.2" x14ac:dyDescent="0.25">
      <c r="B1920" s="18"/>
      <c r="C1920" s="19"/>
      <c r="D1920" s="19"/>
      <c r="O1920" s="5"/>
      <c r="P1920" s="5"/>
    </row>
    <row r="1921" spans="2:16" ht="13.2" x14ac:dyDescent="0.25">
      <c r="B1921" s="18"/>
      <c r="C1921" s="19"/>
      <c r="D1921" s="19"/>
      <c r="O1921" s="5"/>
      <c r="P1921" s="5"/>
    </row>
    <row r="1922" spans="2:16" ht="13.2" x14ac:dyDescent="0.25">
      <c r="B1922" s="18"/>
      <c r="C1922" s="19"/>
      <c r="D1922" s="19"/>
      <c r="O1922" s="5"/>
      <c r="P1922" s="5"/>
    </row>
    <row r="1923" spans="2:16" ht="13.2" x14ac:dyDescent="0.25">
      <c r="B1923" s="18"/>
      <c r="C1923" s="19"/>
      <c r="D1923" s="19"/>
      <c r="O1923" s="5"/>
      <c r="P1923" s="5"/>
    </row>
    <row r="1924" spans="2:16" ht="13.2" x14ac:dyDescent="0.25">
      <c r="B1924" s="18"/>
      <c r="C1924" s="19"/>
      <c r="D1924" s="19"/>
      <c r="O1924" s="5"/>
      <c r="P1924" s="5"/>
    </row>
    <row r="1925" spans="2:16" ht="13.2" x14ac:dyDescent="0.25">
      <c r="B1925" s="18"/>
      <c r="C1925" s="19"/>
      <c r="D1925" s="19"/>
      <c r="O1925" s="5"/>
      <c r="P1925" s="5"/>
    </row>
    <row r="1926" spans="2:16" ht="13.2" x14ac:dyDescent="0.25">
      <c r="B1926" s="18"/>
      <c r="C1926" s="19"/>
      <c r="D1926" s="19"/>
      <c r="O1926" s="5"/>
      <c r="P1926" s="5"/>
    </row>
    <row r="1927" spans="2:16" ht="13.2" x14ac:dyDescent="0.25">
      <c r="B1927" s="18"/>
      <c r="C1927" s="19"/>
      <c r="D1927" s="19"/>
      <c r="O1927" s="5"/>
      <c r="P1927" s="5"/>
    </row>
    <row r="1928" spans="2:16" ht="13.2" x14ac:dyDescent="0.25">
      <c r="B1928" s="18"/>
      <c r="C1928" s="19"/>
      <c r="D1928" s="19"/>
      <c r="O1928" s="5"/>
      <c r="P1928" s="5"/>
    </row>
    <row r="1929" spans="2:16" ht="13.2" x14ac:dyDescent="0.25">
      <c r="B1929" s="18"/>
      <c r="C1929" s="19"/>
      <c r="D1929" s="19"/>
      <c r="O1929" s="5"/>
      <c r="P1929" s="5"/>
    </row>
    <row r="1930" spans="2:16" ht="13.2" x14ac:dyDescent="0.25">
      <c r="B1930" s="18"/>
      <c r="C1930" s="19"/>
      <c r="D1930" s="19"/>
      <c r="O1930" s="5"/>
      <c r="P1930" s="5"/>
    </row>
    <row r="1931" spans="2:16" ht="13.2" x14ac:dyDescent="0.25">
      <c r="B1931" s="18"/>
      <c r="C1931" s="19"/>
      <c r="D1931" s="19"/>
      <c r="O1931" s="5"/>
      <c r="P1931" s="5"/>
    </row>
    <row r="1932" spans="2:16" ht="13.2" x14ac:dyDescent="0.25">
      <c r="B1932" s="18"/>
      <c r="C1932" s="19"/>
      <c r="D1932" s="19"/>
      <c r="O1932" s="5"/>
      <c r="P1932" s="5"/>
    </row>
    <row r="1933" spans="2:16" ht="13.2" x14ac:dyDescent="0.25">
      <c r="B1933" s="18"/>
      <c r="C1933" s="19"/>
      <c r="D1933" s="19"/>
      <c r="O1933" s="5"/>
      <c r="P1933" s="5"/>
    </row>
    <row r="1934" spans="2:16" ht="13.2" x14ac:dyDescent="0.25">
      <c r="B1934" s="18"/>
      <c r="C1934" s="19"/>
      <c r="D1934" s="19"/>
      <c r="O1934" s="5"/>
      <c r="P1934" s="5"/>
    </row>
    <row r="1935" spans="2:16" ht="13.2" x14ac:dyDescent="0.25">
      <c r="B1935" s="18"/>
      <c r="C1935" s="19"/>
      <c r="D1935" s="19"/>
      <c r="O1935" s="5"/>
      <c r="P1935" s="5"/>
    </row>
    <row r="1936" spans="2:16" ht="13.2" x14ac:dyDescent="0.25">
      <c r="B1936" s="18"/>
      <c r="C1936" s="19"/>
      <c r="D1936" s="19"/>
      <c r="O1936" s="5"/>
      <c r="P1936" s="5"/>
    </row>
    <row r="1937" spans="2:16" ht="13.2" x14ac:dyDescent="0.25">
      <c r="B1937" s="18"/>
      <c r="C1937" s="19"/>
      <c r="D1937" s="19"/>
      <c r="O1937" s="5"/>
      <c r="P1937" s="5"/>
    </row>
    <row r="1938" spans="2:16" ht="13.2" x14ac:dyDescent="0.25">
      <c r="B1938" s="18"/>
      <c r="C1938" s="19"/>
      <c r="D1938" s="19"/>
      <c r="O1938" s="5"/>
      <c r="P1938" s="5"/>
    </row>
    <row r="1939" spans="2:16" ht="13.2" x14ac:dyDescent="0.25">
      <c r="B1939" s="18"/>
      <c r="C1939" s="19"/>
      <c r="D1939" s="19"/>
      <c r="O1939" s="5"/>
      <c r="P1939" s="5"/>
    </row>
    <row r="1940" spans="2:16" ht="13.2" x14ac:dyDescent="0.25">
      <c r="B1940" s="18"/>
      <c r="C1940" s="19"/>
      <c r="D1940" s="19"/>
      <c r="O1940" s="5"/>
      <c r="P1940" s="5"/>
    </row>
    <row r="1941" spans="2:16" ht="13.2" x14ac:dyDescent="0.25">
      <c r="B1941" s="18"/>
      <c r="C1941" s="19"/>
      <c r="D1941" s="19"/>
      <c r="O1941" s="5"/>
      <c r="P1941" s="5"/>
    </row>
    <row r="1942" spans="2:16" ht="13.2" x14ac:dyDescent="0.25">
      <c r="B1942" s="18"/>
      <c r="C1942" s="19"/>
      <c r="D1942" s="19"/>
      <c r="O1942" s="5"/>
      <c r="P1942" s="5"/>
    </row>
    <row r="1943" spans="2:16" ht="13.2" x14ac:dyDescent="0.25">
      <c r="B1943" s="18"/>
      <c r="C1943" s="19"/>
      <c r="D1943" s="19"/>
      <c r="O1943" s="5"/>
      <c r="P1943" s="5"/>
    </row>
    <row r="1944" spans="2:16" ht="13.2" x14ac:dyDescent="0.25">
      <c r="B1944" s="18"/>
      <c r="C1944" s="19"/>
      <c r="D1944" s="19"/>
      <c r="O1944" s="5"/>
      <c r="P1944" s="5"/>
    </row>
    <row r="1945" spans="2:16" ht="13.2" x14ac:dyDescent="0.25">
      <c r="B1945" s="18"/>
      <c r="C1945" s="19"/>
      <c r="D1945" s="19"/>
      <c r="O1945" s="5"/>
      <c r="P1945" s="5"/>
    </row>
    <row r="1946" spans="2:16" ht="13.2" x14ac:dyDescent="0.25">
      <c r="B1946" s="18"/>
      <c r="C1946" s="19"/>
      <c r="D1946" s="19"/>
      <c r="O1946" s="5"/>
      <c r="P1946" s="5"/>
    </row>
    <row r="1947" spans="2:16" ht="13.2" x14ac:dyDescent="0.25">
      <c r="B1947" s="18"/>
      <c r="C1947" s="19"/>
      <c r="D1947" s="19"/>
      <c r="O1947" s="5"/>
      <c r="P1947" s="5"/>
    </row>
    <row r="1948" spans="2:16" ht="13.2" x14ac:dyDescent="0.25">
      <c r="B1948" s="18"/>
      <c r="C1948" s="19"/>
      <c r="D1948" s="19"/>
      <c r="O1948" s="5"/>
      <c r="P1948" s="5"/>
    </row>
    <row r="1949" spans="2:16" ht="13.2" x14ac:dyDescent="0.25">
      <c r="B1949" s="18"/>
      <c r="C1949" s="19"/>
      <c r="D1949" s="19"/>
      <c r="O1949" s="5"/>
      <c r="P1949" s="5"/>
    </row>
    <row r="1950" spans="2:16" ht="13.2" x14ac:dyDescent="0.25">
      <c r="B1950" s="18"/>
      <c r="C1950" s="19"/>
      <c r="D1950" s="19"/>
      <c r="O1950" s="5"/>
      <c r="P1950" s="5"/>
    </row>
    <row r="1951" spans="2:16" ht="13.2" x14ac:dyDescent="0.25">
      <c r="B1951" s="18"/>
      <c r="C1951" s="19"/>
      <c r="D1951" s="19"/>
      <c r="O1951" s="5"/>
      <c r="P1951" s="5"/>
    </row>
    <row r="1952" spans="2:16" ht="13.2" x14ac:dyDescent="0.25">
      <c r="B1952" s="18"/>
      <c r="C1952" s="19"/>
      <c r="D1952" s="19"/>
      <c r="O1952" s="5"/>
      <c r="P1952" s="5"/>
    </row>
    <row r="1953" spans="2:16" ht="13.2" x14ac:dyDescent="0.25">
      <c r="B1953" s="18"/>
      <c r="C1953" s="19"/>
      <c r="D1953" s="19"/>
      <c r="O1953" s="5"/>
      <c r="P1953" s="5"/>
    </row>
    <row r="1954" spans="2:16" ht="13.2" x14ac:dyDescent="0.25">
      <c r="B1954" s="18"/>
      <c r="C1954" s="19"/>
      <c r="D1954" s="19"/>
      <c r="O1954" s="5"/>
      <c r="P1954" s="5"/>
    </row>
    <row r="1955" spans="2:16" ht="13.2" x14ac:dyDescent="0.25">
      <c r="B1955" s="18"/>
      <c r="C1955" s="19"/>
      <c r="D1955" s="19"/>
      <c r="O1955" s="5"/>
      <c r="P1955" s="5"/>
    </row>
    <row r="1956" spans="2:16" ht="13.2" x14ac:dyDescent="0.25">
      <c r="B1956" s="18"/>
      <c r="C1956" s="19"/>
      <c r="D1956" s="19"/>
      <c r="O1956" s="5"/>
      <c r="P1956" s="5"/>
    </row>
    <row r="1957" spans="2:16" ht="13.2" x14ac:dyDescent="0.25">
      <c r="B1957" s="18"/>
      <c r="C1957" s="19"/>
      <c r="D1957" s="19"/>
      <c r="O1957" s="5"/>
      <c r="P1957" s="5"/>
    </row>
    <row r="1958" spans="2:16" ht="13.2" x14ac:dyDescent="0.25">
      <c r="B1958" s="18"/>
      <c r="C1958" s="19"/>
      <c r="D1958" s="19"/>
      <c r="O1958" s="5"/>
      <c r="P1958" s="5"/>
    </row>
    <row r="1959" spans="2:16" ht="13.2" x14ac:dyDescent="0.25">
      <c r="B1959" s="18"/>
      <c r="C1959" s="19"/>
      <c r="D1959" s="19"/>
      <c r="O1959" s="5"/>
      <c r="P1959" s="5"/>
    </row>
    <row r="1960" spans="2:16" ht="13.2" x14ac:dyDescent="0.25">
      <c r="B1960" s="18"/>
      <c r="C1960" s="19"/>
      <c r="D1960" s="19"/>
      <c r="O1960" s="5"/>
      <c r="P1960" s="5"/>
    </row>
    <row r="1961" spans="2:16" ht="13.2" x14ac:dyDescent="0.25">
      <c r="B1961" s="18"/>
      <c r="C1961" s="19"/>
      <c r="D1961" s="19"/>
      <c r="O1961" s="5"/>
      <c r="P1961" s="5"/>
    </row>
    <row r="1962" spans="2:16" ht="13.2" x14ac:dyDescent="0.25">
      <c r="B1962" s="18"/>
      <c r="C1962" s="19"/>
      <c r="D1962" s="19"/>
      <c r="O1962" s="5"/>
      <c r="P1962" s="5"/>
    </row>
    <row r="1963" spans="2:16" ht="13.2" x14ac:dyDescent="0.25">
      <c r="B1963" s="18"/>
      <c r="C1963" s="19"/>
      <c r="D1963" s="19"/>
      <c r="O1963" s="5"/>
      <c r="P1963" s="5"/>
    </row>
    <row r="1964" spans="2:16" ht="13.2" x14ac:dyDescent="0.25">
      <c r="B1964" s="18"/>
      <c r="C1964" s="19"/>
      <c r="D1964" s="19"/>
      <c r="O1964" s="5"/>
      <c r="P1964" s="5"/>
    </row>
    <row r="1965" spans="2:16" ht="13.2" x14ac:dyDescent="0.25">
      <c r="B1965" s="18"/>
      <c r="C1965" s="19"/>
      <c r="D1965" s="19"/>
      <c r="O1965" s="5"/>
      <c r="P1965" s="5"/>
    </row>
    <row r="1966" spans="2:16" ht="13.2" x14ac:dyDescent="0.25">
      <c r="B1966" s="18"/>
      <c r="C1966" s="19"/>
      <c r="D1966" s="19"/>
      <c r="O1966" s="5"/>
      <c r="P1966" s="5"/>
    </row>
    <row r="1967" spans="2:16" ht="13.2" x14ac:dyDescent="0.25">
      <c r="B1967" s="18"/>
      <c r="C1967" s="19"/>
      <c r="D1967" s="19"/>
      <c r="O1967" s="5"/>
      <c r="P1967" s="5"/>
    </row>
    <row r="1968" spans="2:16" ht="13.2" x14ac:dyDescent="0.25">
      <c r="B1968" s="18"/>
      <c r="C1968" s="19"/>
      <c r="D1968" s="19"/>
      <c r="O1968" s="5"/>
      <c r="P1968" s="5"/>
    </row>
    <row r="1969" spans="2:16" ht="13.2" x14ac:dyDescent="0.25">
      <c r="B1969" s="18"/>
      <c r="C1969" s="19"/>
      <c r="D1969" s="19"/>
      <c r="O1969" s="5"/>
      <c r="P1969" s="5"/>
    </row>
    <row r="1970" spans="2:16" ht="13.2" x14ac:dyDescent="0.25">
      <c r="B1970" s="18"/>
      <c r="C1970" s="19"/>
      <c r="D1970" s="19"/>
      <c r="O1970" s="5"/>
      <c r="P1970" s="5"/>
    </row>
    <row r="1971" spans="2:16" ht="13.2" x14ac:dyDescent="0.25">
      <c r="B1971" s="18"/>
      <c r="C1971" s="19"/>
      <c r="D1971" s="19"/>
      <c r="O1971" s="5"/>
      <c r="P1971" s="5"/>
    </row>
    <row r="1972" spans="2:16" ht="13.2" x14ac:dyDescent="0.25">
      <c r="B1972" s="18"/>
      <c r="C1972" s="19"/>
      <c r="D1972" s="19"/>
      <c r="O1972" s="5"/>
      <c r="P1972" s="5"/>
    </row>
    <row r="1973" spans="2:16" ht="13.2" x14ac:dyDescent="0.25">
      <c r="B1973" s="18"/>
      <c r="C1973" s="19"/>
      <c r="D1973" s="19"/>
      <c r="O1973" s="5"/>
      <c r="P1973" s="5"/>
    </row>
    <row r="1974" spans="2:16" ht="13.2" x14ac:dyDescent="0.25">
      <c r="B1974" s="18"/>
      <c r="C1974" s="19"/>
      <c r="D1974" s="19"/>
      <c r="O1974" s="5"/>
      <c r="P1974" s="5"/>
    </row>
    <row r="1975" spans="2:16" ht="13.2" x14ac:dyDescent="0.25">
      <c r="B1975" s="18"/>
      <c r="C1975" s="19"/>
      <c r="D1975" s="19"/>
      <c r="O1975" s="5"/>
      <c r="P1975" s="5"/>
    </row>
    <row r="1976" spans="2:16" ht="13.2" x14ac:dyDescent="0.25">
      <c r="B1976" s="18"/>
      <c r="C1976" s="19"/>
      <c r="D1976" s="19"/>
      <c r="O1976" s="5"/>
      <c r="P1976" s="5"/>
    </row>
    <row r="1977" spans="2:16" ht="13.2" x14ac:dyDescent="0.25">
      <c r="B1977" s="18"/>
      <c r="C1977" s="19"/>
      <c r="D1977" s="19"/>
      <c r="O1977" s="5"/>
      <c r="P1977" s="5"/>
    </row>
    <row r="1978" spans="2:16" ht="13.2" x14ac:dyDescent="0.25">
      <c r="B1978" s="18"/>
      <c r="C1978" s="19"/>
      <c r="D1978" s="19"/>
      <c r="O1978" s="5"/>
      <c r="P1978" s="5"/>
    </row>
    <row r="1979" spans="2:16" ht="13.2" x14ac:dyDescent="0.25">
      <c r="B1979" s="18"/>
      <c r="C1979" s="19"/>
      <c r="D1979" s="19"/>
      <c r="O1979" s="5"/>
      <c r="P1979" s="5"/>
    </row>
    <row r="1980" spans="2:16" ht="13.2" x14ac:dyDescent="0.25">
      <c r="B1980" s="18"/>
      <c r="C1980" s="19"/>
      <c r="D1980" s="19"/>
      <c r="O1980" s="5"/>
      <c r="P1980" s="5"/>
    </row>
    <row r="1981" spans="2:16" ht="13.2" x14ac:dyDescent="0.25">
      <c r="B1981" s="18"/>
      <c r="C1981" s="19"/>
      <c r="D1981" s="19"/>
      <c r="O1981" s="5"/>
      <c r="P1981" s="5"/>
    </row>
    <row r="1982" spans="2:16" ht="13.2" x14ac:dyDescent="0.25">
      <c r="B1982" s="18"/>
      <c r="C1982" s="19"/>
      <c r="D1982" s="19"/>
      <c r="O1982" s="5"/>
      <c r="P1982" s="5"/>
    </row>
    <row r="1983" spans="2:16" ht="13.2" x14ac:dyDescent="0.25">
      <c r="B1983" s="18"/>
      <c r="C1983" s="19"/>
      <c r="D1983" s="19"/>
      <c r="O1983" s="5"/>
      <c r="P1983" s="5"/>
    </row>
    <row r="1984" spans="2:16" ht="13.2" x14ac:dyDescent="0.25">
      <c r="B1984" s="18"/>
      <c r="C1984" s="19"/>
      <c r="D1984" s="19"/>
      <c r="O1984" s="5"/>
      <c r="P1984" s="5"/>
    </row>
    <row r="1985" spans="2:16" ht="13.2" x14ac:dyDescent="0.25">
      <c r="B1985" s="18"/>
      <c r="C1985" s="19"/>
      <c r="D1985" s="19"/>
      <c r="O1985" s="5"/>
      <c r="P1985" s="5"/>
    </row>
    <row r="1986" spans="2:16" ht="13.2" x14ac:dyDescent="0.25">
      <c r="B1986" s="18"/>
      <c r="C1986" s="19"/>
      <c r="D1986" s="19"/>
      <c r="O1986" s="5"/>
      <c r="P1986" s="5"/>
    </row>
    <row r="1987" spans="2:16" ht="13.2" x14ac:dyDescent="0.25">
      <c r="B1987" s="18"/>
      <c r="C1987" s="19"/>
      <c r="D1987" s="19"/>
      <c r="O1987" s="5"/>
      <c r="P1987" s="5"/>
    </row>
    <row r="1988" spans="2:16" ht="13.2" x14ac:dyDescent="0.25">
      <c r="B1988" s="18"/>
      <c r="C1988" s="19"/>
      <c r="D1988" s="19"/>
      <c r="O1988" s="5"/>
      <c r="P1988" s="5"/>
    </row>
    <row r="1989" spans="2:16" ht="13.2" x14ac:dyDescent="0.25">
      <c r="B1989" s="18"/>
      <c r="C1989" s="19"/>
      <c r="D1989" s="19"/>
      <c r="O1989" s="5"/>
      <c r="P1989" s="5"/>
    </row>
    <row r="1990" spans="2:16" ht="13.2" x14ac:dyDescent="0.25">
      <c r="B1990" s="18"/>
      <c r="C1990" s="19"/>
      <c r="D1990" s="19"/>
      <c r="O1990" s="5"/>
      <c r="P1990" s="5"/>
    </row>
    <row r="1991" spans="2:16" ht="13.2" x14ac:dyDescent="0.25">
      <c r="B1991" s="18"/>
      <c r="C1991" s="19"/>
      <c r="D1991" s="19"/>
      <c r="O1991" s="5"/>
      <c r="P1991" s="5"/>
    </row>
    <row r="1992" spans="2:16" ht="13.2" x14ac:dyDescent="0.25">
      <c r="B1992" s="18"/>
      <c r="C1992" s="19"/>
      <c r="D1992" s="19"/>
      <c r="O1992" s="5"/>
      <c r="P1992" s="5"/>
    </row>
    <row r="1993" spans="2:16" ht="13.2" x14ac:dyDescent="0.25">
      <c r="B1993" s="18"/>
      <c r="C1993" s="19"/>
      <c r="D1993" s="19"/>
      <c r="O1993" s="5"/>
      <c r="P1993" s="5"/>
    </row>
    <row r="1994" spans="2:16" ht="13.2" x14ac:dyDescent="0.25">
      <c r="B1994" s="18"/>
      <c r="C1994" s="19"/>
      <c r="D1994" s="19"/>
      <c r="O1994" s="5"/>
      <c r="P1994" s="5"/>
    </row>
    <row r="1995" spans="2:16" ht="13.2" x14ac:dyDescent="0.25">
      <c r="B1995" s="18"/>
      <c r="C1995" s="19"/>
      <c r="D1995" s="19"/>
      <c r="O1995" s="5"/>
      <c r="P1995" s="5"/>
    </row>
    <row r="1996" spans="2:16" ht="13.2" x14ac:dyDescent="0.25">
      <c r="B1996" s="18"/>
      <c r="C1996" s="19"/>
      <c r="D1996" s="19"/>
      <c r="O1996" s="5"/>
      <c r="P1996" s="5"/>
    </row>
    <row r="1997" spans="2:16" ht="13.2" x14ac:dyDescent="0.25">
      <c r="B1997" s="18"/>
      <c r="C1997" s="19"/>
      <c r="D1997" s="19"/>
      <c r="O1997" s="5"/>
      <c r="P1997" s="5"/>
    </row>
    <row r="1998" spans="2:16" ht="13.2" x14ac:dyDescent="0.25">
      <c r="B1998" s="18"/>
      <c r="C1998" s="19"/>
      <c r="D1998" s="19"/>
      <c r="O1998" s="5"/>
      <c r="P1998" s="5"/>
    </row>
    <row r="1999" spans="2:16" ht="13.2" x14ac:dyDescent="0.25">
      <c r="B1999" s="18"/>
      <c r="C1999" s="19"/>
      <c r="D1999" s="19"/>
      <c r="O1999" s="5"/>
      <c r="P1999" s="5"/>
    </row>
    <row r="2000" spans="2:16" ht="13.2" x14ac:dyDescent="0.25">
      <c r="B2000" s="18"/>
      <c r="C2000" s="19"/>
      <c r="D2000" s="19"/>
      <c r="O2000" s="5"/>
      <c r="P2000" s="5"/>
    </row>
    <row r="2001" spans="2:16" ht="13.2" x14ac:dyDescent="0.25">
      <c r="B2001" s="18"/>
      <c r="C2001" s="19"/>
      <c r="D2001" s="19"/>
      <c r="O2001" s="5"/>
      <c r="P2001" s="5"/>
    </row>
    <row r="2002" spans="2:16" ht="13.2" x14ac:dyDescent="0.25">
      <c r="B2002" s="18"/>
      <c r="C2002" s="19"/>
      <c r="D2002" s="19"/>
      <c r="O2002" s="5"/>
      <c r="P2002" s="5"/>
    </row>
    <row r="2003" spans="2:16" ht="13.2" x14ac:dyDescent="0.25">
      <c r="B2003" s="18"/>
      <c r="C2003" s="19"/>
      <c r="D2003" s="19"/>
      <c r="O2003" s="5"/>
      <c r="P2003" s="5"/>
    </row>
    <row r="2004" spans="2:16" ht="13.2" x14ac:dyDescent="0.25">
      <c r="B2004" s="18"/>
      <c r="C2004" s="19"/>
      <c r="D2004" s="19"/>
      <c r="O2004" s="5"/>
      <c r="P2004" s="5"/>
    </row>
    <row r="2005" spans="2:16" ht="13.2" x14ac:dyDescent="0.25">
      <c r="B2005" s="18"/>
      <c r="C2005" s="19"/>
      <c r="D2005" s="19"/>
      <c r="O2005" s="5"/>
      <c r="P2005" s="5"/>
    </row>
    <row r="2006" spans="2:16" ht="13.2" x14ac:dyDescent="0.25">
      <c r="B2006" s="18"/>
      <c r="C2006" s="19"/>
      <c r="D2006" s="19"/>
      <c r="O2006" s="5"/>
      <c r="P2006" s="5"/>
    </row>
    <row r="2007" spans="2:16" ht="13.2" x14ac:dyDescent="0.25">
      <c r="B2007" s="18"/>
      <c r="C2007" s="19"/>
      <c r="D2007" s="19"/>
      <c r="O2007" s="5"/>
      <c r="P2007" s="5"/>
    </row>
    <row r="2008" spans="2:16" ht="13.2" x14ac:dyDescent="0.25">
      <c r="B2008" s="18"/>
      <c r="C2008" s="19"/>
      <c r="D2008" s="19"/>
      <c r="O2008" s="5"/>
      <c r="P2008" s="5"/>
    </row>
    <row r="2009" spans="2:16" ht="13.2" x14ac:dyDescent="0.25">
      <c r="B2009" s="18"/>
      <c r="C2009" s="19"/>
      <c r="D2009" s="19"/>
      <c r="O2009" s="5"/>
      <c r="P2009" s="5"/>
    </row>
    <row r="2010" spans="2:16" ht="13.2" x14ac:dyDescent="0.25">
      <c r="B2010" s="18"/>
      <c r="C2010" s="19"/>
      <c r="D2010" s="19"/>
      <c r="O2010" s="5"/>
      <c r="P2010" s="5"/>
    </row>
    <row r="2011" spans="2:16" ht="13.2" x14ac:dyDescent="0.25">
      <c r="B2011" s="18"/>
      <c r="C2011" s="19"/>
      <c r="D2011" s="19"/>
      <c r="O2011" s="5"/>
      <c r="P2011" s="5"/>
    </row>
    <row r="2012" spans="2:16" ht="13.2" x14ac:dyDescent="0.25">
      <c r="B2012" s="18"/>
      <c r="C2012" s="19"/>
      <c r="D2012" s="19"/>
      <c r="O2012" s="5"/>
      <c r="P2012" s="5"/>
    </row>
    <row r="2013" spans="2:16" ht="13.2" x14ac:dyDescent="0.25">
      <c r="B2013" s="18"/>
      <c r="C2013" s="19"/>
      <c r="D2013" s="19"/>
      <c r="O2013" s="5"/>
      <c r="P2013" s="5"/>
    </row>
    <row r="2014" spans="2:16" ht="13.2" x14ac:dyDescent="0.25">
      <c r="B2014" s="18"/>
      <c r="C2014" s="19"/>
      <c r="D2014" s="19"/>
      <c r="O2014" s="5"/>
      <c r="P2014" s="5"/>
    </row>
    <row r="2015" spans="2:16" ht="13.2" x14ac:dyDescent="0.25">
      <c r="B2015" s="18"/>
      <c r="C2015" s="19"/>
      <c r="D2015" s="19"/>
      <c r="O2015" s="5"/>
      <c r="P2015" s="5"/>
    </row>
    <row r="2016" spans="2:16" ht="13.2" x14ac:dyDescent="0.25">
      <c r="B2016" s="18"/>
      <c r="C2016" s="19"/>
      <c r="D2016" s="19"/>
      <c r="O2016" s="5"/>
      <c r="P2016" s="5"/>
    </row>
    <row r="2017" spans="2:16" ht="13.2" x14ac:dyDescent="0.25">
      <c r="B2017" s="18"/>
      <c r="C2017" s="19"/>
      <c r="D2017" s="19"/>
      <c r="O2017" s="5"/>
      <c r="P2017" s="5"/>
    </row>
    <row r="2018" spans="2:16" ht="13.2" x14ac:dyDescent="0.25">
      <c r="B2018" s="18"/>
      <c r="C2018" s="19"/>
      <c r="D2018" s="19"/>
      <c r="O2018" s="5"/>
      <c r="P2018" s="5"/>
    </row>
    <row r="2019" spans="2:16" ht="13.2" x14ac:dyDescent="0.25">
      <c r="B2019" s="18"/>
      <c r="C2019" s="19"/>
      <c r="D2019" s="19"/>
      <c r="O2019" s="5"/>
      <c r="P2019" s="5"/>
    </row>
    <row r="2020" spans="2:16" ht="13.2" x14ac:dyDescent="0.25">
      <c r="B2020" s="18"/>
      <c r="C2020" s="19"/>
      <c r="D2020" s="19"/>
      <c r="O2020" s="5"/>
      <c r="P2020" s="5"/>
    </row>
    <row r="2021" spans="2:16" ht="13.2" x14ac:dyDescent="0.25">
      <c r="B2021" s="18"/>
      <c r="C2021" s="19"/>
      <c r="D2021" s="19"/>
      <c r="O2021" s="5"/>
      <c r="P2021" s="5"/>
    </row>
    <row r="2022" spans="2:16" ht="13.2" x14ac:dyDescent="0.25">
      <c r="B2022" s="18"/>
      <c r="C2022" s="19"/>
      <c r="D2022" s="19"/>
      <c r="O2022" s="5"/>
      <c r="P2022" s="5"/>
    </row>
    <row r="2023" spans="2:16" ht="13.2" x14ac:dyDescent="0.25">
      <c r="B2023" s="18"/>
      <c r="C2023" s="19"/>
      <c r="D2023" s="19"/>
      <c r="O2023" s="5"/>
      <c r="P2023" s="5"/>
    </row>
    <row r="2024" spans="2:16" ht="13.2" x14ac:dyDescent="0.25">
      <c r="B2024" s="18"/>
      <c r="C2024" s="19"/>
      <c r="D2024" s="19"/>
      <c r="O2024" s="5"/>
      <c r="P2024" s="5"/>
    </row>
    <row r="2025" spans="2:16" ht="13.2" x14ac:dyDescent="0.25">
      <c r="B2025" s="18"/>
      <c r="C2025" s="19"/>
      <c r="D2025" s="19"/>
      <c r="O2025" s="5"/>
      <c r="P2025" s="5"/>
    </row>
    <row r="2026" spans="2:16" ht="13.2" x14ac:dyDescent="0.25">
      <c r="B2026" s="18"/>
      <c r="C2026" s="19"/>
      <c r="D2026" s="19"/>
      <c r="O2026" s="5"/>
      <c r="P2026" s="5"/>
    </row>
    <row r="2027" spans="2:16" ht="13.2" x14ac:dyDescent="0.25">
      <c r="B2027" s="18"/>
      <c r="C2027" s="19"/>
      <c r="D2027" s="19"/>
      <c r="O2027" s="5"/>
      <c r="P2027" s="5"/>
    </row>
    <row r="2028" spans="2:16" ht="13.2" x14ac:dyDescent="0.25">
      <c r="B2028" s="18"/>
      <c r="C2028" s="19"/>
      <c r="D2028" s="19"/>
      <c r="O2028" s="5"/>
      <c r="P2028" s="5"/>
    </row>
    <row r="2029" spans="2:16" ht="13.2" x14ac:dyDescent="0.25">
      <c r="B2029" s="18"/>
      <c r="C2029" s="19"/>
      <c r="D2029" s="19"/>
      <c r="O2029" s="5"/>
      <c r="P2029" s="5"/>
    </row>
    <row r="2030" spans="2:16" ht="13.2" x14ac:dyDescent="0.25">
      <c r="B2030" s="18"/>
      <c r="C2030" s="19"/>
      <c r="D2030" s="19"/>
      <c r="O2030" s="5"/>
      <c r="P2030" s="5"/>
    </row>
    <row r="2031" spans="2:16" ht="13.2" x14ac:dyDescent="0.25">
      <c r="B2031" s="18"/>
      <c r="C2031" s="19"/>
      <c r="D2031" s="19"/>
      <c r="O2031" s="5"/>
      <c r="P2031" s="5"/>
    </row>
    <row r="2032" spans="2:16" ht="13.2" x14ac:dyDescent="0.25">
      <c r="B2032" s="18"/>
      <c r="C2032" s="19"/>
      <c r="D2032" s="19"/>
      <c r="O2032" s="5"/>
      <c r="P2032" s="5"/>
    </row>
    <row r="2033" spans="2:16" ht="13.2" x14ac:dyDescent="0.25">
      <c r="B2033" s="18"/>
      <c r="C2033" s="19"/>
      <c r="D2033" s="19"/>
      <c r="O2033" s="5"/>
      <c r="P2033" s="5"/>
    </row>
    <row r="2034" spans="2:16" ht="13.2" x14ac:dyDescent="0.25">
      <c r="B2034" s="18"/>
      <c r="C2034" s="19"/>
      <c r="D2034" s="19"/>
      <c r="O2034" s="5"/>
      <c r="P2034" s="5"/>
    </row>
    <row r="2035" spans="2:16" ht="13.2" x14ac:dyDescent="0.25">
      <c r="B2035" s="18"/>
      <c r="C2035" s="19"/>
      <c r="D2035" s="19"/>
      <c r="O2035" s="5"/>
      <c r="P2035" s="5"/>
    </row>
    <row r="2036" spans="2:16" ht="13.2" x14ac:dyDescent="0.25">
      <c r="B2036" s="18"/>
      <c r="C2036" s="19"/>
      <c r="D2036" s="19"/>
      <c r="O2036" s="5"/>
      <c r="P2036" s="5"/>
    </row>
    <row r="2037" spans="2:16" ht="13.2" x14ac:dyDescent="0.25">
      <c r="B2037" s="18"/>
      <c r="C2037" s="19"/>
      <c r="D2037" s="19"/>
      <c r="O2037" s="5"/>
      <c r="P2037" s="5"/>
    </row>
    <row r="2038" spans="2:16" ht="13.2" x14ac:dyDescent="0.25">
      <c r="B2038" s="18"/>
      <c r="C2038" s="19"/>
      <c r="D2038" s="19"/>
      <c r="O2038" s="5"/>
      <c r="P2038" s="5"/>
    </row>
    <row r="2039" spans="2:16" ht="13.2" x14ac:dyDescent="0.25">
      <c r="B2039" s="18"/>
      <c r="C2039" s="19"/>
      <c r="D2039" s="19"/>
      <c r="O2039" s="5"/>
      <c r="P2039" s="5"/>
    </row>
    <row r="2040" spans="2:16" ht="13.2" x14ac:dyDescent="0.25">
      <c r="B2040" s="18"/>
      <c r="C2040" s="19"/>
      <c r="D2040" s="19"/>
      <c r="O2040" s="5"/>
      <c r="P2040" s="5"/>
    </row>
    <row r="2041" spans="2:16" ht="13.2" x14ac:dyDescent="0.25">
      <c r="B2041" s="18"/>
      <c r="C2041" s="19"/>
      <c r="D2041" s="19"/>
      <c r="O2041" s="5"/>
      <c r="P2041" s="5"/>
    </row>
    <row r="2042" spans="2:16" ht="13.2" x14ac:dyDescent="0.25">
      <c r="B2042" s="18"/>
      <c r="C2042" s="19"/>
      <c r="D2042" s="19"/>
      <c r="O2042" s="5"/>
      <c r="P2042" s="5"/>
    </row>
    <row r="2043" spans="2:16" ht="13.2" x14ac:dyDescent="0.25">
      <c r="B2043" s="18"/>
      <c r="C2043" s="19"/>
      <c r="D2043" s="19"/>
      <c r="O2043" s="5"/>
      <c r="P2043" s="5"/>
    </row>
    <row r="2044" spans="2:16" ht="13.2" x14ac:dyDescent="0.25">
      <c r="B2044" s="18"/>
      <c r="C2044" s="19"/>
      <c r="D2044" s="19"/>
      <c r="O2044" s="5"/>
      <c r="P2044" s="5"/>
    </row>
    <row r="2045" spans="2:16" ht="13.2" x14ac:dyDescent="0.25">
      <c r="B2045" s="18"/>
      <c r="C2045" s="19"/>
      <c r="D2045" s="19"/>
      <c r="O2045" s="5"/>
      <c r="P2045" s="5"/>
    </row>
    <row r="2046" spans="2:16" ht="13.2" x14ac:dyDescent="0.25">
      <c r="B2046" s="18"/>
      <c r="C2046" s="19"/>
      <c r="D2046" s="19"/>
      <c r="O2046" s="5"/>
      <c r="P2046" s="5"/>
    </row>
    <row r="2047" spans="2:16" ht="13.2" x14ac:dyDescent="0.25">
      <c r="B2047" s="18"/>
      <c r="C2047" s="19"/>
      <c r="D2047" s="19"/>
      <c r="O2047" s="5"/>
      <c r="P2047" s="5"/>
    </row>
    <row r="2048" spans="2:16" ht="13.2" x14ac:dyDescent="0.25">
      <c r="B2048" s="18"/>
      <c r="C2048" s="19"/>
      <c r="D2048" s="19"/>
      <c r="O2048" s="5"/>
      <c r="P2048" s="5"/>
    </row>
    <row r="2049" spans="2:16" ht="13.2" x14ac:dyDescent="0.25">
      <c r="B2049" s="18"/>
      <c r="C2049" s="19"/>
      <c r="D2049" s="19"/>
      <c r="O2049" s="5"/>
      <c r="P2049" s="5"/>
    </row>
    <row r="2050" spans="2:16" ht="13.2" x14ac:dyDescent="0.25">
      <c r="B2050" s="18"/>
      <c r="C2050" s="19"/>
      <c r="D2050" s="19"/>
      <c r="O2050" s="5"/>
      <c r="P2050" s="5"/>
    </row>
    <row r="2051" spans="2:16" ht="13.2" x14ac:dyDescent="0.25">
      <c r="B2051" s="18"/>
      <c r="C2051" s="19"/>
      <c r="D2051" s="19"/>
      <c r="O2051" s="5"/>
      <c r="P2051" s="5"/>
    </row>
    <row r="2052" spans="2:16" ht="13.2" x14ac:dyDescent="0.25">
      <c r="B2052" s="18"/>
      <c r="C2052" s="19"/>
      <c r="D2052" s="19"/>
      <c r="O2052" s="5"/>
      <c r="P2052" s="5"/>
    </row>
    <row r="2053" spans="2:16" ht="13.2" x14ac:dyDescent="0.25">
      <c r="B2053" s="18"/>
      <c r="C2053" s="19"/>
      <c r="D2053" s="19"/>
      <c r="O2053" s="5"/>
      <c r="P2053" s="5"/>
    </row>
    <row r="2054" spans="2:16" ht="13.2" x14ac:dyDescent="0.25">
      <c r="B2054" s="18"/>
      <c r="C2054" s="19"/>
      <c r="D2054" s="19"/>
      <c r="O2054" s="5"/>
      <c r="P2054" s="5"/>
    </row>
    <row r="2055" spans="2:16" ht="13.2" x14ac:dyDescent="0.25">
      <c r="B2055" s="18"/>
      <c r="C2055" s="19"/>
      <c r="D2055" s="19"/>
      <c r="O2055" s="5"/>
      <c r="P2055" s="5"/>
    </row>
    <row r="2056" spans="2:16" ht="13.2" x14ac:dyDescent="0.25">
      <c r="B2056" s="18"/>
      <c r="C2056" s="19"/>
      <c r="D2056" s="19"/>
      <c r="O2056" s="5"/>
      <c r="P2056" s="5"/>
    </row>
    <row r="2057" spans="2:16" ht="13.2" x14ac:dyDescent="0.25">
      <c r="B2057" s="18"/>
      <c r="C2057" s="19"/>
      <c r="D2057" s="19"/>
      <c r="O2057" s="5"/>
      <c r="P2057" s="5"/>
    </row>
    <row r="2058" spans="2:16" ht="13.2" x14ac:dyDescent="0.25">
      <c r="B2058" s="18"/>
      <c r="C2058" s="19"/>
      <c r="D2058" s="19"/>
      <c r="O2058" s="5"/>
      <c r="P2058" s="5"/>
    </row>
    <row r="2059" spans="2:16" ht="13.2" x14ac:dyDescent="0.25">
      <c r="B2059" s="18"/>
      <c r="C2059" s="19"/>
      <c r="D2059" s="19"/>
      <c r="O2059" s="5"/>
      <c r="P2059" s="5"/>
    </row>
    <row r="2060" spans="2:16" ht="13.2" x14ac:dyDescent="0.25">
      <c r="B2060" s="18"/>
      <c r="C2060" s="19"/>
      <c r="D2060" s="19"/>
      <c r="O2060" s="5"/>
      <c r="P2060" s="5"/>
    </row>
    <row r="2061" spans="2:16" ht="13.2" x14ac:dyDescent="0.25">
      <c r="B2061" s="18"/>
      <c r="C2061" s="19"/>
      <c r="D2061" s="19"/>
      <c r="O2061" s="5"/>
      <c r="P2061" s="5"/>
    </row>
    <row r="2062" spans="2:16" ht="13.2" x14ac:dyDescent="0.25">
      <c r="B2062" s="18"/>
      <c r="C2062" s="19"/>
      <c r="D2062" s="19"/>
      <c r="O2062" s="5"/>
      <c r="P2062" s="5"/>
    </row>
    <row r="2063" spans="2:16" ht="13.2" x14ac:dyDescent="0.25">
      <c r="B2063" s="18"/>
      <c r="C2063" s="19"/>
      <c r="D2063" s="19"/>
      <c r="O2063" s="5"/>
      <c r="P2063" s="5"/>
    </row>
    <row r="2064" spans="2:16" ht="13.2" x14ac:dyDescent="0.25">
      <c r="B2064" s="18"/>
      <c r="C2064" s="19"/>
      <c r="D2064" s="19"/>
      <c r="O2064" s="5"/>
      <c r="P2064" s="5"/>
    </row>
    <row r="2065" spans="2:16" ht="13.2" x14ac:dyDescent="0.25">
      <c r="B2065" s="18"/>
      <c r="C2065" s="19"/>
      <c r="D2065" s="19"/>
      <c r="O2065" s="5"/>
      <c r="P2065" s="5"/>
    </row>
    <row r="2066" spans="2:16" ht="13.2" x14ac:dyDescent="0.25">
      <c r="B2066" s="18"/>
      <c r="C2066" s="19"/>
      <c r="D2066" s="19"/>
      <c r="O2066" s="5"/>
      <c r="P2066" s="5"/>
    </row>
    <row r="2067" spans="2:16" ht="13.2" x14ac:dyDescent="0.25">
      <c r="B2067" s="18"/>
      <c r="C2067" s="19"/>
      <c r="D2067" s="19"/>
      <c r="O2067" s="5"/>
      <c r="P2067" s="5"/>
    </row>
    <row r="2068" spans="2:16" ht="13.2" x14ac:dyDescent="0.25">
      <c r="B2068" s="18"/>
      <c r="C2068" s="19"/>
      <c r="D2068" s="19"/>
      <c r="O2068" s="5"/>
      <c r="P2068" s="5"/>
    </row>
    <row r="2069" spans="2:16" ht="13.2" x14ac:dyDescent="0.25">
      <c r="B2069" s="18"/>
      <c r="C2069" s="19"/>
      <c r="D2069" s="19"/>
      <c r="O2069" s="5"/>
      <c r="P2069" s="5"/>
    </row>
    <row r="2070" spans="2:16" ht="13.2" x14ac:dyDescent="0.25">
      <c r="B2070" s="18"/>
      <c r="C2070" s="19"/>
      <c r="D2070" s="19"/>
      <c r="O2070" s="5"/>
      <c r="P2070" s="5"/>
    </row>
    <row r="2071" spans="2:16" ht="13.2" x14ac:dyDescent="0.25">
      <c r="B2071" s="18"/>
      <c r="C2071" s="19"/>
      <c r="D2071" s="19"/>
      <c r="O2071" s="5"/>
      <c r="P2071" s="5"/>
    </row>
    <row r="2072" spans="2:16" ht="13.2" x14ac:dyDescent="0.25">
      <c r="B2072" s="18"/>
      <c r="C2072" s="19"/>
      <c r="D2072" s="19"/>
      <c r="O2072" s="5"/>
      <c r="P2072" s="5"/>
    </row>
    <row r="2073" spans="2:16" ht="13.2" x14ac:dyDescent="0.25">
      <c r="B2073" s="18"/>
      <c r="C2073" s="19"/>
      <c r="D2073" s="19"/>
      <c r="O2073" s="5"/>
      <c r="P2073" s="5"/>
    </row>
    <row r="2074" spans="2:16" ht="13.2" x14ac:dyDescent="0.25">
      <c r="B2074" s="18"/>
      <c r="C2074" s="19"/>
      <c r="D2074" s="19"/>
      <c r="O2074" s="5"/>
      <c r="P2074" s="5"/>
    </row>
    <row r="2075" spans="2:16" ht="13.2" x14ac:dyDescent="0.25">
      <c r="B2075" s="18"/>
      <c r="C2075" s="19"/>
      <c r="D2075" s="19"/>
      <c r="O2075" s="5"/>
      <c r="P2075" s="5"/>
    </row>
    <row r="2076" spans="2:16" ht="13.2" x14ac:dyDescent="0.25">
      <c r="B2076" s="18"/>
      <c r="C2076" s="19"/>
      <c r="D2076" s="19"/>
      <c r="O2076" s="5"/>
      <c r="P2076" s="5"/>
    </row>
    <row r="2077" spans="2:16" ht="13.2" x14ac:dyDescent="0.25">
      <c r="B2077" s="18"/>
      <c r="C2077" s="19"/>
      <c r="D2077" s="19"/>
      <c r="O2077" s="5"/>
      <c r="P2077" s="5"/>
    </row>
    <row r="2078" spans="2:16" ht="13.2" x14ac:dyDescent="0.25">
      <c r="B2078" s="18"/>
      <c r="C2078" s="19"/>
      <c r="D2078" s="19"/>
      <c r="O2078" s="5"/>
      <c r="P2078" s="5"/>
    </row>
    <row r="2079" spans="2:16" ht="13.2" x14ac:dyDescent="0.25">
      <c r="B2079" s="18"/>
      <c r="C2079" s="19"/>
      <c r="D2079" s="19"/>
      <c r="O2079" s="5"/>
      <c r="P2079" s="5"/>
    </row>
    <row r="2080" spans="2:16" ht="13.2" x14ac:dyDescent="0.25">
      <c r="B2080" s="18"/>
      <c r="C2080" s="19"/>
      <c r="D2080" s="19"/>
      <c r="O2080" s="5"/>
      <c r="P2080" s="5"/>
    </row>
    <row r="2081" spans="2:16" ht="13.2" x14ac:dyDescent="0.25">
      <c r="B2081" s="18"/>
      <c r="C2081" s="19"/>
      <c r="D2081" s="19"/>
      <c r="O2081" s="5"/>
      <c r="P2081" s="5"/>
    </row>
    <row r="2082" spans="2:16" ht="13.2" x14ac:dyDescent="0.25">
      <c r="B2082" s="18"/>
      <c r="C2082" s="19"/>
      <c r="D2082" s="19"/>
      <c r="O2082" s="5"/>
      <c r="P2082" s="5"/>
    </row>
    <row r="2083" spans="2:16" ht="13.2" x14ac:dyDescent="0.25">
      <c r="B2083" s="18"/>
      <c r="C2083" s="19"/>
      <c r="D2083" s="19"/>
      <c r="O2083" s="5"/>
      <c r="P2083" s="5"/>
    </row>
    <row r="2084" spans="2:16" ht="13.2" x14ac:dyDescent="0.25">
      <c r="B2084" s="18"/>
      <c r="C2084" s="19"/>
      <c r="D2084" s="19"/>
      <c r="O2084" s="5"/>
      <c r="P2084" s="5"/>
    </row>
    <row r="2085" spans="2:16" ht="13.2" x14ac:dyDescent="0.25">
      <c r="B2085" s="18"/>
      <c r="C2085" s="19"/>
      <c r="D2085" s="19"/>
      <c r="O2085" s="5"/>
      <c r="P2085" s="5"/>
    </row>
    <row r="2086" spans="2:16" ht="13.2" x14ac:dyDescent="0.25">
      <c r="B2086" s="18"/>
      <c r="C2086" s="19"/>
      <c r="D2086" s="19"/>
      <c r="O2086" s="5"/>
      <c r="P2086" s="5"/>
    </row>
    <row r="2087" spans="2:16" ht="13.2" x14ac:dyDescent="0.25">
      <c r="B2087" s="18"/>
      <c r="C2087" s="19"/>
      <c r="D2087" s="19"/>
      <c r="O2087" s="5"/>
      <c r="P2087" s="5"/>
    </row>
    <row r="2088" spans="2:16" ht="13.2" x14ac:dyDescent="0.25">
      <c r="B2088" s="18"/>
      <c r="C2088" s="19"/>
      <c r="D2088" s="19"/>
      <c r="O2088" s="5"/>
      <c r="P2088" s="5"/>
    </row>
    <row r="2089" spans="2:16" ht="13.2" x14ac:dyDescent="0.25">
      <c r="B2089" s="18"/>
      <c r="C2089" s="19"/>
      <c r="D2089" s="19"/>
      <c r="O2089" s="5"/>
      <c r="P2089" s="5"/>
    </row>
    <row r="2090" spans="2:16" ht="13.2" x14ac:dyDescent="0.25">
      <c r="B2090" s="18"/>
      <c r="C2090" s="19"/>
      <c r="D2090" s="19"/>
      <c r="O2090" s="5"/>
      <c r="P2090" s="5"/>
    </row>
    <row r="2091" spans="2:16" ht="13.2" x14ac:dyDescent="0.25">
      <c r="B2091" s="18"/>
      <c r="C2091" s="19"/>
      <c r="D2091" s="19"/>
      <c r="O2091" s="5"/>
      <c r="P2091" s="5"/>
    </row>
    <row r="2092" spans="2:16" ht="13.2" x14ac:dyDescent="0.25">
      <c r="B2092" s="18"/>
      <c r="C2092" s="19"/>
      <c r="D2092" s="19"/>
      <c r="O2092" s="5"/>
      <c r="P2092" s="5"/>
    </row>
    <row r="2093" spans="2:16" ht="13.2" x14ac:dyDescent="0.25">
      <c r="B2093" s="18"/>
      <c r="C2093" s="19"/>
      <c r="D2093" s="19"/>
      <c r="O2093" s="5"/>
      <c r="P2093" s="5"/>
    </row>
    <row r="2094" spans="2:16" ht="13.2" x14ac:dyDescent="0.25">
      <c r="B2094" s="18"/>
      <c r="C2094" s="19"/>
      <c r="D2094" s="19"/>
      <c r="O2094" s="5"/>
      <c r="P2094" s="5"/>
    </row>
    <row r="2095" spans="2:16" ht="13.2" x14ac:dyDescent="0.25">
      <c r="B2095" s="18"/>
      <c r="C2095" s="19"/>
      <c r="D2095" s="19"/>
      <c r="O2095" s="5"/>
      <c r="P2095" s="5"/>
    </row>
    <row r="2096" spans="2:16" ht="13.2" x14ac:dyDescent="0.25">
      <c r="B2096" s="18"/>
      <c r="C2096" s="19"/>
      <c r="D2096" s="19"/>
      <c r="O2096" s="5"/>
      <c r="P2096" s="5"/>
    </row>
    <row r="2097" spans="2:16" ht="13.2" x14ac:dyDescent="0.25">
      <c r="B2097" s="18"/>
      <c r="C2097" s="19"/>
      <c r="D2097" s="19"/>
      <c r="O2097" s="5"/>
      <c r="P2097" s="5"/>
    </row>
    <row r="2098" spans="2:16" ht="13.2" x14ac:dyDescent="0.25">
      <c r="B2098" s="18"/>
      <c r="C2098" s="19"/>
      <c r="D2098" s="19"/>
      <c r="O2098" s="5"/>
      <c r="P2098" s="5"/>
    </row>
    <row r="2099" spans="2:16" ht="13.2" x14ac:dyDescent="0.25">
      <c r="B2099" s="18"/>
      <c r="C2099" s="19"/>
      <c r="D2099" s="19"/>
      <c r="O2099" s="5"/>
      <c r="P2099" s="5"/>
    </row>
    <row r="2100" spans="2:16" ht="13.2" x14ac:dyDescent="0.25">
      <c r="B2100" s="18"/>
      <c r="C2100" s="19"/>
      <c r="D2100" s="19"/>
      <c r="O2100" s="5"/>
      <c r="P2100" s="5"/>
    </row>
    <row r="2101" spans="2:16" ht="13.2" x14ac:dyDescent="0.25">
      <c r="B2101" s="18"/>
      <c r="C2101" s="19"/>
      <c r="D2101" s="19"/>
      <c r="O2101" s="5"/>
      <c r="P2101" s="5"/>
    </row>
    <row r="2102" spans="2:16" ht="13.2" x14ac:dyDescent="0.25">
      <c r="B2102" s="18"/>
      <c r="C2102" s="19"/>
      <c r="D2102" s="19"/>
      <c r="O2102" s="5"/>
      <c r="P2102" s="5"/>
    </row>
    <row r="2103" spans="2:16" ht="13.2" x14ac:dyDescent="0.25">
      <c r="B2103" s="18"/>
      <c r="C2103" s="19"/>
      <c r="D2103" s="19"/>
      <c r="O2103" s="5"/>
      <c r="P2103" s="5"/>
    </row>
    <row r="2104" spans="2:16" ht="13.2" x14ac:dyDescent="0.25">
      <c r="B2104" s="18"/>
      <c r="C2104" s="19"/>
      <c r="D2104" s="19"/>
      <c r="O2104" s="5"/>
      <c r="P2104" s="5"/>
    </row>
    <row r="2105" spans="2:16" ht="13.2" x14ac:dyDescent="0.25">
      <c r="B2105" s="18"/>
      <c r="C2105" s="19"/>
      <c r="D2105" s="19"/>
      <c r="O2105" s="5"/>
      <c r="P2105" s="5"/>
    </row>
    <row r="2106" spans="2:16" ht="13.2" x14ac:dyDescent="0.25">
      <c r="B2106" s="18"/>
      <c r="C2106" s="19"/>
      <c r="D2106" s="19"/>
      <c r="O2106" s="5"/>
      <c r="P2106" s="5"/>
    </row>
    <row r="2107" spans="2:16" ht="13.2" x14ac:dyDescent="0.25">
      <c r="B2107" s="18"/>
      <c r="C2107" s="19"/>
      <c r="D2107" s="19"/>
      <c r="O2107" s="5"/>
      <c r="P2107" s="5"/>
    </row>
    <row r="2108" spans="2:16" ht="13.2" x14ac:dyDescent="0.25">
      <c r="B2108" s="18"/>
      <c r="C2108" s="19"/>
      <c r="D2108" s="19"/>
      <c r="O2108" s="5"/>
      <c r="P2108" s="5"/>
    </row>
    <row r="2109" spans="2:16" ht="13.2" x14ac:dyDescent="0.25">
      <c r="B2109" s="18"/>
      <c r="C2109" s="19"/>
      <c r="D2109" s="19"/>
      <c r="O2109" s="5"/>
      <c r="P2109" s="5"/>
    </row>
    <row r="2110" spans="2:16" ht="13.2" x14ac:dyDescent="0.25">
      <c r="B2110" s="18"/>
      <c r="C2110" s="19"/>
      <c r="D2110" s="19"/>
      <c r="O2110" s="5"/>
      <c r="P2110" s="5"/>
    </row>
    <row r="2111" spans="2:16" ht="13.2" x14ac:dyDescent="0.25">
      <c r="B2111" s="18"/>
      <c r="C2111" s="19"/>
      <c r="D2111" s="19"/>
      <c r="O2111" s="5"/>
      <c r="P2111" s="5"/>
    </row>
    <row r="2112" spans="2:16" ht="13.2" x14ac:dyDescent="0.25">
      <c r="B2112" s="18"/>
      <c r="C2112" s="19"/>
      <c r="D2112" s="19"/>
      <c r="O2112" s="5"/>
      <c r="P2112" s="5"/>
    </row>
    <row r="2113" spans="2:16" ht="13.2" x14ac:dyDescent="0.25">
      <c r="B2113" s="18"/>
      <c r="C2113" s="19"/>
      <c r="D2113" s="19"/>
      <c r="O2113" s="5"/>
      <c r="P2113" s="5"/>
    </row>
    <row r="2114" spans="2:16" ht="13.2" x14ac:dyDescent="0.25">
      <c r="B2114" s="18"/>
      <c r="C2114" s="19"/>
      <c r="D2114" s="19"/>
      <c r="O2114" s="5"/>
      <c r="P2114" s="5"/>
    </row>
    <row r="2115" spans="2:16" ht="13.2" x14ac:dyDescent="0.25">
      <c r="B2115" s="18"/>
      <c r="C2115" s="19"/>
      <c r="D2115" s="19"/>
      <c r="O2115" s="5"/>
      <c r="P2115" s="5"/>
    </row>
    <row r="2116" spans="2:16" ht="13.2" x14ac:dyDescent="0.25">
      <c r="B2116" s="18"/>
      <c r="C2116" s="19"/>
      <c r="D2116" s="19"/>
      <c r="O2116" s="5"/>
      <c r="P2116" s="5"/>
    </row>
    <row r="2117" spans="2:16" ht="13.2" x14ac:dyDescent="0.25">
      <c r="B2117" s="18"/>
      <c r="C2117" s="19"/>
      <c r="D2117" s="19"/>
      <c r="O2117" s="5"/>
      <c r="P2117" s="5"/>
    </row>
    <row r="2118" spans="2:16" ht="13.2" x14ac:dyDescent="0.25">
      <c r="B2118" s="18"/>
      <c r="C2118" s="19"/>
      <c r="D2118" s="19"/>
      <c r="O2118" s="5"/>
      <c r="P2118" s="5"/>
    </row>
    <row r="2119" spans="2:16" ht="13.2" x14ac:dyDescent="0.25">
      <c r="B2119" s="18"/>
      <c r="C2119" s="19"/>
      <c r="D2119" s="19"/>
      <c r="O2119" s="5"/>
      <c r="P2119" s="5"/>
    </row>
    <row r="2120" spans="2:16" ht="13.2" x14ac:dyDescent="0.25">
      <c r="B2120" s="18"/>
      <c r="C2120" s="19"/>
      <c r="D2120" s="19"/>
      <c r="O2120" s="5"/>
      <c r="P2120" s="5"/>
    </row>
    <row r="2121" spans="2:16" ht="13.2" x14ac:dyDescent="0.25">
      <c r="B2121" s="18"/>
      <c r="C2121" s="19"/>
      <c r="D2121" s="19"/>
      <c r="O2121" s="5"/>
      <c r="P2121" s="5"/>
    </row>
    <row r="2122" spans="2:16" ht="13.2" x14ac:dyDescent="0.25">
      <c r="B2122" s="18"/>
      <c r="C2122" s="19"/>
      <c r="D2122" s="19"/>
      <c r="O2122" s="5"/>
      <c r="P2122" s="5"/>
    </row>
    <row r="2123" spans="2:16" ht="13.2" x14ac:dyDescent="0.25">
      <c r="B2123" s="18"/>
      <c r="C2123" s="19"/>
      <c r="D2123" s="19"/>
      <c r="O2123" s="5"/>
      <c r="P2123" s="5"/>
    </row>
    <row r="2124" spans="2:16" ht="13.2" x14ac:dyDescent="0.25">
      <c r="B2124" s="18"/>
      <c r="C2124" s="19"/>
      <c r="D2124" s="19"/>
      <c r="O2124" s="5"/>
      <c r="P2124" s="5"/>
    </row>
    <row r="2125" spans="2:16" ht="13.2" x14ac:dyDescent="0.25">
      <c r="B2125" s="18"/>
      <c r="C2125" s="19"/>
      <c r="D2125" s="19"/>
      <c r="O2125" s="5"/>
      <c r="P2125" s="5"/>
    </row>
    <row r="2126" spans="2:16" ht="13.2" x14ac:dyDescent="0.25">
      <c r="B2126" s="18"/>
      <c r="C2126" s="19"/>
      <c r="D2126" s="19"/>
      <c r="O2126" s="5"/>
      <c r="P2126" s="5"/>
    </row>
    <row r="2127" spans="2:16" ht="13.2" x14ac:dyDescent="0.25">
      <c r="B2127" s="18"/>
      <c r="C2127" s="19"/>
      <c r="D2127" s="19"/>
      <c r="O2127" s="5"/>
      <c r="P2127" s="5"/>
    </row>
    <row r="2128" spans="2:16" ht="13.2" x14ac:dyDescent="0.25">
      <c r="B2128" s="18"/>
      <c r="C2128" s="19"/>
      <c r="D2128" s="19"/>
      <c r="O2128" s="5"/>
      <c r="P2128" s="5"/>
    </row>
    <row r="2129" spans="2:16" ht="13.2" x14ac:dyDescent="0.25">
      <c r="B2129" s="18"/>
      <c r="C2129" s="19"/>
      <c r="D2129" s="19"/>
      <c r="O2129" s="5"/>
      <c r="P2129" s="5"/>
    </row>
    <row r="2130" spans="2:16" ht="13.2" x14ac:dyDescent="0.25">
      <c r="B2130" s="18"/>
      <c r="C2130" s="19"/>
      <c r="D2130" s="19"/>
      <c r="O2130" s="5"/>
      <c r="P2130" s="5"/>
    </row>
    <row r="2131" spans="2:16" ht="13.2" x14ac:dyDescent="0.25">
      <c r="B2131" s="18"/>
      <c r="C2131" s="19"/>
      <c r="D2131" s="19"/>
      <c r="O2131" s="5"/>
      <c r="P2131" s="5"/>
    </row>
    <row r="2132" spans="2:16" ht="13.2" x14ac:dyDescent="0.25">
      <c r="B2132" s="18"/>
      <c r="C2132" s="19"/>
      <c r="D2132" s="19"/>
      <c r="O2132" s="5"/>
      <c r="P2132" s="5"/>
    </row>
    <row r="2133" spans="2:16" ht="13.2" x14ac:dyDescent="0.25">
      <c r="B2133" s="18"/>
      <c r="C2133" s="19"/>
      <c r="D2133" s="19"/>
      <c r="O2133" s="5"/>
      <c r="P2133" s="5"/>
    </row>
    <row r="2134" spans="2:16" ht="13.2" x14ac:dyDescent="0.25">
      <c r="B2134" s="18"/>
      <c r="C2134" s="19"/>
      <c r="D2134" s="19"/>
      <c r="O2134" s="5"/>
      <c r="P2134" s="5"/>
    </row>
    <row r="2135" spans="2:16" ht="13.2" x14ac:dyDescent="0.25">
      <c r="B2135" s="18"/>
      <c r="C2135" s="19"/>
      <c r="D2135" s="19"/>
      <c r="O2135" s="5"/>
      <c r="P2135" s="5"/>
    </row>
    <row r="2136" spans="2:16" ht="13.2" x14ac:dyDescent="0.25">
      <c r="B2136" s="18"/>
      <c r="C2136" s="19"/>
      <c r="D2136" s="19"/>
      <c r="O2136" s="5"/>
      <c r="P2136" s="5"/>
    </row>
    <row r="2137" spans="2:16" ht="13.2" x14ac:dyDescent="0.25">
      <c r="B2137" s="18"/>
      <c r="C2137" s="19"/>
      <c r="D2137" s="19"/>
      <c r="O2137" s="5"/>
      <c r="P2137" s="5"/>
    </row>
    <row r="2138" spans="2:16" ht="13.2" x14ac:dyDescent="0.25">
      <c r="B2138" s="18"/>
      <c r="C2138" s="19"/>
      <c r="D2138" s="19"/>
      <c r="O2138" s="5"/>
      <c r="P2138" s="5"/>
    </row>
    <row r="2139" spans="2:16" ht="13.2" x14ac:dyDescent="0.25">
      <c r="B2139" s="18"/>
      <c r="C2139" s="19"/>
      <c r="D2139" s="19"/>
      <c r="O2139" s="5"/>
      <c r="P2139" s="5"/>
    </row>
    <row r="2140" spans="2:16" ht="13.2" x14ac:dyDescent="0.25">
      <c r="B2140" s="18"/>
      <c r="C2140" s="19"/>
      <c r="D2140" s="19"/>
      <c r="O2140" s="5"/>
      <c r="P2140" s="5"/>
    </row>
    <row r="2141" spans="2:16" ht="13.2" x14ac:dyDescent="0.25">
      <c r="B2141" s="18"/>
      <c r="C2141" s="19"/>
      <c r="D2141" s="19"/>
      <c r="O2141" s="5"/>
      <c r="P2141" s="5"/>
    </row>
    <row r="2142" spans="2:16" ht="13.2" x14ac:dyDescent="0.25">
      <c r="B2142" s="18"/>
      <c r="C2142" s="19"/>
      <c r="D2142" s="19"/>
      <c r="O2142" s="5"/>
      <c r="P2142" s="5"/>
    </row>
    <row r="2143" spans="2:16" ht="13.2" x14ac:dyDescent="0.25">
      <c r="B2143" s="18"/>
      <c r="C2143" s="19"/>
      <c r="D2143" s="19"/>
      <c r="O2143" s="5"/>
      <c r="P2143" s="5"/>
    </row>
    <row r="2144" spans="2:16" ht="13.2" x14ac:dyDescent="0.25">
      <c r="B2144" s="18"/>
      <c r="C2144" s="19"/>
      <c r="D2144" s="19"/>
      <c r="O2144" s="5"/>
      <c r="P2144" s="5"/>
    </row>
    <row r="2145" spans="2:16" ht="13.2" x14ac:dyDescent="0.25">
      <c r="B2145" s="18"/>
      <c r="C2145" s="19"/>
      <c r="D2145" s="19"/>
      <c r="O2145" s="5"/>
      <c r="P2145" s="5"/>
    </row>
    <row r="2146" spans="2:16" ht="13.2" x14ac:dyDescent="0.25">
      <c r="B2146" s="18"/>
      <c r="C2146" s="19"/>
      <c r="D2146" s="19"/>
      <c r="O2146" s="5"/>
      <c r="P2146" s="5"/>
    </row>
    <row r="2147" spans="2:16" ht="13.2" x14ac:dyDescent="0.25">
      <c r="B2147" s="18"/>
      <c r="C2147" s="19"/>
      <c r="D2147" s="19"/>
      <c r="O2147" s="5"/>
      <c r="P2147" s="5"/>
    </row>
    <row r="2148" spans="2:16" ht="13.2" x14ac:dyDescent="0.25">
      <c r="B2148" s="18"/>
      <c r="C2148" s="19"/>
      <c r="D2148" s="19"/>
      <c r="O2148" s="5"/>
      <c r="P2148" s="5"/>
    </row>
    <row r="2149" spans="2:16" ht="13.2" x14ac:dyDescent="0.25">
      <c r="B2149" s="18"/>
      <c r="C2149" s="19"/>
      <c r="D2149" s="19"/>
      <c r="O2149" s="5"/>
      <c r="P2149" s="5"/>
    </row>
    <row r="2150" spans="2:16" ht="13.2" x14ac:dyDescent="0.25">
      <c r="B2150" s="18"/>
      <c r="C2150" s="19"/>
      <c r="D2150" s="19"/>
      <c r="O2150" s="5"/>
      <c r="P2150" s="5"/>
    </row>
    <row r="2151" spans="2:16" ht="13.2" x14ac:dyDescent="0.25">
      <c r="B2151" s="18"/>
      <c r="C2151" s="19"/>
      <c r="D2151" s="19"/>
      <c r="O2151" s="5"/>
      <c r="P2151" s="5"/>
    </row>
    <row r="2152" spans="2:16" ht="13.2" x14ac:dyDescent="0.25">
      <c r="B2152" s="18"/>
      <c r="C2152" s="19"/>
      <c r="D2152" s="19"/>
      <c r="O2152" s="5"/>
      <c r="P2152" s="5"/>
    </row>
    <row r="2153" spans="2:16" ht="13.2" x14ac:dyDescent="0.25">
      <c r="B2153" s="18"/>
      <c r="C2153" s="19"/>
      <c r="D2153" s="19"/>
      <c r="O2153" s="5"/>
      <c r="P2153" s="5"/>
    </row>
    <row r="2154" spans="2:16" ht="13.2" x14ac:dyDescent="0.25">
      <c r="B2154" s="18"/>
      <c r="C2154" s="19"/>
      <c r="D2154" s="19"/>
      <c r="O2154" s="5"/>
      <c r="P2154" s="5"/>
    </row>
    <row r="2155" spans="2:16" ht="13.2" x14ac:dyDescent="0.25">
      <c r="B2155" s="18"/>
      <c r="C2155" s="19"/>
      <c r="D2155" s="19"/>
      <c r="O2155" s="5"/>
      <c r="P2155" s="5"/>
    </row>
    <row r="2156" spans="2:16" ht="13.2" x14ac:dyDescent="0.25">
      <c r="B2156" s="18"/>
      <c r="C2156" s="19"/>
      <c r="D2156" s="19"/>
      <c r="O2156" s="5"/>
      <c r="P2156" s="5"/>
    </row>
    <row r="2157" spans="2:16" ht="13.2" x14ac:dyDescent="0.25">
      <c r="B2157" s="18"/>
      <c r="C2157" s="19"/>
      <c r="D2157" s="19"/>
      <c r="O2157" s="5"/>
      <c r="P2157" s="5"/>
    </row>
    <row r="2158" spans="2:16" ht="13.2" x14ac:dyDescent="0.25">
      <c r="B2158" s="18"/>
      <c r="C2158" s="19"/>
      <c r="D2158" s="19"/>
      <c r="O2158" s="5"/>
      <c r="P2158" s="5"/>
    </row>
    <row r="2159" spans="2:16" ht="13.2" x14ac:dyDescent="0.25">
      <c r="B2159" s="18"/>
      <c r="C2159" s="19"/>
      <c r="D2159" s="19"/>
      <c r="O2159" s="5"/>
      <c r="P2159" s="5"/>
    </row>
    <row r="2160" spans="2:16" ht="13.2" x14ac:dyDescent="0.25">
      <c r="B2160" s="18"/>
      <c r="C2160" s="19"/>
      <c r="D2160" s="19"/>
      <c r="O2160" s="5"/>
      <c r="P2160" s="5"/>
    </row>
    <row r="2161" spans="2:16" ht="13.2" x14ac:dyDescent="0.25">
      <c r="B2161" s="18"/>
      <c r="C2161" s="19"/>
      <c r="D2161" s="19"/>
      <c r="O2161" s="5"/>
      <c r="P2161" s="5"/>
    </row>
    <row r="2162" spans="2:16" ht="13.2" x14ac:dyDescent="0.25">
      <c r="B2162" s="18"/>
      <c r="C2162" s="19"/>
      <c r="D2162" s="19"/>
      <c r="O2162" s="5"/>
      <c r="P2162" s="5"/>
    </row>
    <row r="2163" spans="2:16" ht="13.2" x14ac:dyDescent="0.25">
      <c r="B2163" s="18"/>
      <c r="C2163" s="19"/>
      <c r="D2163" s="19"/>
      <c r="O2163" s="5"/>
      <c r="P2163" s="5"/>
    </row>
    <row r="2164" spans="2:16" ht="13.2" x14ac:dyDescent="0.25">
      <c r="B2164" s="18"/>
      <c r="C2164" s="19"/>
      <c r="D2164" s="19"/>
      <c r="O2164" s="5"/>
      <c r="P2164" s="5"/>
    </row>
    <row r="2165" spans="2:16" ht="13.2" x14ac:dyDescent="0.25">
      <c r="B2165" s="18"/>
      <c r="C2165" s="19"/>
      <c r="D2165" s="19"/>
      <c r="O2165" s="5"/>
      <c r="P2165" s="5"/>
    </row>
    <row r="2166" spans="2:16" ht="13.2" x14ac:dyDescent="0.25">
      <c r="B2166" s="18"/>
      <c r="C2166" s="19"/>
      <c r="D2166" s="19"/>
      <c r="O2166" s="5"/>
      <c r="P2166" s="5"/>
    </row>
    <row r="2167" spans="2:16" ht="13.2" x14ac:dyDescent="0.25">
      <c r="B2167" s="18"/>
      <c r="C2167" s="19"/>
      <c r="D2167" s="19"/>
      <c r="O2167" s="5"/>
      <c r="P2167" s="5"/>
    </row>
    <row r="2168" spans="2:16" ht="13.2" x14ac:dyDescent="0.25">
      <c r="B2168" s="18"/>
      <c r="C2168" s="19"/>
      <c r="D2168" s="19"/>
      <c r="O2168" s="5"/>
      <c r="P2168" s="5"/>
    </row>
    <row r="2169" spans="2:16" ht="13.2" x14ac:dyDescent="0.25">
      <c r="B2169" s="18"/>
      <c r="C2169" s="19"/>
      <c r="D2169" s="19"/>
      <c r="O2169" s="5"/>
      <c r="P2169" s="5"/>
    </row>
    <row r="2170" spans="2:16" ht="13.2" x14ac:dyDescent="0.25">
      <c r="B2170" s="18"/>
      <c r="C2170" s="19"/>
      <c r="D2170" s="19"/>
      <c r="O2170" s="5"/>
      <c r="P2170" s="5"/>
    </row>
    <row r="2171" spans="2:16" ht="13.2" x14ac:dyDescent="0.25">
      <c r="B2171" s="18"/>
      <c r="C2171" s="19"/>
      <c r="D2171" s="19"/>
      <c r="O2171" s="5"/>
      <c r="P2171" s="5"/>
    </row>
    <row r="2172" spans="2:16" ht="13.2" x14ac:dyDescent="0.25">
      <c r="B2172" s="18"/>
      <c r="C2172" s="19"/>
      <c r="D2172" s="19"/>
      <c r="O2172" s="5"/>
      <c r="P2172" s="5"/>
    </row>
    <row r="2173" spans="2:16" ht="13.2" x14ac:dyDescent="0.25">
      <c r="B2173" s="18"/>
      <c r="C2173" s="19"/>
      <c r="D2173" s="19"/>
      <c r="O2173" s="5"/>
      <c r="P2173" s="5"/>
    </row>
    <row r="2174" spans="2:16" ht="13.2" x14ac:dyDescent="0.25">
      <c r="B2174" s="18"/>
      <c r="C2174" s="19"/>
      <c r="D2174" s="19"/>
      <c r="O2174" s="5"/>
      <c r="P2174" s="5"/>
    </row>
    <row r="2175" spans="2:16" ht="13.2" x14ac:dyDescent="0.25">
      <c r="B2175" s="18"/>
      <c r="C2175" s="19"/>
      <c r="D2175" s="19"/>
      <c r="O2175" s="5"/>
      <c r="P2175" s="5"/>
    </row>
    <row r="2176" spans="2:16" ht="13.2" x14ac:dyDescent="0.25">
      <c r="B2176" s="18"/>
      <c r="C2176" s="19"/>
      <c r="D2176" s="19"/>
      <c r="O2176" s="5"/>
      <c r="P2176" s="5"/>
    </row>
    <row r="2177" spans="2:16" ht="13.2" x14ac:dyDescent="0.25">
      <c r="B2177" s="18"/>
      <c r="C2177" s="19"/>
      <c r="D2177" s="19"/>
      <c r="O2177" s="5"/>
      <c r="P2177" s="5"/>
    </row>
    <row r="2178" spans="2:16" ht="13.2" x14ac:dyDescent="0.25">
      <c r="B2178" s="18"/>
      <c r="C2178" s="19"/>
      <c r="D2178" s="19"/>
      <c r="O2178" s="5"/>
      <c r="P2178" s="5"/>
    </row>
    <row r="2179" spans="2:16" ht="13.2" x14ac:dyDescent="0.25">
      <c r="B2179" s="18"/>
      <c r="C2179" s="19"/>
      <c r="D2179" s="19"/>
      <c r="O2179" s="5"/>
      <c r="P2179" s="5"/>
    </row>
    <row r="2180" spans="2:16" ht="13.2" x14ac:dyDescent="0.25">
      <c r="B2180" s="18"/>
      <c r="C2180" s="19"/>
      <c r="D2180" s="19"/>
      <c r="O2180" s="5"/>
      <c r="P2180" s="5"/>
    </row>
    <row r="2181" spans="2:16" ht="13.2" x14ac:dyDescent="0.25">
      <c r="B2181" s="18"/>
      <c r="C2181" s="19"/>
      <c r="D2181" s="19"/>
      <c r="O2181" s="5"/>
      <c r="P2181" s="5"/>
    </row>
    <row r="2182" spans="2:16" ht="13.2" x14ac:dyDescent="0.25">
      <c r="B2182" s="18"/>
      <c r="C2182" s="19"/>
      <c r="D2182" s="19"/>
      <c r="O2182" s="5"/>
      <c r="P2182" s="5"/>
    </row>
    <row r="2183" spans="2:16" ht="13.2" x14ac:dyDescent="0.25">
      <c r="B2183" s="18"/>
      <c r="C2183" s="19"/>
      <c r="D2183" s="19"/>
      <c r="O2183" s="5"/>
      <c r="P2183" s="5"/>
    </row>
    <row r="2184" spans="2:16" ht="13.2" x14ac:dyDescent="0.25">
      <c r="B2184" s="18"/>
      <c r="C2184" s="19"/>
      <c r="D2184" s="19"/>
      <c r="O2184" s="5"/>
      <c r="P2184" s="5"/>
    </row>
    <row r="2185" spans="2:16" ht="13.2" x14ac:dyDescent="0.25">
      <c r="B2185" s="18"/>
      <c r="C2185" s="19"/>
      <c r="D2185" s="19"/>
      <c r="O2185" s="5"/>
      <c r="P2185" s="5"/>
    </row>
    <row r="2186" spans="2:16" ht="13.2" x14ac:dyDescent="0.25">
      <c r="B2186" s="18"/>
      <c r="C2186" s="19"/>
      <c r="D2186" s="19"/>
      <c r="O2186" s="5"/>
      <c r="P2186" s="5"/>
    </row>
    <row r="2187" spans="2:16" ht="13.2" x14ac:dyDescent="0.25">
      <c r="B2187" s="18"/>
      <c r="C2187" s="19"/>
      <c r="D2187" s="19"/>
      <c r="O2187" s="5"/>
      <c r="P2187" s="5"/>
    </row>
    <row r="2188" spans="2:16" ht="13.2" x14ac:dyDescent="0.25">
      <c r="B2188" s="18"/>
      <c r="C2188" s="19"/>
      <c r="D2188" s="19"/>
      <c r="O2188" s="5"/>
      <c r="P2188" s="5"/>
    </row>
    <row r="2189" spans="2:16" ht="13.2" x14ac:dyDescent="0.25">
      <c r="B2189" s="18"/>
      <c r="C2189" s="19"/>
      <c r="D2189" s="19"/>
      <c r="O2189" s="5"/>
      <c r="P2189" s="5"/>
    </row>
    <row r="2190" spans="2:16" ht="13.2" x14ac:dyDescent="0.25">
      <c r="B2190" s="18"/>
      <c r="C2190" s="19"/>
      <c r="D2190" s="19"/>
      <c r="O2190" s="5"/>
      <c r="P2190" s="5"/>
    </row>
    <row r="2191" spans="2:16" ht="13.2" x14ac:dyDescent="0.25">
      <c r="B2191" s="18"/>
      <c r="C2191" s="19"/>
      <c r="D2191" s="19"/>
      <c r="O2191" s="5"/>
      <c r="P2191" s="5"/>
    </row>
    <row r="2192" spans="2:16" ht="13.2" x14ac:dyDescent="0.25">
      <c r="B2192" s="18"/>
      <c r="C2192" s="19"/>
      <c r="D2192" s="19"/>
      <c r="O2192" s="5"/>
      <c r="P2192" s="5"/>
    </row>
    <row r="2193" spans="2:16" ht="13.2" x14ac:dyDescent="0.25">
      <c r="B2193" s="18"/>
      <c r="C2193" s="19"/>
      <c r="D2193" s="19"/>
      <c r="O2193" s="5"/>
      <c r="P2193" s="5"/>
    </row>
    <row r="2194" spans="2:16" ht="13.2" x14ac:dyDescent="0.25">
      <c r="B2194" s="18"/>
      <c r="C2194" s="19"/>
      <c r="D2194" s="19"/>
      <c r="O2194" s="5"/>
      <c r="P2194" s="5"/>
    </row>
    <row r="2195" spans="2:16" ht="13.2" x14ac:dyDescent="0.25">
      <c r="B2195" s="18"/>
      <c r="C2195" s="19"/>
      <c r="D2195" s="19"/>
      <c r="O2195" s="5"/>
      <c r="P2195" s="5"/>
    </row>
    <row r="2196" spans="2:16" ht="13.2" x14ac:dyDescent="0.25">
      <c r="B2196" s="18"/>
      <c r="C2196" s="19"/>
      <c r="D2196" s="19"/>
      <c r="O2196" s="5"/>
      <c r="P2196" s="5"/>
    </row>
    <row r="2197" spans="2:16" ht="13.2" x14ac:dyDescent="0.25">
      <c r="B2197" s="18"/>
      <c r="C2197" s="19"/>
      <c r="D2197" s="19"/>
      <c r="O2197" s="5"/>
      <c r="P2197" s="5"/>
    </row>
    <row r="2198" spans="2:16" ht="13.2" x14ac:dyDescent="0.25">
      <c r="B2198" s="18"/>
      <c r="C2198" s="19"/>
      <c r="D2198" s="19"/>
      <c r="O2198" s="5"/>
      <c r="P2198" s="5"/>
    </row>
    <row r="2199" spans="2:16" ht="13.2" x14ac:dyDescent="0.25">
      <c r="B2199" s="18"/>
      <c r="C2199" s="19"/>
      <c r="D2199" s="19"/>
      <c r="O2199" s="5"/>
      <c r="P2199" s="5"/>
    </row>
    <row r="2200" spans="2:16" ht="13.2" x14ac:dyDescent="0.25">
      <c r="B2200" s="18"/>
      <c r="C2200" s="19"/>
      <c r="D2200" s="19"/>
      <c r="O2200" s="5"/>
      <c r="P2200" s="5"/>
    </row>
    <row r="2201" spans="2:16" ht="13.2" x14ac:dyDescent="0.25">
      <c r="B2201" s="18"/>
      <c r="C2201" s="19"/>
      <c r="D2201" s="19"/>
      <c r="O2201" s="5"/>
      <c r="P2201" s="5"/>
    </row>
    <row r="2202" spans="2:16" ht="13.2" x14ac:dyDescent="0.25">
      <c r="B2202" s="18"/>
      <c r="C2202" s="19"/>
      <c r="D2202" s="19"/>
      <c r="O2202" s="5"/>
      <c r="P2202" s="5"/>
    </row>
    <row r="2203" spans="2:16" ht="13.2" x14ac:dyDescent="0.25">
      <c r="B2203" s="18"/>
      <c r="C2203" s="19"/>
      <c r="D2203" s="19"/>
      <c r="O2203" s="5"/>
      <c r="P2203" s="5"/>
    </row>
    <row r="2204" spans="2:16" ht="13.2" x14ac:dyDescent="0.25">
      <c r="B2204" s="18"/>
      <c r="C2204" s="19"/>
      <c r="D2204" s="19"/>
      <c r="O2204" s="5"/>
      <c r="P2204" s="5"/>
    </row>
    <row r="2205" spans="2:16" ht="13.2" x14ac:dyDescent="0.25">
      <c r="B2205" s="18"/>
      <c r="C2205" s="19"/>
      <c r="D2205" s="19"/>
      <c r="O2205" s="5"/>
      <c r="P2205" s="5"/>
    </row>
    <row r="2206" spans="2:16" ht="13.2" x14ac:dyDescent="0.25">
      <c r="B2206" s="18"/>
      <c r="C2206" s="19"/>
      <c r="D2206" s="19"/>
      <c r="O2206" s="5"/>
      <c r="P2206" s="5"/>
    </row>
    <row r="2207" spans="2:16" ht="13.2" x14ac:dyDescent="0.25">
      <c r="B2207" s="18"/>
      <c r="C2207" s="19"/>
      <c r="D2207" s="19"/>
      <c r="O2207" s="5"/>
      <c r="P2207" s="5"/>
    </row>
    <row r="2208" spans="2:16" ht="13.2" x14ac:dyDescent="0.25">
      <c r="B2208" s="18"/>
      <c r="C2208" s="19"/>
      <c r="D2208" s="19"/>
      <c r="O2208" s="5"/>
      <c r="P2208" s="5"/>
    </row>
    <row r="2209" spans="2:16" ht="13.2" x14ac:dyDescent="0.25">
      <c r="B2209" s="18"/>
      <c r="C2209" s="19"/>
      <c r="D2209" s="19"/>
      <c r="O2209" s="5"/>
      <c r="P2209" s="5"/>
    </row>
    <row r="2210" spans="2:16" ht="13.2" x14ac:dyDescent="0.25">
      <c r="B2210" s="18"/>
      <c r="C2210" s="19"/>
      <c r="D2210" s="19"/>
      <c r="O2210" s="5"/>
      <c r="P2210" s="5"/>
    </row>
    <row r="2211" spans="2:16" ht="13.2" x14ac:dyDescent="0.25">
      <c r="B2211" s="18"/>
      <c r="C2211" s="19"/>
      <c r="D2211" s="19"/>
      <c r="O2211" s="5"/>
      <c r="P2211" s="5"/>
    </row>
    <row r="2212" spans="2:16" ht="13.2" x14ac:dyDescent="0.25">
      <c r="B2212" s="18"/>
      <c r="C2212" s="19"/>
      <c r="D2212" s="19"/>
      <c r="O2212" s="5"/>
      <c r="P2212" s="5"/>
    </row>
    <row r="2213" spans="2:16" ht="13.2" x14ac:dyDescent="0.25">
      <c r="B2213" s="18"/>
      <c r="C2213" s="19"/>
      <c r="D2213" s="19"/>
      <c r="O2213" s="5"/>
      <c r="P2213" s="5"/>
    </row>
    <row r="2214" spans="2:16" ht="13.2" x14ac:dyDescent="0.25">
      <c r="B2214" s="18"/>
      <c r="C2214" s="19"/>
      <c r="D2214" s="19"/>
      <c r="O2214" s="5"/>
      <c r="P2214" s="5"/>
    </row>
    <row r="2215" spans="2:16" ht="13.2" x14ac:dyDescent="0.25">
      <c r="B2215" s="18"/>
      <c r="C2215" s="19"/>
      <c r="D2215" s="19"/>
      <c r="O2215" s="5"/>
      <c r="P2215" s="5"/>
    </row>
    <row r="2216" spans="2:16" ht="13.2" x14ac:dyDescent="0.25">
      <c r="B2216" s="18"/>
      <c r="C2216" s="19"/>
      <c r="D2216" s="19"/>
      <c r="O2216" s="5"/>
      <c r="P2216" s="5"/>
    </row>
    <row r="2217" spans="2:16" ht="13.2" x14ac:dyDescent="0.25">
      <c r="B2217" s="18"/>
      <c r="C2217" s="19"/>
      <c r="D2217" s="19"/>
      <c r="O2217" s="5"/>
      <c r="P2217" s="5"/>
    </row>
    <row r="2218" spans="2:16" ht="13.2" x14ac:dyDescent="0.25">
      <c r="B2218" s="18"/>
      <c r="C2218" s="19"/>
      <c r="D2218" s="19"/>
      <c r="O2218" s="5"/>
      <c r="P2218" s="5"/>
    </row>
    <row r="2219" spans="2:16" ht="13.2" x14ac:dyDescent="0.25">
      <c r="B2219" s="18"/>
      <c r="C2219" s="19"/>
      <c r="D2219" s="19"/>
      <c r="O2219" s="5"/>
      <c r="P2219" s="5"/>
    </row>
    <row r="2220" spans="2:16" ht="13.2" x14ac:dyDescent="0.25">
      <c r="B2220" s="18"/>
      <c r="C2220" s="19"/>
      <c r="D2220" s="19"/>
      <c r="O2220" s="5"/>
      <c r="P2220" s="5"/>
    </row>
    <row r="2221" spans="2:16" ht="13.2" x14ac:dyDescent="0.25">
      <c r="B2221" s="18"/>
      <c r="C2221" s="19"/>
      <c r="D2221" s="19"/>
      <c r="O2221" s="5"/>
      <c r="P2221" s="5"/>
    </row>
    <row r="2222" spans="2:16" ht="13.2" x14ac:dyDescent="0.25">
      <c r="B2222" s="18"/>
      <c r="C2222" s="19"/>
      <c r="D2222" s="19"/>
      <c r="O2222" s="5"/>
      <c r="P2222" s="5"/>
    </row>
    <row r="2223" spans="2:16" ht="13.2" x14ac:dyDescent="0.25">
      <c r="B2223" s="18"/>
      <c r="C2223" s="19"/>
      <c r="D2223" s="19"/>
      <c r="O2223" s="5"/>
      <c r="P2223" s="5"/>
    </row>
    <row r="2224" spans="2:16" ht="13.2" x14ac:dyDescent="0.25">
      <c r="B2224" s="18"/>
      <c r="C2224" s="19"/>
      <c r="D2224" s="19"/>
      <c r="O2224" s="5"/>
      <c r="P2224" s="5"/>
    </row>
    <row r="2225" spans="2:16" ht="13.2" x14ac:dyDescent="0.25">
      <c r="B2225" s="18"/>
      <c r="C2225" s="19"/>
      <c r="D2225" s="19"/>
      <c r="O2225" s="5"/>
      <c r="P2225" s="5"/>
    </row>
    <row r="2226" spans="2:16" ht="13.2" x14ac:dyDescent="0.25">
      <c r="B2226" s="18"/>
      <c r="C2226" s="19"/>
      <c r="D2226" s="19"/>
      <c r="O2226" s="5"/>
      <c r="P2226" s="5"/>
    </row>
    <row r="2227" spans="2:16" ht="13.2" x14ac:dyDescent="0.25">
      <c r="B2227" s="18"/>
      <c r="C2227" s="19"/>
      <c r="D2227" s="19"/>
      <c r="O2227" s="5"/>
      <c r="P2227" s="5"/>
    </row>
    <row r="2228" spans="2:16" ht="13.2" x14ac:dyDescent="0.25">
      <c r="B2228" s="18"/>
      <c r="C2228" s="19"/>
      <c r="D2228" s="19"/>
      <c r="O2228" s="5"/>
      <c r="P2228" s="5"/>
    </row>
    <row r="2229" spans="2:16" ht="13.2" x14ac:dyDescent="0.25">
      <c r="B2229" s="18"/>
      <c r="C2229" s="19"/>
      <c r="D2229" s="19"/>
      <c r="O2229" s="5"/>
      <c r="P2229" s="5"/>
    </row>
    <row r="2230" spans="2:16" ht="13.2" x14ac:dyDescent="0.25">
      <c r="B2230" s="18"/>
      <c r="C2230" s="19"/>
      <c r="D2230" s="19"/>
      <c r="O2230" s="5"/>
      <c r="P2230" s="5"/>
    </row>
    <row r="2231" spans="2:16" ht="13.2" x14ac:dyDescent="0.25">
      <c r="B2231" s="18"/>
      <c r="C2231" s="19"/>
      <c r="D2231" s="19"/>
      <c r="O2231" s="5"/>
      <c r="P2231" s="5"/>
    </row>
    <row r="2232" spans="2:16" ht="13.2" x14ac:dyDescent="0.25">
      <c r="B2232" s="18"/>
      <c r="C2232" s="19"/>
      <c r="D2232" s="19"/>
      <c r="O2232" s="5"/>
      <c r="P2232" s="5"/>
    </row>
    <row r="2233" spans="2:16" ht="13.2" x14ac:dyDescent="0.25">
      <c r="B2233" s="18"/>
      <c r="C2233" s="19"/>
      <c r="D2233" s="19"/>
      <c r="O2233" s="5"/>
      <c r="P2233" s="5"/>
    </row>
    <row r="2234" spans="2:16" ht="13.2" x14ac:dyDescent="0.25">
      <c r="B2234" s="18"/>
      <c r="C2234" s="19"/>
      <c r="D2234" s="19"/>
      <c r="O2234" s="5"/>
      <c r="P2234" s="5"/>
    </row>
    <row r="2235" spans="2:16" ht="13.2" x14ac:dyDescent="0.25">
      <c r="B2235" s="18"/>
      <c r="C2235" s="19"/>
      <c r="D2235" s="19"/>
      <c r="O2235" s="5"/>
      <c r="P2235" s="5"/>
    </row>
    <row r="2236" spans="2:16" ht="13.2" x14ac:dyDescent="0.25">
      <c r="B2236" s="18"/>
      <c r="C2236" s="19"/>
      <c r="D2236" s="19"/>
      <c r="O2236" s="5"/>
      <c r="P2236" s="5"/>
    </row>
    <row r="2237" spans="2:16" ht="13.2" x14ac:dyDescent="0.25">
      <c r="B2237" s="18"/>
      <c r="C2237" s="19"/>
      <c r="D2237" s="19"/>
      <c r="O2237" s="5"/>
      <c r="P2237" s="5"/>
    </row>
    <row r="2238" spans="2:16" ht="13.2" x14ac:dyDescent="0.25">
      <c r="B2238" s="18"/>
      <c r="C2238" s="19"/>
      <c r="D2238" s="19"/>
      <c r="O2238" s="5"/>
      <c r="P2238" s="5"/>
    </row>
    <row r="2239" spans="2:16" ht="13.2" x14ac:dyDescent="0.25">
      <c r="B2239" s="18"/>
      <c r="C2239" s="19"/>
      <c r="D2239" s="19"/>
      <c r="O2239" s="5"/>
      <c r="P2239" s="5"/>
    </row>
    <row r="2240" spans="2:16" ht="13.2" x14ac:dyDescent="0.25">
      <c r="B2240" s="18"/>
      <c r="C2240" s="19"/>
      <c r="D2240" s="19"/>
      <c r="O2240" s="5"/>
      <c r="P2240" s="5"/>
    </row>
    <row r="2241" spans="2:16" ht="13.2" x14ac:dyDescent="0.25">
      <c r="B2241" s="18"/>
      <c r="C2241" s="19"/>
      <c r="D2241" s="19"/>
      <c r="O2241" s="5"/>
      <c r="P2241" s="5"/>
    </row>
    <row r="2242" spans="2:16" ht="13.2" x14ac:dyDescent="0.25">
      <c r="B2242" s="18"/>
      <c r="C2242" s="19"/>
      <c r="D2242" s="19"/>
      <c r="O2242" s="5"/>
      <c r="P2242" s="5"/>
    </row>
    <row r="2243" spans="2:16" ht="13.2" x14ac:dyDescent="0.25">
      <c r="B2243" s="18"/>
      <c r="C2243" s="19"/>
      <c r="D2243" s="19"/>
      <c r="O2243" s="5"/>
      <c r="P2243" s="5"/>
    </row>
    <row r="2244" spans="2:16" ht="13.2" x14ac:dyDescent="0.25">
      <c r="B2244" s="18"/>
      <c r="C2244" s="19"/>
      <c r="D2244" s="19"/>
      <c r="O2244" s="5"/>
      <c r="P2244" s="5"/>
    </row>
    <row r="2245" spans="2:16" ht="13.2" x14ac:dyDescent="0.25">
      <c r="B2245" s="18"/>
      <c r="C2245" s="19"/>
      <c r="D2245" s="19"/>
      <c r="O2245" s="5"/>
      <c r="P2245" s="5"/>
    </row>
    <row r="2246" spans="2:16" ht="13.2" x14ac:dyDescent="0.25">
      <c r="B2246" s="18"/>
      <c r="C2246" s="19"/>
      <c r="D2246" s="19"/>
      <c r="O2246" s="5"/>
      <c r="P2246" s="5"/>
    </row>
    <row r="2247" spans="2:16" ht="13.2" x14ac:dyDescent="0.25">
      <c r="B2247" s="18"/>
      <c r="C2247" s="19"/>
      <c r="D2247" s="19"/>
      <c r="O2247" s="5"/>
      <c r="P2247" s="5"/>
    </row>
    <row r="2248" spans="2:16" ht="13.2" x14ac:dyDescent="0.25">
      <c r="B2248" s="18"/>
      <c r="C2248" s="19"/>
      <c r="D2248" s="19"/>
      <c r="O2248" s="5"/>
      <c r="P2248" s="5"/>
    </row>
    <row r="2249" spans="2:16" ht="13.2" x14ac:dyDescent="0.25">
      <c r="B2249" s="18"/>
      <c r="C2249" s="19"/>
      <c r="D2249" s="19"/>
      <c r="O2249" s="5"/>
      <c r="P2249" s="5"/>
    </row>
    <row r="2250" spans="2:16" ht="13.2" x14ac:dyDescent="0.25">
      <c r="B2250" s="18"/>
      <c r="C2250" s="19"/>
      <c r="D2250" s="19"/>
      <c r="O2250" s="5"/>
      <c r="P2250" s="5"/>
    </row>
    <row r="2251" spans="2:16" ht="13.2" x14ac:dyDescent="0.25">
      <c r="B2251" s="18"/>
      <c r="C2251" s="19"/>
      <c r="D2251" s="19"/>
      <c r="O2251" s="5"/>
      <c r="P2251" s="5"/>
    </row>
    <row r="2252" spans="2:16" ht="13.2" x14ac:dyDescent="0.25">
      <c r="B2252" s="18"/>
      <c r="C2252" s="19"/>
      <c r="D2252" s="19"/>
      <c r="O2252" s="5"/>
      <c r="P2252" s="5"/>
    </row>
    <row r="2253" spans="2:16" ht="13.2" x14ac:dyDescent="0.25">
      <c r="B2253" s="18"/>
      <c r="C2253" s="19"/>
      <c r="D2253" s="19"/>
      <c r="O2253" s="5"/>
      <c r="P2253" s="5"/>
    </row>
    <row r="2254" spans="2:16" ht="13.2" x14ac:dyDescent="0.25">
      <c r="B2254" s="18"/>
      <c r="C2254" s="19"/>
      <c r="D2254" s="19"/>
      <c r="O2254" s="5"/>
      <c r="P2254" s="5"/>
    </row>
    <row r="2255" spans="2:16" ht="13.2" x14ac:dyDescent="0.25">
      <c r="B2255" s="18"/>
      <c r="C2255" s="19"/>
      <c r="D2255" s="19"/>
      <c r="O2255" s="5"/>
      <c r="P2255" s="5"/>
    </row>
    <row r="2256" spans="2:16" ht="13.2" x14ac:dyDescent="0.25">
      <c r="B2256" s="18"/>
      <c r="C2256" s="19"/>
      <c r="D2256" s="19"/>
      <c r="O2256" s="5"/>
      <c r="P2256" s="5"/>
    </row>
    <row r="2257" spans="2:16" ht="13.2" x14ac:dyDescent="0.25">
      <c r="B2257" s="18"/>
      <c r="C2257" s="19"/>
      <c r="D2257" s="19"/>
      <c r="O2257" s="5"/>
      <c r="P2257" s="5"/>
    </row>
    <row r="2258" spans="2:16" ht="13.2" x14ac:dyDescent="0.25">
      <c r="B2258" s="18"/>
      <c r="C2258" s="19"/>
      <c r="D2258" s="19"/>
      <c r="O2258" s="5"/>
      <c r="P2258" s="5"/>
    </row>
    <row r="2259" spans="2:16" ht="13.2" x14ac:dyDescent="0.25">
      <c r="B2259" s="18"/>
      <c r="C2259" s="19"/>
      <c r="D2259" s="19"/>
      <c r="O2259" s="5"/>
      <c r="P2259" s="5"/>
    </row>
    <row r="2260" spans="2:16" ht="13.2" x14ac:dyDescent="0.25">
      <c r="B2260" s="18"/>
      <c r="C2260" s="19"/>
      <c r="D2260" s="19"/>
      <c r="O2260" s="5"/>
      <c r="P2260" s="5"/>
    </row>
    <row r="2261" spans="2:16" ht="13.2" x14ac:dyDescent="0.25">
      <c r="B2261" s="18"/>
      <c r="C2261" s="19"/>
      <c r="D2261" s="19"/>
      <c r="O2261" s="5"/>
      <c r="P2261" s="5"/>
    </row>
    <row r="2262" spans="2:16" ht="13.2" x14ac:dyDescent="0.25">
      <c r="B2262" s="18"/>
      <c r="C2262" s="19"/>
      <c r="D2262" s="19"/>
      <c r="O2262" s="5"/>
      <c r="P2262" s="5"/>
    </row>
    <row r="2263" spans="2:16" ht="13.2" x14ac:dyDescent="0.25">
      <c r="B2263" s="18"/>
      <c r="C2263" s="19"/>
      <c r="D2263" s="19"/>
      <c r="O2263" s="5"/>
      <c r="P2263" s="5"/>
    </row>
    <row r="2264" spans="2:16" ht="13.2" x14ac:dyDescent="0.25">
      <c r="B2264" s="18"/>
      <c r="C2264" s="19"/>
      <c r="D2264" s="19"/>
      <c r="O2264" s="5"/>
      <c r="P2264" s="5"/>
    </row>
    <row r="2265" spans="2:16" ht="13.2" x14ac:dyDescent="0.25">
      <c r="B2265" s="18"/>
      <c r="C2265" s="19"/>
      <c r="D2265" s="19"/>
      <c r="O2265" s="5"/>
      <c r="P2265" s="5"/>
    </row>
    <row r="2266" spans="2:16" ht="13.2" x14ac:dyDescent="0.25">
      <c r="B2266" s="18"/>
      <c r="C2266" s="19"/>
      <c r="D2266" s="19"/>
      <c r="O2266" s="5"/>
      <c r="P2266" s="5"/>
    </row>
    <row r="2267" spans="2:16" ht="13.2" x14ac:dyDescent="0.25">
      <c r="B2267" s="18"/>
      <c r="C2267" s="19"/>
      <c r="D2267" s="19"/>
      <c r="O2267" s="5"/>
      <c r="P2267" s="5"/>
    </row>
    <row r="2268" spans="2:16" ht="13.2" x14ac:dyDescent="0.25">
      <c r="B2268" s="18"/>
      <c r="C2268" s="19"/>
      <c r="D2268" s="19"/>
      <c r="O2268" s="5"/>
      <c r="P2268" s="5"/>
    </row>
    <row r="2269" spans="2:16" ht="13.2" x14ac:dyDescent="0.25">
      <c r="B2269" s="18"/>
      <c r="C2269" s="19"/>
      <c r="D2269" s="19"/>
      <c r="O2269" s="5"/>
      <c r="P2269" s="5"/>
    </row>
    <row r="2270" spans="2:16" ht="13.2" x14ac:dyDescent="0.25">
      <c r="B2270" s="18"/>
      <c r="C2270" s="19"/>
      <c r="D2270" s="19"/>
      <c r="O2270" s="5"/>
      <c r="P2270" s="5"/>
    </row>
    <row r="2271" spans="2:16" ht="13.2" x14ac:dyDescent="0.25">
      <c r="B2271" s="18"/>
      <c r="C2271" s="19"/>
      <c r="D2271" s="19"/>
      <c r="O2271" s="5"/>
      <c r="P2271" s="5"/>
    </row>
    <row r="2272" spans="2:16" ht="13.2" x14ac:dyDescent="0.25">
      <c r="B2272" s="18"/>
      <c r="C2272" s="19"/>
      <c r="D2272" s="19"/>
      <c r="O2272" s="5"/>
      <c r="P2272" s="5"/>
    </row>
    <row r="2273" spans="2:16" ht="13.2" x14ac:dyDescent="0.25">
      <c r="B2273" s="18"/>
      <c r="C2273" s="19"/>
      <c r="D2273" s="19"/>
      <c r="O2273" s="5"/>
      <c r="P2273" s="5"/>
    </row>
    <row r="2274" spans="2:16" ht="13.2" x14ac:dyDescent="0.25">
      <c r="B2274" s="18"/>
      <c r="C2274" s="19"/>
      <c r="D2274" s="19"/>
      <c r="O2274" s="5"/>
      <c r="P2274" s="5"/>
    </row>
    <row r="2275" spans="2:16" ht="13.2" x14ac:dyDescent="0.25">
      <c r="B2275" s="18"/>
      <c r="C2275" s="19"/>
      <c r="D2275" s="19"/>
      <c r="O2275" s="5"/>
      <c r="P2275" s="5"/>
    </row>
    <row r="2276" spans="2:16" ht="13.2" x14ac:dyDescent="0.25">
      <c r="B2276" s="18"/>
      <c r="C2276" s="19"/>
      <c r="D2276" s="19"/>
      <c r="O2276" s="5"/>
      <c r="P2276" s="5"/>
    </row>
    <row r="2277" spans="2:16" ht="13.2" x14ac:dyDescent="0.25">
      <c r="B2277" s="18"/>
      <c r="C2277" s="19"/>
      <c r="D2277" s="19"/>
      <c r="O2277" s="5"/>
      <c r="P2277" s="5"/>
    </row>
    <row r="2278" spans="2:16" ht="13.2" x14ac:dyDescent="0.25">
      <c r="B2278" s="18"/>
      <c r="C2278" s="19"/>
      <c r="D2278" s="19"/>
      <c r="O2278" s="5"/>
      <c r="P2278" s="5"/>
    </row>
    <row r="2279" spans="2:16" ht="13.2" x14ac:dyDescent="0.25">
      <c r="B2279" s="18"/>
      <c r="C2279" s="19"/>
      <c r="D2279" s="19"/>
      <c r="O2279" s="5"/>
      <c r="P2279" s="5"/>
    </row>
    <row r="2280" spans="2:16" ht="13.2" x14ac:dyDescent="0.25">
      <c r="B2280" s="18"/>
      <c r="C2280" s="19"/>
      <c r="D2280" s="19"/>
      <c r="O2280" s="5"/>
      <c r="P2280" s="5"/>
    </row>
    <row r="2281" spans="2:16" ht="13.2" x14ac:dyDescent="0.25">
      <c r="B2281" s="18"/>
      <c r="C2281" s="19"/>
      <c r="D2281" s="19"/>
      <c r="O2281" s="5"/>
      <c r="P2281" s="5"/>
    </row>
    <row r="2282" spans="2:16" ht="13.2" x14ac:dyDescent="0.25">
      <c r="B2282" s="18"/>
      <c r="C2282" s="19"/>
      <c r="D2282" s="19"/>
      <c r="O2282" s="5"/>
      <c r="P2282" s="5"/>
    </row>
    <row r="2283" spans="2:16" ht="13.2" x14ac:dyDescent="0.25">
      <c r="B2283" s="18"/>
      <c r="C2283" s="19"/>
      <c r="D2283" s="19"/>
      <c r="O2283" s="5"/>
      <c r="P2283" s="5"/>
    </row>
    <row r="2284" spans="2:16" ht="13.2" x14ac:dyDescent="0.25">
      <c r="B2284" s="18"/>
      <c r="C2284" s="19"/>
      <c r="D2284" s="19"/>
      <c r="O2284" s="5"/>
      <c r="P2284" s="5"/>
    </row>
    <row r="2285" spans="2:16" ht="13.2" x14ac:dyDescent="0.25">
      <c r="B2285" s="18"/>
      <c r="C2285" s="19"/>
      <c r="D2285" s="19"/>
      <c r="O2285" s="5"/>
      <c r="P2285" s="5"/>
    </row>
    <row r="2286" spans="2:16" ht="13.2" x14ac:dyDescent="0.25">
      <c r="B2286" s="18"/>
      <c r="C2286" s="19"/>
      <c r="D2286" s="19"/>
      <c r="O2286" s="5"/>
      <c r="P2286" s="5"/>
    </row>
    <row r="2287" spans="2:16" ht="13.2" x14ac:dyDescent="0.25">
      <c r="B2287" s="18"/>
      <c r="C2287" s="19"/>
      <c r="D2287" s="19"/>
      <c r="O2287" s="5"/>
      <c r="P2287" s="5"/>
    </row>
    <row r="2288" spans="2:16" ht="13.2" x14ac:dyDescent="0.25">
      <c r="B2288" s="18"/>
      <c r="C2288" s="19"/>
      <c r="D2288" s="19"/>
      <c r="O2288" s="5"/>
      <c r="P2288" s="5"/>
    </row>
    <row r="2289" spans="2:16" ht="13.2" x14ac:dyDescent="0.25">
      <c r="B2289" s="18"/>
      <c r="C2289" s="19"/>
      <c r="D2289" s="19"/>
      <c r="O2289" s="5"/>
      <c r="P2289" s="5"/>
    </row>
    <row r="2290" spans="2:16" ht="13.2" x14ac:dyDescent="0.25">
      <c r="B2290" s="18"/>
      <c r="C2290" s="19"/>
      <c r="D2290" s="19"/>
      <c r="O2290" s="5"/>
      <c r="P2290" s="5"/>
    </row>
    <row r="2291" spans="2:16" ht="13.2" x14ac:dyDescent="0.25">
      <c r="B2291" s="18"/>
      <c r="C2291" s="19"/>
      <c r="D2291" s="19"/>
      <c r="O2291" s="5"/>
      <c r="P2291" s="5"/>
    </row>
    <row r="2292" spans="2:16" ht="13.2" x14ac:dyDescent="0.25">
      <c r="B2292" s="18"/>
      <c r="C2292" s="19"/>
      <c r="D2292" s="19"/>
      <c r="O2292" s="5"/>
      <c r="P2292" s="5"/>
    </row>
    <row r="2293" spans="2:16" ht="13.2" x14ac:dyDescent="0.25">
      <c r="B2293" s="18"/>
      <c r="C2293" s="19"/>
      <c r="D2293" s="19"/>
      <c r="O2293" s="5"/>
      <c r="P2293" s="5"/>
    </row>
    <row r="2294" spans="2:16" ht="13.2" x14ac:dyDescent="0.25">
      <c r="B2294" s="18"/>
      <c r="C2294" s="19"/>
      <c r="D2294" s="19"/>
      <c r="O2294" s="5"/>
      <c r="P2294" s="5"/>
    </row>
    <row r="2295" spans="2:16" ht="13.2" x14ac:dyDescent="0.25">
      <c r="B2295" s="18"/>
      <c r="C2295" s="19"/>
      <c r="D2295" s="19"/>
      <c r="O2295" s="5"/>
      <c r="P2295" s="5"/>
    </row>
    <row r="2296" spans="2:16" ht="13.2" x14ac:dyDescent="0.25">
      <c r="B2296" s="18"/>
      <c r="C2296" s="19"/>
      <c r="D2296" s="19"/>
      <c r="O2296" s="5"/>
      <c r="P2296" s="5"/>
    </row>
    <row r="2297" spans="2:16" ht="13.2" x14ac:dyDescent="0.25">
      <c r="B2297" s="18"/>
      <c r="C2297" s="19"/>
      <c r="D2297" s="19"/>
      <c r="O2297" s="5"/>
      <c r="P2297" s="5"/>
    </row>
    <row r="2298" spans="2:16" ht="13.2" x14ac:dyDescent="0.25">
      <c r="B2298" s="18"/>
      <c r="C2298" s="19"/>
      <c r="D2298" s="19"/>
      <c r="O2298" s="5"/>
      <c r="P2298" s="5"/>
    </row>
    <row r="2299" spans="2:16" ht="13.2" x14ac:dyDescent="0.25">
      <c r="B2299" s="18"/>
      <c r="C2299" s="19"/>
      <c r="D2299" s="19"/>
      <c r="O2299" s="5"/>
      <c r="P2299" s="5"/>
    </row>
    <row r="2300" spans="2:16" ht="13.2" x14ac:dyDescent="0.25">
      <c r="B2300" s="18"/>
      <c r="C2300" s="19"/>
      <c r="D2300" s="19"/>
      <c r="O2300" s="5"/>
      <c r="P2300" s="5"/>
    </row>
    <row r="2301" spans="2:16" ht="13.2" x14ac:dyDescent="0.25">
      <c r="B2301" s="18"/>
      <c r="C2301" s="19"/>
      <c r="D2301" s="19"/>
      <c r="O2301" s="5"/>
      <c r="P2301" s="5"/>
    </row>
    <row r="2302" spans="2:16" ht="13.2" x14ac:dyDescent="0.25">
      <c r="B2302" s="18"/>
      <c r="C2302" s="19"/>
      <c r="D2302" s="19"/>
      <c r="O2302" s="5"/>
      <c r="P2302" s="5"/>
    </row>
    <row r="2303" spans="2:16" ht="13.2" x14ac:dyDescent="0.25">
      <c r="B2303" s="18"/>
      <c r="C2303" s="19"/>
      <c r="D2303" s="19"/>
      <c r="O2303" s="5"/>
      <c r="P2303" s="5"/>
    </row>
    <row r="2304" spans="2:16" ht="13.2" x14ac:dyDescent="0.25">
      <c r="B2304" s="18"/>
      <c r="C2304" s="19"/>
      <c r="D2304" s="19"/>
      <c r="O2304" s="5"/>
      <c r="P2304" s="5"/>
    </row>
    <row r="2305" spans="2:16" ht="13.2" x14ac:dyDescent="0.25">
      <c r="B2305" s="18"/>
      <c r="C2305" s="19"/>
      <c r="D2305" s="19"/>
      <c r="O2305" s="5"/>
      <c r="P2305" s="5"/>
    </row>
    <row r="2306" spans="2:16" ht="13.2" x14ac:dyDescent="0.25">
      <c r="B2306" s="18"/>
      <c r="C2306" s="19"/>
      <c r="D2306" s="19"/>
      <c r="O2306" s="5"/>
      <c r="P2306" s="5"/>
    </row>
    <row r="2307" spans="2:16" ht="13.2" x14ac:dyDescent="0.25">
      <c r="B2307" s="18"/>
      <c r="C2307" s="19"/>
      <c r="D2307" s="19"/>
      <c r="O2307" s="5"/>
      <c r="P2307" s="5"/>
    </row>
    <row r="2308" spans="2:16" ht="13.2" x14ac:dyDescent="0.25">
      <c r="B2308" s="18"/>
      <c r="C2308" s="19"/>
      <c r="D2308" s="19"/>
      <c r="O2308" s="5"/>
      <c r="P2308" s="5"/>
    </row>
    <row r="2309" spans="2:16" ht="13.2" x14ac:dyDescent="0.25">
      <c r="B2309" s="18"/>
      <c r="C2309" s="19"/>
      <c r="D2309" s="19"/>
      <c r="O2309" s="5"/>
      <c r="P2309" s="5"/>
    </row>
    <row r="2310" spans="2:16" ht="13.2" x14ac:dyDescent="0.25">
      <c r="B2310" s="18"/>
      <c r="C2310" s="19"/>
      <c r="D2310" s="19"/>
      <c r="O2310" s="5"/>
      <c r="P2310" s="5"/>
    </row>
    <row r="2311" spans="2:16" ht="13.2" x14ac:dyDescent="0.25">
      <c r="B2311" s="18"/>
      <c r="C2311" s="19"/>
      <c r="D2311" s="19"/>
      <c r="O2311" s="5"/>
      <c r="P2311" s="5"/>
    </row>
    <row r="2312" spans="2:16" ht="13.2" x14ac:dyDescent="0.25">
      <c r="B2312" s="18"/>
      <c r="C2312" s="19"/>
      <c r="D2312" s="19"/>
      <c r="O2312" s="5"/>
      <c r="P2312" s="5"/>
    </row>
    <row r="2313" spans="2:16" ht="13.2" x14ac:dyDescent="0.25">
      <c r="B2313" s="18"/>
      <c r="C2313" s="19"/>
      <c r="D2313" s="19"/>
      <c r="O2313" s="5"/>
      <c r="P2313" s="5"/>
    </row>
    <row r="2314" spans="2:16" ht="13.2" x14ac:dyDescent="0.25">
      <c r="B2314" s="18"/>
      <c r="C2314" s="19"/>
      <c r="D2314" s="19"/>
      <c r="O2314" s="5"/>
      <c r="P2314" s="5"/>
    </row>
    <row r="2315" spans="2:16" ht="13.2" x14ac:dyDescent="0.25">
      <c r="B2315" s="18"/>
      <c r="C2315" s="19"/>
      <c r="D2315" s="19"/>
      <c r="O2315" s="5"/>
      <c r="P2315" s="5"/>
    </row>
    <row r="2316" spans="2:16" ht="13.2" x14ac:dyDescent="0.25">
      <c r="B2316" s="18"/>
      <c r="C2316" s="19"/>
      <c r="D2316" s="19"/>
      <c r="O2316" s="5"/>
      <c r="P2316" s="5"/>
    </row>
    <row r="2317" spans="2:16" ht="13.2" x14ac:dyDescent="0.25">
      <c r="B2317" s="18"/>
      <c r="C2317" s="19"/>
      <c r="D2317" s="19"/>
      <c r="O2317" s="5"/>
      <c r="P2317" s="5"/>
    </row>
    <row r="2318" spans="2:16" ht="13.2" x14ac:dyDescent="0.25">
      <c r="B2318" s="18"/>
      <c r="C2318" s="19"/>
      <c r="D2318" s="19"/>
      <c r="O2318" s="5"/>
      <c r="P2318" s="5"/>
    </row>
    <row r="2319" spans="2:16" ht="13.2" x14ac:dyDescent="0.25">
      <c r="B2319" s="18"/>
      <c r="C2319" s="19"/>
      <c r="D2319" s="19"/>
      <c r="O2319" s="5"/>
      <c r="P2319" s="5"/>
    </row>
    <row r="2320" spans="2:16" ht="13.2" x14ac:dyDescent="0.25">
      <c r="B2320" s="18"/>
      <c r="C2320" s="19"/>
      <c r="D2320" s="19"/>
      <c r="O2320" s="5"/>
      <c r="P2320" s="5"/>
    </row>
    <row r="2321" spans="2:16" ht="13.2" x14ac:dyDescent="0.25">
      <c r="B2321" s="18"/>
      <c r="C2321" s="19"/>
      <c r="D2321" s="19"/>
      <c r="O2321" s="5"/>
      <c r="P2321" s="5"/>
    </row>
    <row r="2322" spans="2:16" ht="13.2" x14ac:dyDescent="0.25">
      <c r="B2322" s="18"/>
      <c r="C2322" s="19"/>
      <c r="D2322" s="19"/>
      <c r="O2322" s="5"/>
      <c r="P2322" s="5"/>
    </row>
    <row r="2323" spans="2:16" ht="13.2" x14ac:dyDescent="0.25">
      <c r="B2323" s="18"/>
      <c r="C2323" s="19"/>
      <c r="D2323" s="19"/>
      <c r="O2323" s="5"/>
      <c r="P2323" s="5"/>
    </row>
    <row r="2324" spans="2:16" ht="13.2" x14ac:dyDescent="0.25">
      <c r="B2324" s="18"/>
      <c r="C2324" s="19"/>
      <c r="D2324" s="19"/>
      <c r="O2324" s="5"/>
      <c r="P2324" s="5"/>
    </row>
    <row r="2325" spans="2:16" ht="13.2" x14ac:dyDescent="0.25">
      <c r="B2325" s="18"/>
      <c r="C2325" s="19"/>
      <c r="D2325" s="19"/>
      <c r="O2325" s="5"/>
      <c r="P2325" s="5"/>
    </row>
    <row r="2326" spans="2:16" ht="13.2" x14ac:dyDescent="0.25">
      <c r="B2326" s="18"/>
      <c r="C2326" s="19"/>
      <c r="D2326" s="19"/>
      <c r="O2326" s="5"/>
      <c r="P2326" s="5"/>
    </row>
    <row r="2327" spans="2:16" ht="13.2" x14ac:dyDescent="0.25">
      <c r="B2327" s="18"/>
      <c r="C2327" s="19"/>
      <c r="D2327" s="19"/>
      <c r="O2327" s="5"/>
      <c r="P2327" s="5"/>
    </row>
    <row r="2328" spans="2:16" ht="13.2" x14ac:dyDescent="0.25">
      <c r="B2328" s="18"/>
      <c r="C2328" s="19"/>
      <c r="D2328" s="19"/>
      <c r="O2328" s="5"/>
      <c r="P2328" s="5"/>
    </row>
    <row r="2329" spans="2:16" ht="13.2" x14ac:dyDescent="0.25">
      <c r="B2329" s="18"/>
      <c r="C2329" s="19"/>
      <c r="D2329" s="19"/>
      <c r="O2329" s="5"/>
      <c r="P2329" s="5"/>
    </row>
    <row r="2330" spans="2:16" ht="13.2" x14ac:dyDescent="0.25">
      <c r="B2330" s="18"/>
      <c r="C2330" s="19"/>
      <c r="D2330" s="19"/>
      <c r="O2330" s="5"/>
      <c r="P2330" s="5"/>
    </row>
    <row r="2331" spans="2:16" ht="13.2" x14ac:dyDescent="0.25">
      <c r="B2331" s="18"/>
      <c r="C2331" s="19"/>
      <c r="D2331" s="19"/>
      <c r="O2331" s="5"/>
      <c r="P2331" s="5"/>
    </row>
    <row r="2332" spans="2:16" ht="13.2" x14ac:dyDescent="0.25">
      <c r="B2332" s="18"/>
      <c r="C2332" s="19"/>
      <c r="D2332" s="19"/>
      <c r="O2332" s="5"/>
      <c r="P2332" s="5"/>
    </row>
    <row r="2333" spans="2:16" ht="13.2" x14ac:dyDescent="0.25">
      <c r="B2333" s="18"/>
      <c r="C2333" s="19"/>
      <c r="D2333" s="19"/>
      <c r="O2333" s="5"/>
      <c r="P2333" s="5"/>
    </row>
    <row r="2334" spans="2:16" ht="13.2" x14ac:dyDescent="0.25">
      <c r="B2334" s="18"/>
      <c r="C2334" s="19"/>
      <c r="D2334" s="19"/>
      <c r="O2334" s="5"/>
      <c r="P2334" s="5"/>
    </row>
    <row r="2335" spans="2:16" ht="13.2" x14ac:dyDescent="0.25">
      <c r="B2335" s="18"/>
      <c r="C2335" s="19"/>
      <c r="D2335" s="19"/>
      <c r="O2335" s="5"/>
      <c r="P2335" s="5"/>
    </row>
    <row r="2336" spans="2:16" ht="13.2" x14ac:dyDescent="0.25">
      <c r="B2336" s="18"/>
      <c r="C2336" s="19"/>
      <c r="D2336" s="19"/>
      <c r="O2336" s="5"/>
      <c r="P2336" s="5"/>
    </row>
    <row r="2337" spans="2:16" ht="13.2" x14ac:dyDescent="0.25">
      <c r="B2337" s="18"/>
      <c r="C2337" s="19"/>
      <c r="D2337" s="19"/>
      <c r="O2337" s="5"/>
      <c r="P2337" s="5"/>
    </row>
    <row r="2338" spans="2:16" ht="13.2" x14ac:dyDescent="0.25">
      <c r="B2338" s="18"/>
      <c r="C2338" s="19"/>
      <c r="D2338" s="19"/>
      <c r="O2338" s="5"/>
      <c r="P2338" s="5"/>
    </row>
    <row r="2339" spans="2:16" ht="13.2" x14ac:dyDescent="0.25">
      <c r="B2339" s="18"/>
      <c r="C2339" s="19"/>
      <c r="D2339" s="19"/>
      <c r="O2339" s="5"/>
      <c r="P2339" s="5"/>
    </row>
    <row r="2340" spans="2:16" ht="13.2" x14ac:dyDescent="0.25">
      <c r="B2340" s="18"/>
      <c r="C2340" s="19"/>
      <c r="D2340" s="19"/>
      <c r="O2340" s="5"/>
      <c r="P2340" s="5"/>
    </row>
    <row r="2341" spans="2:16" ht="13.2" x14ac:dyDescent="0.25">
      <c r="B2341" s="18"/>
      <c r="C2341" s="19"/>
      <c r="D2341" s="19"/>
      <c r="O2341" s="5"/>
      <c r="P2341" s="5"/>
    </row>
    <row r="2342" spans="2:16" ht="13.2" x14ac:dyDescent="0.25">
      <c r="B2342" s="18"/>
      <c r="C2342" s="19"/>
      <c r="D2342" s="19"/>
      <c r="O2342" s="5"/>
      <c r="P2342" s="5"/>
    </row>
    <row r="2343" spans="2:16" ht="13.2" x14ac:dyDescent="0.25">
      <c r="B2343" s="18"/>
      <c r="C2343" s="19"/>
      <c r="D2343" s="19"/>
      <c r="O2343" s="5"/>
      <c r="P2343" s="5"/>
    </row>
    <row r="2344" spans="2:16" ht="13.2" x14ac:dyDescent="0.25">
      <c r="B2344" s="18"/>
      <c r="C2344" s="19"/>
      <c r="D2344" s="19"/>
      <c r="O2344" s="5"/>
      <c r="P2344" s="5"/>
    </row>
    <row r="2345" spans="2:16" ht="13.2" x14ac:dyDescent="0.25">
      <c r="B2345" s="18"/>
      <c r="C2345" s="19"/>
      <c r="D2345" s="19"/>
      <c r="O2345" s="5"/>
      <c r="P2345" s="5"/>
    </row>
    <row r="2346" spans="2:16" ht="13.2" x14ac:dyDescent="0.25">
      <c r="B2346" s="18"/>
      <c r="C2346" s="19"/>
      <c r="D2346" s="19"/>
      <c r="O2346" s="5"/>
      <c r="P2346" s="5"/>
    </row>
    <row r="2347" spans="2:16" ht="13.2" x14ac:dyDescent="0.25">
      <c r="B2347" s="18"/>
      <c r="C2347" s="19"/>
      <c r="D2347" s="19"/>
      <c r="O2347" s="5"/>
      <c r="P2347" s="5"/>
    </row>
    <row r="2348" spans="2:16" ht="13.2" x14ac:dyDescent="0.25">
      <c r="B2348" s="18"/>
      <c r="C2348" s="19"/>
      <c r="D2348" s="19"/>
      <c r="O2348" s="5"/>
      <c r="P2348" s="5"/>
    </row>
    <row r="2349" spans="2:16" ht="13.2" x14ac:dyDescent="0.25">
      <c r="B2349" s="18"/>
      <c r="C2349" s="19"/>
      <c r="D2349" s="19"/>
      <c r="O2349" s="5"/>
      <c r="P2349" s="5"/>
    </row>
    <row r="2350" spans="2:16" ht="13.2" x14ac:dyDescent="0.25">
      <c r="B2350" s="18"/>
      <c r="C2350" s="19"/>
      <c r="D2350" s="19"/>
      <c r="O2350" s="5"/>
      <c r="P2350" s="5"/>
    </row>
    <row r="2351" spans="2:16" ht="13.2" x14ac:dyDescent="0.25">
      <c r="B2351" s="18"/>
      <c r="C2351" s="19"/>
      <c r="D2351" s="19"/>
      <c r="O2351" s="5"/>
      <c r="P2351" s="5"/>
    </row>
    <row r="2352" spans="2:16" ht="13.2" x14ac:dyDescent="0.25">
      <c r="B2352" s="18"/>
      <c r="C2352" s="19"/>
      <c r="D2352" s="19"/>
      <c r="O2352" s="5"/>
      <c r="P2352" s="5"/>
    </row>
    <row r="2353" spans="2:16" ht="13.2" x14ac:dyDescent="0.25">
      <c r="B2353" s="18"/>
      <c r="C2353" s="19"/>
      <c r="D2353" s="19"/>
      <c r="O2353" s="5"/>
      <c r="P2353" s="5"/>
    </row>
    <row r="2354" spans="2:16" ht="13.2" x14ac:dyDescent="0.25">
      <c r="B2354" s="18"/>
      <c r="C2354" s="19"/>
      <c r="D2354" s="19"/>
      <c r="O2354" s="5"/>
      <c r="P2354" s="5"/>
    </row>
    <row r="2355" spans="2:16" ht="13.2" x14ac:dyDescent="0.25">
      <c r="B2355" s="18"/>
      <c r="C2355" s="19"/>
      <c r="D2355" s="19"/>
      <c r="O2355" s="5"/>
      <c r="P2355" s="5"/>
    </row>
    <row r="2356" spans="2:16" ht="13.2" x14ac:dyDescent="0.25">
      <c r="B2356" s="18"/>
      <c r="C2356" s="19"/>
      <c r="D2356" s="19"/>
      <c r="O2356" s="5"/>
      <c r="P2356" s="5"/>
    </row>
    <row r="2357" spans="2:16" ht="13.2" x14ac:dyDescent="0.25">
      <c r="B2357" s="18"/>
      <c r="C2357" s="19"/>
      <c r="D2357" s="19"/>
      <c r="O2357" s="5"/>
      <c r="P2357" s="5"/>
    </row>
    <row r="2358" spans="2:16" ht="13.2" x14ac:dyDescent="0.25">
      <c r="B2358" s="18"/>
      <c r="C2358" s="19"/>
      <c r="D2358" s="19"/>
      <c r="O2358" s="5"/>
      <c r="P2358" s="5"/>
    </row>
    <row r="2359" spans="2:16" ht="13.2" x14ac:dyDescent="0.25">
      <c r="B2359" s="18"/>
      <c r="C2359" s="19"/>
      <c r="D2359" s="19"/>
      <c r="O2359" s="5"/>
      <c r="P2359" s="5"/>
    </row>
    <row r="2360" spans="2:16" ht="13.2" x14ac:dyDescent="0.25">
      <c r="B2360" s="18"/>
      <c r="C2360" s="19"/>
      <c r="D2360" s="19"/>
      <c r="O2360" s="5"/>
      <c r="P2360" s="5"/>
    </row>
    <row r="2361" spans="2:16" ht="13.2" x14ac:dyDescent="0.25">
      <c r="B2361" s="18"/>
      <c r="C2361" s="19"/>
      <c r="D2361" s="19"/>
      <c r="O2361" s="5"/>
      <c r="P2361" s="5"/>
    </row>
    <row r="2362" spans="2:16" ht="13.2" x14ac:dyDescent="0.25">
      <c r="B2362" s="18"/>
      <c r="C2362" s="19"/>
      <c r="D2362" s="19"/>
      <c r="O2362" s="5"/>
      <c r="P2362" s="5"/>
    </row>
    <row r="2363" spans="2:16" ht="13.2" x14ac:dyDescent="0.25">
      <c r="B2363" s="18"/>
      <c r="C2363" s="19"/>
      <c r="D2363" s="19"/>
      <c r="O2363" s="5"/>
      <c r="P2363" s="5"/>
    </row>
    <row r="2364" spans="2:16" ht="13.2" x14ac:dyDescent="0.25">
      <c r="B2364" s="18"/>
      <c r="C2364" s="19"/>
      <c r="D2364" s="19"/>
      <c r="O2364" s="5"/>
      <c r="P2364" s="5"/>
    </row>
    <row r="2365" spans="2:16" ht="13.2" x14ac:dyDescent="0.25">
      <c r="B2365" s="18"/>
      <c r="C2365" s="19"/>
      <c r="D2365" s="19"/>
      <c r="O2365" s="5"/>
      <c r="P2365" s="5"/>
    </row>
    <row r="2366" spans="2:16" ht="13.2" x14ac:dyDescent="0.25">
      <c r="B2366" s="18"/>
      <c r="C2366" s="19"/>
      <c r="D2366" s="19"/>
      <c r="O2366" s="5"/>
      <c r="P2366" s="5"/>
    </row>
    <row r="2367" spans="2:16" ht="13.2" x14ac:dyDescent="0.25">
      <c r="B2367" s="18"/>
      <c r="C2367" s="19"/>
      <c r="D2367" s="19"/>
      <c r="O2367" s="5"/>
      <c r="P2367" s="5"/>
    </row>
    <row r="2368" spans="2:16" ht="13.2" x14ac:dyDescent="0.25">
      <c r="B2368" s="18"/>
      <c r="C2368" s="19"/>
      <c r="D2368" s="19"/>
      <c r="O2368" s="5"/>
      <c r="P2368" s="5"/>
    </row>
    <row r="2369" spans="2:16" ht="13.2" x14ac:dyDescent="0.25">
      <c r="B2369" s="18"/>
      <c r="C2369" s="19"/>
      <c r="D2369" s="19"/>
      <c r="O2369" s="5"/>
      <c r="P2369" s="5"/>
    </row>
    <row r="2370" spans="2:16" ht="13.2" x14ac:dyDescent="0.25">
      <c r="B2370" s="18"/>
      <c r="C2370" s="19"/>
      <c r="D2370" s="19"/>
      <c r="O2370" s="5"/>
      <c r="P2370" s="5"/>
    </row>
    <row r="2371" spans="2:16" ht="13.2" x14ac:dyDescent="0.25">
      <c r="B2371" s="18"/>
      <c r="C2371" s="19"/>
      <c r="D2371" s="19"/>
      <c r="O2371" s="5"/>
      <c r="P2371" s="5"/>
    </row>
    <row r="2372" spans="2:16" ht="13.2" x14ac:dyDescent="0.25">
      <c r="B2372" s="18"/>
      <c r="C2372" s="19"/>
      <c r="D2372" s="19"/>
      <c r="O2372" s="5"/>
      <c r="P2372" s="5"/>
    </row>
    <row r="2373" spans="2:16" ht="13.2" x14ac:dyDescent="0.25">
      <c r="B2373" s="18"/>
      <c r="C2373" s="19"/>
      <c r="D2373" s="19"/>
      <c r="O2373" s="5"/>
      <c r="P2373" s="5"/>
    </row>
    <row r="2374" spans="2:16" ht="13.2" x14ac:dyDescent="0.25">
      <c r="B2374" s="18"/>
      <c r="C2374" s="19"/>
      <c r="D2374" s="19"/>
      <c r="O2374" s="5"/>
      <c r="P2374" s="5"/>
    </row>
    <row r="2375" spans="2:16" ht="13.2" x14ac:dyDescent="0.25">
      <c r="B2375" s="18"/>
      <c r="C2375" s="19"/>
      <c r="D2375" s="19"/>
      <c r="O2375" s="5"/>
      <c r="P2375" s="5"/>
    </row>
    <row r="2376" spans="2:16" ht="13.2" x14ac:dyDescent="0.25">
      <c r="B2376" s="18"/>
      <c r="C2376" s="19"/>
      <c r="D2376" s="19"/>
      <c r="O2376" s="5"/>
      <c r="P2376" s="5"/>
    </row>
    <row r="2377" spans="2:16" ht="13.2" x14ac:dyDescent="0.25">
      <c r="B2377" s="18"/>
      <c r="C2377" s="19"/>
      <c r="D2377" s="19"/>
      <c r="O2377" s="5"/>
      <c r="P2377" s="5"/>
    </row>
    <row r="2378" spans="2:16" ht="13.2" x14ac:dyDescent="0.25">
      <c r="B2378" s="18"/>
      <c r="C2378" s="19"/>
      <c r="D2378" s="19"/>
      <c r="O2378" s="5"/>
      <c r="P2378" s="5"/>
    </row>
    <row r="2379" spans="2:16" ht="13.2" x14ac:dyDescent="0.25">
      <c r="B2379" s="18"/>
      <c r="C2379" s="19"/>
      <c r="D2379" s="19"/>
      <c r="O2379" s="5"/>
      <c r="P2379" s="5"/>
    </row>
    <row r="2380" spans="2:16" ht="13.2" x14ac:dyDescent="0.25">
      <c r="B2380" s="18"/>
      <c r="C2380" s="19"/>
      <c r="D2380" s="19"/>
      <c r="O2380" s="5"/>
      <c r="P2380" s="5"/>
    </row>
    <row r="2381" spans="2:16" ht="13.2" x14ac:dyDescent="0.25">
      <c r="B2381" s="18"/>
      <c r="C2381" s="19"/>
      <c r="D2381" s="19"/>
      <c r="O2381" s="5"/>
      <c r="P2381" s="5"/>
    </row>
    <row r="2382" spans="2:16" ht="13.2" x14ac:dyDescent="0.25">
      <c r="B2382" s="18"/>
      <c r="C2382" s="19"/>
      <c r="D2382" s="19"/>
      <c r="O2382" s="5"/>
      <c r="P2382" s="5"/>
    </row>
    <row r="2383" spans="2:16" ht="13.2" x14ac:dyDescent="0.25">
      <c r="B2383" s="18"/>
      <c r="C2383" s="19"/>
      <c r="D2383" s="19"/>
      <c r="O2383" s="5"/>
      <c r="P2383" s="5"/>
    </row>
    <row r="2384" spans="2:16" ht="13.2" x14ac:dyDescent="0.25">
      <c r="B2384" s="18"/>
      <c r="C2384" s="19"/>
      <c r="D2384" s="19"/>
      <c r="O2384" s="5"/>
      <c r="P2384" s="5"/>
    </row>
    <row r="2385" spans="2:16" ht="13.2" x14ac:dyDescent="0.25">
      <c r="B2385" s="18"/>
      <c r="C2385" s="19"/>
      <c r="D2385" s="19"/>
      <c r="O2385" s="5"/>
      <c r="P2385" s="5"/>
    </row>
    <row r="2386" spans="2:16" ht="13.2" x14ac:dyDescent="0.25">
      <c r="B2386" s="18"/>
      <c r="C2386" s="19"/>
      <c r="D2386" s="19"/>
      <c r="O2386" s="5"/>
      <c r="P2386" s="5"/>
    </row>
    <row r="2387" spans="2:16" ht="13.2" x14ac:dyDescent="0.25">
      <c r="B2387" s="18"/>
      <c r="C2387" s="19"/>
      <c r="D2387" s="19"/>
      <c r="O2387" s="5"/>
      <c r="P2387" s="5"/>
    </row>
    <row r="2388" spans="2:16" ht="13.2" x14ac:dyDescent="0.25">
      <c r="B2388" s="18"/>
      <c r="C2388" s="19"/>
      <c r="D2388" s="19"/>
      <c r="O2388" s="5"/>
      <c r="P2388" s="5"/>
    </row>
    <row r="2389" spans="2:16" ht="13.2" x14ac:dyDescent="0.25">
      <c r="B2389" s="18"/>
      <c r="C2389" s="19"/>
      <c r="D2389" s="19"/>
      <c r="O2389" s="5"/>
      <c r="P2389" s="5"/>
    </row>
    <row r="2390" spans="2:16" ht="13.2" x14ac:dyDescent="0.25">
      <c r="B2390" s="18"/>
      <c r="C2390" s="19"/>
      <c r="D2390" s="19"/>
      <c r="O2390" s="5"/>
      <c r="P2390" s="5"/>
    </row>
    <row r="2391" spans="2:16" ht="13.2" x14ac:dyDescent="0.25">
      <c r="B2391" s="18"/>
      <c r="C2391" s="19"/>
      <c r="D2391" s="19"/>
      <c r="O2391" s="5"/>
      <c r="P2391" s="5"/>
    </row>
    <row r="2392" spans="2:16" ht="13.2" x14ac:dyDescent="0.25">
      <c r="B2392" s="18"/>
      <c r="C2392" s="19"/>
      <c r="D2392" s="19"/>
      <c r="O2392" s="5"/>
      <c r="P2392" s="5"/>
    </row>
    <row r="2393" spans="2:16" ht="13.2" x14ac:dyDescent="0.25">
      <c r="B2393" s="18"/>
      <c r="C2393" s="19"/>
      <c r="D2393" s="19"/>
      <c r="O2393" s="5"/>
      <c r="P2393" s="5"/>
    </row>
    <row r="2394" spans="2:16" ht="13.2" x14ac:dyDescent="0.25">
      <c r="B2394" s="18"/>
      <c r="C2394" s="19"/>
      <c r="D2394" s="19"/>
      <c r="O2394" s="5"/>
      <c r="P2394" s="5"/>
    </row>
    <row r="2395" spans="2:16" ht="13.2" x14ac:dyDescent="0.25">
      <c r="B2395" s="18"/>
      <c r="C2395" s="19"/>
      <c r="D2395" s="19"/>
      <c r="O2395" s="5"/>
      <c r="P2395" s="5"/>
    </row>
    <row r="2396" spans="2:16" ht="13.2" x14ac:dyDescent="0.25">
      <c r="B2396" s="18"/>
      <c r="C2396" s="19"/>
      <c r="D2396" s="19"/>
      <c r="O2396" s="5"/>
      <c r="P2396" s="5"/>
    </row>
    <row r="2397" spans="2:16" ht="13.2" x14ac:dyDescent="0.25">
      <c r="B2397" s="18"/>
      <c r="C2397" s="19"/>
      <c r="D2397" s="19"/>
      <c r="O2397" s="5"/>
      <c r="P2397" s="5"/>
    </row>
    <row r="2398" spans="2:16" ht="13.2" x14ac:dyDescent="0.25">
      <c r="B2398" s="18"/>
      <c r="C2398" s="19"/>
      <c r="D2398" s="19"/>
      <c r="O2398" s="5"/>
      <c r="P2398" s="5"/>
    </row>
    <row r="2399" spans="2:16" ht="13.2" x14ac:dyDescent="0.25">
      <c r="B2399" s="18"/>
      <c r="C2399" s="19"/>
      <c r="D2399" s="19"/>
      <c r="O2399" s="5"/>
      <c r="P2399" s="5"/>
    </row>
    <row r="2400" spans="2:16" ht="13.2" x14ac:dyDescent="0.25">
      <c r="B2400" s="18"/>
      <c r="C2400" s="19"/>
      <c r="D2400" s="19"/>
      <c r="O2400" s="5"/>
      <c r="P2400" s="5"/>
    </row>
    <row r="2401" spans="2:16" ht="13.2" x14ac:dyDescent="0.25">
      <c r="B2401" s="18"/>
      <c r="C2401" s="19"/>
      <c r="D2401" s="19"/>
      <c r="O2401" s="5"/>
      <c r="P2401" s="5"/>
    </row>
    <row r="2402" spans="2:16" ht="13.2" x14ac:dyDescent="0.25">
      <c r="B2402" s="18"/>
      <c r="C2402" s="19"/>
      <c r="D2402" s="19"/>
      <c r="O2402" s="5"/>
      <c r="P2402" s="5"/>
    </row>
    <row r="2403" spans="2:16" ht="13.2" x14ac:dyDescent="0.25">
      <c r="B2403" s="18"/>
      <c r="C2403" s="19"/>
      <c r="D2403" s="19"/>
      <c r="O2403" s="5"/>
      <c r="P2403" s="5"/>
    </row>
    <row r="2404" spans="2:16" ht="13.2" x14ac:dyDescent="0.25">
      <c r="B2404" s="18"/>
      <c r="C2404" s="19"/>
      <c r="D2404" s="19"/>
      <c r="O2404" s="5"/>
      <c r="P2404" s="5"/>
    </row>
    <row r="2405" spans="2:16" ht="13.2" x14ac:dyDescent="0.25">
      <c r="B2405" s="18"/>
      <c r="C2405" s="19"/>
      <c r="D2405" s="19"/>
      <c r="O2405" s="5"/>
      <c r="P2405" s="5"/>
    </row>
    <row r="2406" spans="2:16" ht="13.2" x14ac:dyDescent="0.25">
      <c r="B2406" s="18"/>
      <c r="C2406" s="19"/>
      <c r="D2406" s="19"/>
      <c r="O2406" s="5"/>
      <c r="P2406" s="5"/>
    </row>
    <row r="2407" spans="2:16" ht="13.2" x14ac:dyDescent="0.25">
      <c r="B2407" s="18"/>
      <c r="C2407" s="19"/>
      <c r="D2407" s="19"/>
      <c r="O2407" s="5"/>
      <c r="P2407" s="5"/>
    </row>
    <row r="2408" spans="2:16" ht="13.2" x14ac:dyDescent="0.25">
      <c r="B2408" s="18"/>
      <c r="C2408" s="19"/>
      <c r="D2408" s="19"/>
      <c r="O2408" s="5"/>
      <c r="P2408" s="5"/>
    </row>
    <row r="2409" spans="2:16" ht="13.2" x14ac:dyDescent="0.25">
      <c r="B2409" s="18"/>
      <c r="C2409" s="19"/>
      <c r="D2409" s="19"/>
      <c r="O2409" s="5"/>
      <c r="P2409" s="5"/>
    </row>
    <row r="2410" spans="2:16" ht="13.2" x14ac:dyDescent="0.25">
      <c r="B2410" s="18"/>
      <c r="C2410" s="19"/>
      <c r="D2410" s="19"/>
      <c r="O2410" s="5"/>
      <c r="P2410" s="5"/>
    </row>
    <row r="2411" spans="2:16" ht="13.2" x14ac:dyDescent="0.25">
      <c r="B2411" s="18"/>
      <c r="C2411" s="19"/>
      <c r="D2411" s="19"/>
      <c r="O2411" s="5"/>
      <c r="P2411" s="5"/>
    </row>
    <row r="2412" spans="2:16" ht="13.2" x14ac:dyDescent="0.25">
      <c r="B2412" s="18"/>
      <c r="C2412" s="19"/>
      <c r="D2412" s="19"/>
      <c r="O2412" s="5"/>
      <c r="P2412" s="5"/>
    </row>
    <row r="2413" spans="2:16" ht="13.2" x14ac:dyDescent="0.25">
      <c r="B2413" s="18"/>
      <c r="C2413" s="19"/>
      <c r="D2413" s="19"/>
      <c r="O2413" s="5"/>
      <c r="P2413" s="5"/>
    </row>
    <row r="2414" spans="2:16" ht="13.2" x14ac:dyDescent="0.25">
      <c r="B2414" s="18"/>
      <c r="C2414" s="19"/>
      <c r="D2414" s="19"/>
      <c r="O2414" s="5"/>
      <c r="P2414" s="5"/>
    </row>
    <row r="2415" spans="2:16" ht="13.2" x14ac:dyDescent="0.25">
      <c r="B2415" s="18"/>
      <c r="C2415" s="19"/>
      <c r="D2415" s="19"/>
      <c r="O2415" s="5"/>
      <c r="P2415" s="5"/>
    </row>
    <row r="2416" spans="2:16" ht="13.2" x14ac:dyDescent="0.25">
      <c r="B2416" s="18"/>
      <c r="C2416" s="19"/>
      <c r="D2416" s="19"/>
      <c r="O2416" s="5"/>
      <c r="P2416" s="5"/>
    </row>
    <row r="2417" spans="2:16" ht="13.2" x14ac:dyDescent="0.25">
      <c r="B2417" s="18"/>
      <c r="C2417" s="19"/>
      <c r="D2417" s="19"/>
      <c r="O2417" s="5"/>
      <c r="P2417" s="5"/>
    </row>
    <row r="2418" spans="2:16" ht="13.2" x14ac:dyDescent="0.25">
      <c r="B2418" s="18"/>
      <c r="C2418" s="19"/>
      <c r="D2418" s="19"/>
      <c r="O2418" s="5"/>
      <c r="P2418" s="5"/>
    </row>
    <row r="2419" spans="2:16" ht="13.2" x14ac:dyDescent="0.25">
      <c r="B2419" s="18"/>
      <c r="C2419" s="19"/>
      <c r="D2419" s="19"/>
      <c r="O2419" s="5"/>
      <c r="P2419" s="5"/>
    </row>
    <row r="2420" spans="2:16" ht="13.2" x14ac:dyDescent="0.25">
      <c r="B2420" s="18"/>
      <c r="C2420" s="19"/>
      <c r="D2420" s="19"/>
      <c r="O2420" s="5"/>
      <c r="P2420" s="5"/>
    </row>
    <row r="2421" spans="2:16" ht="13.2" x14ac:dyDescent="0.25">
      <c r="B2421" s="18"/>
      <c r="C2421" s="19"/>
      <c r="D2421" s="19"/>
      <c r="O2421" s="5"/>
      <c r="P2421" s="5"/>
    </row>
    <row r="2422" spans="2:16" ht="13.2" x14ac:dyDescent="0.25">
      <c r="B2422" s="18"/>
      <c r="C2422" s="19"/>
      <c r="D2422" s="19"/>
      <c r="O2422" s="5"/>
      <c r="P2422" s="5"/>
    </row>
    <row r="2423" spans="2:16" ht="13.2" x14ac:dyDescent="0.25">
      <c r="B2423" s="18"/>
      <c r="C2423" s="19"/>
      <c r="D2423" s="19"/>
      <c r="O2423" s="5"/>
      <c r="P2423" s="5"/>
    </row>
    <row r="2424" spans="2:16" ht="13.2" x14ac:dyDescent="0.25">
      <c r="B2424" s="18"/>
      <c r="C2424" s="19"/>
      <c r="D2424" s="19"/>
      <c r="O2424" s="5"/>
      <c r="P2424" s="5"/>
    </row>
    <row r="2425" spans="2:16" ht="13.2" x14ac:dyDescent="0.25">
      <c r="B2425" s="18"/>
      <c r="C2425" s="19"/>
      <c r="D2425" s="19"/>
      <c r="O2425" s="5"/>
      <c r="P2425" s="5"/>
    </row>
    <row r="2426" spans="2:16" ht="13.2" x14ac:dyDescent="0.25">
      <c r="B2426" s="18"/>
      <c r="C2426" s="19"/>
      <c r="D2426" s="19"/>
      <c r="O2426" s="5"/>
      <c r="P2426" s="5"/>
    </row>
    <row r="2427" spans="2:16" ht="13.2" x14ac:dyDescent="0.25">
      <c r="B2427" s="18"/>
      <c r="C2427" s="19"/>
      <c r="D2427" s="19"/>
      <c r="O2427" s="5"/>
      <c r="P2427" s="5"/>
    </row>
    <row r="2428" spans="2:16" ht="13.2" x14ac:dyDescent="0.25">
      <c r="B2428" s="18"/>
      <c r="C2428" s="19"/>
      <c r="D2428" s="19"/>
      <c r="O2428" s="5"/>
      <c r="P2428" s="5"/>
    </row>
    <row r="2429" spans="2:16" ht="13.2" x14ac:dyDescent="0.25">
      <c r="B2429" s="18"/>
      <c r="C2429" s="19"/>
      <c r="D2429" s="19"/>
      <c r="O2429" s="5"/>
      <c r="P2429" s="5"/>
    </row>
    <row r="2430" spans="2:16" ht="13.2" x14ac:dyDescent="0.25">
      <c r="B2430" s="18"/>
      <c r="C2430" s="19"/>
      <c r="D2430" s="19"/>
      <c r="O2430" s="5"/>
      <c r="P2430" s="5"/>
    </row>
    <row r="2431" spans="2:16" ht="13.2" x14ac:dyDescent="0.25">
      <c r="B2431" s="18"/>
      <c r="C2431" s="19"/>
      <c r="D2431" s="19"/>
      <c r="O2431" s="5"/>
      <c r="P2431" s="5"/>
    </row>
    <row r="2432" spans="2:16" ht="13.2" x14ac:dyDescent="0.25">
      <c r="B2432" s="18"/>
      <c r="C2432" s="19"/>
      <c r="D2432" s="19"/>
      <c r="O2432" s="5"/>
      <c r="P2432" s="5"/>
    </row>
    <row r="2433" spans="2:16" ht="13.2" x14ac:dyDescent="0.25">
      <c r="B2433" s="18"/>
      <c r="C2433" s="19"/>
      <c r="D2433" s="19"/>
      <c r="O2433" s="5"/>
      <c r="P2433" s="5"/>
    </row>
    <row r="2434" spans="2:16" ht="13.2" x14ac:dyDescent="0.25">
      <c r="B2434" s="18"/>
      <c r="C2434" s="19"/>
      <c r="D2434" s="19"/>
      <c r="O2434" s="5"/>
      <c r="P2434" s="5"/>
    </row>
    <row r="2435" spans="2:16" ht="13.2" x14ac:dyDescent="0.25">
      <c r="B2435" s="18"/>
      <c r="C2435" s="19"/>
      <c r="D2435" s="19"/>
      <c r="O2435" s="5"/>
      <c r="P2435" s="5"/>
    </row>
    <row r="2436" spans="2:16" ht="13.2" x14ac:dyDescent="0.25">
      <c r="B2436" s="18"/>
      <c r="C2436" s="19"/>
      <c r="D2436" s="19"/>
      <c r="O2436" s="5"/>
      <c r="P2436" s="5"/>
    </row>
    <row r="2437" spans="2:16" ht="13.2" x14ac:dyDescent="0.25">
      <c r="B2437" s="18"/>
      <c r="C2437" s="19"/>
      <c r="D2437" s="19"/>
      <c r="O2437" s="5"/>
      <c r="P2437" s="5"/>
    </row>
    <row r="2438" spans="2:16" ht="13.2" x14ac:dyDescent="0.25">
      <c r="B2438" s="18"/>
      <c r="C2438" s="19"/>
      <c r="D2438" s="19"/>
      <c r="O2438" s="5"/>
      <c r="P2438" s="5"/>
    </row>
    <row r="2439" spans="2:16" ht="13.2" x14ac:dyDescent="0.25">
      <c r="B2439" s="18"/>
      <c r="C2439" s="19"/>
      <c r="D2439" s="19"/>
      <c r="O2439" s="5"/>
      <c r="P2439" s="5"/>
    </row>
    <row r="2440" spans="2:16" ht="13.2" x14ac:dyDescent="0.25">
      <c r="B2440" s="18"/>
      <c r="C2440" s="19"/>
      <c r="D2440" s="19"/>
      <c r="O2440" s="5"/>
      <c r="P2440" s="5"/>
    </row>
    <row r="2441" spans="2:16" ht="13.2" x14ac:dyDescent="0.25">
      <c r="B2441" s="18"/>
      <c r="C2441" s="19"/>
      <c r="D2441" s="19"/>
      <c r="O2441" s="5"/>
      <c r="P2441" s="5"/>
    </row>
    <row r="2442" spans="2:16" ht="13.2" x14ac:dyDescent="0.25">
      <c r="B2442" s="18"/>
      <c r="C2442" s="19"/>
      <c r="D2442" s="19"/>
      <c r="O2442" s="5"/>
      <c r="P2442" s="5"/>
    </row>
    <row r="2443" spans="2:16" ht="13.2" x14ac:dyDescent="0.25">
      <c r="B2443" s="18"/>
      <c r="C2443" s="19"/>
      <c r="D2443" s="19"/>
      <c r="O2443" s="5"/>
      <c r="P2443" s="5"/>
    </row>
    <row r="2444" spans="2:16" ht="13.2" x14ac:dyDescent="0.25">
      <c r="B2444" s="18"/>
      <c r="C2444" s="19"/>
      <c r="D2444" s="19"/>
      <c r="O2444" s="5"/>
      <c r="P2444" s="5"/>
    </row>
    <row r="2445" spans="2:16" ht="13.2" x14ac:dyDescent="0.25">
      <c r="B2445" s="18"/>
      <c r="C2445" s="19"/>
      <c r="D2445" s="19"/>
      <c r="O2445" s="5"/>
      <c r="P2445" s="5"/>
    </row>
    <row r="2446" spans="2:16" ht="13.2" x14ac:dyDescent="0.25">
      <c r="B2446" s="18"/>
      <c r="C2446" s="19"/>
      <c r="D2446" s="19"/>
      <c r="O2446" s="5"/>
      <c r="P2446" s="5"/>
    </row>
    <row r="2447" spans="2:16" ht="13.2" x14ac:dyDescent="0.25">
      <c r="B2447" s="18"/>
      <c r="C2447" s="19"/>
      <c r="D2447" s="19"/>
      <c r="O2447" s="5"/>
      <c r="P2447" s="5"/>
    </row>
    <row r="2448" spans="2:16" ht="13.2" x14ac:dyDescent="0.25">
      <c r="B2448" s="18"/>
      <c r="C2448" s="19"/>
      <c r="D2448" s="19"/>
      <c r="O2448" s="5"/>
      <c r="P2448" s="5"/>
    </row>
    <row r="2449" spans="2:16" ht="13.2" x14ac:dyDescent="0.25">
      <c r="B2449" s="18"/>
      <c r="C2449" s="19"/>
      <c r="D2449" s="19"/>
      <c r="O2449" s="5"/>
      <c r="P2449" s="5"/>
    </row>
    <row r="2450" spans="2:16" ht="13.2" x14ac:dyDescent="0.25">
      <c r="B2450" s="18"/>
      <c r="C2450" s="19"/>
      <c r="D2450" s="19"/>
      <c r="O2450" s="5"/>
      <c r="P2450" s="5"/>
    </row>
    <row r="2451" spans="2:16" ht="13.2" x14ac:dyDescent="0.25">
      <c r="B2451" s="18"/>
      <c r="C2451" s="19"/>
      <c r="D2451" s="19"/>
      <c r="O2451" s="5"/>
      <c r="P2451" s="5"/>
    </row>
    <row r="2452" spans="2:16" ht="13.2" x14ac:dyDescent="0.25">
      <c r="B2452" s="18"/>
      <c r="C2452" s="19"/>
      <c r="D2452" s="19"/>
      <c r="O2452" s="5"/>
      <c r="P2452" s="5"/>
    </row>
    <row r="2453" spans="2:16" ht="13.2" x14ac:dyDescent="0.25">
      <c r="B2453" s="18"/>
      <c r="C2453" s="19"/>
      <c r="D2453" s="19"/>
      <c r="O2453" s="5"/>
      <c r="P2453" s="5"/>
    </row>
    <row r="2454" spans="2:16" ht="13.2" x14ac:dyDescent="0.25">
      <c r="B2454" s="18"/>
      <c r="C2454" s="19"/>
      <c r="D2454" s="19"/>
      <c r="O2454" s="5"/>
      <c r="P2454" s="5"/>
    </row>
    <row r="2455" spans="2:16" ht="13.2" x14ac:dyDescent="0.25">
      <c r="B2455" s="18"/>
      <c r="C2455" s="19"/>
      <c r="D2455" s="19"/>
      <c r="O2455" s="5"/>
      <c r="P2455" s="5"/>
    </row>
    <row r="2456" spans="2:16" ht="13.2" x14ac:dyDescent="0.25">
      <c r="B2456" s="18"/>
      <c r="C2456" s="19"/>
      <c r="D2456" s="19"/>
      <c r="O2456" s="5"/>
      <c r="P2456" s="5"/>
    </row>
    <row r="2457" spans="2:16" ht="13.2" x14ac:dyDescent="0.25">
      <c r="B2457" s="18"/>
      <c r="C2457" s="19"/>
      <c r="D2457" s="19"/>
      <c r="O2457" s="5"/>
      <c r="P2457" s="5"/>
    </row>
    <row r="2458" spans="2:16" ht="13.2" x14ac:dyDescent="0.25">
      <c r="B2458" s="18"/>
      <c r="C2458" s="19"/>
      <c r="D2458" s="19"/>
      <c r="O2458" s="5"/>
      <c r="P2458" s="5"/>
    </row>
    <row r="2459" spans="2:16" ht="13.2" x14ac:dyDescent="0.25">
      <c r="B2459" s="18"/>
      <c r="C2459" s="19"/>
      <c r="D2459" s="19"/>
      <c r="O2459" s="5"/>
      <c r="P2459" s="5"/>
    </row>
    <row r="2460" spans="2:16" ht="13.2" x14ac:dyDescent="0.25">
      <c r="B2460" s="18"/>
      <c r="C2460" s="19"/>
      <c r="D2460" s="19"/>
      <c r="O2460" s="5"/>
      <c r="P2460" s="5"/>
    </row>
    <row r="2461" spans="2:16" ht="13.2" x14ac:dyDescent="0.25">
      <c r="B2461" s="18"/>
      <c r="C2461" s="19"/>
      <c r="D2461" s="19"/>
      <c r="O2461" s="5"/>
      <c r="P2461" s="5"/>
    </row>
    <row r="2462" spans="2:16" ht="13.2" x14ac:dyDescent="0.25">
      <c r="B2462" s="18"/>
      <c r="C2462" s="19"/>
      <c r="D2462" s="19"/>
      <c r="O2462" s="5"/>
      <c r="P2462" s="5"/>
    </row>
    <row r="2463" spans="2:16" ht="13.2" x14ac:dyDescent="0.25">
      <c r="B2463" s="18"/>
      <c r="C2463" s="19"/>
      <c r="D2463" s="19"/>
      <c r="O2463" s="5"/>
      <c r="P2463" s="5"/>
    </row>
    <row r="2464" spans="2:16" ht="13.2" x14ac:dyDescent="0.25">
      <c r="B2464" s="18"/>
      <c r="C2464" s="19"/>
      <c r="D2464" s="19"/>
      <c r="O2464" s="5"/>
      <c r="P2464" s="5"/>
    </row>
    <row r="2465" spans="2:16" ht="13.2" x14ac:dyDescent="0.25">
      <c r="B2465" s="18"/>
      <c r="C2465" s="19"/>
      <c r="D2465" s="19"/>
      <c r="O2465" s="5"/>
      <c r="P2465" s="5"/>
    </row>
    <row r="2466" spans="2:16" ht="13.2" x14ac:dyDescent="0.25">
      <c r="B2466" s="18"/>
      <c r="C2466" s="19"/>
      <c r="D2466" s="19"/>
      <c r="O2466" s="5"/>
      <c r="P2466" s="5"/>
    </row>
    <row r="2467" spans="2:16" ht="13.2" x14ac:dyDescent="0.25">
      <c r="B2467" s="18"/>
      <c r="C2467" s="19"/>
      <c r="D2467" s="19"/>
      <c r="O2467" s="5"/>
      <c r="P2467" s="5"/>
    </row>
    <row r="2468" spans="2:16" ht="13.2" x14ac:dyDescent="0.25">
      <c r="B2468" s="18"/>
      <c r="C2468" s="19"/>
      <c r="D2468" s="19"/>
      <c r="O2468" s="5"/>
      <c r="P2468" s="5"/>
    </row>
    <row r="2469" spans="2:16" ht="13.2" x14ac:dyDescent="0.25">
      <c r="B2469" s="18"/>
      <c r="C2469" s="19"/>
      <c r="D2469" s="19"/>
      <c r="O2469" s="5"/>
      <c r="P2469" s="5"/>
    </row>
    <row r="2470" spans="2:16" ht="13.2" x14ac:dyDescent="0.25">
      <c r="B2470" s="18"/>
      <c r="C2470" s="19"/>
      <c r="D2470" s="19"/>
      <c r="O2470" s="5"/>
      <c r="P2470" s="5"/>
    </row>
    <row r="2471" spans="2:16" ht="13.2" x14ac:dyDescent="0.25">
      <c r="B2471" s="18"/>
      <c r="C2471" s="19"/>
      <c r="D2471" s="19"/>
      <c r="O2471" s="5"/>
      <c r="P2471" s="5"/>
    </row>
    <row r="2472" spans="2:16" ht="13.2" x14ac:dyDescent="0.25">
      <c r="B2472" s="18"/>
      <c r="C2472" s="19"/>
      <c r="D2472" s="19"/>
      <c r="O2472" s="5"/>
      <c r="P2472" s="5"/>
    </row>
    <row r="2473" spans="2:16" ht="13.2" x14ac:dyDescent="0.25">
      <c r="B2473" s="18"/>
      <c r="C2473" s="19"/>
      <c r="D2473" s="19"/>
      <c r="O2473" s="5"/>
      <c r="P2473" s="5"/>
    </row>
    <row r="2474" spans="2:16" ht="13.2" x14ac:dyDescent="0.25">
      <c r="B2474" s="18"/>
      <c r="C2474" s="19"/>
      <c r="D2474" s="19"/>
      <c r="O2474" s="5"/>
      <c r="P2474" s="5"/>
    </row>
    <row r="2475" spans="2:16" ht="13.2" x14ac:dyDescent="0.25">
      <c r="B2475" s="18"/>
      <c r="C2475" s="19"/>
      <c r="D2475" s="19"/>
      <c r="O2475" s="5"/>
      <c r="P2475" s="5"/>
    </row>
    <row r="2476" spans="2:16" ht="13.2" x14ac:dyDescent="0.25">
      <c r="B2476" s="18"/>
      <c r="C2476" s="19"/>
      <c r="D2476" s="19"/>
      <c r="O2476" s="5"/>
      <c r="P2476" s="5"/>
    </row>
    <row r="2477" spans="2:16" ht="13.2" x14ac:dyDescent="0.25">
      <c r="B2477" s="18"/>
      <c r="C2477" s="19"/>
      <c r="D2477" s="19"/>
      <c r="O2477" s="5"/>
      <c r="P2477" s="5"/>
    </row>
    <row r="2478" spans="2:16" ht="13.2" x14ac:dyDescent="0.25">
      <c r="B2478" s="18"/>
      <c r="C2478" s="19"/>
      <c r="D2478" s="19"/>
      <c r="O2478" s="5"/>
      <c r="P2478" s="5"/>
    </row>
    <row r="2479" spans="2:16" ht="13.2" x14ac:dyDescent="0.25">
      <c r="B2479" s="18"/>
      <c r="C2479" s="19"/>
      <c r="D2479" s="19"/>
      <c r="O2479" s="5"/>
      <c r="P2479" s="5"/>
    </row>
    <row r="2480" spans="2:16" ht="13.2" x14ac:dyDescent="0.25">
      <c r="B2480" s="18"/>
      <c r="C2480" s="19"/>
      <c r="D2480" s="19"/>
      <c r="O2480" s="5"/>
      <c r="P2480" s="5"/>
    </row>
    <row r="2481" spans="2:16" ht="13.2" x14ac:dyDescent="0.25">
      <c r="B2481" s="18"/>
      <c r="C2481" s="19"/>
      <c r="D2481" s="19"/>
      <c r="O2481" s="5"/>
      <c r="P2481" s="5"/>
    </row>
    <row r="2482" spans="2:16" ht="13.2" x14ac:dyDescent="0.25">
      <c r="B2482" s="18"/>
      <c r="C2482" s="19"/>
      <c r="D2482" s="19"/>
      <c r="O2482" s="5"/>
      <c r="P2482" s="5"/>
    </row>
    <row r="2483" spans="2:16" ht="13.2" x14ac:dyDescent="0.25">
      <c r="B2483" s="18"/>
      <c r="C2483" s="19"/>
      <c r="D2483" s="19"/>
      <c r="O2483" s="5"/>
      <c r="P2483" s="5"/>
    </row>
    <row r="2484" spans="2:16" ht="13.2" x14ac:dyDescent="0.25">
      <c r="B2484" s="18"/>
      <c r="C2484" s="19"/>
      <c r="D2484" s="19"/>
      <c r="O2484" s="5"/>
      <c r="P2484" s="5"/>
    </row>
    <row r="2485" spans="2:16" ht="13.2" x14ac:dyDescent="0.25">
      <c r="B2485" s="18"/>
      <c r="C2485" s="19"/>
      <c r="D2485" s="19"/>
      <c r="O2485" s="5"/>
      <c r="P2485" s="5"/>
    </row>
    <row r="2486" spans="2:16" ht="13.2" x14ac:dyDescent="0.25">
      <c r="B2486" s="18"/>
      <c r="C2486" s="19"/>
      <c r="D2486" s="19"/>
      <c r="O2486" s="5"/>
      <c r="P2486" s="5"/>
    </row>
    <row r="2487" spans="2:16" ht="13.2" x14ac:dyDescent="0.25">
      <c r="B2487" s="18"/>
      <c r="C2487" s="19"/>
      <c r="D2487" s="19"/>
      <c r="O2487" s="5"/>
      <c r="P2487" s="5"/>
    </row>
    <row r="2488" spans="2:16" ht="13.2" x14ac:dyDescent="0.25">
      <c r="B2488" s="18"/>
      <c r="C2488" s="19"/>
      <c r="D2488" s="19"/>
      <c r="O2488" s="5"/>
      <c r="P2488" s="5"/>
    </row>
    <row r="2489" spans="2:16" ht="13.2" x14ac:dyDescent="0.25">
      <c r="B2489" s="18"/>
      <c r="C2489" s="19"/>
      <c r="D2489" s="19"/>
      <c r="O2489" s="5"/>
      <c r="P2489" s="5"/>
    </row>
    <row r="2490" spans="2:16" ht="13.2" x14ac:dyDescent="0.25">
      <c r="B2490" s="18"/>
      <c r="C2490" s="19"/>
      <c r="D2490" s="19"/>
      <c r="O2490" s="5"/>
      <c r="P2490" s="5"/>
    </row>
    <row r="2491" spans="2:16" ht="13.2" x14ac:dyDescent="0.25">
      <c r="B2491" s="18"/>
      <c r="C2491" s="19"/>
      <c r="D2491" s="19"/>
      <c r="O2491" s="5"/>
      <c r="P2491" s="5"/>
    </row>
    <row r="2492" spans="2:16" ht="13.2" x14ac:dyDescent="0.25">
      <c r="B2492" s="18"/>
      <c r="C2492" s="19"/>
      <c r="D2492" s="19"/>
      <c r="O2492" s="5"/>
      <c r="P2492" s="5"/>
    </row>
    <row r="2493" spans="2:16" ht="13.2" x14ac:dyDescent="0.25">
      <c r="B2493" s="18"/>
      <c r="C2493" s="19"/>
      <c r="D2493" s="19"/>
      <c r="O2493" s="5"/>
      <c r="P2493" s="5"/>
    </row>
    <row r="2494" spans="2:16" ht="13.2" x14ac:dyDescent="0.25">
      <c r="B2494" s="18"/>
      <c r="C2494" s="19"/>
      <c r="D2494" s="19"/>
      <c r="O2494" s="5"/>
      <c r="P2494" s="5"/>
    </row>
    <row r="2495" spans="2:16" ht="13.2" x14ac:dyDescent="0.25">
      <c r="B2495" s="18"/>
      <c r="C2495" s="19"/>
      <c r="D2495" s="19"/>
      <c r="O2495" s="5"/>
      <c r="P2495" s="5"/>
    </row>
    <row r="2496" spans="2:16" ht="13.2" x14ac:dyDescent="0.25">
      <c r="B2496" s="18"/>
      <c r="C2496" s="19"/>
      <c r="D2496" s="19"/>
      <c r="O2496" s="5"/>
      <c r="P2496" s="5"/>
    </row>
    <row r="2497" spans="2:16" ht="13.2" x14ac:dyDescent="0.25">
      <c r="B2497" s="18"/>
      <c r="C2497" s="19"/>
      <c r="D2497" s="19"/>
      <c r="O2497" s="5"/>
      <c r="P2497" s="5"/>
    </row>
    <row r="2498" spans="2:16" ht="13.2" x14ac:dyDescent="0.25">
      <c r="B2498" s="18"/>
      <c r="C2498" s="19"/>
      <c r="D2498" s="19"/>
      <c r="O2498" s="5"/>
      <c r="P2498" s="5"/>
    </row>
    <row r="2499" spans="2:16" ht="13.2" x14ac:dyDescent="0.25">
      <c r="B2499" s="18"/>
      <c r="C2499" s="19"/>
      <c r="D2499" s="19"/>
      <c r="O2499" s="5"/>
      <c r="P2499" s="5"/>
    </row>
    <row r="2500" spans="2:16" ht="13.2" x14ac:dyDescent="0.25">
      <c r="B2500" s="18"/>
      <c r="C2500" s="19"/>
      <c r="D2500" s="19"/>
      <c r="O2500" s="5"/>
      <c r="P2500" s="5"/>
    </row>
    <row r="2501" spans="2:16" ht="13.2" x14ac:dyDescent="0.25">
      <c r="B2501" s="18"/>
      <c r="C2501" s="19"/>
      <c r="D2501" s="19"/>
      <c r="O2501" s="5"/>
      <c r="P2501" s="5"/>
    </row>
    <row r="2502" spans="2:16" ht="13.2" x14ac:dyDescent="0.25">
      <c r="B2502" s="18"/>
      <c r="C2502" s="19"/>
      <c r="D2502" s="19"/>
      <c r="O2502" s="5"/>
      <c r="P2502" s="5"/>
    </row>
    <row r="2503" spans="2:16" ht="13.2" x14ac:dyDescent="0.25">
      <c r="B2503" s="18"/>
      <c r="C2503" s="19"/>
      <c r="D2503" s="19"/>
      <c r="O2503" s="5"/>
      <c r="P2503" s="5"/>
    </row>
    <row r="2504" spans="2:16" ht="13.2" x14ac:dyDescent="0.25">
      <c r="B2504" s="18"/>
      <c r="C2504" s="19"/>
      <c r="D2504" s="19"/>
      <c r="O2504" s="5"/>
      <c r="P2504" s="5"/>
    </row>
    <row r="2505" spans="2:16" ht="13.2" x14ac:dyDescent="0.25">
      <c r="B2505" s="18"/>
      <c r="C2505" s="19"/>
      <c r="D2505" s="19"/>
      <c r="O2505" s="5"/>
      <c r="P2505" s="5"/>
    </row>
    <row r="2506" spans="2:16" ht="13.2" x14ac:dyDescent="0.25">
      <c r="B2506" s="18"/>
      <c r="C2506" s="19"/>
      <c r="D2506" s="19"/>
      <c r="O2506" s="5"/>
      <c r="P2506" s="5"/>
    </row>
    <row r="2507" spans="2:16" ht="13.2" x14ac:dyDescent="0.25">
      <c r="B2507" s="18"/>
      <c r="C2507" s="19"/>
      <c r="D2507" s="19"/>
      <c r="O2507" s="5"/>
      <c r="P2507" s="5"/>
    </row>
    <row r="2508" spans="2:16" ht="13.2" x14ac:dyDescent="0.25">
      <c r="B2508" s="18"/>
      <c r="C2508" s="19"/>
      <c r="D2508" s="19"/>
      <c r="O2508" s="5"/>
      <c r="P2508" s="5"/>
    </row>
    <row r="2509" spans="2:16" ht="13.2" x14ac:dyDescent="0.25">
      <c r="B2509" s="18"/>
      <c r="C2509" s="19"/>
      <c r="D2509" s="19"/>
      <c r="O2509" s="5"/>
      <c r="P2509" s="5"/>
    </row>
    <row r="2510" spans="2:16" ht="13.2" x14ac:dyDescent="0.25">
      <c r="B2510" s="18"/>
      <c r="C2510" s="19"/>
      <c r="D2510" s="19"/>
      <c r="O2510" s="5"/>
      <c r="P2510" s="5"/>
    </row>
    <row r="2511" spans="2:16" ht="13.2" x14ac:dyDescent="0.25">
      <c r="B2511" s="18"/>
      <c r="C2511" s="19"/>
      <c r="D2511" s="19"/>
      <c r="O2511" s="5"/>
      <c r="P2511" s="5"/>
    </row>
    <row r="2512" spans="2:16" ht="13.2" x14ac:dyDescent="0.25">
      <c r="B2512" s="18"/>
      <c r="C2512" s="19"/>
      <c r="D2512" s="19"/>
      <c r="O2512" s="5"/>
      <c r="P2512" s="5"/>
    </row>
    <row r="2513" spans="2:16" ht="13.2" x14ac:dyDescent="0.25">
      <c r="B2513" s="18"/>
      <c r="C2513" s="19"/>
      <c r="D2513" s="19"/>
      <c r="O2513" s="5"/>
      <c r="P2513" s="5"/>
    </row>
    <row r="2514" spans="2:16" ht="13.2" x14ac:dyDescent="0.25">
      <c r="B2514" s="18"/>
      <c r="C2514" s="19"/>
      <c r="D2514" s="19"/>
      <c r="O2514" s="5"/>
      <c r="P2514" s="5"/>
    </row>
    <row r="2515" spans="2:16" ht="13.2" x14ac:dyDescent="0.25">
      <c r="B2515" s="18"/>
      <c r="C2515" s="19"/>
      <c r="D2515" s="19"/>
      <c r="O2515" s="5"/>
      <c r="P2515" s="5"/>
    </row>
    <row r="2516" spans="2:16" ht="13.2" x14ac:dyDescent="0.25">
      <c r="B2516" s="18"/>
      <c r="C2516" s="19"/>
      <c r="D2516" s="19"/>
      <c r="O2516" s="5"/>
      <c r="P2516" s="5"/>
    </row>
    <row r="2517" spans="2:16" ht="13.2" x14ac:dyDescent="0.25">
      <c r="B2517" s="18"/>
      <c r="C2517" s="19"/>
      <c r="D2517" s="19"/>
      <c r="O2517" s="5"/>
      <c r="P2517" s="5"/>
    </row>
    <row r="2518" spans="2:16" ht="13.2" x14ac:dyDescent="0.25">
      <c r="B2518" s="18"/>
      <c r="C2518" s="19"/>
      <c r="D2518" s="19"/>
      <c r="O2518" s="5"/>
      <c r="P2518" s="5"/>
    </row>
    <row r="2519" spans="2:16" ht="13.2" x14ac:dyDescent="0.25">
      <c r="B2519" s="18"/>
      <c r="C2519" s="19"/>
      <c r="D2519" s="19"/>
      <c r="O2519" s="5"/>
      <c r="P2519" s="5"/>
    </row>
    <row r="2520" spans="2:16" ht="13.2" x14ac:dyDescent="0.25">
      <c r="B2520" s="18"/>
      <c r="C2520" s="19"/>
      <c r="D2520" s="19"/>
      <c r="O2520" s="5"/>
      <c r="P2520" s="5"/>
    </row>
    <row r="2521" spans="2:16" ht="13.2" x14ac:dyDescent="0.25">
      <c r="B2521" s="18"/>
      <c r="C2521" s="19"/>
      <c r="D2521" s="19"/>
      <c r="O2521" s="5"/>
      <c r="P2521" s="5"/>
    </row>
    <row r="2522" spans="2:16" ht="13.2" x14ac:dyDescent="0.25">
      <c r="B2522" s="18"/>
      <c r="C2522" s="19"/>
      <c r="D2522" s="19"/>
      <c r="O2522" s="5"/>
      <c r="P2522" s="5"/>
    </row>
    <row r="2523" spans="2:16" ht="13.2" x14ac:dyDescent="0.25">
      <c r="B2523" s="18"/>
      <c r="C2523" s="19"/>
      <c r="D2523" s="19"/>
      <c r="O2523" s="5"/>
      <c r="P2523" s="5"/>
    </row>
    <row r="2524" spans="2:16" ht="13.2" x14ac:dyDescent="0.25">
      <c r="B2524" s="18"/>
      <c r="C2524" s="19"/>
      <c r="D2524" s="19"/>
      <c r="O2524" s="5"/>
      <c r="P2524" s="5"/>
    </row>
    <row r="2525" spans="2:16" ht="13.2" x14ac:dyDescent="0.25">
      <c r="B2525" s="18"/>
      <c r="C2525" s="19"/>
      <c r="D2525" s="19"/>
      <c r="O2525" s="5"/>
      <c r="P2525" s="5"/>
    </row>
    <row r="2526" spans="2:16" ht="13.2" x14ac:dyDescent="0.25">
      <c r="B2526" s="18"/>
      <c r="C2526" s="19"/>
      <c r="D2526" s="19"/>
      <c r="O2526" s="5"/>
      <c r="P2526" s="5"/>
    </row>
    <row r="2527" spans="2:16" ht="13.2" x14ac:dyDescent="0.25">
      <c r="B2527" s="18"/>
      <c r="C2527" s="19"/>
      <c r="D2527" s="19"/>
      <c r="O2527" s="5"/>
      <c r="P2527" s="5"/>
    </row>
    <row r="2528" spans="2:16" ht="13.2" x14ac:dyDescent="0.25">
      <c r="B2528" s="18"/>
      <c r="C2528" s="19"/>
      <c r="D2528" s="19"/>
      <c r="O2528" s="5"/>
      <c r="P2528" s="5"/>
    </row>
    <row r="2529" spans="2:16" ht="13.2" x14ac:dyDescent="0.25">
      <c r="B2529" s="18"/>
      <c r="C2529" s="19"/>
      <c r="D2529" s="19"/>
      <c r="O2529" s="5"/>
      <c r="P2529" s="5"/>
    </row>
    <row r="2530" spans="2:16" ht="13.2" x14ac:dyDescent="0.25">
      <c r="B2530" s="18"/>
      <c r="C2530" s="19"/>
      <c r="D2530" s="19"/>
      <c r="O2530" s="5"/>
      <c r="P2530" s="5"/>
    </row>
    <row r="2531" spans="2:16" ht="13.2" x14ac:dyDescent="0.25">
      <c r="B2531" s="18"/>
      <c r="C2531" s="19"/>
      <c r="D2531" s="19"/>
      <c r="O2531" s="5"/>
      <c r="P2531" s="5"/>
    </row>
    <row r="2532" spans="2:16" ht="13.2" x14ac:dyDescent="0.25">
      <c r="B2532" s="18"/>
      <c r="C2532" s="19"/>
      <c r="D2532" s="19"/>
      <c r="O2532" s="5"/>
      <c r="P2532" s="5"/>
    </row>
    <row r="2533" spans="2:16" ht="13.2" x14ac:dyDescent="0.25">
      <c r="B2533" s="18"/>
      <c r="C2533" s="19"/>
      <c r="D2533" s="19"/>
      <c r="O2533" s="5"/>
      <c r="P2533" s="5"/>
    </row>
    <row r="2534" spans="2:16" ht="13.2" x14ac:dyDescent="0.25">
      <c r="B2534" s="18"/>
      <c r="C2534" s="19"/>
      <c r="D2534" s="19"/>
      <c r="O2534" s="5"/>
      <c r="P2534" s="5"/>
    </row>
    <row r="2535" spans="2:16" ht="13.2" x14ac:dyDescent="0.25">
      <c r="B2535" s="18"/>
      <c r="C2535" s="19"/>
      <c r="D2535" s="19"/>
      <c r="O2535" s="5"/>
      <c r="P2535" s="5"/>
    </row>
    <row r="2536" spans="2:16" ht="13.2" x14ac:dyDescent="0.25">
      <c r="B2536" s="18"/>
      <c r="C2536" s="19"/>
      <c r="D2536" s="19"/>
      <c r="O2536" s="5"/>
      <c r="P2536" s="5"/>
    </row>
    <row r="2537" spans="2:16" ht="13.2" x14ac:dyDescent="0.25">
      <c r="B2537" s="18"/>
      <c r="C2537" s="19"/>
      <c r="D2537" s="19"/>
      <c r="O2537" s="5"/>
      <c r="P2537" s="5"/>
    </row>
    <row r="2538" spans="2:16" ht="13.2" x14ac:dyDescent="0.25">
      <c r="B2538" s="18"/>
      <c r="C2538" s="19"/>
      <c r="D2538" s="19"/>
      <c r="O2538" s="5"/>
      <c r="P2538" s="5"/>
    </row>
    <row r="2539" spans="2:16" ht="13.2" x14ac:dyDescent="0.25">
      <c r="B2539" s="18"/>
      <c r="C2539" s="19"/>
      <c r="D2539" s="19"/>
      <c r="O2539" s="5"/>
      <c r="P2539" s="5"/>
    </row>
    <row r="2540" spans="2:16" ht="13.2" x14ac:dyDescent="0.25">
      <c r="B2540" s="18"/>
      <c r="C2540" s="19"/>
      <c r="D2540" s="19"/>
      <c r="O2540" s="5"/>
      <c r="P2540" s="5"/>
    </row>
    <row r="2541" spans="2:16" ht="13.2" x14ac:dyDescent="0.25">
      <c r="B2541" s="18"/>
      <c r="C2541" s="19"/>
      <c r="D2541" s="19"/>
      <c r="O2541" s="5"/>
      <c r="P2541" s="5"/>
    </row>
    <row r="2542" spans="2:16" ht="13.2" x14ac:dyDescent="0.25">
      <c r="B2542" s="18"/>
      <c r="C2542" s="19"/>
      <c r="D2542" s="19"/>
      <c r="O2542" s="5"/>
      <c r="P2542" s="5"/>
    </row>
    <row r="2543" spans="2:16" ht="13.2" x14ac:dyDescent="0.25">
      <c r="B2543" s="18"/>
      <c r="C2543" s="19"/>
      <c r="D2543" s="19"/>
      <c r="O2543" s="5"/>
      <c r="P2543" s="5"/>
    </row>
    <row r="2544" spans="2:16" ht="13.2" x14ac:dyDescent="0.25">
      <c r="B2544" s="18"/>
      <c r="C2544" s="19"/>
      <c r="D2544" s="19"/>
      <c r="O2544" s="5"/>
      <c r="P2544" s="5"/>
    </row>
    <row r="2545" spans="2:16" ht="13.2" x14ac:dyDescent="0.25">
      <c r="B2545" s="18"/>
      <c r="C2545" s="19"/>
      <c r="D2545" s="19"/>
      <c r="O2545" s="5"/>
      <c r="P2545" s="5"/>
    </row>
    <row r="2546" spans="2:16" ht="13.2" x14ac:dyDescent="0.25">
      <c r="B2546" s="18"/>
      <c r="C2546" s="19"/>
      <c r="D2546" s="19"/>
      <c r="O2546" s="5"/>
      <c r="P2546" s="5"/>
    </row>
    <row r="2547" spans="2:16" ht="13.2" x14ac:dyDescent="0.25">
      <c r="B2547" s="18"/>
      <c r="C2547" s="19"/>
      <c r="D2547" s="19"/>
      <c r="O2547" s="5"/>
      <c r="P2547" s="5"/>
    </row>
    <row r="2548" spans="2:16" ht="13.2" x14ac:dyDescent="0.25">
      <c r="B2548" s="18"/>
      <c r="C2548" s="19"/>
      <c r="D2548" s="19"/>
      <c r="O2548" s="5"/>
      <c r="P2548" s="5"/>
    </row>
    <row r="2549" spans="2:16" ht="13.2" x14ac:dyDescent="0.25">
      <c r="B2549" s="18"/>
      <c r="C2549" s="19"/>
      <c r="D2549" s="19"/>
      <c r="O2549" s="5"/>
      <c r="P2549" s="5"/>
    </row>
    <row r="2550" spans="2:16" ht="13.2" x14ac:dyDescent="0.25">
      <c r="B2550" s="18"/>
      <c r="C2550" s="19"/>
      <c r="D2550" s="19"/>
      <c r="O2550" s="5"/>
      <c r="P2550" s="5"/>
    </row>
    <row r="2551" spans="2:16" ht="13.2" x14ac:dyDescent="0.25">
      <c r="B2551" s="18"/>
      <c r="C2551" s="19"/>
      <c r="D2551" s="19"/>
      <c r="O2551" s="5"/>
      <c r="P2551" s="5"/>
    </row>
    <row r="2552" spans="2:16" ht="13.2" x14ac:dyDescent="0.25">
      <c r="B2552" s="18"/>
      <c r="C2552" s="19"/>
      <c r="D2552" s="19"/>
      <c r="O2552" s="5"/>
      <c r="P2552" s="5"/>
    </row>
    <row r="2553" spans="2:16" ht="13.2" x14ac:dyDescent="0.25">
      <c r="B2553" s="18"/>
      <c r="C2553" s="19"/>
      <c r="D2553" s="19"/>
      <c r="O2553" s="5"/>
      <c r="P2553" s="5"/>
    </row>
    <row r="2554" spans="2:16" ht="13.2" x14ac:dyDescent="0.25">
      <c r="B2554" s="18"/>
      <c r="C2554" s="19"/>
      <c r="D2554" s="19"/>
      <c r="O2554" s="5"/>
      <c r="P2554" s="5"/>
    </row>
    <row r="2555" spans="2:16" ht="13.2" x14ac:dyDescent="0.25">
      <c r="B2555" s="18"/>
      <c r="C2555" s="19"/>
      <c r="D2555" s="19"/>
      <c r="O2555" s="5"/>
      <c r="P2555" s="5"/>
    </row>
    <row r="2556" spans="2:16" ht="13.2" x14ac:dyDescent="0.25">
      <c r="B2556" s="18"/>
      <c r="C2556" s="19"/>
      <c r="D2556" s="19"/>
      <c r="O2556" s="5"/>
      <c r="P2556" s="5"/>
    </row>
    <row r="2557" spans="2:16" ht="13.2" x14ac:dyDescent="0.25">
      <c r="B2557" s="18"/>
      <c r="C2557" s="19"/>
      <c r="D2557" s="19"/>
      <c r="O2557" s="5"/>
      <c r="P2557" s="5"/>
    </row>
    <row r="2558" spans="2:16" ht="13.2" x14ac:dyDescent="0.25">
      <c r="B2558" s="18"/>
      <c r="C2558" s="19"/>
      <c r="D2558" s="19"/>
      <c r="O2558" s="5"/>
      <c r="P2558" s="5"/>
    </row>
    <row r="2559" spans="2:16" ht="13.2" x14ac:dyDescent="0.25">
      <c r="B2559" s="18"/>
      <c r="C2559" s="19"/>
      <c r="D2559" s="19"/>
      <c r="O2559" s="5"/>
      <c r="P2559" s="5"/>
    </row>
    <row r="2560" spans="2:16" ht="13.2" x14ac:dyDescent="0.25">
      <c r="B2560" s="18"/>
      <c r="C2560" s="19"/>
      <c r="D2560" s="19"/>
      <c r="O2560" s="5"/>
      <c r="P2560" s="5"/>
    </row>
    <row r="2561" spans="2:16" ht="13.2" x14ac:dyDescent="0.25">
      <c r="B2561" s="18"/>
      <c r="C2561" s="19"/>
      <c r="D2561" s="19"/>
      <c r="O2561" s="5"/>
      <c r="P2561" s="5"/>
    </row>
    <row r="2562" spans="2:16" ht="13.2" x14ac:dyDescent="0.25">
      <c r="B2562" s="18"/>
      <c r="C2562" s="19"/>
      <c r="D2562" s="19"/>
      <c r="O2562" s="5"/>
      <c r="P2562" s="5"/>
    </row>
    <row r="2563" spans="2:16" ht="13.2" x14ac:dyDescent="0.25">
      <c r="B2563" s="18"/>
      <c r="C2563" s="19"/>
      <c r="D2563" s="19"/>
      <c r="O2563" s="5"/>
      <c r="P2563" s="5"/>
    </row>
    <row r="2564" spans="2:16" ht="13.2" x14ac:dyDescent="0.25">
      <c r="B2564" s="18"/>
      <c r="C2564" s="19"/>
      <c r="D2564" s="19"/>
      <c r="O2564" s="5"/>
      <c r="P2564" s="5"/>
    </row>
    <row r="2565" spans="2:16" ht="13.2" x14ac:dyDescent="0.25">
      <c r="B2565" s="18"/>
      <c r="C2565" s="19"/>
      <c r="D2565" s="19"/>
      <c r="O2565" s="5"/>
      <c r="P2565" s="5"/>
    </row>
    <row r="2566" spans="2:16" ht="13.2" x14ac:dyDescent="0.25">
      <c r="B2566" s="18"/>
      <c r="C2566" s="19"/>
      <c r="D2566" s="19"/>
      <c r="O2566" s="5"/>
      <c r="P2566" s="5"/>
    </row>
    <row r="2567" spans="2:16" ht="13.2" x14ac:dyDescent="0.25">
      <c r="B2567" s="18"/>
      <c r="C2567" s="19"/>
      <c r="D2567" s="19"/>
      <c r="O2567" s="5"/>
      <c r="P2567" s="5"/>
    </row>
    <row r="2568" spans="2:16" ht="13.2" x14ac:dyDescent="0.25">
      <c r="B2568" s="18"/>
      <c r="C2568" s="19"/>
      <c r="D2568" s="19"/>
      <c r="O2568" s="5"/>
      <c r="P2568" s="5"/>
    </row>
    <row r="2569" spans="2:16" ht="13.2" x14ac:dyDescent="0.25">
      <c r="B2569" s="18"/>
      <c r="C2569" s="19"/>
      <c r="D2569" s="19"/>
      <c r="O2569" s="5"/>
      <c r="P2569" s="5"/>
    </row>
    <row r="2570" spans="2:16" ht="13.2" x14ac:dyDescent="0.25">
      <c r="B2570" s="18"/>
      <c r="C2570" s="19"/>
      <c r="D2570" s="19"/>
      <c r="O2570" s="5"/>
      <c r="P2570" s="5"/>
    </row>
    <row r="2571" spans="2:16" ht="13.2" x14ac:dyDescent="0.25">
      <c r="B2571" s="18"/>
      <c r="C2571" s="19"/>
      <c r="D2571" s="19"/>
      <c r="O2571" s="5"/>
      <c r="P2571" s="5"/>
    </row>
    <row r="2572" spans="2:16" ht="13.2" x14ac:dyDescent="0.25">
      <c r="B2572" s="18"/>
      <c r="C2572" s="19"/>
      <c r="D2572" s="19"/>
      <c r="O2572" s="5"/>
      <c r="P2572" s="5"/>
    </row>
    <row r="2573" spans="2:16" ht="13.2" x14ac:dyDescent="0.25">
      <c r="B2573" s="18"/>
      <c r="C2573" s="19"/>
      <c r="D2573" s="19"/>
      <c r="O2573" s="5"/>
      <c r="P2573" s="5"/>
    </row>
    <row r="2574" spans="2:16" ht="13.2" x14ac:dyDescent="0.25">
      <c r="B2574" s="18"/>
      <c r="C2574" s="19"/>
      <c r="D2574" s="19"/>
      <c r="O2574" s="5"/>
      <c r="P2574" s="5"/>
    </row>
    <row r="2575" spans="2:16" ht="13.2" x14ac:dyDescent="0.25">
      <c r="B2575" s="18"/>
      <c r="C2575" s="19"/>
      <c r="D2575" s="19"/>
      <c r="O2575" s="5"/>
      <c r="P2575" s="5"/>
    </row>
    <row r="2576" spans="2:16" ht="13.2" x14ac:dyDescent="0.25">
      <c r="B2576" s="18"/>
      <c r="C2576" s="19"/>
      <c r="D2576" s="19"/>
      <c r="O2576" s="5"/>
      <c r="P2576" s="5"/>
    </row>
    <row r="2577" spans="2:16" ht="13.2" x14ac:dyDescent="0.25">
      <c r="B2577" s="18"/>
      <c r="C2577" s="19"/>
      <c r="D2577" s="19"/>
      <c r="O2577" s="5"/>
      <c r="P2577" s="5"/>
    </row>
    <row r="2578" spans="2:16" ht="13.2" x14ac:dyDescent="0.25">
      <c r="B2578" s="18"/>
      <c r="C2578" s="19"/>
      <c r="D2578" s="19"/>
      <c r="O2578" s="5"/>
      <c r="P2578" s="5"/>
    </row>
    <row r="2579" spans="2:16" ht="13.2" x14ac:dyDescent="0.25">
      <c r="B2579" s="18"/>
      <c r="C2579" s="19"/>
      <c r="D2579" s="19"/>
      <c r="O2579" s="5"/>
      <c r="P2579" s="5"/>
    </row>
    <row r="2580" spans="2:16" ht="13.2" x14ac:dyDescent="0.25">
      <c r="B2580" s="18"/>
      <c r="C2580" s="19"/>
      <c r="D2580" s="19"/>
      <c r="O2580" s="5"/>
      <c r="P2580" s="5"/>
    </row>
    <row r="2581" spans="2:16" ht="13.2" x14ac:dyDescent="0.25">
      <c r="B2581" s="18"/>
      <c r="C2581" s="19"/>
      <c r="D2581" s="19"/>
      <c r="O2581" s="5"/>
      <c r="P2581" s="5"/>
    </row>
    <row r="2582" spans="2:16" ht="13.2" x14ac:dyDescent="0.25">
      <c r="B2582" s="18"/>
      <c r="C2582" s="19"/>
      <c r="D2582" s="19"/>
      <c r="O2582" s="5"/>
      <c r="P2582" s="5"/>
    </row>
    <row r="2583" spans="2:16" ht="13.2" x14ac:dyDescent="0.25">
      <c r="B2583" s="18"/>
      <c r="C2583" s="19"/>
      <c r="D2583" s="19"/>
      <c r="O2583" s="5"/>
      <c r="P2583" s="5"/>
    </row>
    <row r="2584" spans="2:16" ht="13.2" x14ac:dyDescent="0.25">
      <c r="B2584" s="18"/>
      <c r="C2584" s="19"/>
      <c r="D2584" s="19"/>
      <c r="O2584" s="5"/>
      <c r="P2584" s="5"/>
    </row>
    <row r="2585" spans="2:16" ht="13.2" x14ac:dyDescent="0.25">
      <c r="B2585" s="18"/>
      <c r="C2585" s="19"/>
      <c r="D2585" s="19"/>
      <c r="O2585" s="5"/>
      <c r="P2585" s="5"/>
    </row>
    <row r="2586" spans="2:16" ht="13.2" x14ac:dyDescent="0.25">
      <c r="B2586" s="18"/>
      <c r="C2586" s="19"/>
      <c r="D2586" s="19"/>
      <c r="O2586" s="5"/>
      <c r="P2586" s="5"/>
    </row>
    <row r="2587" spans="2:16" ht="13.2" x14ac:dyDescent="0.25">
      <c r="B2587" s="18"/>
      <c r="C2587" s="19"/>
      <c r="D2587" s="19"/>
      <c r="O2587" s="5"/>
      <c r="P2587" s="5"/>
    </row>
    <row r="2588" spans="2:16" ht="13.2" x14ac:dyDescent="0.25">
      <c r="B2588" s="18"/>
      <c r="C2588" s="19"/>
      <c r="D2588" s="19"/>
      <c r="O2588" s="5"/>
      <c r="P2588" s="5"/>
    </row>
    <row r="2589" spans="2:16" ht="13.2" x14ac:dyDescent="0.25">
      <c r="B2589" s="18"/>
      <c r="C2589" s="19"/>
      <c r="D2589" s="19"/>
      <c r="O2589" s="5"/>
      <c r="P2589" s="5"/>
    </row>
    <row r="2590" spans="2:16" ht="13.2" x14ac:dyDescent="0.25">
      <c r="B2590" s="18"/>
      <c r="C2590" s="19"/>
      <c r="D2590" s="19"/>
      <c r="O2590" s="5"/>
      <c r="P2590" s="5"/>
    </row>
    <row r="2591" spans="2:16" ht="13.2" x14ac:dyDescent="0.25">
      <c r="B2591" s="18"/>
      <c r="C2591" s="19"/>
      <c r="D2591" s="19"/>
      <c r="O2591" s="5"/>
      <c r="P2591" s="5"/>
    </row>
    <row r="2592" spans="2:16" ht="13.2" x14ac:dyDescent="0.25">
      <c r="B2592" s="18"/>
      <c r="C2592" s="19"/>
      <c r="D2592" s="19"/>
      <c r="O2592" s="5"/>
      <c r="P2592" s="5"/>
    </row>
    <row r="2593" spans="2:16" ht="13.2" x14ac:dyDescent="0.25">
      <c r="B2593" s="18"/>
      <c r="C2593" s="19"/>
      <c r="D2593" s="19"/>
      <c r="O2593" s="5"/>
      <c r="P2593" s="5"/>
    </row>
    <row r="2594" spans="2:16" ht="13.2" x14ac:dyDescent="0.25">
      <c r="B2594" s="18"/>
      <c r="C2594" s="19"/>
      <c r="D2594" s="19"/>
      <c r="O2594" s="5"/>
      <c r="P2594" s="5"/>
    </row>
    <row r="2595" spans="2:16" ht="13.2" x14ac:dyDescent="0.25">
      <c r="B2595" s="18"/>
      <c r="C2595" s="19"/>
      <c r="D2595" s="19"/>
      <c r="O2595" s="5"/>
      <c r="P2595" s="5"/>
    </row>
    <row r="2596" spans="2:16" ht="13.2" x14ac:dyDescent="0.25">
      <c r="B2596" s="18"/>
      <c r="C2596" s="19"/>
      <c r="D2596" s="19"/>
      <c r="O2596" s="5"/>
      <c r="P2596" s="5"/>
    </row>
    <row r="2597" spans="2:16" ht="13.2" x14ac:dyDescent="0.25">
      <c r="B2597" s="18"/>
      <c r="C2597" s="19"/>
      <c r="D2597" s="19"/>
      <c r="O2597" s="5"/>
      <c r="P2597" s="5"/>
    </row>
    <row r="2598" spans="2:16" ht="13.2" x14ac:dyDescent="0.25">
      <c r="B2598" s="18"/>
      <c r="C2598" s="19"/>
      <c r="D2598" s="19"/>
      <c r="O2598" s="5"/>
      <c r="P2598" s="5"/>
    </row>
    <row r="2599" spans="2:16" ht="13.2" x14ac:dyDescent="0.25">
      <c r="B2599" s="18"/>
      <c r="C2599" s="19"/>
      <c r="D2599" s="19"/>
      <c r="O2599" s="5"/>
      <c r="P2599" s="5"/>
    </row>
    <row r="2600" spans="2:16" ht="13.2" x14ac:dyDescent="0.25">
      <c r="B2600" s="18"/>
      <c r="C2600" s="19"/>
      <c r="D2600" s="19"/>
      <c r="O2600" s="5"/>
      <c r="P2600" s="5"/>
    </row>
    <row r="2601" spans="2:16" ht="13.2" x14ac:dyDescent="0.25">
      <c r="B2601" s="18"/>
      <c r="C2601" s="19"/>
      <c r="D2601" s="19"/>
      <c r="O2601" s="5"/>
      <c r="P2601" s="5"/>
    </row>
    <row r="2602" spans="2:16" ht="13.2" x14ac:dyDescent="0.25">
      <c r="B2602" s="18"/>
      <c r="C2602" s="19"/>
      <c r="D2602" s="19"/>
      <c r="O2602" s="5"/>
      <c r="P2602" s="5"/>
    </row>
    <row r="2603" spans="2:16" ht="13.2" x14ac:dyDescent="0.25">
      <c r="B2603" s="18"/>
      <c r="C2603" s="19"/>
      <c r="D2603" s="19"/>
      <c r="O2603" s="5"/>
      <c r="P2603" s="5"/>
    </row>
    <row r="2604" spans="2:16" ht="13.2" x14ac:dyDescent="0.25">
      <c r="B2604" s="18"/>
      <c r="C2604" s="19"/>
      <c r="D2604" s="19"/>
      <c r="O2604" s="5"/>
      <c r="P2604" s="5"/>
    </row>
    <row r="2605" spans="2:16" ht="13.2" x14ac:dyDescent="0.25">
      <c r="B2605" s="18"/>
      <c r="C2605" s="19"/>
      <c r="D2605" s="19"/>
      <c r="O2605" s="5"/>
      <c r="P2605" s="5"/>
    </row>
    <row r="2606" spans="2:16" ht="13.2" x14ac:dyDescent="0.25">
      <c r="B2606" s="18"/>
      <c r="C2606" s="19"/>
      <c r="D2606" s="19"/>
      <c r="O2606" s="5"/>
      <c r="P2606" s="5"/>
    </row>
    <row r="2607" spans="2:16" ht="13.2" x14ac:dyDescent="0.25">
      <c r="B2607" s="18"/>
      <c r="C2607" s="19"/>
      <c r="D2607" s="19"/>
      <c r="O2607" s="5"/>
      <c r="P2607" s="5"/>
    </row>
    <row r="2608" spans="2:16" ht="13.2" x14ac:dyDescent="0.25">
      <c r="B2608" s="18"/>
      <c r="C2608" s="19"/>
      <c r="D2608" s="19"/>
      <c r="O2608" s="5"/>
      <c r="P2608" s="5"/>
    </row>
    <row r="2609" spans="2:16" ht="13.2" x14ac:dyDescent="0.25">
      <c r="B2609" s="18"/>
      <c r="C2609" s="19"/>
      <c r="D2609" s="19"/>
      <c r="O2609" s="5"/>
      <c r="P2609" s="5"/>
    </row>
    <row r="2610" spans="2:16" ht="13.2" x14ac:dyDescent="0.25">
      <c r="B2610" s="18"/>
      <c r="C2610" s="19"/>
      <c r="D2610" s="19"/>
      <c r="O2610" s="5"/>
      <c r="P2610" s="5"/>
    </row>
    <row r="2611" spans="2:16" ht="13.2" x14ac:dyDescent="0.25">
      <c r="B2611" s="18"/>
      <c r="C2611" s="19"/>
      <c r="D2611" s="19"/>
      <c r="O2611" s="5"/>
      <c r="P2611" s="5"/>
    </row>
    <row r="2612" spans="2:16" ht="13.2" x14ac:dyDescent="0.25">
      <c r="B2612" s="18"/>
      <c r="C2612" s="19"/>
      <c r="D2612" s="19"/>
      <c r="O2612" s="5"/>
      <c r="P2612" s="5"/>
    </row>
    <row r="2613" spans="2:16" ht="13.2" x14ac:dyDescent="0.25">
      <c r="B2613" s="18"/>
      <c r="C2613" s="19"/>
      <c r="D2613" s="19"/>
      <c r="O2613" s="5"/>
      <c r="P2613" s="5"/>
    </row>
    <row r="2614" spans="2:16" ht="13.2" x14ac:dyDescent="0.25">
      <c r="B2614" s="18"/>
      <c r="C2614" s="19"/>
      <c r="D2614" s="19"/>
      <c r="O2614" s="5"/>
      <c r="P2614" s="5"/>
    </row>
    <row r="2615" spans="2:16" ht="13.2" x14ac:dyDescent="0.25">
      <c r="B2615" s="18"/>
      <c r="C2615" s="19"/>
      <c r="D2615" s="19"/>
      <c r="O2615" s="5"/>
      <c r="P2615" s="5"/>
    </row>
    <row r="2616" spans="2:16" ht="13.2" x14ac:dyDescent="0.25">
      <c r="B2616" s="18"/>
      <c r="C2616" s="19"/>
      <c r="D2616" s="19"/>
      <c r="O2616" s="5"/>
      <c r="P2616" s="5"/>
    </row>
    <row r="2617" spans="2:16" ht="13.2" x14ac:dyDescent="0.25">
      <c r="B2617" s="18"/>
      <c r="C2617" s="19"/>
      <c r="D2617" s="19"/>
      <c r="O2617" s="5"/>
      <c r="P2617" s="5"/>
    </row>
    <row r="2618" spans="2:16" ht="13.2" x14ac:dyDescent="0.25">
      <c r="B2618" s="18"/>
      <c r="C2618" s="19"/>
      <c r="D2618" s="19"/>
      <c r="O2618" s="5"/>
      <c r="P2618" s="5"/>
    </row>
    <row r="2619" spans="2:16" ht="13.2" x14ac:dyDescent="0.25">
      <c r="B2619" s="18"/>
      <c r="C2619" s="19"/>
      <c r="D2619" s="19"/>
      <c r="O2619" s="5"/>
      <c r="P2619" s="5"/>
    </row>
    <row r="2620" spans="2:16" ht="13.2" x14ac:dyDescent="0.25">
      <c r="B2620" s="18"/>
      <c r="C2620" s="19"/>
      <c r="D2620" s="19"/>
      <c r="O2620" s="5"/>
      <c r="P2620" s="5"/>
    </row>
    <row r="2621" spans="2:16" ht="13.2" x14ac:dyDescent="0.25">
      <c r="B2621" s="18"/>
      <c r="C2621" s="19"/>
      <c r="D2621" s="19"/>
      <c r="O2621" s="5"/>
      <c r="P2621" s="5"/>
    </row>
    <row r="2622" spans="2:16" ht="13.2" x14ac:dyDescent="0.25">
      <c r="B2622" s="18"/>
      <c r="C2622" s="19"/>
      <c r="D2622" s="19"/>
      <c r="O2622" s="5"/>
      <c r="P2622" s="5"/>
    </row>
    <row r="2623" spans="2:16" ht="13.2" x14ac:dyDescent="0.25">
      <c r="B2623" s="18"/>
      <c r="C2623" s="19"/>
      <c r="D2623" s="19"/>
      <c r="O2623" s="5"/>
      <c r="P2623" s="5"/>
    </row>
    <row r="2624" spans="2:16" ht="13.2" x14ac:dyDescent="0.25">
      <c r="B2624" s="18"/>
      <c r="C2624" s="19"/>
      <c r="D2624" s="19"/>
      <c r="O2624" s="5"/>
      <c r="P2624" s="5"/>
    </row>
    <row r="2625" spans="2:16" ht="13.2" x14ac:dyDescent="0.25">
      <c r="B2625" s="18"/>
      <c r="C2625" s="19"/>
      <c r="D2625" s="19"/>
      <c r="O2625" s="5"/>
      <c r="P2625" s="5"/>
    </row>
    <row r="2626" spans="2:16" ht="13.2" x14ac:dyDescent="0.25">
      <c r="B2626" s="18"/>
      <c r="C2626" s="19"/>
      <c r="D2626" s="19"/>
      <c r="O2626" s="5"/>
      <c r="P2626" s="5"/>
    </row>
    <row r="2627" spans="2:16" ht="13.2" x14ac:dyDescent="0.25">
      <c r="B2627" s="18"/>
      <c r="C2627" s="19"/>
      <c r="D2627" s="19"/>
      <c r="O2627" s="5"/>
      <c r="P2627" s="5"/>
    </row>
    <row r="2628" spans="2:16" ht="13.2" x14ac:dyDescent="0.25">
      <c r="B2628" s="18"/>
      <c r="C2628" s="19"/>
      <c r="D2628" s="19"/>
      <c r="O2628" s="5"/>
      <c r="P2628" s="5"/>
    </row>
    <row r="2629" spans="2:16" ht="13.2" x14ac:dyDescent="0.25">
      <c r="B2629" s="18"/>
      <c r="C2629" s="19"/>
      <c r="D2629" s="19"/>
      <c r="O2629" s="5"/>
      <c r="P2629" s="5"/>
    </row>
    <row r="2630" spans="2:16" ht="13.2" x14ac:dyDescent="0.25">
      <c r="B2630" s="18"/>
      <c r="C2630" s="19"/>
      <c r="D2630" s="19"/>
      <c r="O2630" s="5"/>
      <c r="P2630" s="5"/>
    </row>
    <row r="2631" spans="2:16" ht="13.2" x14ac:dyDescent="0.25">
      <c r="B2631" s="18"/>
      <c r="C2631" s="19"/>
      <c r="D2631" s="19"/>
      <c r="O2631" s="5"/>
      <c r="P2631" s="5"/>
    </row>
    <row r="2632" spans="2:16" ht="13.2" x14ac:dyDescent="0.25">
      <c r="B2632" s="18"/>
      <c r="C2632" s="19"/>
      <c r="D2632" s="19"/>
      <c r="O2632" s="5"/>
      <c r="P2632" s="5"/>
    </row>
    <row r="2633" spans="2:16" ht="13.2" x14ac:dyDescent="0.25">
      <c r="B2633" s="18"/>
      <c r="C2633" s="19"/>
      <c r="D2633" s="19"/>
      <c r="O2633" s="5"/>
      <c r="P2633" s="5"/>
    </row>
    <row r="2634" spans="2:16" ht="13.2" x14ac:dyDescent="0.25">
      <c r="B2634" s="18"/>
      <c r="C2634" s="19"/>
      <c r="D2634" s="19"/>
      <c r="O2634" s="5"/>
      <c r="P2634" s="5"/>
    </row>
    <row r="2635" spans="2:16" ht="13.2" x14ac:dyDescent="0.25">
      <c r="B2635" s="18"/>
      <c r="C2635" s="19"/>
      <c r="D2635" s="19"/>
      <c r="O2635" s="5"/>
      <c r="P2635" s="5"/>
    </row>
    <row r="2636" spans="2:16" ht="13.2" x14ac:dyDescent="0.25">
      <c r="B2636" s="18"/>
      <c r="C2636" s="19"/>
      <c r="D2636" s="19"/>
      <c r="O2636" s="5"/>
      <c r="P2636" s="5"/>
    </row>
    <row r="2637" spans="2:16" ht="13.2" x14ac:dyDescent="0.25">
      <c r="B2637" s="18"/>
      <c r="C2637" s="19"/>
      <c r="D2637" s="19"/>
      <c r="O2637" s="5"/>
      <c r="P2637" s="5"/>
    </row>
    <row r="2638" spans="2:16" ht="13.2" x14ac:dyDescent="0.25">
      <c r="B2638" s="18"/>
      <c r="C2638" s="19"/>
      <c r="D2638" s="19"/>
      <c r="O2638" s="5"/>
      <c r="P2638" s="5"/>
    </row>
    <row r="2639" spans="2:16" ht="13.2" x14ac:dyDescent="0.25">
      <c r="B2639" s="18"/>
      <c r="C2639" s="19"/>
      <c r="D2639" s="19"/>
      <c r="O2639" s="5"/>
      <c r="P2639" s="5"/>
    </row>
    <row r="2640" spans="2:16" ht="13.2" x14ac:dyDescent="0.25">
      <c r="B2640" s="18"/>
      <c r="C2640" s="19"/>
      <c r="D2640" s="19"/>
      <c r="O2640" s="5"/>
      <c r="P2640" s="5"/>
    </row>
    <row r="2641" spans="2:16" ht="13.2" x14ac:dyDescent="0.25">
      <c r="B2641" s="18"/>
      <c r="C2641" s="19"/>
      <c r="D2641" s="19"/>
      <c r="O2641" s="5"/>
      <c r="P2641" s="5"/>
    </row>
    <row r="2642" spans="2:16" ht="13.2" x14ac:dyDescent="0.25">
      <c r="B2642" s="18"/>
      <c r="C2642" s="19"/>
      <c r="D2642" s="19"/>
      <c r="O2642" s="5"/>
      <c r="P2642" s="5"/>
    </row>
    <row r="2643" spans="2:16" ht="13.2" x14ac:dyDescent="0.25">
      <c r="B2643" s="18"/>
      <c r="C2643" s="19"/>
      <c r="D2643" s="19"/>
      <c r="O2643" s="5"/>
      <c r="P2643" s="5"/>
    </row>
    <row r="2644" spans="2:16" ht="13.2" x14ac:dyDescent="0.25">
      <c r="B2644" s="18"/>
      <c r="C2644" s="19"/>
      <c r="D2644" s="19"/>
      <c r="O2644" s="5"/>
      <c r="P2644" s="5"/>
    </row>
    <row r="2645" spans="2:16" ht="13.2" x14ac:dyDescent="0.25">
      <c r="B2645" s="18"/>
      <c r="C2645" s="19"/>
      <c r="D2645" s="19"/>
      <c r="O2645" s="5"/>
      <c r="P2645" s="5"/>
    </row>
    <row r="2646" spans="2:16" ht="13.2" x14ac:dyDescent="0.25">
      <c r="B2646" s="18"/>
      <c r="C2646" s="19"/>
      <c r="D2646" s="19"/>
      <c r="O2646" s="5"/>
      <c r="P2646" s="5"/>
    </row>
    <row r="2647" spans="2:16" ht="13.2" x14ac:dyDescent="0.25">
      <c r="B2647" s="18"/>
      <c r="C2647" s="19"/>
      <c r="D2647" s="19"/>
      <c r="O2647" s="5"/>
      <c r="P2647" s="5"/>
    </row>
    <row r="2648" spans="2:16" ht="13.2" x14ac:dyDescent="0.25">
      <c r="B2648" s="18"/>
      <c r="C2648" s="19"/>
      <c r="D2648" s="19"/>
      <c r="O2648" s="5"/>
      <c r="P2648" s="5"/>
    </row>
    <row r="2649" spans="2:16" ht="13.2" x14ac:dyDescent="0.25">
      <c r="B2649" s="18"/>
      <c r="C2649" s="19"/>
      <c r="D2649" s="19"/>
      <c r="O2649" s="5"/>
      <c r="P2649" s="5"/>
    </row>
    <row r="2650" spans="2:16" ht="13.2" x14ac:dyDescent="0.25">
      <c r="B2650" s="18"/>
      <c r="C2650" s="19"/>
      <c r="D2650" s="19"/>
      <c r="O2650" s="5"/>
      <c r="P2650" s="5"/>
    </row>
    <row r="2651" spans="2:16" ht="13.2" x14ac:dyDescent="0.25">
      <c r="B2651" s="18"/>
      <c r="C2651" s="19"/>
      <c r="D2651" s="19"/>
      <c r="O2651" s="5"/>
      <c r="P2651" s="5"/>
    </row>
    <row r="2652" spans="2:16" ht="13.2" x14ac:dyDescent="0.25">
      <c r="B2652" s="18"/>
      <c r="C2652" s="19"/>
      <c r="D2652" s="19"/>
      <c r="O2652" s="5"/>
      <c r="P2652" s="5"/>
    </row>
    <row r="2653" spans="2:16" ht="13.2" x14ac:dyDescent="0.25">
      <c r="B2653" s="18"/>
      <c r="C2653" s="19"/>
      <c r="D2653" s="19"/>
      <c r="O2653" s="5"/>
      <c r="P2653" s="5"/>
    </row>
    <row r="2654" spans="2:16" ht="13.2" x14ac:dyDescent="0.25">
      <c r="B2654" s="18"/>
      <c r="C2654" s="19"/>
      <c r="D2654" s="19"/>
      <c r="O2654" s="5"/>
      <c r="P2654" s="5"/>
    </row>
    <row r="2655" spans="2:16" ht="13.2" x14ac:dyDescent="0.25">
      <c r="B2655" s="18"/>
      <c r="C2655" s="19"/>
      <c r="D2655" s="19"/>
      <c r="O2655" s="5"/>
      <c r="P2655" s="5"/>
    </row>
    <row r="2656" spans="2:16" ht="13.2" x14ac:dyDescent="0.25">
      <c r="B2656" s="18"/>
      <c r="C2656" s="19"/>
      <c r="D2656" s="19"/>
      <c r="O2656" s="5"/>
      <c r="P2656" s="5"/>
    </row>
    <row r="2657" spans="2:16" ht="13.2" x14ac:dyDescent="0.25">
      <c r="B2657" s="18"/>
      <c r="C2657" s="19"/>
      <c r="D2657" s="19"/>
      <c r="O2657" s="5"/>
      <c r="P2657" s="5"/>
    </row>
    <row r="2658" spans="2:16" ht="13.2" x14ac:dyDescent="0.25">
      <c r="B2658" s="18"/>
      <c r="C2658" s="19"/>
      <c r="D2658" s="19"/>
      <c r="O2658" s="5"/>
      <c r="P2658" s="5"/>
    </row>
    <row r="2659" spans="2:16" ht="13.2" x14ac:dyDescent="0.25">
      <c r="B2659" s="18"/>
      <c r="C2659" s="19"/>
      <c r="D2659" s="19"/>
      <c r="O2659" s="5"/>
      <c r="P2659" s="5"/>
    </row>
    <row r="2660" spans="2:16" ht="13.2" x14ac:dyDescent="0.25">
      <c r="B2660" s="18"/>
      <c r="C2660" s="19"/>
      <c r="D2660" s="19"/>
      <c r="O2660" s="5"/>
      <c r="P2660" s="5"/>
    </row>
    <row r="2661" spans="2:16" ht="13.2" x14ac:dyDescent="0.25">
      <c r="B2661" s="18"/>
      <c r="C2661" s="19"/>
      <c r="D2661" s="19"/>
      <c r="O2661" s="5"/>
      <c r="P2661" s="5"/>
    </row>
    <row r="2662" spans="2:16" ht="13.2" x14ac:dyDescent="0.25">
      <c r="B2662" s="18"/>
      <c r="C2662" s="19"/>
      <c r="D2662" s="19"/>
      <c r="O2662" s="5"/>
      <c r="P2662" s="5"/>
    </row>
    <row r="2663" spans="2:16" ht="13.2" x14ac:dyDescent="0.25">
      <c r="B2663" s="18"/>
      <c r="C2663" s="19"/>
      <c r="D2663" s="19"/>
      <c r="O2663" s="5"/>
      <c r="P2663" s="5"/>
    </row>
    <row r="2664" spans="2:16" ht="13.2" x14ac:dyDescent="0.25">
      <c r="B2664" s="18"/>
      <c r="C2664" s="19"/>
      <c r="D2664" s="19"/>
      <c r="O2664" s="5"/>
      <c r="P2664" s="5"/>
    </row>
    <row r="2665" spans="2:16" ht="13.2" x14ac:dyDescent="0.25">
      <c r="B2665" s="18"/>
      <c r="C2665" s="19"/>
      <c r="D2665" s="19"/>
      <c r="O2665" s="5"/>
      <c r="P2665" s="5"/>
    </row>
    <row r="2666" spans="2:16" ht="13.2" x14ac:dyDescent="0.25">
      <c r="B2666" s="18"/>
      <c r="C2666" s="19"/>
      <c r="D2666" s="19"/>
      <c r="O2666" s="5"/>
      <c r="P2666" s="5"/>
    </row>
    <row r="2667" spans="2:16" ht="13.2" x14ac:dyDescent="0.25">
      <c r="B2667" s="18"/>
      <c r="C2667" s="19"/>
      <c r="D2667" s="19"/>
      <c r="O2667" s="5"/>
      <c r="P2667" s="5"/>
    </row>
    <row r="2668" spans="2:16" ht="13.2" x14ac:dyDescent="0.25">
      <c r="B2668" s="18"/>
      <c r="C2668" s="19"/>
      <c r="D2668" s="19"/>
      <c r="O2668" s="5"/>
      <c r="P2668" s="5"/>
    </row>
    <row r="2669" spans="2:16" ht="13.2" x14ac:dyDescent="0.25">
      <c r="B2669" s="18"/>
      <c r="C2669" s="19"/>
      <c r="D2669" s="19"/>
      <c r="O2669" s="5"/>
      <c r="P2669" s="5"/>
    </row>
    <row r="2670" spans="2:16" ht="13.2" x14ac:dyDescent="0.25">
      <c r="B2670" s="18"/>
      <c r="C2670" s="19"/>
      <c r="D2670" s="19"/>
      <c r="O2670" s="5"/>
      <c r="P2670" s="5"/>
    </row>
    <row r="2671" spans="2:16" ht="13.2" x14ac:dyDescent="0.25">
      <c r="B2671" s="18"/>
      <c r="C2671" s="19"/>
      <c r="D2671" s="19"/>
      <c r="O2671" s="5"/>
      <c r="P2671" s="5"/>
    </row>
    <row r="2672" spans="2:16" ht="13.2" x14ac:dyDescent="0.25">
      <c r="B2672" s="18"/>
      <c r="C2672" s="19"/>
      <c r="D2672" s="19"/>
      <c r="O2672" s="5"/>
      <c r="P2672" s="5"/>
    </row>
    <row r="2673" spans="2:16" ht="13.2" x14ac:dyDescent="0.25">
      <c r="B2673" s="18"/>
      <c r="C2673" s="19"/>
      <c r="D2673" s="19"/>
      <c r="O2673" s="5"/>
      <c r="P2673" s="5"/>
    </row>
    <row r="2674" spans="2:16" ht="13.2" x14ac:dyDescent="0.25">
      <c r="B2674" s="18"/>
      <c r="C2674" s="19"/>
      <c r="D2674" s="19"/>
      <c r="O2674" s="5"/>
      <c r="P2674" s="5"/>
    </row>
    <row r="2675" spans="2:16" ht="13.2" x14ac:dyDescent="0.25">
      <c r="B2675" s="18"/>
      <c r="C2675" s="19"/>
      <c r="D2675" s="19"/>
      <c r="O2675" s="5"/>
      <c r="P2675" s="5"/>
    </row>
    <row r="2676" spans="2:16" ht="13.2" x14ac:dyDescent="0.25">
      <c r="B2676" s="18"/>
      <c r="C2676" s="19"/>
      <c r="D2676" s="19"/>
      <c r="O2676" s="5"/>
      <c r="P2676" s="5"/>
    </row>
    <row r="2677" spans="2:16" ht="13.2" x14ac:dyDescent="0.25">
      <c r="B2677" s="18"/>
      <c r="C2677" s="19"/>
      <c r="D2677" s="19"/>
      <c r="O2677" s="5"/>
      <c r="P2677" s="5"/>
    </row>
    <row r="2678" spans="2:16" ht="13.2" x14ac:dyDescent="0.25">
      <c r="B2678" s="18"/>
      <c r="C2678" s="19"/>
      <c r="D2678" s="19"/>
      <c r="O2678" s="5"/>
      <c r="P2678" s="5"/>
    </row>
    <row r="2679" spans="2:16" ht="13.2" x14ac:dyDescent="0.25">
      <c r="B2679" s="18"/>
      <c r="C2679" s="19"/>
      <c r="D2679" s="19"/>
      <c r="O2679" s="5"/>
      <c r="P2679" s="5"/>
    </row>
    <row r="2680" spans="2:16" ht="13.2" x14ac:dyDescent="0.25">
      <c r="B2680" s="18"/>
      <c r="C2680" s="19"/>
      <c r="D2680" s="19"/>
      <c r="O2680" s="5"/>
      <c r="P2680" s="5"/>
    </row>
    <row r="2681" spans="2:16" ht="13.2" x14ac:dyDescent="0.25">
      <c r="B2681" s="18"/>
      <c r="C2681" s="19"/>
      <c r="D2681" s="19"/>
      <c r="O2681" s="5"/>
      <c r="P2681" s="5"/>
    </row>
    <row r="2682" spans="2:16" ht="13.2" x14ac:dyDescent="0.25">
      <c r="B2682" s="18"/>
      <c r="C2682" s="19"/>
      <c r="D2682" s="19"/>
      <c r="O2682" s="5"/>
      <c r="P2682" s="5"/>
    </row>
    <row r="2683" spans="2:16" ht="13.2" x14ac:dyDescent="0.25">
      <c r="B2683" s="18"/>
      <c r="C2683" s="19"/>
      <c r="D2683" s="19"/>
      <c r="O2683" s="5"/>
      <c r="P2683" s="5"/>
    </row>
    <row r="2684" spans="2:16" ht="13.2" x14ac:dyDescent="0.25">
      <c r="B2684" s="18"/>
      <c r="C2684" s="19"/>
      <c r="D2684" s="19"/>
      <c r="O2684" s="5"/>
      <c r="P2684" s="5"/>
    </row>
    <row r="2685" spans="2:16" ht="13.2" x14ac:dyDescent="0.25">
      <c r="B2685" s="18"/>
      <c r="C2685" s="19"/>
      <c r="D2685" s="19"/>
      <c r="O2685" s="5"/>
      <c r="P2685" s="5"/>
    </row>
    <row r="2686" spans="2:16" ht="13.2" x14ac:dyDescent="0.25">
      <c r="B2686" s="18"/>
      <c r="C2686" s="19"/>
      <c r="D2686" s="19"/>
      <c r="O2686" s="5"/>
      <c r="P2686" s="5"/>
    </row>
    <row r="2687" spans="2:16" ht="13.2" x14ac:dyDescent="0.25">
      <c r="B2687" s="18"/>
      <c r="C2687" s="19"/>
      <c r="D2687" s="19"/>
      <c r="O2687" s="5"/>
      <c r="P2687" s="5"/>
    </row>
    <row r="2688" spans="2:16" ht="13.2" x14ac:dyDescent="0.25">
      <c r="B2688" s="18"/>
      <c r="C2688" s="19"/>
      <c r="D2688" s="19"/>
      <c r="O2688" s="5"/>
      <c r="P2688" s="5"/>
    </row>
    <row r="2689" spans="2:16" ht="13.2" x14ac:dyDescent="0.25">
      <c r="B2689" s="18"/>
      <c r="C2689" s="19"/>
      <c r="D2689" s="19"/>
      <c r="O2689" s="5"/>
      <c r="P2689" s="5"/>
    </row>
    <row r="2690" spans="2:16" ht="13.2" x14ac:dyDescent="0.25">
      <c r="B2690" s="18"/>
      <c r="C2690" s="19"/>
      <c r="D2690" s="19"/>
      <c r="O2690" s="5"/>
      <c r="P2690" s="5"/>
    </row>
    <row r="2691" spans="2:16" ht="13.2" x14ac:dyDescent="0.25">
      <c r="B2691" s="18"/>
      <c r="C2691" s="19"/>
      <c r="D2691" s="19"/>
      <c r="O2691" s="5"/>
      <c r="P2691" s="5"/>
    </row>
    <row r="2692" spans="2:16" ht="13.2" x14ac:dyDescent="0.25">
      <c r="B2692" s="18"/>
      <c r="C2692" s="19"/>
      <c r="D2692" s="19"/>
      <c r="O2692" s="5"/>
      <c r="P2692" s="5"/>
    </row>
    <row r="2693" spans="2:16" ht="13.2" x14ac:dyDescent="0.25">
      <c r="B2693" s="18"/>
      <c r="C2693" s="19"/>
      <c r="D2693" s="19"/>
      <c r="O2693" s="5"/>
      <c r="P2693" s="5"/>
    </row>
    <row r="2694" spans="2:16" ht="13.2" x14ac:dyDescent="0.25">
      <c r="B2694" s="18"/>
      <c r="C2694" s="19"/>
      <c r="D2694" s="19"/>
      <c r="O2694" s="5"/>
      <c r="P2694" s="5"/>
    </row>
    <row r="2695" spans="2:16" ht="13.2" x14ac:dyDescent="0.25">
      <c r="B2695" s="18"/>
      <c r="C2695" s="19"/>
      <c r="D2695" s="19"/>
      <c r="O2695" s="5"/>
      <c r="P2695" s="5"/>
    </row>
    <row r="2696" spans="2:16" ht="13.2" x14ac:dyDescent="0.25">
      <c r="B2696" s="18"/>
      <c r="C2696" s="19"/>
      <c r="D2696" s="19"/>
      <c r="O2696" s="5"/>
      <c r="P2696" s="5"/>
    </row>
    <row r="2697" spans="2:16" ht="13.2" x14ac:dyDescent="0.25">
      <c r="B2697" s="18"/>
      <c r="C2697" s="19"/>
      <c r="D2697" s="19"/>
      <c r="O2697" s="5"/>
      <c r="P2697" s="5"/>
    </row>
    <row r="2698" spans="2:16" ht="13.2" x14ac:dyDescent="0.25">
      <c r="B2698" s="18"/>
      <c r="C2698" s="19"/>
      <c r="D2698" s="19"/>
      <c r="O2698" s="5"/>
      <c r="P2698" s="5"/>
    </row>
    <row r="2699" spans="2:16" ht="13.2" x14ac:dyDescent="0.25">
      <c r="B2699" s="18"/>
      <c r="C2699" s="19"/>
      <c r="D2699" s="19"/>
      <c r="O2699" s="5"/>
      <c r="P2699" s="5"/>
    </row>
    <row r="2700" spans="2:16" ht="13.2" x14ac:dyDescent="0.25">
      <c r="B2700" s="18"/>
      <c r="C2700" s="19"/>
      <c r="D2700" s="19"/>
      <c r="O2700" s="5"/>
      <c r="P2700" s="5"/>
    </row>
    <row r="2701" spans="2:16" ht="13.2" x14ac:dyDescent="0.25">
      <c r="B2701" s="18"/>
      <c r="C2701" s="19"/>
      <c r="D2701" s="19"/>
      <c r="O2701" s="5"/>
      <c r="P2701" s="5"/>
    </row>
    <row r="2702" spans="2:16" ht="13.2" x14ac:dyDescent="0.25">
      <c r="B2702" s="18"/>
      <c r="C2702" s="19"/>
      <c r="D2702" s="19"/>
      <c r="O2702" s="5"/>
      <c r="P2702" s="5"/>
    </row>
    <row r="2703" spans="2:16" ht="13.2" x14ac:dyDescent="0.25">
      <c r="B2703" s="18"/>
      <c r="C2703" s="19"/>
      <c r="D2703" s="19"/>
      <c r="O2703" s="5"/>
      <c r="P2703" s="5"/>
    </row>
    <row r="2704" spans="2:16" ht="13.2" x14ac:dyDescent="0.25">
      <c r="B2704" s="18"/>
      <c r="C2704" s="19"/>
      <c r="D2704" s="19"/>
      <c r="O2704" s="5"/>
      <c r="P2704" s="5"/>
    </row>
    <row r="2705" spans="2:16" ht="13.2" x14ac:dyDescent="0.25">
      <c r="B2705" s="18"/>
      <c r="C2705" s="19"/>
      <c r="D2705" s="19"/>
      <c r="O2705" s="5"/>
      <c r="P2705" s="5"/>
    </row>
    <row r="2706" spans="2:16" ht="13.2" x14ac:dyDescent="0.25">
      <c r="B2706" s="18"/>
      <c r="C2706" s="19"/>
      <c r="D2706" s="19"/>
      <c r="O2706" s="5"/>
      <c r="P2706" s="5"/>
    </row>
    <row r="2707" spans="2:16" ht="13.2" x14ac:dyDescent="0.25">
      <c r="B2707" s="18"/>
      <c r="C2707" s="19"/>
      <c r="D2707" s="19"/>
      <c r="O2707" s="5"/>
      <c r="P2707" s="5"/>
    </row>
    <row r="2708" spans="2:16" ht="13.2" x14ac:dyDescent="0.25">
      <c r="B2708" s="18"/>
      <c r="C2708" s="19"/>
      <c r="D2708" s="19"/>
      <c r="O2708" s="5"/>
      <c r="P2708" s="5"/>
    </row>
    <row r="2709" spans="2:16" ht="13.2" x14ac:dyDescent="0.25">
      <c r="B2709" s="18"/>
      <c r="C2709" s="19"/>
      <c r="D2709" s="19"/>
      <c r="O2709" s="5"/>
      <c r="P2709" s="5"/>
    </row>
    <row r="2710" spans="2:16" ht="13.2" x14ac:dyDescent="0.25">
      <c r="B2710" s="18"/>
      <c r="C2710" s="19"/>
      <c r="D2710" s="19"/>
      <c r="O2710" s="5"/>
      <c r="P2710" s="5"/>
    </row>
    <row r="2711" spans="2:16" ht="13.2" x14ac:dyDescent="0.25">
      <c r="B2711" s="18"/>
      <c r="C2711" s="19"/>
      <c r="D2711" s="19"/>
      <c r="O2711" s="5"/>
      <c r="P2711" s="5"/>
    </row>
    <row r="2712" spans="2:16" ht="13.2" x14ac:dyDescent="0.25">
      <c r="B2712" s="18"/>
      <c r="C2712" s="19"/>
      <c r="D2712" s="19"/>
      <c r="O2712" s="5"/>
      <c r="P2712" s="5"/>
    </row>
    <row r="2713" spans="2:16" ht="13.2" x14ac:dyDescent="0.25">
      <c r="B2713" s="18"/>
      <c r="C2713" s="19"/>
      <c r="D2713" s="19"/>
      <c r="O2713" s="5"/>
      <c r="P2713" s="5"/>
    </row>
    <row r="2714" spans="2:16" ht="13.2" x14ac:dyDescent="0.25">
      <c r="B2714" s="18"/>
      <c r="C2714" s="19"/>
      <c r="D2714" s="19"/>
      <c r="O2714" s="5"/>
      <c r="P2714" s="5"/>
    </row>
    <row r="2715" spans="2:16" ht="13.2" x14ac:dyDescent="0.25">
      <c r="B2715" s="18"/>
      <c r="C2715" s="19"/>
      <c r="D2715" s="19"/>
      <c r="O2715" s="5"/>
      <c r="P2715" s="5"/>
    </row>
    <row r="2716" spans="2:16" ht="13.2" x14ac:dyDescent="0.25">
      <c r="B2716" s="18"/>
      <c r="C2716" s="19"/>
      <c r="D2716" s="19"/>
      <c r="O2716" s="5"/>
      <c r="P2716" s="5"/>
    </row>
    <row r="2717" spans="2:16" ht="13.2" x14ac:dyDescent="0.25">
      <c r="B2717" s="18"/>
      <c r="C2717" s="19"/>
      <c r="D2717" s="19"/>
      <c r="O2717" s="5"/>
      <c r="P2717" s="5"/>
    </row>
    <row r="2718" spans="2:16" ht="13.2" x14ac:dyDescent="0.25">
      <c r="B2718" s="18"/>
      <c r="C2718" s="19"/>
      <c r="D2718" s="19"/>
      <c r="O2718" s="5"/>
      <c r="P2718" s="5"/>
    </row>
    <row r="2719" spans="2:16" ht="13.2" x14ac:dyDescent="0.25">
      <c r="B2719" s="18"/>
      <c r="C2719" s="19"/>
      <c r="D2719" s="19"/>
      <c r="O2719" s="5"/>
      <c r="P2719" s="5"/>
    </row>
    <row r="2720" spans="2:16" ht="13.2" x14ac:dyDescent="0.25">
      <c r="B2720" s="18"/>
      <c r="C2720" s="19"/>
      <c r="D2720" s="19"/>
      <c r="O2720" s="5"/>
      <c r="P2720" s="5"/>
    </row>
    <row r="2721" spans="2:16" ht="13.2" x14ac:dyDescent="0.25">
      <c r="B2721" s="18"/>
      <c r="C2721" s="19"/>
      <c r="D2721" s="19"/>
      <c r="O2721" s="5"/>
      <c r="P2721" s="5"/>
    </row>
    <row r="2722" spans="2:16" ht="13.2" x14ac:dyDescent="0.25">
      <c r="B2722" s="18"/>
      <c r="C2722" s="19"/>
      <c r="D2722" s="19"/>
      <c r="O2722" s="5"/>
      <c r="P2722" s="5"/>
    </row>
    <row r="2723" spans="2:16" ht="13.2" x14ac:dyDescent="0.25">
      <c r="B2723" s="18"/>
      <c r="C2723" s="19"/>
      <c r="D2723" s="19"/>
      <c r="O2723" s="5"/>
      <c r="P2723" s="5"/>
    </row>
    <row r="2724" spans="2:16" ht="13.2" x14ac:dyDescent="0.25">
      <c r="B2724" s="18"/>
      <c r="C2724" s="19"/>
      <c r="D2724" s="19"/>
      <c r="O2724" s="5"/>
      <c r="P2724" s="5"/>
    </row>
    <row r="2725" spans="2:16" ht="13.2" x14ac:dyDescent="0.25">
      <c r="B2725" s="18"/>
      <c r="C2725" s="19"/>
      <c r="D2725" s="19"/>
      <c r="O2725" s="5"/>
      <c r="P2725" s="5"/>
    </row>
    <row r="2726" spans="2:16" ht="13.2" x14ac:dyDescent="0.25">
      <c r="B2726" s="18"/>
      <c r="C2726" s="19"/>
      <c r="D2726" s="19"/>
      <c r="O2726" s="5"/>
      <c r="P2726" s="5"/>
    </row>
    <row r="2727" spans="2:16" ht="13.2" x14ac:dyDescent="0.25">
      <c r="B2727" s="18"/>
      <c r="C2727" s="19"/>
      <c r="D2727" s="19"/>
      <c r="O2727" s="5"/>
      <c r="P2727" s="5"/>
    </row>
    <row r="2728" spans="2:16" ht="13.2" x14ac:dyDescent="0.25">
      <c r="B2728" s="18"/>
      <c r="C2728" s="19"/>
      <c r="D2728" s="19"/>
      <c r="O2728" s="5"/>
      <c r="P2728" s="5"/>
    </row>
    <row r="2729" spans="2:16" ht="13.2" x14ac:dyDescent="0.25">
      <c r="B2729" s="18"/>
      <c r="C2729" s="19"/>
      <c r="D2729" s="19"/>
      <c r="O2729" s="5"/>
      <c r="P2729" s="5"/>
    </row>
    <row r="2730" spans="2:16" ht="13.2" x14ac:dyDescent="0.25">
      <c r="B2730" s="18"/>
      <c r="C2730" s="19"/>
      <c r="D2730" s="19"/>
      <c r="O2730" s="5"/>
      <c r="P2730" s="5"/>
    </row>
    <row r="2731" spans="2:16" ht="13.2" x14ac:dyDescent="0.25">
      <c r="B2731" s="18"/>
      <c r="C2731" s="19"/>
      <c r="D2731" s="19"/>
      <c r="O2731" s="5"/>
      <c r="P2731" s="5"/>
    </row>
    <row r="2732" spans="2:16" ht="13.2" x14ac:dyDescent="0.25">
      <c r="B2732" s="18"/>
      <c r="C2732" s="19"/>
      <c r="D2732" s="19"/>
      <c r="O2732" s="5"/>
      <c r="P2732" s="5"/>
    </row>
    <row r="2733" spans="2:16" ht="13.2" x14ac:dyDescent="0.25">
      <c r="B2733" s="18"/>
      <c r="C2733" s="19"/>
      <c r="D2733" s="19"/>
      <c r="O2733" s="5"/>
      <c r="P2733" s="5"/>
    </row>
    <row r="2734" spans="2:16" ht="13.2" x14ac:dyDescent="0.25">
      <c r="B2734" s="18"/>
      <c r="C2734" s="19"/>
      <c r="D2734" s="19"/>
      <c r="O2734" s="5"/>
      <c r="P2734" s="5"/>
    </row>
    <row r="2735" spans="2:16" ht="13.2" x14ac:dyDescent="0.25">
      <c r="B2735" s="18"/>
      <c r="C2735" s="19"/>
      <c r="D2735" s="19"/>
      <c r="O2735" s="5"/>
      <c r="P2735" s="5"/>
    </row>
    <row r="2736" spans="2:16" ht="13.2" x14ac:dyDescent="0.25">
      <c r="B2736" s="18"/>
      <c r="C2736" s="19"/>
      <c r="D2736" s="19"/>
      <c r="O2736" s="5"/>
      <c r="P2736" s="5"/>
    </row>
    <row r="2737" spans="2:16" ht="13.2" x14ac:dyDescent="0.25">
      <c r="B2737" s="18"/>
      <c r="C2737" s="19"/>
      <c r="D2737" s="19"/>
      <c r="O2737" s="5"/>
      <c r="P2737" s="5"/>
    </row>
    <row r="2738" spans="2:16" ht="13.2" x14ac:dyDescent="0.25">
      <c r="B2738" s="18"/>
      <c r="C2738" s="19"/>
      <c r="D2738" s="19"/>
      <c r="O2738" s="5"/>
      <c r="P2738" s="5"/>
    </row>
    <row r="2739" spans="2:16" ht="13.2" x14ac:dyDescent="0.25">
      <c r="B2739" s="18"/>
      <c r="C2739" s="19"/>
      <c r="D2739" s="19"/>
      <c r="O2739" s="5"/>
      <c r="P2739" s="5"/>
    </row>
    <row r="2740" spans="2:16" ht="13.2" x14ac:dyDescent="0.25">
      <c r="B2740" s="18"/>
      <c r="C2740" s="19"/>
      <c r="D2740" s="19"/>
      <c r="O2740" s="5"/>
      <c r="P2740" s="5"/>
    </row>
    <row r="2741" spans="2:16" ht="13.2" x14ac:dyDescent="0.25">
      <c r="B2741" s="18"/>
      <c r="C2741" s="19"/>
      <c r="D2741" s="19"/>
      <c r="O2741" s="5"/>
      <c r="P2741" s="5"/>
    </row>
    <row r="2742" spans="2:16" ht="13.2" x14ac:dyDescent="0.25">
      <c r="B2742" s="18"/>
      <c r="C2742" s="19"/>
      <c r="D2742" s="19"/>
      <c r="O2742" s="5"/>
      <c r="P2742" s="5"/>
    </row>
    <row r="2743" spans="2:16" ht="13.2" x14ac:dyDescent="0.25">
      <c r="B2743" s="18"/>
      <c r="C2743" s="19"/>
      <c r="D2743" s="19"/>
      <c r="O2743" s="5"/>
      <c r="P2743" s="5"/>
    </row>
    <row r="2744" spans="2:16" ht="13.2" x14ac:dyDescent="0.25">
      <c r="B2744" s="18"/>
      <c r="C2744" s="19"/>
      <c r="D2744" s="19"/>
      <c r="O2744" s="5"/>
      <c r="P2744" s="5"/>
    </row>
    <row r="2745" spans="2:16" ht="13.2" x14ac:dyDescent="0.25">
      <c r="B2745" s="18"/>
      <c r="C2745" s="19"/>
      <c r="D2745" s="19"/>
      <c r="O2745" s="5"/>
      <c r="P2745" s="5"/>
    </row>
    <row r="2746" spans="2:16" ht="13.2" x14ac:dyDescent="0.25">
      <c r="B2746" s="18"/>
      <c r="C2746" s="19"/>
      <c r="D2746" s="19"/>
      <c r="O2746" s="5"/>
      <c r="P2746" s="5"/>
    </row>
    <row r="2747" spans="2:16" ht="13.2" x14ac:dyDescent="0.25">
      <c r="B2747" s="18"/>
      <c r="C2747" s="19"/>
      <c r="D2747" s="19"/>
      <c r="O2747" s="5"/>
      <c r="P2747" s="5"/>
    </row>
    <row r="2748" spans="2:16" ht="13.2" x14ac:dyDescent="0.25">
      <c r="B2748" s="18"/>
      <c r="C2748" s="19"/>
      <c r="D2748" s="19"/>
      <c r="O2748" s="5"/>
      <c r="P2748" s="5"/>
    </row>
    <row r="2749" spans="2:16" ht="13.2" x14ac:dyDescent="0.25">
      <c r="B2749" s="18"/>
      <c r="C2749" s="19"/>
      <c r="D2749" s="19"/>
      <c r="O2749" s="5"/>
      <c r="P2749" s="5"/>
    </row>
    <row r="2750" spans="2:16" ht="13.2" x14ac:dyDescent="0.25">
      <c r="B2750" s="18"/>
      <c r="C2750" s="19"/>
      <c r="D2750" s="19"/>
      <c r="O2750" s="5"/>
      <c r="P2750" s="5"/>
    </row>
    <row r="2751" spans="2:16" ht="13.2" x14ac:dyDescent="0.25">
      <c r="B2751" s="18"/>
      <c r="C2751" s="19"/>
      <c r="D2751" s="19"/>
      <c r="O2751" s="5"/>
      <c r="P2751" s="5"/>
    </row>
    <row r="2752" spans="2:16" ht="13.2" x14ac:dyDescent="0.25">
      <c r="B2752" s="18"/>
      <c r="C2752" s="19"/>
      <c r="D2752" s="19"/>
      <c r="O2752" s="5"/>
      <c r="P2752" s="5"/>
    </row>
    <row r="2753" spans="2:16" ht="13.2" x14ac:dyDescent="0.25">
      <c r="B2753" s="18"/>
      <c r="C2753" s="19"/>
      <c r="D2753" s="19"/>
      <c r="O2753" s="5"/>
      <c r="P2753" s="5"/>
    </row>
    <row r="2754" spans="2:16" ht="13.2" x14ac:dyDescent="0.25">
      <c r="B2754" s="18"/>
      <c r="C2754" s="19"/>
      <c r="D2754" s="19"/>
      <c r="O2754" s="5"/>
      <c r="P2754" s="5"/>
    </row>
    <row r="2755" spans="2:16" ht="13.2" x14ac:dyDescent="0.25">
      <c r="B2755" s="18"/>
      <c r="C2755" s="19"/>
      <c r="D2755" s="19"/>
      <c r="O2755" s="5"/>
      <c r="P2755" s="5"/>
    </row>
    <row r="2756" spans="2:16" ht="13.2" x14ac:dyDescent="0.25">
      <c r="B2756" s="18"/>
      <c r="C2756" s="19"/>
      <c r="D2756" s="19"/>
      <c r="O2756" s="5"/>
      <c r="P2756" s="5"/>
    </row>
    <row r="2757" spans="2:16" ht="13.2" x14ac:dyDescent="0.25">
      <c r="B2757" s="18"/>
      <c r="C2757" s="19"/>
      <c r="D2757" s="19"/>
      <c r="O2757" s="5"/>
      <c r="P2757" s="5"/>
    </row>
    <row r="2758" spans="2:16" ht="13.2" x14ac:dyDescent="0.25">
      <c r="B2758" s="18"/>
      <c r="C2758" s="19"/>
      <c r="D2758" s="19"/>
      <c r="O2758" s="5"/>
      <c r="P2758" s="5"/>
    </row>
    <row r="2759" spans="2:16" ht="13.2" x14ac:dyDescent="0.25">
      <c r="B2759" s="18"/>
      <c r="C2759" s="19"/>
      <c r="D2759" s="19"/>
      <c r="O2759" s="5"/>
      <c r="P2759" s="5"/>
    </row>
    <row r="2760" spans="2:16" ht="13.2" x14ac:dyDescent="0.25">
      <c r="B2760" s="18"/>
      <c r="C2760" s="19"/>
      <c r="D2760" s="19"/>
      <c r="O2760" s="5"/>
      <c r="P2760" s="5"/>
    </row>
    <row r="2761" spans="2:16" ht="13.2" x14ac:dyDescent="0.25">
      <c r="B2761" s="18"/>
      <c r="C2761" s="19"/>
      <c r="D2761" s="19"/>
      <c r="O2761" s="5"/>
      <c r="P2761" s="5"/>
    </row>
    <row r="2762" spans="2:16" ht="13.2" x14ac:dyDescent="0.25">
      <c r="B2762" s="18"/>
      <c r="C2762" s="19"/>
      <c r="D2762" s="19"/>
      <c r="O2762" s="5"/>
      <c r="P2762" s="5"/>
    </row>
    <row r="2763" spans="2:16" ht="13.2" x14ac:dyDescent="0.25">
      <c r="B2763" s="18"/>
      <c r="C2763" s="19"/>
      <c r="D2763" s="19"/>
      <c r="O2763" s="5"/>
      <c r="P2763" s="5"/>
    </row>
    <row r="2764" spans="2:16" ht="13.2" x14ac:dyDescent="0.25">
      <c r="B2764" s="18"/>
      <c r="C2764" s="19"/>
      <c r="D2764" s="19"/>
      <c r="O2764" s="5"/>
      <c r="P2764" s="5"/>
    </row>
    <row r="2765" spans="2:16" ht="13.2" x14ac:dyDescent="0.25">
      <c r="B2765" s="18"/>
      <c r="C2765" s="19"/>
      <c r="D2765" s="19"/>
      <c r="O2765" s="5"/>
      <c r="P2765" s="5"/>
    </row>
    <row r="2766" spans="2:16" ht="13.2" x14ac:dyDescent="0.25">
      <c r="B2766" s="18"/>
      <c r="C2766" s="19"/>
      <c r="D2766" s="19"/>
      <c r="O2766" s="5"/>
      <c r="P2766" s="5"/>
    </row>
    <row r="2767" spans="2:16" ht="13.2" x14ac:dyDescent="0.25">
      <c r="B2767" s="18"/>
      <c r="C2767" s="19"/>
      <c r="D2767" s="19"/>
      <c r="O2767" s="5"/>
      <c r="P2767" s="5"/>
    </row>
    <row r="2768" spans="2:16" ht="13.2" x14ac:dyDescent="0.25">
      <c r="B2768" s="18"/>
      <c r="C2768" s="19"/>
      <c r="D2768" s="19"/>
      <c r="O2768" s="5"/>
      <c r="P2768" s="5"/>
    </row>
    <row r="2769" spans="2:16" ht="13.2" x14ac:dyDescent="0.25">
      <c r="B2769" s="18"/>
      <c r="C2769" s="19"/>
      <c r="D2769" s="19"/>
      <c r="O2769" s="5"/>
      <c r="P2769" s="5"/>
    </row>
    <row r="2770" spans="2:16" ht="13.2" x14ac:dyDescent="0.25">
      <c r="B2770" s="18"/>
      <c r="C2770" s="19"/>
      <c r="D2770" s="19"/>
      <c r="O2770" s="5"/>
      <c r="P2770" s="5"/>
    </row>
    <row r="2771" spans="2:16" ht="13.2" x14ac:dyDescent="0.25">
      <c r="B2771" s="18"/>
      <c r="C2771" s="19"/>
      <c r="D2771" s="19"/>
      <c r="O2771" s="5"/>
      <c r="P2771" s="5"/>
    </row>
    <row r="2772" spans="2:16" ht="13.2" x14ac:dyDescent="0.25">
      <c r="B2772" s="18"/>
      <c r="C2772" s="19"/>
      <c r="D2772" s="19"/>
      <c r="O2772" s="5"/>
      <c r="P2772" s="5"/>
    </row>
    <row r="2773" spans="2:16" ht="13.2" x14ac:dyDescent="0.25">
      <c r="B2773" s="18"/>
      <c r="C2773" s="19"/>
      <c r="D2773" s="19"/>
      <c r="O2773" s="5"/>
      <c r="P2773" s="5"/>
    </row>
    <row r="2774" spans="2:16" ht="13.2" x14ac:dyDescent="0.25">
      <c r="B2774" s="18"/>
      <c r="C2774" s="19"/>
      <c r="D2774" s="19"/>
      <c r="O2774" s="5"/>
      <c r="P2774" s="5"/>
    </row>
    <row r="2775" spans="2:16" ht="13.2" x14ac:dyDescent="0.25">
      <c r="B2775" s="18"/>
      <c r="C2775" s="19"/>
      <c r="D2775" s="19"/>
      <c r="O2775" s="5"/>
      <c r="P2775" s="5"/>
    </row>
    <row r="2776" spans="2:16" ht="13.2" x14ac:dyDescent="0.25">
      <c r="B2776" s="18"/>
      <c r="C2776" s="19"/>
      <c r="D2776" s="19"/>
      <c r="O2776" s="5"/>
      <c r="P2776" s="5"/>
    </row>
    <row r="2777" spans="2:16" ht="13.2" x14ac:dyDescent="0.25">
      <c r="B2777" s="18"/>
      <c r="C2777" s="19"/>
      <c r="D2777" s="19"/>
      <c r="O2777" s="5"/>
      <c r="P2777" s="5"/>
    </row>
    <row r="2778" spans="2:16" ht="13.2" x14ac:dyDescent="0.25">
      <c r="B2778" s="18"/>
      <c r="C2778" s="19"/>
      <c r="D2778" s="19"/>
      <c r="O2778" s="5"/>
      <c r="P2778" s="5"/>
    </row>
    <row r="2779" spans="2:16" ht="13.2" x14ac:dyDescent="0.25">
      <c r="B2779" s="18"/>
      <c r="C2779" s="19"/>
      <c r="D2779" s="19"/>
      <c r="O2779" s="5"/>
      <c r="P2779" s="5"/>
    </row>
    <row r="2780" spans="2:16" ht="13.2" x14ac:dyDescent="0.25">
      <c r="B2780" s="18"/>
      <c r="C2780" s="19"/>
      <c r="D2780" s="19"/>
      <c r="O2780" s="5"/>
      <c r="P2780" s="5"/>
    </row>
    <row r="2781" spans="2:16" ht="13.2" x14ac:dyDescent="0.25">
      <c r="B2781" s="18"/>
      <c r="C2781" s="19"/>
      <c r="D2781" s="19"/>
      <c r="O2781" s="5"/>
      <c r="P2781" s="5"/>
    </row>
    <row r="2782" spans="2:16" ht="13.2" x14ac:dyDescent="0.25">
      <c r="B2782" s="18"/>
      <c r="C2782" s="19"/>
      <c r="D2782" s="19"/>
      <c r="O2782" s="5"/>
      <c r="P2782" s="5"/>
    </row>
    <row r="2783" spans="2:16" ht="13.2" x14ac:dyDescent="0.25">
      <c r="B2783" s="18"/>
      <c r="C2783" s="19"/>
      <c r="D2783" s="19"/>
      <c r="O2783" s="5"/>
      <c r="P2783" s="5"/>
    </row>
    <row r="2784" spans="2:16" ht="13.2" x14ac:dyDescent="0.25">
      <c r="B2784" s="18"/>
      <c r="C2784" s="19"/>
      <c r="D2784" s="19"/>
      <c r="O2784" s="5"/>
      <c r="P2784" s="5"/>
    </row>
    <row r="2785" spans="2:16" ht="13.2" x14ac:dyDescent="0.25">
      <c r="B2785" s="18"/>
      <c r="C2785" s="19"/>
      <c r="D2785" s="19"/>
      <c r="O2785" s="5"/>
      <c r="P2785" s="5"/>
    </row>
    <row r="2786" spans="2:16" ht="13.2" x14ac:dyDescent="0.25">
      <c r="B2786" s="18"/>
      <c r="C2786" s="19"/>
      <c r="D2786" s="19"/>
      <c r="O2786" s="5"/>
      <c r="P2786" s="5"/>
    </row>
    <row r="2787" spans="2:16" ht="13.2" x14ac:dyDescent="0.25">
      <c r="B2787" s="18"/>
      <c r="C2787" s="19"/>
      <c r="D2787" s="19"/>
      <c r="O2787" s="5"/>
      <c r="P2787" s="5"/>
    </row>
    <row r="2788" spans="2:16" ht="13.2" x14ac:dyDescent="0.25">
      <c r="B2788" s="18"/>
      <c r="C2788" s="19"/>
      <c r="D2788" s="19"/>
      <c r="O2788" s="5"/>
      <c r="P2788" s="5"/>
    </row>
    <row r="2789" spans="2:16" ht="13.2" x14ac:dyDescent="0.25">
      <c r="B2789" s="18"/>
      <c r="C2789" s="19"/>
      <c r="D2789" s="19"/>
      <c r="O2789" s="5"/>
      <c r="P2789" s="5"/>
    </row>
    <row r="2790" spans="2:16" ht="13.2" x14ac:dyDescent="0.25">
      <c r="B2790" s="18"/>
      <c r="C2790" s="19"/>
      <c r="D2790" s="19"/>
      <c r="O2790" s="5"/>
      <c r="P2790" s="5"/>
    </row>
    <row r="2791" spans="2:16" ht="13.2" x14ac:dyDescent="0.25">
      <c r="B2791" s="18"/>
      <c r="C2791" s="19"/>
      <c r="D2791" s="19"/>
      <c r="O2791" s="5"/>
      <c r="P2791" s="5"/>
    </row>
    <row r="2792" spans="2:16" ht="13.2" x14ac:dyDescent="0.25">
      <c r="B2792" s="18"/>
      <c r="C2792" s="19"/>
      <c r="D2792" s="19"/>
      <c r="O2792" s="5"/>
      <c r="P2792" s="5"/>
    </row>
    <row r="2793" spans="2:16" ht="13.2" x14ac:dyDescent="0.25">
      <c r="B2793" s="18"/>
      <c r="C2793" s="19"/>
      <c r="D2793" s="19"/>
      <c r="O2793" s="5"/>
      <c r="P2793" s="5"/>
    </row>
    <row r="2794" spans="2:16" ht="13.2" x14ac:dyDescent="0.25">
      <c r="B2794" s="18"/>
      <c r="C2794" s="19"/>
      <c r="D2794" s="19"/>
      <c r="O2794" s="5"/>
      <c r="P2794" s="5"/>
    </row>
    <row r="2795" spans="2:16" ht="13.2" x14ac:dyDescent="0.25">
      <c r="B2795" s="18"/>
      <c r="C2795" s="19"/>
      <c r="D2795" s="19"/>
      <c r="O2795" s="5"/>
      <c r="P2795" s="5"/>
    </row>
    <row r="2796" spans="2:16" ht="13.2" x14ac:dyDescent="0.25">
      <c r="B2796" s="18"/>
      <c r="C2796" s="19"/>
      <c r="D2796" s="19"/>
      <c r="O2796" s="5"/>
      <c r="P2796" s="5"/>
    </row>
    <row r="2797" spans="2:16" ht="13.2" x14ac:dyDescent="0.25">
      <c r="B2797" s="18"/>
      <c r="C2797" s="19"/>
      <c r="D2797" s="19"/>
      <c r="O2797" s="5"/>
      <c r="P2797" s="5"/>
    </row>
    <row r="2798" spans="2:16" ht="13.2" x14ac:dyDescent="0.25">
      <c r="B2798" s="18"/>
      <c r="C2798" s="19"/>
      <c r="D2798" s="19"/>
      <c r="O2798" s="5"/>
      <c r="P2798" s="5"/>
    </row>
    <row r="2799" spans="2:16" ht="13.2" x14ac:dyDescent="0.25">
      <c r="B2799" s="18"/>
      <c r="C2799" s="19"/>
      <c r="D2799" s="19"/>
      <c r="O2799" s="5"/>
      <c r="P2799" s="5"/>
    </row>
    <row r="2800" spans="2:16" ht="13.2" x14ac:dyDescent="0.25">
      <c r="B2800" s="18"/>
      <c r="C2800" s="19"/>
      <c r="D2800" s="19"/>
      <c r="O2800" s="5"/>
      <c r="P2800" s="5"/>
    </row>
    <row r="2801" spans="2:16" ht="13.2" x14ac:dyDescent="0.25">
      <c r="B2801" s="18"/>
      <c r="C2801" s="19"/>
      <c r="D2801" s="19"/>
      <c r="O2801" s="5"/>
      <c r="P2801" s="5"/>
    </row>
    <row r="2802" spans="2:16" ht="13.2" x14ac:dyDescent="0.25">
      <c r="B2802" s="18"/>
      <c r="C2802" s="19"/>
      <c r="D2802" s="19"/>
      <c r="O2802" s="5"/>
      <c r="P2802" s="5"/>
    </row>
    <row r="2803" spans="2:16" ht="13.2" x14ac:dyDescent="0.25">
      <c r="B2803" s="18"/>
      <c r="C2803" s="19"/>
      <c r="D2803" s="19"/>
      <c r="O2803" s="5"/>
      <c r="P2803" s="5"/>
    </row>
    <row r="2804" spans="2:16" ht="13.2" x14ac:dyDescent="0.25">
      <c r="B2804" s="18"/>
      <c r="C2804" s="19"/>
      <c r="D2804" s="19"/>
      <c r="O2804" s="5"/>
      <c r="P2804" s="5"/>
    </row>
    <row r="2805" spans="2:16" ht="13.2" x14ac:dyDescent="0.25">
      <c r="B2805" s="18"/>
      <c r="C2805" s="19"/>
      <c r="D2805" s="19"/>
      <c r="O2805" s="5"/>
      <c r="P2805" s="5"/>
    </row>
    <row r="2806" spans="2:16" ht="13.2" x14ac:dyDescent="0.25">
      <c r="B2806" s="18"/>
      <c r="C2806" s="19"/>
      <c r="D2806" s="19"/>
      <c r="O2806" s="5"/>
      <c r="P2806" s="5"/>
    </row>
    <row r="2807" spans="2:16" ht="13.2" x14ac:dyDescent="0.25">
      <c r="B2807" s="18"/>
      <c r="C2807" s="19"/>
      <c r="D2807" s="19"/>
      <c r="O2807" s="5"/>
      <c r="P2807" s="5"/>
    </row>
    <row r="2808" spans="2:16" ht="13.2" x14ac:dyDescent="0.25">
      <c r="B2808" s="18"/>
      <c r="C2808" s="19"/>
      <c r="D2808" s="19"/>
      <c r="O2808" s="5"/>
      <c r="P2808" s="5"/>
    </row>
    <row r="2809" spans="2:16" ht="13.2" x14ac:dyDescent="0.25">
      <c r="B2809" s="18"/>
      <c r="C2809" s="19"/>
      <c r="D2809" s="19"/>
      <c r="O2809" s="5"/>
      <c r="P2809" s="5"/>
    </row>
    <row r="2810" spans="2:16" ht="13.2" x14ac:dyDescent="0.25">
      <c r="B2810" s="18"/>
      <c r="C2810" s="19"/>
      <c r="D2810" s="19"/>
      <c r="O2810" s="5"/>
      <c r="P2810" s="5"/>
    </row>
    <row r="2811" spans="2:16" ht="13.2" x14ac:dyDescent="0.25">
      <c r="B2811" s="18"/>
      <c r="C2811" s="19"/>
      <c r="D2811" s="19"/>
      <c r="O2811" s="5"/>
      <c r="P2811" s="5"/>
    </row>
    <row r="2812" spans="2:16" ht="13.2" x14ac:dyDescent="0.25">
      <c r="B2812" s="18"/>
      <c r="C2812" s="19"/>
      <c r="D2812" s="19"/>
      <c r="O2812" s="5"/>
      <c r="P2812" s="5"/>
    </row>
    <row r="2813" spans="2:16" ht="13.2" x14ac:dyDescent="0.25">
      <c r="B2813" s="18"/>
      <c r="C2813" s="19"/>
      <c r="D2813" s="19"/>
      <c r="O2813" s="5"/>
      <c r="P2813" s="5"/>
    </row>
    <row r="2814" spans="2:16" ht="13.2" x14ac:dyDescent="0.25">
      <c r="B2814" s="18"/>
      <c r="C2814" s="19"/>
      <c r="D2814" s="19"/>
      <c r="O2814" s="5"/>
      <c r="P2814" s="5"/>
    </row>
    <row r="2815" spans="2:16" ht="13.2" x14ac:dyDescent="0.25">
      <c r="B2815" s="18"/>
      <c r="C2815" s="19"/>
      <c r="D2815" s="19"/>
      <c r="O2815" s="5"/>
      <c r="P2815" s="5"/>
    </row>
    <row r="2816" spans="2:16" ht="13.2" x14ac:dyDescent="0.25">
      <c r="B2816" s="18"/>
      <c r="C2816" s="19"/>
      <c r="D2816" s="19"/>
      <c r="O2816" s="5"/>
      <c r="P2816" s="5"/>
    </row>
    <row r="2817" spans="2:16" ht="13.2" x14ac:dyDescent="0.25">
      <c r="B2817" s="18"/>
      <c r="C2817" s="19"/>
      <c r="D2817" s="19"/>
      <c r="O2817" s="5"/>
      <c r="P2817" s="5"/>
    </row>
    <row r="2818" spans="2:16" ht="13.2" x14ac:dyDescent="0.25">
      <c r="B2818" s="18"/>
      <c r="C2818" s="19"/>
      <c r="D2818" s="19"/>
      <c r="O2818" s="5"/>
      <c r="P2818" s="5"/>
    </row>
    <row r="2819" spans="2:16" ht="13.2" x14ac:dyDescent="0.25">
      <c r="B2819" s="18"/>
      <c r="C2819" s="19"/>
      <c r="D2819" s="19"/>
      <c r="O2819" s="5"/>
      <c r="P2819" s="5"/>
    </row>
    <row r="2820" spans="2:16" ht="13.2" x14ac:dyDescent="0.25">
      <c r="B2820" s="18"/>
      <c r="C2820" s="19"/>
      <c r="D2820" s="19"/>
      <c r="O2820" s="5"/>
      <c r="P2820" s="5"/>
    </row>
    <row r="2821" spans="2:16" ht="13.2" x14ac:dyDescent="0.25">
      <c r="B2821" s="18"/>
      <c r="C2821" s="19"/>
      <c r="D2821" s="19"/>
      <c r="O2821" s="5"/>
      <c r="P2821" s="5"/>
    </row>
    <row r="2822" spans="2:16" ht="13.2" x14ac:dyDescent="0.25">
      <c r="B2822" s="18"/>
      <c r="C2822" s="19"/>
      <c r="D2822" s="19"/>
      <c r="O2822" s="5"/>
      <c r="P2822" s="5"/>
    </row>
    <row r="2823" spans="2:16" ht="13.2" x14ac:dyDescent="0.25">
      <c r="B2823" s="18"/>
      <c r="C2823" s="19"/>
      <c r="D2823" s="19"/>
      <c r="O2823" s="5"/>
      <c r="P2823" s="5"/>
    </row>
    <row r="2824" spans="2:16" ht="13.2" x14ac:dyDescent="0.25">
      <c r="B2824" s="18"/>
      <c r="C2824" s="19"/>
      <c r="D2824" s="19"/>
      <c r="O2824" s="5"/>
      <c r="P2824" s="5"/>
    </row>
    <row r="2825" spans="2:16" ht="13.2" x14ac:dyDescent="0.25">
      <c r="B2825" s="18"/>
      <c r="C2825" s="19"/>
      <c r="D2825" s="19"/>
      <c r="O2825" s="5"/>
      <c r="P2825" s="5"/>
    </row>
    <row r="2826" spans="2:16" ht="13.2" x14ac:dyDescent="0.25">
      <c r="B2826" s="18"/>
      <c r="C2826" s="19"/>
      <c r="D2826" s="19"/>
      <c r="O2826" s="5"/>
      <c r="P2826" s="5"/>
    </row>
    <row r="2827" spans="2:16" ht="13.2" x14ac:dyDescent="0.25">
      <c r="B2827" s="18"/>
      <c r="C2827" s="19"/>
      <c r="D2827" s="19"/>
      <c r="O2827" s="5"/>
      <c r="P2827" s="5"/>
    </row>
    <row r="2828" spans="2:16" ht="13.2" x14ac:dyDescent="0.25">
      <c r="B2828" s="18"/>
      <c r="C2828" s="19"/>
      <c r="D2828" s="19"/>
      <c r="O2828" s="5"/>
      <c r="P2828" s="5"/>
    </row>
    <row r="2829" spans="2:16" ht="13.2" x14ac:dyDescent="0.25">
      <c r="B2829" s="18"/>
      <c r="C2829" s="19"/>
      <c r="D2829" s="19"/>
      <c r="O2829" s="5"/>
      <c r="P2829" s="5"/>
    </row>
    <row r="2830" spans="2:16" ht="13.2" x14ac:dyDescent="0.25">
      <c r="B2830" s="18"/>
      <c r="C2830" s="19"/>
      <c r="D2830" s="19"/>
      <c r="O2830" s="5"/>
      <c r="P2830" s="5"/>
    </row>
    <row r="2831" spans="2:16" ht="13.2" x14ac:dyDescent="0.25">
      <c r="B2831" s="18"/>
      <c r="C2831" s="19"/>
      <c r="D2831" s="19"/>
      <c r="O2831" s="5"/>
      <c r="P2831" s="5"/>
    </row>
    <row r="2832" spans="2:16" ht="13.2" x14ac:dyDescent="0.25">
      <c r="B2832" s="18"/>
      <c r="C2832" s="19"/>
      <c r="D2832" s="19"/>
      <c r="O2832" s="5"/>
      <c r="P2832" s="5"/>
    </row>
    <row r="2833" spans="2:16" ht="13.2" x14ac:dyDescent="0.25">
      <c r="B2833" s="18"/>
      <c r="C2833" s="19"/>
      <c r="D2833" s="19"/>
      <c r="O2833" s="5"/>
      <c r="P2833" s="5"/>
    </row>
    <row r="2834" spans="2:16" ht="13.2" x14ac:dyDescent="0.25">
      <c r="B2834" s="18"/>
      <c r="C2834" s="19"/>
      <c r="D2834" s="19"/>
      <c r="O2834" s="5"/>
      <c r="P2834" s="5"/>
    </row>
    <row r="2835" spans="2:16" ht="13.2" x14ac:dyDescent="0.25">
      <c r="B2835" s="18"/>
      <c r="C2835" s="19"/>
      <c r="D2835" s="19"/>
      <c r="O2835" s="5"/>
      <c r="P2835" s="5"/>
    </row>
    <row r="2836" spans="2:16" ht="13.2" x14ac:dyDescent="0.25">
      <c r="B2836" s="18"/>
      <c r="C2836" s="19"/>
      <c r="D2836" s="19"/>
      <c r="O2836" s="5"/>
      <c r="P2836" s="5"/>
    </row>
    <row r="2837" spans="2:16" ht="13.2" x14ac:dyDescent="0.25">
      <c r="B2837" s="18"/>
      <c r="C2837" s="19"/>
      <c r="D2837" s="19"/>
      <c r="O2837" s="5"/>
      <c r="P2837" s="5"/>
    </row>
    <row r="2838" spans="2:16" ht="13.2" x14ac:dyDescent="0.25">
      <c r="B2838" s="18"/>
      <c r="C2838" s="19"/>
      <c r="D2838" s="19"/>
      <c r="O2838" s="5"/>
      <c r="P2838" s="5"/>
    </row>
    <row r="2839" spans="2:16" ht="13.2" x14ac:dyDescent="0.25">
      <c r="B2839" s="18"/>
      <c r="C2839" s="19"/>
      <c r="D2839" s="19"/>
      <c r="O2839" s="5"/>
      <c r="P2839" s="5"/>
    </row>
    <row r="2840" spans="2:16" ht="13.2" x14ac:dyDescent="0.25">
      <c r="B2840" s="18"/>
      <c r="C2840" s="19"/>
      <c r="D2840" s="19"/>
      <c r="O2840" s="5"/>
      <c r="P2840" s="5"/>
    </row>
    <row r="2841" spans="2:16" ht="13.2" x14ac:dyDescent="0.25">
      <c r="B2841" s="18"/>
      <c r="C2841" s="19"/>
      <c r="D2841" s="19"/>
      <c r="O2841" s="5"/>
      <c r="P2841" s="5"/>
    </row>
    <row r="2842" spans="2:16" ht="13.2" x14ac:dyDescent="0.25">
      <c r="B2842" s="18"/>
      <c r="C2842" s="19"/>
      <c r="D2842" s="19"/>
      <c r="O2842" s="5"/>
      <c r="P2842" s="5"/>
    </row>
    <row r="2843" spans="2:16" ht="13.2" x14ac:dyDescent="0.25">
      <c r="B2843" s="18"/>
      <c r="C2843" s="19"/>
      <c r="D2843" s="19"/>
      <c r="O2843" s="5"/>
      <c r="P2843" s="5"/>
    </row>
    <row r="2844" spans="2:16" ht="13.2" x14ac:dyDescent="0.25">
      <c r="B2844" s="18"/>
      <c r="C2844" s="19"/>
      <c r="D2844" s="19"/>
      <c r="O2844" s="5"/>
      <c r="P2844" s="5"/>
    </row>
    <row r="2845" spans="2:16" ht="13.2" x14ac:dyDescent="0.25">
      <c r="B2845" s="18"/>
      <c r="C2845" s="19"/>
      <c r="D2845" s="19"/>
      <c r="O2845" s="5"/>
      <c r="P2845" s="5"/>
    </row>
    <row r="2846" spans="2:16" ht="13.2" x14ac:dyDescent="0.25">
      <c r="B2846" s="18"/>
      <c r="C2846" s="19"/>
      <c r="D2846" s="19"/>
      <c r="O2846" s="5"/>
      <c r="P2846" s="5"/>
    </row>
    <row r="2847" spans="2:16" ht="13.2" x14ac:dyDescent="0.25">
      <c r="B2847" s="18"/>
      <c r="C2847" s="19"/>
      <c r="D2847" s="19"/>
      <c r="O2847" s="5"/>
      <c r="P2847" s="5"/>
    </row>
    <row r="2848" spans="2:16" ht="13.2" x14ac:dyDescent="0.25">
      <c r="B2848" s="18"/>
      <c r="C2848" s="19"/>
      <c r="D2848" s="19"/>
      <c r="O2848" s="5"/>
      <c r="P2848" s="5"/>
    </row>
    <row r="2849" spans="2:16" ht="13.2" x14ac:dyDescent="0.25">
      <c r="B2849" s="18"/>
      <c r="C2849" s="19"/>
      <c r="D2849" s="19"/>
      <c r="O2849" s="5"/>
      <c r="P2849" s="5"/>
    </row>
    <row r="2850" spans="2:16" ht="13.2" x14ac:dyDescent="0.25">
      <c r="B2850" s="18"/>
      <c r="C2850" s="19"/>
      <c r="D2850" s="19"/>
      <c r="O2850" s="5"/>
      <c r="P2850" s="5"/>
    </row>
    <row r="2851" spans="2:16" ht="13.2" x14ac:dyDescent="0.25">
      <c r="B2851" s="18"/>
      <c r="C2851" s="19"/>
      <c r="D2851" s="19"/>
      <c r="O2851" s="5"/>
      <c r="P2851" s="5"/>
    </row>
    <row r="2852" spans="2:16" ht="13.2" x14ac:dyDescent="0.25">
      <c r="B2852" s="18"/>
      <c r="C2852" s="19"/>
      <c r="D2852" s="19"/>
      <c r="O2852" s="5"/>
      <c r="P2852" s="5"/>
    </row>
    <row r="2853" spans="2:16" ht="13.2" x14ac:dyDescent="0.25">
      <c r="B2853" s="18"/>
      <c r="C2853" s="19"/>
      <c r="D2853" s="19"/>
      <c r="O2853" s="5"/>
      <c r="P2853" s="5"/>
    </row>
    <row r="2854" spans="2:16" ht="13.2" x14ac:dyDescent="0.25">
      <c r="B2854" s="18"/>
      <c r="C2854" s="19"/>
      <c r="D2854" s="19"/>
      <c r="O2854" s="5"/>
      <c r="P2854" s="5"/>
    </row>
    <row r="2855" spans="2:16" ht="13.2" x14ac:dyDescent="0.25">
      <c r="B2855" s="18"/>
      <c r="C2855" s="19"/>
      <c r="D2855" s="19"/>
      <c r="O2855" s="5"/>
      <c r="P2855" s="5"/>
    </row>
    <row r="2856" spans="2:16" ht="13.2" x14ac:dyDescent="0.25">
      <c r="B2856" s="18"/>
      <c r="C2856" s="19"/>
      <c r="D2856" s="19"/>
      <c r="O2856" s="5"/>
      <c r="P2856" s="5"/>
    </row>
    <row r="2857" spans="2:16" ht="13.2" x14ac:dyDescent="0.25">
      <c r="B2857" s="18"/>
      <c r="C2857" s="19"/>
      <c r="D2857" s="19"/>
      <c r="O2857" s="5"/>
      <c r="P2857" s="5"/>
    </row>
    <row r="2858" spans="2:16" ht="13.2" x14ac:dyDescent="0.25">
      <c r="B2858" s="18"/>
      <c r="C2858" s="19"/>
      <c r="D2858" s="19"/>
      <c r="O2858" s="5"/>
      <c r="P2858" s="5"/>
    </row>
    <row r="2859" spans="2:16" ht="13.2" x14ac:dyDescent="0.25">
      <c r="B2859" s="18"/>
      <c r="C2859" s="19"/>
      <c r="D2859" s="19"/>
      <c r="O2859" s="5"/>
      <c r="P2859" s="5"/>
    </row>
    <row r="2860" spans="2:16" ht="13.2" x14ac:dyDescent="0.25">
      <c r="B2860" s="18"/>
      <c r="C2860" s="19"/>
      <c r="D2860" s="19"/>
      <c r="O2860" s="5"/>
      <c r="P2860" s="5"/>
    </row>
    <row r="2861" spans="2:16" ht="13.2" x14ac:dyDescent="0.25">
      <c r="B2861" s="18"/>
      <c r="C2861" s="19"/>
      <c r="D2861" s="19"/>
      <c r="O2861" s="5"/>
      <c r="P2861" s="5"/>
    </row>
    <row r="2862" spans="2:16" ht="13.2" x14ac:dyDescent="0.25">
      <c r="B2862" s="18"/>
      <c r="C2862" s="19"/>
      <c r="D2862" s="19"/>
      <c r="O2862" s="5"/>
      <c r="P2862" s="5"/>
    </row>
    <row r="2863" spans="2:16" ht="13.2" x14ac:dyDescent="0.25">
      <c r="B2863" s="18"/>
      <c r="C2863" s="19"/>
      <c r="D2863" s="19"/>
      <c r="O2863" s="5"/>
      <c r="P2863" s="5"/>
    </row>
    <row r="2864" spans="2:16" ht="13.2" x14ac:dyDescent="0.25">
      <c r="B2864" s="18"/>
      <c r="C2864" s="19"/>
      <c r="D2864" s="19"/>
      <c r="O2864" s="5"/>
      <c r="P2864" s="5"/>
    </row>
    <row r="2865" spans="2:16" ht="13.2" x14ac:dyDescent="0.25">
      <c r="B2865" s="18"/>
      <c r="C2865" s="19"/>
      <c r="D2865" s="19"/>
      <c r="O2865" s="5"/>
      <c r="P2865" s="5"/>
    </row>
    <row r="2866" spans="2:16" ht="13.2" x14ac:dyDescent="0.25">
      <c r="B2866" s="18"/>
      <c r="C2866" s="19"/>
      <c r="D2866" s="19"/>
      <c r="O2866" s="5"/>
      <c r="P2866" s="5"/>
    </row>
    <row r="2867" spans="2:16" ht="13.2" x14ac:dyDescent="0.25">
      <c r="B2867" s="18"/>
      <c r="C2867" s="19"/>
      <c r="D2867" s="19"/>
      <c r="O2867" s="5"/>
      <c r="P2867" s="5"/>
    </row>
    <row r="2868" spans="2:16" ht="13.2" x14ac:dyDescent="0.25">
      <c r="B2868" s="18"/>
      <c r="C2868" s="19"/>
      <c r="D2868" s="19"/>
      <c r="O2868" s="5"/>
      <c r="P2868" s="5"/>
    </row>
    <row r="2869" spans="2:16" ht="13.2" x14ac:dyDescent="0.25">
      <c r="B2869" s="18"/>
      <c r="C2869" s="19"/>
      <c r="D2869" s="19"/>
      <c r="O2869" s="5"/>
      <c r="P2869" s="5"/>
    </row>
    <row r="2870" spans="2:16" ht="13.2" x14ac:dyDescent="0.25">
      <c r="B2870" s="18"/>
      <c r="C2870" s="19"/>
      <c r="D2870" s="19"/>
      <c r="O2870" s="5"/>
      <c r="P2870" s="5"/>
    </row>
    <row r="2871" spans="2:16" ht="13.2" x14ac:dyDescent="0.25">
      <c r="B2871" s="18"/>
      <c r="C2871" s="19"/>
      <c r="D2871" s="19"/>
      <c r="O2871" s="5"/>
      <c r="P2871" s="5"/>
    </row>
    <row r="2872" spans="2:16" ht="13.2" x14ac:dyDescent="0.25">
      <c r="B2872" s="18"/>
      <c r="C2872" s="19"/>
      <c r="D2872" s="19"/>
      <c r="O2872" s="5"/>
      <c r="P2872" s="5"/>
    </row>
    <row r="2873" spans="2:16" ht="13.2" x14ac:dyDescent="0.25">
      <c r="B2873" s="18"/>
      <c r="C2873" s="19"/>
      <c r="D2873" s="19"/>
      <c r="O2873" s="5"/>
      <c r="P2873" s="5"/>
    </row>
    <row r="2874" spans="2:16" ht="13.2" x14ac:dyDescent="0.25">
      <c r="B2874" s="18"/>
      <c r="C2874" s="19"/>
      <c r="D2874" s="19"/>
      <c r="O2874" s="5"/>
      <c r="P2874" s="5"/>
    </row>
    <row r="2875" spans="2:16" ht="13.2" x14ac:dyDescent="0.25">
      <c r="B2875" s="18"/>
      <c r="C2875" s="19"/>
      <c r="D2875" s="19"/>
      <c r="O2875" s="5"/>
      <c r="P2875" s="5"/>
    </row>
    <row r="2876" spans="2:16" ht="13.2" x14ac:dyDescent="0.25">
      <c r="B2876" s="18"/>
      <c r="C2876" s="19"/>
      <c r="D2876" s="19"/>
      <c r="O2876" s="5"/>
      <c r="P2876" s="5"/>
    </row>
    <row r="2877" spans="2:16" ht="13.2" x14ac:dyDescent="0.25">
      <c r="B2877" s="18"/>
      <c r="C2877" s="19"/>
      <c r="D2877" s="19"/>
      <c r="O2877" s="5"/>
      <c r="P2877" s="5"/>
    </row>
    <row r="2878" spans="2:16" ht="13.2" x14ac:dyDescent="0.25">
      <c r="B2878" s="18"/>
      <c r="C2878" s="19"/>
      <c r="D2878" s="19"/>
      <c r="O2878" s="5"/>
      <c r="P2878" s="5"/>
    </row>
    <row r="2879" spans="2:16" ht="13.2" x14ac:dyDescent="0.25">
      <c r="B2879" s="18"/>
      <c r="C2879" s="19"/>
      <c r="D2879" s="19"/>
      <c r="O2879" s="5"/>
      <c r="P2879" s="5"/>
    </row>
    <row r="2880" spans="2:16" ht="13.2" x14ac:dyDescent="0.25">
      <c r="B2880" s="18"/>
      <c r="C2880" s="19"/>
      <c r="D2880" s="19"/>
      <c r="O2880" s="5"/>
      <c r="P2880" s="5"/>
    </row>
    <row r="2881" spans="2:16" ht="13.2" x14ac:dyDescent="0.25">
      <c r="B2881" s="18"/>
      <c r="C2881" s="19"/>
      <c r="D2881" s="19"/>
      <c r="O2881" s="5"/>
      <c r="P2881" s="5"/>
    </row>
    <row r="2882" spans="2:16" ht="13.2" x14ac:dyDescent="0.25">
      <c r="B2882" s="18"/>
      <c r="C2882" s="19"/>
      <c r="D2882" s="19"/>
      <c r="O2882" s="5"/>
      <c r="P2882" s="5"/>
    </row>
    <row r="2883" spans="2:16" ht="13.2" x14ac:dyDescent="0.25">
      <c r="B2883" s="18"/>
      <c r="C2883" s="19"/>
      <c r="D2883" s="19"/>
      <c r="O2883" s="5"/>
      <c r="P2883" s="5"/>
    </row>
    <row r="2884" spans="2:16" ht="13.2" x14ac:dyDescent="0.25">
      <c r="B2884" s="18"/>
      <c r="C2884" s="19"/>
      <c r="D2884" s="19"/>
      <c r="O2884" s="5"/>
      <c r="P2884" s="5"/>
    </row>
    <row r="2885" spans="2:16" ht="13.2" x14ac:dyDescent="0.25">
      <c r="B2885" s="18"/>
      <c r="C2885" s="19"/>
      <c r="D2885" s="19"/>
      <c r="O2885" s="5"/>
      <c r="P2885" s="5"/>
    </row>
    <row r="2886" spans="2:16" ht="13.2" x14ac:dyDescent="0.25">
      <c r="B2886" s="18"/>
      <c r="C2886" s="19"/>
      <c r="D2886" s="19"/>
      <c r="O2886" s="5"/>
      <c r="P2886" s="5"/>
    </row>
    <row r="2887" spans="2:16" ht="13.2" x14ac:dyDescent="0.25">
      <c r="B2887" s="18"/>
      <c r="C2887" s="19"/>
      <c r="D2887" s="19"/>
      <c r="O2887" s="5"/>
      <c r="P2887" s="5"/>
    </row>
    <row r="2888" spans="2:16" ht="13.2" x14ac:dyDescent="0.25">
      <c r="B2888" s="18"/>
      <c r="C2888" s="19"/>
      <c r="D2888" s="19"/>
      <c r="O2888" s="5"/>
      <c r="P2888" s="5"/>
    </row>
    <row r="2889" spans="2:16" ht="13.2" x14ac:dyDescent="0.25">
      <c r="B2889" s="18"/>
      <c r="C2889" s="19"/>
      <c r="D2889" s="19"/>
      <c r="O2889" s="5"/>
      <c r="P2889" s="5"/>
    </row>
    <row r="2890" spans="2:16" ht="13.2" x14ac:dyDescent="0.25">
      <c r="B2890" s="18"/>
      <c r="C2890" s="19"/>
      <c r="D2890" s="19"/>
      <c r="O2890" s="5"/>
      <c r="P2890" s="5"/>
    </row>
    <row r="2891" spans="2:16" ht="13.2" x14ac:dyDescent="0.25">
      <c r="B2891" s="18"/>
      <c r="C2891" s="19"/>
      <c r="D2891" s="19"/>
      <c r="O2891" s="5"/>
      <c r="P2891" s="5"/>
    </row>
    <row r="2892" spans="2:16" ht="13.2" x14ac:dyDescent="0.25">
      <c r="B2892" s="18"/>
      <c r="C2892" s="19"/>
      <c r="D2892" s="19"/>
      <c r="O2892" s="5"/>
      <c r="P2892" s="5"/>
    </row>
    <row r="2893" spans="2:16" ht="13.2" x14ac:dyDescent="0.25">
      <c r="B2893" s="18"/>
      <c r="C2893" s="19"/>
      <c r="D2893" s="19"/>
      <c r="O2893" s="5"/>
      <c r="P2893" s="5"/>
    </row>
    <row r="2894" spans="2:16" ht="13.2" x14ac:dyDescent="0.25">
      <c r="B2894" s="18"/>
      <c r="C2894" s="19"/>
      <c r="D2894" s="19"/>
      <c r="O2894" s="5"/>
      <c r="P2894" s="5"/>
    </row>
    <row r="2895" spans="2:16" ht="13.2" x14ac:dyDescent="0.25">
      <c r="B2895" s="18"/>
      <c r="C2895" s="19"/>
      <c r="D2895" s="19"/>
      <c r="O2895" s="5"/>
      <c r="P2895" s="5"/>
    </row>
    <row r="2896" spans="2:16" ht="13.2" x14ac:dyDescent="0.25">
      <c r="B2896" s="18"/>
      <c r="C2896" s="19"/>
      <c r="D2896" s="19"/>
      <c r="O2896" s="5"/>
      <c r="P2896" s="5"/>
    </row>
    <row r="2897" spans="2:16" ht="13.2" x14ac:dyDescent="0.25">
      <c r="B2897" s="18"/>
      <c r="C2897" s="19"/>
      <c r="D2897" s="19"/>
      <c r="O2897" s="5"/>
      <c r="P2897" s="5"/>
    </row>
    <row r="2898" spans="2:16" ht="13.2" x14ac:dyDescent="0.25">
      <c r="B2898" s="18"/>
      <c r="C2898" s="19"/>
      <c r="D2898" s="19"/>
      <c r="O2898" s="5"/>
      <c r="P2898" s="5"/>
    </row>
    <row r="2899" spans="2:16" ht="13.2" x14ac:dyDescent="0.25">
      <c r="B2899" s="18"/>
      <c r="C2899" s="19"/>
      <c r="D2899" s="19"/>
      <c r="O2899" s="5"/>
      <c r="P2899" s="5"/>
    </row>
    <row r="2900" spans="2:16" ht="13.2" x14ac:dyDescent="0.25">
      <c r="B2900" s="18"/>
      <c r="C2900" s="19"/>
      <c r="D2900" s="19"/>
      <c r="O2900" s="5"/>
      <c r="P2900" s="5"/>
    </row>
    <row r="2901" spans="2:16" ht="13.2" x14ac:dyDescent="0.25">
      <c r="B2901" s="18"/>
      <c r="C2901" s="19"/>
      <c r="D2901" s="19"/>
      <c r="O2901" s="5"/>
      <c r="P2901" s="5"/>
    </row>
    <row r="2902" spans="2:16" ht="13.2" x14ac:dyDescent="0.25">
      <c r="B2902" s="18"/>
      <c r="C2902" s="19"/>
      <c r="D2902" s="19"/>
      <c r="O2902" s="5"/>
      <c r="P2902" s="5"/>
    </row>
    <row r="2903" spans="2:16" ht="13.2" x14ac:dyDescent="0.25">
      <c r="B2903" s="18"/>
      <c r="C2903" s="19"/>
      <c r="D2903" s="19"/>
      <c r="O2903" s="5"/>
      <c r="P2903" s="5"/>
    </row>
    <row r="2904" spans="2:16" ht="13.2" x14ac:dyDescent="0.25">
      <c r="B2904" s="18"/>
      <c r="C2904" s="19"/>
      <c r="D2904" s="19"/>
      <c r="O2904" s="5"/>
      <c r="P2904" s="5"/>
    </row>
    <row r="2905" spans="2:16" ht="13.2" x14ac:dyDescent="0.25">
      <c r="B2905" s="18"/>
      <c r="C2905" s="19"/>
      <c r="D2905" s="19"/>
      <c r="O2905" s="5"/>
      <c r="P2905" s="5"/>
    </row>
    <row r="2906" spans="2:16" ht="13.2" x14ac:dyDescent="0.25">
      <c r="B2906" s="18"/>
      <c r="C2906" s="19"/>
      <c r="D2906" s="19"/>
      <c r="O2906" s="5"/>
      <c r="P2906" s="5"/>
    </row>
    <row r="2907" spans="2:16" ht="13.2" x14ac:dyDescent="0.25">
      <c r="B2907" s="18"/>
      <c r="C2907" s="19"/>
      <c r="D2907" s="19"/>
      <c r="O2907" s="5"/>
      <c r="P2907" s="5"/>
    </row>
    <row r="2908" spans="2:16" ht="13.2" x14ac:dyDescent="0.25">
      <c r="B2908" s="18"/>
      <c r="C2908" s="19"/>
      <c r="D2908" s="19"/>
      <c r="O2908" s="5"/>
      <c r="P2908" s="5"/>
    </row>
    <row r="2909" spans="2:16" ht="13.2" x14ac:dyDescent="0.25">
      <c r="B2909" s="18"/>
      <c r="C2909" s="19"/>
      <c r="D2909" s="19"/>
      <c r="O2909" s="5"/>
      <c r="P2909" s="5"/>
    </row>
    <row r="2910" spans="2:16" ht="13.2" x14ac:dyDescent="0.25">
      <c r="B2910" s="18"/>
      <c r="C2910" s="19"/>
      <c r="D2910" s="19"/>
      <c r="O2910" s="5"/>
      <c r="P2910" s="5"/>
    </row>
    <row r="2911" spans="2:16" ht="13.2" x14ac:dyDescent="0.25">
      <c r="B2911" s="18"/>
      <c r="C2911" s="19"/>
      <c r="D2911" s="19"/>
      <c r="O2911" s="5"/>
      <c r="P2911" s="5"/>
    </row>
    <row r="2912" spans="2:16" ht="13.2" x14ac:dyDescent="0.25">
      <c r="B2912" s="18"/>
      <c r="C2912" s="19"/>
      <c r="D2912" s="19"/>
      <c r="O2912" s="5"/>
      <c r="P2912" s="5"/>
    </row>
    <row r="2913" spans="2:16" ht="13.2" x14ac:dyDescent="0.25">
      <c r="B2913" s="18"/>
      <c r="C2913" s="19"/>
      <c r="D2913" s="19"/>
      <c r="O2913" s="5"/>
      <c r="P2913" s="5"/>
    </row>
    <row r="2914" spans="2:16" ht="13.2" x14ac:dyDescent="0.25">
      <c r="B2914" s="18"/>
      <c r="C2914" s="19"/>
      <c r="D2914" s="19"/>
      <c r="O2914" s="5"/>
      <c r="P2914" s="5"/>
    </row>
    <row r="2915" spans="2:16" ht="13.2" x14ac:dyDescent="0.25">
      <c r="B2915" s="18"/>
      <c r="C2915" s="19"/>
      <c r="D2915" s="19"/>
      <c r="O2915" s="5"/>
      <c r="P2915" s="5"/>
    </row>
    <row r="2916" spans="2:16" ht="13.2" x14ac:dyDescent="0.25">
      <c r="B2916" s="18"/>
      <c r="C2916" s="19"/>
      <c r="D2916" s="19"/>
      <c r="O2916" s="5"/>
      <c r="P2916" s="5"/>
    </row>
    <row r="2917" spans="2:16" ht="13.2" x14ac:dyDescent="0.25">
      <c r="B2917" s="18"/>
      <c r="C2917" s="19"/>
      <c r="D2917" s="19"/>
      <c r="O2917" s="5"/>
      <c r="P2917" s="5"/>
    </row>
    <row r="2918" spans="2:16" ht="13.2" x14ac:dyDescent="0.25">
      <c r="B2918" s="18"/>
      <c r="C2918" s="19"/>
      <c r="D2918" s="19"/>
      <c r="O2918" s="5"/>
      <c r="P2918" s="5"/>
    </row>
    <row r="2919" spans="2:16" ht="13.2" x14ac:dyDescent="0.25">
      <c r="B2919" s="18"/>
      <c r="C2919" s="19"/>
      <c r="D2919" s="19"/>
      <c r="O2919" s="5"/>
      <c r="P2919" s="5"/>
    </row>
    <row r="2920" spans="2:16" ht="13.2" x14ac:dyDescent="0.25">
      <c r="B2920" s="18"/>
      <c r="C2920" s="19"/>
      <c r="D2920" s="19"/>
      <c r="O2920" s="5"/>
      <c r="P2920" s="5"/>
    </row>
    <row r="2921" spans="2:16" ht="13.2" x14ac:dyDescent="0.25">
      <c r="B2921" s="18"/>
      <c r="C2921" s="19"/>
      <c r="D2921" s="19"/>
      <c r="O2921" s="5"/>
      <c r="P2921" s="5"/>
    </row>
    <row r="2922" spans="2:16" ht="13.2" x14ac:dyDescent="0.25">
      <c r="B2922" s="18"/>
      <c r="C2922" s="19"/>
      <c r="D2922" s="19"/>
      <c r="O2922" s="5"/>
      <c r="P2922" s="5"/>
    </row>
    <row r="2923" spans="2:16" ht="13.2" x14ac:dyDescent="0.25">
      <c r="B2923" s="18"/>
      <c r="C2923" s="19"/>
      <c r="D2923" s="19"/>
      <c r="O2923" s="5"/>
      <c r="P2923" s="5"/>
    </row>
    <row r="2924" spans="2:16" ht="13.2" x14ac:dyDescent="0.25">
      <c r="B2924" s="18"/>
      <c r="C2924" s="19"/>
      <c r="D2924" s="19"/>
      <c r="O2924" s="5"/>
      <c r="P2924" s="5"/>
    </row>
    <row r="2925" spans="2:16" ht="13.2" x14ac:dyDescent="0.25">
      <c r="B2925" s="18"/>
      <c r="C2925" s="19"/>
      <c r="D2925" s="19"/>
      <c r="O2925" s="5"/>
      <c r="P2925" s="5"/>
    </row>
    <row r="2926" spans="2:16" ht="13.2" x14ac:dyDescent="0.25">
      <c r="B2926" s="18"/>
      <c r="C2926" s="19"/>
      <c r="D2926" s="19"/>
      <c r="O2926" s="5"/>
      <c r="P2926" s="5"/>
    </row>
    <row r="2927" spans="2:16" ht="13.2" x14ac:dyDescent="0.25">
      <c r="B2927" s="18"/>
      <c r="C2927" s="19"/>
      <c r="D2927" s="19"/>
      <c r="O2927" s="5"/>
      <c r="P2927" s="5"/>
    </row>
    <row r="2928" spans="2:16" ht="13.2" x14ac:dyDescent="0.25">
      <c r="B2928" s="18"/>
      <c r="C2928" s="19"/>
      <c r="D2928" s="19"/>
      <c r="O2928" s="5"/>
      <c r="P2928" s="5"/>
    </row>
    <row r="2929" spans="2:16" ht="13.2" x14ac:dyDescent="0.25">
      <c r="B2929" s="18"/>
      <c r="C2929" s="19"/>
      <c r="D2929" s="19"/>
      <c r="O2929" s="5"/>
      <c r="P2929" s="5"/>
    </row>
    <row r="2930" spans="2:16" ht="13.2" x14ac:dyDescent="0.25">
      <c r="B2930" s="18"/>
      <c r="C2930" s="19"/>
      <c r="D2930" s="19"/>
      <c r="O2930" s="5"/>
      <c r="P2930" s="5"/>
    </row>
    <row r="2931" spans="2:16" ht="13.2" x14ac:dyDescent="0.25">
      <c r="B2931" s="18"/>
      <c r="C2931" s="19"/>
      <c r="D2931" s="19"/>
      <c r="O2931" s="5"/>
      <c r="P2931" s="5"/>
    </row>
    <row r="2932" spans="2:16" ht="13.2" x14ac:dyDescent="0.25">
      <c r="B2932" s="18"/>
      <c r="C2932" s="19"/>
      <c r="D2932" s="19"/>
      <c r="O2932" s="5"/>
      <c r="P2932" s="5"/>
    </row>
    <row r="2933" spans="2:16" ht="13.2" x14ac:dyDescent="0.25">
      <c r="B2933" s="18"/>
      <c r="C2933" s="19"/>
      <c r="D2933" s="19"/>
      <c r="O2933" s="5"/>
      <c r="P2933" s="5"/>
    </row>
    <row r="2934" spans="2:16" ht="13.2" x14ac:dyDescent="0.25">
      <c r="B2934" s="18"/>
      <c r="C2934" s="19"/>
      <c r="D2934" s="19"/>
      <c r="O2934" s="5"/>
      <c r="P2934" s="5"/>
    </row>
    <row r="2935" spans="2:16" ht="13.2" x14ac:dyDescent="0.25">
      <c r="B2935" s="18"/>
      <c r="C2935" s="19"/>
      <c r="D2935" s="19"/>
      <c r="O2935" s="5"/>
      <c r="P2935" s="5"/>
    </row>
    <row r="2936" spans="2:16" ht="13.2" x14ac:dyDescent="0.25">
      <c r="B2936" s="18"/>
      <c r="C2936" s="19"/>
      <c r="D2936" s="19"/>
      <c r="O2936" s="5"/>
      <c r="P2936" s="5"/>
    </row>
    <row r="2937" spans="2:16" ht="13.2" x14ac:dyDescent="0.25">
      <c r="B2937" s="18"/>
      <c r="C2937" s="19"/>
      <c r="D2937" s="19"/>
      <c r="O2937" s="5"/>
      <c r="P2937" s="5"/>
    </row>
    <row r="2938" spans="2:16" ht="13.2" x14ac:dyDescent="0.25">
      <c r="B2938" s="18"/>
      <c r="C2938" s="19"/>
      <c r="D2938" s="19"/>
      <c r="O2938" s="5"/>
      <c r="P2938" s="5"/>
    </row>
    <row r="2939" spans="2:16" ht="13.2" x14ac:dyDescent="0.25">
      <c r="B2939" s="18"/>
      <c r="C2939" s="19"/>
      <c r="D2939" s="19"/>
      <c r="O2939" s="5"/>
      <c r="P2939" s="5"/>
    </row>
    <row r="2940" spans="2:16" ht="13.2" x14ac:dyDescent="0.25">
      <c r="B2940" s="18"/>
      <c r="C2940" s="19"/>
      <c r="D2940" s="19"/>
      <c r="O2940" s="5"/>
      <c r="P2940" s="5"/>
    </row>
    <row r="2941" spans="2:16" ht="13.2" x14ac:dyDescent="0.25">
      <c r="B2941" s="18"/>
      <c r="C2941" s="19"/>
      <c r="D2941" s="19"/>
      <c r="O2941" s="5"/>
      <c r="P2941" s="5"/>
    </row>
    <row r="2942" spans="2:16" ht="13.2" x14ac:dyDescent="0.25">
      <c r="B2942" s="18"/>
      <c r="C2942" s="19"/>
      <c r="D2942" s="19"/>
      <c r="O2942" s="5"/>
      <c r="P2942" s="5"/>
    </row>
    <row r="2943" spans="2:16" ht="13.2" x14ac:dyDescent="0.25">
      <c r="B2943" s="18"/>
      <c r="C2943" s="19"/>
      <c r="D2943" s="19"/>
      <c r="O2943" s="5"/>
      <c r="P2943" s="5"/>
    </row>
    <row r="2944" spans="2:16" ht="13.2" x14ac:dyDescent="0.25">
      <c r="B2944" s="18"/>
      <c r="C2944" s="19"/>
      <c r="D2944" s="19"/>
      <c r="O2944" s="5"/>
      <c r="P2944" s="5"/>
    </row>
    <row r="2945" spans="2:16" ht="13.2" x14ac:dyDescent="0.25">
      <c r="B2945" s="18"/>
      <c r="C2945" s="19"/>
      <c r="D2945" s="19"/>
      <c r="O2945" s="5"/>
      <c r="P2945" s="5"/>
    </row>
    <row r="2946" spans="2:16" ht="13.2" x14ac:dyDescent="0.25">
      <c r="B2946" s="18"/>
      <c r="C2946" s="19"/>
      <c r="D2946" s="19"/>
      <c r="O2946" s="5"/>
      <c r="P2946" s="5"/>
    </row>
    <row r="2947" spans="2:16" ht="13.2" x14ac:dyDescent="0.25">
      <c r="B2947" s="18"/>
      <c r="C2947" s="19"/>
      <c r="D2947" s="19"/>
      <c r="O2947" s="5"/>
      <c r="P2947" s="5"/>
    </row>
    <row r="2948" spans="2:16" ht="13.2" x14ac:dyDescent="0.25">
      <c r="B2948" s="18"/>
      <c r="C2948" s="19"/>
      <c r="D2948" s="19"/>
      <c r="O2948" s="5"/>
      <c r="P2948" s="5"/>
    </row>
    <row r="2949" spans="2:16" ht="13.2" x14ac:dyDescent="0.25">
      <c r="B2949" s="18"/>
      <c r="C2949" s="19"/>
      <c r="D2949" s="19"/>
      <c r="O2949" s="5"/>
      <c r="P2949" s="5"/>
    </row>
    <row r="2950" spans="2:16" ht="13.2" x14ac:dyDescent="0.25">
      <c r="B2950" s="18"/>
      <c r="C2950" s="19"/>
      <c r="D2950" s="19"/>
      <c r="O2950" s="5"/>
      <c r="P2950" s="5"/>
    </row>
    <row r="2951" spans="2:16" ht="13.2" x14ac:dyDescent="0.25">
      <c r="B2951" s="18"/>
      <c r="C2951" s="19"/>
      <c r="D2951" s="19"/>
      <c r="O2951" s="5"/>
      <c r="P2951" s="5"/>
    </row>
    <row r="2952" spans="2:16" ht="13.2" x14ac:dyDescent="0.25">
      <c r="B2952" s="18"/>
      <c r="C2952" s="19"/>
      <c r="D2952" s="19"/>
      <c r="O2952" s="5"/>
      <c r="P2952" s="5"/>
    </row>
    <row r="2953" spans="2:16" ht="13.2" x14ac:dyDescent="0.25">
      <c r="B2953" s="18"/>
      <c r="C2953" s="19"/>
      <c r="D2953" s="19"/>
      <c r="O2953" s="5"/>
      <c r="P2953" s="5"/>
    </row>
    <row r="2954" spans="2:16" ht="13.2" x14ac:dyDescent="0.25">
      <c r="B2954" s="18"/>
      <c r="C2954" s="19"/>
      <c r="D2954" s="19"/>
      <c r="O2954" s="5"/>
      <c r="P2954" s="5"/>
    </row>
    <row r="2955" spans="2:16" ht="13.2" x14ac:dyDescent="0.25">
      <c r="B2955" s="18"/>
      <c r="C2955" s="19"/>
      <c r="D2955" s="19"/>
      <c r="O2955" s="5"/>
      <c r="P2955" s="5"/>
    </row>
    <row r="2956" spans="2:16" ht="13.2" x14ac:dyDescent="0.25">
      <c r="B2956" s="18"/>
      <c r="C2956" s="19"/>
      <c r="D2956" s="19"/>
      <c r="O2956" s="5"/>
      <c r="P2956" s="5"/>
    </row>
    <row r="2957" spans="2:16" ht="13.2" x14ac:dyDescent="0.25">
      <c r="B2957" s="18"/>
      <c r="C2957" s="19"/>
      <c r="D2957" s="19"/>
      <c r="O2957" s="5"/>
      <c r="P2957" s="5"/>
    </row>
    <row r="2958" spans="2:16" ht="13.2" x14ac:dyDescent="0.25">
      <c r="B2958" s="18"/>
      <c r="C2958" s="19"/>
      <c r="D2958" s="19"/>
      <c r="O2958" s="5"/>
      <c r="P2958" s="5"/>
    </row>
    <row r="2959" spans="2:16" ht="13.2" x14ac:dyDescent="0.25">
      <c r="B2959" s="18"/>
      <c r="C2959" s="19"/>
      <c r="D2959" s="19"/>
      <c r="O2959" s="5"/>
      <c r="P2959" s="5"/>
    </row>
    <row r="2960" spans="2:16" ht="13.2" x14ac:dyDescent="0.25">
      <c r="B2960" s="18"/>
      <c r="C2960" s="19"/>
      <c r="D2960" s="19"/>
      <c r="O2960" s="5"/>
      <c r="P2960" s="5"/>
    </row>
    <row r="2961" spans="2:16" ht="13.2" x14ac:dyDescent="0.25">
      <c r="B2961" s="18"/>
      <c r="C2961" s="19"/>
      <c r="D2961" s="19"/>
      <c r="O2961" s="5"/>
      <c r="P2961" s="5"/>
    </row>
    <row r="2962" spans="2:16" ht="13.2" x14ac:dyDescent="0.25">
      <c r="B2962" s="18"/>
      <c r="C2962" s="19"/>
      <c r="D2962" s="19"/>
      <c r="O2962" s="5"/>
      <c r="P2962" s="5"/>
    </row>
    <row r="2963" spans="2:16" ht="13.2" x14ac:dyDescent="0.25">
      <c r="B2963" s="18"/>
      <c r="C2963" s="19"/>
      <c r="D2963" s="19"/>
      <c r="O2963" s="5"/>
      <c r="P2963" s="5"/>
    </row>
    <row r="2964" spans="2:16" ht="13.2" x14ac:dyDescent="0.25">
      <c r="B2964" s="18"/>
      <c r="C2964" s="19"/>
      <c r="D2964" s="19"/>
      <c r="O2964" s="5"/>
      <c r="P2964" s="5"/>
    </row>
    <row r="2965" spans="2:16" ht="13.2" x14ac:dyDescent="0.25">
      <c r="B2965" s="18"/>
      <c r="C2965" s="19"/>
      <c r="D2965" s="19"/>
      <c r="O2965" s="5"/>
      <c r="P2965" s="5"/>
    </row>
    <row r="2966" spans="2:16" ht="13.2" x14ac:dyDescent="0.25">
      <c r="B2966" s="18"/>
      <c r="C2966" s="19"/>
      <c r="D2966" s="19"/>
      <c r="O2966" s="5"/>
      <c r="P2966" s="5"/>
    </row>
    <row r="2967" spans="2:16" ht="13.2" x14ac:dyDescent="0.25">
      <c r="B2967" s="18"/>
      <c r="C2967" s="19"/>
      <c r="D2967" s="19"/>
      <c r="O2967" s="5"/>
      <c r="P2967" s="5"/>
    </row>
    <row r="2968" spans="2:16" ht="13.2" x14ac:dyDescent="0.25">
      <c r="B2968" s="18"/>
      <c r="C2968" s="19"/>
      <c r="D2968" s="19"/>
      <c r="O2968" s="5"/>
      <c r="P2968" s="5"/>
    </row>
    <row r="2969" spans="2:16" ht="13.2" x14ac:dyDescent="0.25">
      <c r="B2969" s="18"/>
      <c r="C2969" s="19"/>
      <c r="D2969" s="19"/>
      <c r="O2969" s="5"/>
      <c r="P2969" s="5"/>
    </row>
    <row r="2970" spans="2:16" ht="13.2" x14ac:dyDescent="0.25">
      <c r="B2970" s="18"/>
      <c r="C2970" s="19"/>
      <c r="D2970" s="19"/>
      <c r="O2970" s="5"/>
      <c r="P2970" s="5"/>
    </row>
    <row r="2971" spans="2:16" ht="13.2" x14ac:dyDescent="0.25">
      <c r="B2971" s="18"/>
      <c r="C2971" s="19"/>
      <c r="D2971" s="19"/>
      <c r="O2971" s="5"/>
      <c r="P2971" s="5"/>
    </row>
    <row r="2972" spans="2:16" ht="13.2" x14ac:dyDescent="0.25">
      <c r="B2972" s="18"/>
      <c r="C2972" s="19"/>
      <c r="D2972" s="19"/>
      <c r="O2972" s="5"/>
      <c r="P2972" s="5"/>
    </row>
    <row r="2973" spans="2:16" ht="13.2" x14ac:dyDescent="0.25">
      <c r="B2973" s="18"/>
      <c r="C2973" s="19"/>
      <c r="D2973" s="19"/>
      <c r="O2973" s="5"/>
      <c r="P2973" s="5"/>
    </row>
    <row r="2974" spans="2:16" ht="13.2" x14ac:dyDescent="0.25">
      <c r="B2974" s="18"/>
      <c r="C2974" s="19"/>
      <c r="D2974" s="19"/>
      <c r="O2974" s="5"/>
      <c r="P2974" s="5"/>
    </row>
    <row r="2975" spans="2:16" ht="13.2" x14ac:dyDescent="0.25">
      <c r="B2975" s="18"/>
      <c r="C2975" s="19"/>
      <c r="D2975" s="19"/>
      <c r="O2975" s="5"/>
      <c r="P2975" s="5"/>
    </row>
    <row r="2976" spans="2:16" ht="13.2" x14ac:dyDescent="0.25">
      <c r="B2976" s="18"/>
      <c r="C2976" s="19"/>
      <c r="D2976" s="19"/>
      <c r="O2976" s="5"/>
      <c r="P2976" s="5"/>
    </row>
    <row r="2977" spans="2:16" ht="13.2" x14ac:dyDescent="0.25">
      <c r="B2977" s="18"/>
      <c r="C2977" s="19"/>
      <c r="D2977" s="19"/>
      <c r="O2977" s="5"/>
      <c r="P2977" s="5"/>
    </row>
    <row r="2978" spans="2:16" ht="13.2" x14ac:dyDescent="0.25">
      <c r="B2978" s="18"/>
      <c r="C2978" s="19"/>
      <c r="D2978" s="19"/>
      <c r="O2978" s="5"/>
      <c r="P2978" s="5"/>
    </row>
    <row r="2979" spans="2:16" ht="13.2" x14ac:dyDescent="0.25">
      <c r="B2979" s="18"/>
      <c r="C2979" s="19"/>
      <c r="D2979" s="19"/>
      <c r="O2979" s="5"/>
      <c r="P2979" s="5"/>
    </row>
    <row r="2980" spans="2:16" ht="13.2" x14ac:dyDescent="0.25">
      <c r="B2980" s="18"/>
      <c r="C2980" s="19"/>
      <c r="D2980" s="19"/>
      <c r="O2980" s="5"/>
      <c r="P2980" s="5"/>
    </row>
    <row r="2981" spans="2:16" ht="13.2" x14ac:dyDescent="0.25">
      <c r="B2981" s="18"/>
      <c r="C2981" s="19"/>
      <c r="D2981" s="19"/>
      <c r="O2981" s="5"/>
      <c r="P2981" s="5"/>
    </row>
    <row r="2982" spans="2:16" ht="13.2" x14ac:dyDescent="0.25">
      <c r="B2982" s="18"/>
      <c r="C2982" s="19"/>
      <c r="D2982" s="19"/>
      <c r="O2982" s="5"/>
      <c r="P2982" s="5"/>
    </row>
    <row r="2983" spans="2:16" ht="13.2" x14ac:dyDescent="0.25">
      <c r="B2983" s="18"/>
      <c r="C2983" s="19"/>
      <c r="D2983" s="19"/>
      <c r="O2983" s="5"/>
      <c r="P2983" s="5"/>
    </row>
    <row r="2984" spans="2:16" ht="13.2" x14ac:dyDescent="0.25">
      <c r="B2984" s="18"/>
      <c r="C2984" s="19"/>
      <c r="D2984" s="19"/>
      <c r="O2984" s="5"/>
      <c r="P2984" s="5"/>
    </row>
    <row r="2985" spans="2:16" ht="13.2" x14ac:dyDescent="0.25">
      <c r="B2985" s="18"/>
      <c r="C2985" s="19"/>
      <c r="D2985" s="19"/>
      <c r="O2985" s="5"/>
      <c r="P2985" s="5"/>
    </row>
    <row r="2986" spans="2:16" ht="13.2" x14ac:dyDescent="0.25">
      <c r="B2986" s="18"/>
      <c r="C2986" s="19"/>
      <c r="D2986" s="19"/>
      <c r="O2986" s="5"/>
      <c r="P2986" s="5"/>
    </row>
    <row r="2987" spans="2:16" ht="13.2" x14ac:dyDescent="0.25">
      <c r="B2987" s="18"/>
      <c r="C2987" s="19"/>
      <c r="D2987" s="19"/>
      <c r="O2987" s="5"/>
      <c r="P2987" s="5"/>
    </row>
    <row r="2988" spans="2:16" ht="13.2" x14ac:dyDescent="0.25">
      <c r="B2988" s="18"/>
      <c r="C2988" s="19"/>
      <c r="D2988" s="19"/>
      <c r="O2988" s="5"/>
      <c r="P2988" s="5"/>
    </row>
    <row r="2989" spans="2:16" ht="13.2" x14ac:dyDescent="0.25">
      <c r="B2989" s="18"/>
      <c r="C2989" s="19"/>
      <c r="D2989" s="19"/>
      <c r="O2989" s="5"/>
      <c r="P2989" s="5"/>
    </row>
    <row r="2990" spans="2:16" ht="13.2" x14ac:dyDescent="0.25">
      <c r="B2990" s="18"/>
      <c r="C2990" s="19"/>
      <c r="D2990" s="19"/>
      <c r="O2990" s="5"/>
      <c r="P2990" s="5"/>
    </row>
    <row r="2991" spans="2:16" ht="13.2" x14ac:dyDescent="0.25">
      <c r="B2991" s="18"/>
      <c r="C2991" s="19"/>
      <c r="D2991" s="19"/>
      <c r="O2991" s="5"/>
      <c r="P2991" s="5"/>
    </row>
    <row r="2992" spans="2:16" ht="13.2" x14ac:dyDescent="0.25">
      <c r="B2992" s="18"/>
      <c r="C2992" s="19"/>
      <c r="D2992" s="19"/>
      <c r="O2992" s="5"/>
      <c r="P2992" s="5"/>
    </row>
    <row r="2993" spans="2:16" ht="13.2" x14ac:dyDescent="0.25">
      <c r="B2993" s="18"/>
      <c r="C2993" s="19"/>
      <c r="D2993" s="19"/>
      <c r="O2993" s="5"/>
      <c r="P2993" s="5"/>
    </row>
    <row r="2994" spans="2:16" ht="13.2" x14ac:dyDescent="0.25">
      <c r="B2994" s="18"/>
      <c r="C2994" s="19"/>
      <c r="D2994" s="19"/>
      <c r="O2994" s="5"/>
      <c r="P2994" s="5"/>
    </row>
    <row r="2995" spans="2:16" ht="13.2" x14ac:dyDescent="0.25">
      <c r="B2995" s="18"/>
      <c r="C2995" s="19"/>
      <c r="D2995" s="19"/>
      <c r="O2995" s="5"/>
      <c r="P2995" s="5"/>
    </row>
    <row r="2996" spans="2:16" ht="13.2" x14ac:dyDescent="0.25">
      <c r="B2996" s="18"/>
      <c r="C2996" s="19"/>
      <c r="D2996" s="19"/>
      <c r="O2996" s="5"/>
      <c r="P2996" s="5"/>
    </row>
    <row r="2997" spans="2:16" ht="13.2" x14ac:dyDescent="0.25">
      <c r="B2997" s="18"/>
      <c r="C2997" s="19"/>
      <c r="D2997" s="19"/>
      <c r="O2997" s="5"/>
      <c r="P2997" s="5"/>
    </row>
    <row r="2998" spans="2:16" ht="13.2" x14ac:dyDescent="0.25">
      <c r="B2998" s="18"/>
      <c r="C2998" s="19"/>
      <c r="D2998" s="19"/>
      <c r="O2998" s="5"/>
      <c r="P2998" s="5"/>
    </row>
    <row r="2999" spans="2:16" ht="13.2" x14ac:dyDescent="0.25">
      <c r="B2999" s="18"/>
      <c r="C2999" s="19"/>
      <c r="D2999" s="19"/>
      <c r="O2999" s="5"/>
      <c r="P2999" s="5"/>
    </row>
    <row r="3000" spans="2:16" ht="13.2" x14ac:dyDescent="0.25">
      <c r="B3000" s="18"/>
      <c r="C3000" s="19"/>
      <c r="D3000" s="19"/>
      <c r="O3000" s="5"/>
      <c r="P3000" s="5"/>
    </row>
    <row r="3001" spans="2:16" ht="13.2" x14ac:dyDescent="0.25">
      <c r="B3001" s="18"/>
      <c r="C3001" s="19"/>
      <c r="D3001" s="19"/>
      <c r="O3001" s="5"/>
      <c r="P3001" s="5"/>
    </row>
    <row r="3002" spans="2:16" ht="13.2" x14ac:dyDescent="0.25">
      <c r="B3002" s="18"/>
      <c r="C3002" s="19"/>
      <c r="D3002" s="19"/>
      <c r="O3002" s="5"/>
      <c r="P3002" s="5"/>
    </row>
    <row r="3003" spans="2:16" ht="13.2" x14ac:dyDescent="0.25">
      <c r="B3003" s="18"/>
      <c r="C3003" s="19"/>
      <c r="D3003" s="19"/>
      <c r="O3003" s="5"/>
      <c r="P3003" s="5"/>
    </row>
    <row r="3004" spans="2:16" ht="13.2" x14ac:dyDescent="0.25">
      <c r="B3004" s="18"/>
      <c r="C3004" s="19"/>
      <c r="D3004" s="19"/>
      <c r="O3004" s="5"/>
      <c r="P3004" s="5"/>
    </row>
    <row r="3005" spans="2:16" ht="13.2" x14ac:dyDescent="0.25">
      <c r="B3005" s="18"/>
      <c r="C3005" s="19"/>
      <c r="D3005" s="19"/>
      <c r="O3005" s="5"/>
      <c r="P3005" s="5"/>
    </row>
    <row r="3006" spans="2:16" ht="13.2" x14ac:dyDescent="0.25">
      <c r="B3006" s="18"/>
      <c r="C3006" s="19"/>
      <c r="D3006" s="19"/>
      <c r="O3006" s="5"/>
      <c r="P3006" s="5"/>
    </row>
    <row r="3007" spans="2:16" ht="13.2" x14ac:dyDescent="0.25">
      <c r="B3007" s="18"/>
      <c r="C3007" s="19"/>
      <c r="D3007" s="19"/>
      <c r="O3007" s="5"/>
      <c r="P3007" s="5"/>
    </row>
    <row r="3008" spans="2:16" ht="13.2" x14ac:dyDescent="0.25">
      <c r="B3008" s="18"/>
      <c r="C3008" s="19"/>
      <c r="D3008" s="19"/>
      <c r="O3008" s="5"/>
      <c r="P3008" s="5"/>
    </row>
    <row r="3009" spans="2:16" ht="13.2" x14ac:dyDescent="0.25">
      <c r="B3009" s="18"/>
      <c r="C3009" s="19"/>
      <c r="D3009" s="19"/>
      <c r="O3009" s="5"/>
      <c r="P3009" s="5"/>
    </row>
    <row r="3010" spans="2:16" ht="13.2" x14ac:dyDescent="0.25">
      <c r="B3010" s="18"/>
      <c r="C3010" s="19"/>
      <c r="D3010" s="19"/>
      <c r="O3010" s="5"/>
      <c r="P3010" s="5"/>
    </row>
    <row r="3011" spans="2:16" ht="13.2" x14ac:dyDescent="0.25">
      <c r="B3011" s="18"/>
      <c r="C3011" s="19"/>
      <c r="D3011" s="19"/>
      <c r="O3011" s="5"/>
      <c r="P3011" s="5"/>
    </row>
    <row r="3012" spans="2:16" ht="13.2" x14ac:dyDescent="0.25">
      <c r="B3012" s="18"/>
      <c r="C3012" s="19"/>
      <c r="D3012" s="19"/>
      <c r="O3012" s="5"/>
      <c r="P3012" s="5"/>
    </row>
    <row r="3013" spans="2:16" ht="13.2" x14ac:dyDescent="0.25">
      <c r="B3013" s="18"/>
      <c r="C3013" s="19"/>
      <c r="D3013" s="19"/>
      <c r="O3013" s="5"/>
      <c r="P3013" s="5"/>
    </row>
    <row r="3014" spans="2:16" ht="13.2" x14ac:dyDescent="0.25">
      <c r="B3014" s="18"/>
      <c r="C3014" s="19"/>
      <c r="D3014" s="19"/>
      <c r="O3014" s="5"/>
      <c r="P3014" s="5"/>
    </row>
    <row r="3015" spans="2:16" ht="13.2" x14ac:dyDescent="0.25">
      <c r="B3015" s="18"/>
      <c r="C3015" s="19"/>
      <c r="D3015" s="19"/>
      <c r="O3015" s="5"/>
      <c r="P3015" s="5"/>
    </row>
    <row r="3016" spans="2:16" ht="13.2" x14ac:dyDescent="0.25">
      <c r="B3016" s="18"/>
      <c r="C3016" s="19"/>
      <c r="D3016" s="19"/>
      <c r="O3016" s="5"/>
      <c r="P3016" s="5"/>
    </row>
    <row r="3017" spans="2:16" ht="13.2" x14ac:dyDescent="0.25">
      <c r="B3017" s="18"/>
      <c r="C3017" s="19"/>
      <c r="D3017" s="19"/>
      <c r="O3017" s="5"/>
      <c r="P3017" s="5"/>
    </row>
    <row r="3018" spans="2:16" ht="13.2" x14ac:dyDescent="0.25">
      <c r="B3018" s="18"/>
      <c r="C3018" s="19"/>
      <c r="D3018" s="19"/>
      <c r="O3018" s="5"/>
      <c r="P3018" s="5"/>
    </row>
    <row r="3019" spans="2:16" ht="13.2" x14ac:dyDescent="0.25">
      <c r="B3019" s="18"/>
      <c r="C3019" s="19"/>
      <c r="D3019" s="19"/>
      <c r="O3019" s="5"/>
      <c r="P3019" s="5"/>
    </row>
    <row r="3020" spans="2:16" ht="13.2" x14ac:dyDescent="0.25">
      <c r="B3020" s="18"/>
      <c r="C3020" s="19"/>
      <c r="D3020" s="19"/>
      <c r="O3020" s="5"/>
      <c r="P3020" s="5"/>
    </row>
    <row r="3021" spans="2:16" ht="13.2" x14ac:dyDescent="0.25">
      <c r="B3021" s="18"/>
      <c r="C3021" s="19"/>
      <c r="D3021" s="19"/>
      <c r="O3021" s="5"/>
      <c r="P3021" s="5"/>
    </row>
    <row r="3022" spans="2:16" ht="13.2" x14ac:dyDescent="0.25">
      <c r="B3022" s="18"/>
      <c r="C3022" s="19"/>
      <c r="D3022" s="19"/>
      <c r="O3022" s="5"/>
      <c r="P3022" s="5"/>
    </row>
    <row r="3023" spans="2:16" ht="13.2" x14ac:dyDescent="0.25">
      <c r="B3023" s="18"/>
      <c r="C3023" s="19"/>
      <c r="D3023" s="19"/>
      <c r="O3023" s="5"/>
      <c r="P3023" s="5"/>
    </row>
    <row r="3024" spans="2:16" ht="13.2" x14ac:dyDescent="0.25">
      <c r="B3024" s="18"/>
      <c r="C3024" s="19"/>
      <c r="D3024" s="19"/>
      <c r="O3024" s="5"/>
      <c r="P3024" s="5"/>
    </row>
    <row r="3025" spans="2:16" ht="13.2" x14ac:dyDescent="0.25">
      <c r="B3025" s="18"/>
      <c r="C3025" s="19"/>
      <c r="D3025" s="19"/>
      <c r="O3025" s="5"/>
      <c r="P3025" s="5"/>
    </row>
    <row r="3026" spans="2:16" ht="13.2" x14ac:dyDescent="0.25">
      <c r="B3026" s="18"/>
      <c r="C3026" s="19"/>
      <c r="D3026" s="19"/>
      <c r="O3026" s="5"/>
      <c r="P3026" s="5"/>
    </row>
    <row r="3027" spans="2:16" ht="13.2" x14ac:dyDescent="0.25">
      <c r="B3027" s="18"/>
      <c r="C3027" s="19"/>
      <c r="D3027" s="19"/>
      <c r="O3027" s="5"/>
      <c r="P3027" s="5"/>
    </row>
    <row r="3028" spans="2:16" ht="13.2" x14ac:dyDescent="0.25">
      <c r="B3028" s="18"/>
      <c r="C3028" s="19"/>
      <c r="D3028" s="19"/>
      <c r="O3028" s="5"/>
      <c r="P3028" s="5"/>
    </row>
    <row r="3029" spans="2:16" ht="13.2" x14ac:dyDescent="0.25">
      <c r="B3029" s="18"/>
      <c r="C3029" s="19"/>
      <c r="D3029" s="19"/>
      <c r="O3029" s="5"/>
      <c r="P3029" s="5"/>
    </row>
    <row r="3030" spans="2:16" ht="13.2" x14ac:dyDescent="0.25">
      <c r="B3030" s="18"/>
      <c r="C3030" s="19"/>
      <c r="D3030" s="19"/>
      <c r="O3030" s="5"/>
      <c r="P3030" s="5"/>
    </row>
    <row r="3031" spans="2:16" ht="13.2" x14ac:dyDescent="0.25">
      <c r="B3031" s="18"/>
      <c r="C3031" s="19"/>
      <c r="D3031" s="19"/>
      <c r="O3031" s="5"/>
      <c r="P3031" s="5"/>
    </row>
    <row r="3032" spans="2:16" ht="13.2" x14ac:dyDescent="0.25">
      <c r="B3032" s="18"/>
      <c r="C3032" s="19"/>
      <c r="D3032" s="19"/>
      <c r="O3032" s="5"/>
      <c r="P3032" s="5"/>
    </row>
  </sheetData>
  <dataValidations count="1">
    <dataValidation type="list" allowBlank="1" showErrorMessage="1" sqref="E2:E101" xr:uid="{00000000-0002-0000-0000-000001000000}">
      <formula1>"МГТ,СГТ,КГТ"</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3DD6EEEF-CED8-45DF-8605-1EB395509723}">
          <x14:formula1>
            <xm:f>Лист1!$A$1:$A$21</xm:f>
          </x14:formula1>
          <xm:sqref>C2:C1048576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3032"/>
  <sheetViews>
    <sheetView tabSelected="1" workbookViewId="0">
      <selection activeCell="B2" sqref="B2"/>
    </sheetView>
  </sheetViews>
  <sheetFormatPr defaultColWidth="12.6640625" defaultRowHeight="15.75" customHeight="1" x14ac:dyDescent="0.25"/>
  <cols>
    <col min="1" max="1" width="6.33203125" customWidth="1"/>
    <col min="2" max="2" width="15.6640625" customWidth="1"/>
    <col min="3" max="3" width="33.109375" customWidth="1"/>
    <col min="4" max="4" width="25.21875" customWidth="1"/>
    <col min="5" max="5" width="13.88671875" customWidth="1"/>
    <col min="6" max="6" width="10.33203125" customWidth="1"/>
    <col min="7" max="7" width="15" customWidth="1"/>
    <col min="8" max="8" width="12.33203125" customWidth="1"/>
    <col min="9" max="9" width="16" customWidth="1"/>
    <col min="10" max="10" width="18.44140625" customWidth="1"/>
    <col min="11" max="11" width="15.109375" customWidth="1"/>
    <col min="12" max="12" width="20.88671875" customWidth="1"/>
    <col min="14" max="14" width="26.109375" customWidth="1"/>
    <col min="15" max="15" width="13.21875" customWidth="1"/>
    <col min="16" max="16" width="29.21875" customWidth="1"/>
  </cols>
  <sheetData>
    <row r="1" spans="1:28" ht="63" customHeight="1" x14ac:dyDescent="0.25">
      <c r="A1" s="1" t="s">
        <v>0</v>
      </c>
      <c r="B1" s="2" t="s">
        <v>24</v>
      </c>
      <c r="C1" s="3" t="s">
        <v>25</v>
      </c>
      <c r="D1" s="2" t="s">
        <v>26</v>
      </c>
      <c r="E1" s="2" t="s">
        <v>27</v>
      </c>
      <c r="F1" s="4" t="s">
        <v>28</v>
      </c>
      <c r="G1" s="4" t="s">
        <v>29</v>
      </c>
      <c r="H1" s="4" t="s">
        <v>30</v>
      </c>
      <c r="I1" s="4" t="s">
        <v>31</v>
      </c>
      <c r="J1" s="4" t="s">
        <v>32</v>
      </c>
      <c r="K1" s="3" t="s">
        <v>33</v>
      </c>
      <c r="L1" s="4" t="s">
        <v>34</v>
      </c>
      <c r="M1" s="5"/>
      <c r="N1" s="5"/>
      <c r="O1" s="5"/>
      <c r="P1" s="5"/>
      <c r="Q1" s="5"/>
      <c r="R1" s="5"/>
      <c r="S1" s="5"/>
      <c r="T1" s="5"/>
      <c r="U1" s="5"/>
      <c r="V1" s="5"/>
      <c r="W1" s="5"/>
      <c r="X1" s="5"/>
      <c r="Y1" s="5"/>
      <c r="Z1" s="5"/>
      <c r="AA1" s="5"/>
      <c r="AB1" s="5"/>
    </row>
    <row r="2" spans="1:28" ht="20.25" customHeight="1" x14ac:dyDescent="0.25">
      <c r="A2" s="6">
        <v>1</v>
      </c>
      <c r="B2" s="7">
        <v>500000</v>
      </c>
      <c r="C2" s="6" t="s">
        <v>35</v>
      </c>
      <c r="D2" s="14" t="s">
        <v>36</v>
      </c>
      <c r="E2" s="6" t="s">
        <v>37</v>
      </c>
      <c r="F2" s="9">
        <f>IFERROR(VLOOKUP(D2,'Savdo komissiyasi (UZB)'!E:F,2,0),"")</f>
        <v>0.3</v>
      </c>
      <c r="G2" s="10">
        <f t="shared" ref="G2:G101" si="0">IFERROR(IF(E2="MGT",IF(B2&gt;100000,6000,IF(B2&gt;10000,4000,2000)),IF(E2="O'GT",8000,20000)),"")</f>
        <v>6000</v>
      </c>
      <c r="H2" s="10">
        <f t="shared" ref="H2:H101" si="1">IFERROR(B2*F2,"")</f>
        <v>150000</v>
      </c>
      <c r="I2" s="10">
        <f t="shared" ref="I2:I101" si="2">G2+H2</f>
        <v>156000</v>
      </c>
      <c r="J2" s="10">
        <f t="shared" ref="J2:J101" si="3">IFERROR(B2-I2,"")</f>
        <v>344000</v>
      </c>
      <c r="K2" s="10">
        <v>400000</v>
      </c>
      <c r="L2" s="10">
        <f t="shared" ref="L2:L101" si="4">IFERROR(B2-I2-K2,"")</f>
        <v>-56000</v>
      </c>
      <c r="M2" s="11"/>
      <c r="N2" s="12" t="s">
        <v>38</v>
      </c>
      <c r="O2" s="5"/>
      <c r="P2" s="5"/>
      <c r="Q2" s="5"/>
      <c r="R2" s="5"/>
      <c r="S2" s="5"/>
      <c r="T2" s="5"/>
    </row>
    <row r="3" spans="1:28" ht="20.25" customHeight="1" x14ac:dyDescent="0.25">
      <c r="A3" s="6">
        <v>2</v>
      </c>
      <c r="B3" s="7">
        <v>890000</v>
      </c>
      <c r="C3" s="6" t="s">
        <v>39</v>
      </c>
      <c r="D3" s="8" t="s">
        <v>40</v>
      </c>
      <c r="E3" s="6" t="s">
        <v>41</v>
      </c>
      <c r="F3" s="9">
        <f>IFERROR(VLOOKUP(D3,'Savdo komissiyasi (UZB)'!E:F,2,0),"")</f>
        <v>0.17</v>
      </c>
      <c r="G3" s="10">
        <f t="shared" si="0"/>
        <v>8000</v>
      </c>
      <c r="H3" s="10">
        <f t="shared" si="1"/>
        <v>151300</v>
      </c>
      <c r="I3" s="10">
        <f t="shared" si="2"/>
        <v>159300</v>
      </c>
      <c r="J3" s="10">
        <f t="shared" si="3"/>
        <v>730700</v>
      </c>
      <c r="K3" s="10">
        <v>560000</v>
      </c>
      <c r="L3" s="10">
        <f t="shared" si="4"/>
        <v>170700</v>
      </c>
      <c r="M3" s="13"/>
      <c r="N3" s="12" t="s">
        <v>42</v>
      </c>
      <c r="O3" s="5"/>
      <c r="P3" s="5"/>
      <c r="Q3" s="5"/>
      <c r="R3" s="5"/>
      <c r="S3" s="5"/>
      <c r="T3" s="5"/>
    </row>
    <row r="4" spans="1:28" ht="20.25" customHeight="1" x14ac:dyDescent="0.25">
      <c r="A4" s="6">
        <v>3</v>
      </c>
      <c r="B4" s="7">
        <v>30000</v>
      </c>
      <c r="C4" s="6" t="s">
        <v>43</v>
      </c>
      <c r="D4" s="14" t="s">
        <v>44</v>
      </c>
      <c r="E4" s="6" t="s">
        <v>37</v>
      </c>
      <c r="F4" s="9">
        <f>IFERROR(VLOOKUP(D4,'Savdo komissiyasi (UZB)'!E:F,2,0),"")</f>
        <v>0.1</v>
      </c>
      <c r="G4" s="10">
        <f t="shared" si="0"/>
        <v>4000</v>
      </c>
      <c r="H4" s="10">
        <f t="shared" si="1"/>
        <v>3000</v>
      </c>
      <c r="I4" s="10">
        <f t="shared" si="2"/>
        <v>7000</v>
      </c>
      <c r="J4" s="10">
        <f t="shared" si="3"/>
        <v>23000</v>
      </c>
      <c r="K4" s="10">
        <v>11000</v>
      </c>
      <c r="L4" s="10">
        <f t="shared" si="4"/>
        <v>12000</v>
      </c>
      <c r="M4" s="15"/>
      <c r="N4" s="12" t="s">
        <v>45</v>
      </c>
      <c r="O4" s="5"/>
      <c r="P4" s="5"/>
      <c r="Q4" s="5"/>
      <c r="R4" s="5"/>
      <c r="S4" s="5"/>
      <c r="T4" s="5"/>
    </row>
    <row r="5" spans="1:28" ht="20.25" customHeight="1" x14ac:dyDescent="0.25">
      <c r="A5" s="6">
        <v>4</v>
      </c>
      <c r="B5" s="7">
        <v>5000000</v>
      </c>
      <c r="C5" s="6" t="s">
        <v>35</v>
      </c>
      <c r="D5" s="6" t="s">
        <v>46</v>
      </c>
      <c r="E5" s="6" t="s">
        <v>47</v>
      </c>
      <c r="F5" s="9">
        <f>IFERROR(VLOOKUP(D5,'Savdo komissiyasi (UZB)'!E:F,2,0),"")</f>
        <v>0.2</v>
      </c>
      <c r="G5" s="10">
        <f t="shared" si="0"/>
        <v>20000</v>
      </c>
      <c r="H5" s="10">
        <f t="shared" si="1"/>
        <v>1000000</v>
      </c>
      <c r="I5" s="10">
        <f t="shared" si="2"/>
        <v>1020000</v>
      </c>
      <c r="J5" s="10">
        <f t="shared" si="3"/>
        <v>3980000</v>
      </c>
      <c r="K5" s="10">
        <v>2360000</v>
      </c>
      <c r="L5" s="10">
        <f t="shared" si="4"/>
        <v>1620000</v>
      </c>
      <c r="O5" s="5"/>
      <c r="P5" s="5"/>
      <c r="Q5" s="5"/>
      <c r="R5" s="5"/>
      <c r="S5" s="5"/>
      <c r="T5" s="5"/>
    </row>
    <row r="6" spans="1:28" ht="20.25" customHeight="1" x14ac:dyDescent="0.25">
      <c r="A6" s="6">
        <v>5</v>
      </c>
      <c r="B6" s="7">
        <v>300000</v>
      </c>
      <c r="C6" s="6" t="s">
        <v>48</v>
      </c>
      <c r="D6" s="6" t="s">
        <v>49</v>
      </c>
      <c r="E6" s="6" t="s">
        <v>41</v>
      </c>
      <c r="F6" s="9">
        <f>IFERROR(VLOOKUP(D6,'Savdo komissiyasi (UZB)'!E:F,2,0),"")</f>
        <v>0.1</v>
      </c>
      <c r="G6" s="10">
        <f t="shared" si="0"/>
        <v>8000</v>
      </c>
      <c r="H6" s="10">
        <f t="shared" si="1"/>
        <v>30000</v>
      </c>
      <c r="I6" s="10">
        <f t="shared" si="2"/>
        <v>38000</v>
      </c>
      <c r="J6" s="10">
        <f t="shared" si="3"/>
        <v>262000</v>
      </c>
      <c r="K6" s="10">
        <v>150000</v>
      </c>
      <c r="L6" s="10">
        <f t="shared" si="4"/>
        <v>112000</v>
      </c>
      <c r="O6" s="5"/>
      <c r="P6" s="5"/>
      <c r="Q6" s="5"/>
      <c r="R6" s="5"/>
      <c r="S6" s="5"/>
      <c r="T6" s="5"/>
    </row>
    <row r="7" spans="1:28" ht="20.25" customHeight="1" x14ac:dyDescent="0.25">
      <c r="A7" s="6">
        <v>6</v>
      </c>
      <c r="B7" s="17"/>
      <c r="C7" s="6" t="s">
        <v>35</v>
      </c>
      <c r="D7" s="16"/>
      <c r="E7" s="6" t="s">
        <v>37</v>
      </c>
      <c r="F7" s="9" t="str">
        <f>IFERROR(VLOOKUP(D7,'Savdo komissiyasi (UZB)'!E:F,2,0),"")</f>
        <v/>
      </c>
      <c r="G7" s="10">
        <f t="shared" si="0"/>
        <v>2000</v>
      </c>
      <c r="H7" s="10" t="str">
        <f t="shared" si="1"/>
        <v/>
      </c>
      <c r="I7" s="10" t="e">
        <f t="shared" si="2"/>
        <v>#VALUE!</v>
      </c>
      <c r="J7" s="10" t="str">
        <f t="shared" si="3"/>
        <v/>
      </c>
      <c r="K7" s="10"/>
      <c r="L7" s="10" t="str">
        <f t="shared" si="4"/>
        <v/>
      </c>
      <c r="O7" s="5"/>
      <c r="P7" s="5"/>
      <c r="Q7" s="5"/>
      <c r="R7" s="5"/>
      <c r="S7" s="5"/>
      <c r="T7" s="5"/>
    </row>
    <row r="8" spans="1:28" ht="20.25" customHeight="1" x14ac:dyDescent="0.25">
      <c r="A8" s="6">
        <v>7</v>
      </c>
      <c r="B8" s="17"/>
      <c r="C8" s="6" t="s">
        <v>35</v>
      </c>
      <c r="D8" s="16"/>
      <c r="E8" s="6" t="s">
        <v>37</v>
      </c>
      <c r="F8" s="9" t="str">
        <f>IFERROR(VLOOKUP(D8,'Savdo komissiyasi (UZB)'!E:F,2,0),"")</f>
        <v/>
      </c>
      <c r="G8" s="10">
        <f t="shared" si="0"/>
        <v>2000</v>
      </c>
      <c r="H8" s="10" t="str">
        <f t="shared" si="1"/>
        <v/>
      </c>
      <c r="I8" s="10" t="e">
        <f t="shared" si="2"/>
        <v>#VALUE!</v>
      </c>
      <c r="J8" s="10" t="str">
        <f t="shared" si="3"/>
        <v/>
      </c>
      <c r="K8" s="10"/>
      <c r="L8" s="10" t="str">
        <f t="shared" si="4"/>
        <v/>
      </c>
      <c r="O8" s="5"/>
      <c r="P8" s="5"/>
      <c r="Q8" s="5"/>
      <c r="R8" s="5"/>
      <c r="S8" s="5"/>
      <c r="T8" s="5"/>
    </row>
    <row r="9" spans="1:28" ht="20.25" customHeight="1" x14ac:dyDescent="0.25">
      <c r="A9" s="6">
        <v>8</v>
      </c>
      <c r="B9" s="17"/>
      <c r="C9" s="6" t="s">
        <v>35</v>
      </c>
      <c r="D9" s="16"/>
      <c r="E9" s="6" t="s">
        <v>37</v>
      </c>
      <c r="F9" s="9" t="str">
        <f>IFERROR(VLOOKUP(D9,'Savdo komissiyasi (UZB)'!E:F,2,0),"")</f>
        <v/>
      </c>
      <c r="G9" s="10">
        <f t="shared" si="0"/>
        <v>2000</v>
      </c>
      <c r="H9" s="10" t="str">
        <f t="shared" si="1"/>
        <v/>
      </c>
      <c r="I9" s="10" t="e">
        <f t="shared" si="2"/>
        <v>#VALUE!</v>
      </c>
      <c r="J9" s="10" t="str">
        <f t="shared" si="3"/>
        <v/>
      </c>
      <c r="K9" s="10"/>
      <c r="L9" s="10" t="str">
        <f t="shared" si="4"/>
        <v/>
      </c>
      <c r="O9" s="5"/>
      <c r="P9" s="5"/>
      <c r="Q9" s="5"/>
      <c r="R9" s="5"/>
      <c r="S9" s="5"/>
      <c r="T9" s="5"/>
    </row>
    <row r="10" spans="1:28" ht="20.25" customHeight="1" x14ac:dyDescent="0.25">
      <c r="A10" s="6">
        <v>9</v>
      </c>
      <c r="B10" s="17"/>
      <c r="C10" s="6" t="s">
        <v>35</v>
      </c>
      <c r="D10" s="16"/>
      <c r="E10" s="6" t="s">
        <v>37</v>
      </c>
      <c r="F10" s="9" t="str">
        <f>IFERROR(VLOOKUP(D10,'Savdo komissiyasi (UZB)'!E:F,2,0),"")</f>
        <v/>
      </c>
      <c r="G10" s="10">
        <f t="shared" si="0"/>
        <v>2000</v>
      </c>
      <c r="H10" s="10" t="str">
        <f t="shared" si="1"/>
        <v/>
      </c>
      <c r="I10" s="10" t="e">
        <f t="shared" si="2"/>
        <v>#VALUE!</v>
      </c>
      <c r="J10" s="10" t="str">
        <f t="shared" si="3"/>
        <v/>
      </c>
      <c r="K10" s="10"/>
      <c r="L10" s="10" t="str">
        <f t="shared" si="4"/>
        <v/>
      </c>
      <c r="O10" s="5"/>
      <c r="P10" s="5"/>
      <c r="Q10" s="5"/>
    </row>
    <row r="11" spans="1:28" ht="20.25" customHeight="1" x14ac:dyDescent="0.25">
      <c r="A11" s="6">
        <v>10</v>
      </c>
      <c r="B11" s="17"/>
      <c r="C11" s="6" t="s">
        <v>35</v>
      </c>
      <c r="D11" s="16"/>
      <c r="E11" s="6" t="s">
        <v>37</v>
      </c>
      <c r="F11" s="9" t="str">
        <f>IFERROR(VLOOKUP(D11,'Savdo komissiyasi (UZB)'!E:F,2,0),"")</f>
        <v/>
      </c>
      <c r="G11" s="10">
        <f t="shared" si="0"/>
        <v>2000</v>
      </c>
      <c r="H11" s="10" t="str">
        <f t="shared" si="1"/>
        <v/>
      </c>
      <c r="I11" s="10" t="e">
        <f t="shared" si="2"/>
        <v>#VALUE!</v>
      </c>
      <c r="J11" s="10" t="str">
        <f t="shared" si="3"/>
        <v/>
      </c>
      <c r="K11" s="10"/>
      <c r="L11" s="10" t="str">
        <f t="shared" si="4"/>
        <v/>
      </c>
      <c r="O11" s="5"/>
      <c r="P11" s="5"/>
      <c r="Q11" s="5"/>
    </row>
    <row r="12" spans="1:28" ht="20.25" customHeight="1" x14ac:dyDescent="0.25">
      <c r="A12" s="6">
        <v>11</v>
      </c>
      <c r="B12" s="17"/>
      <c r="C12" s="6" t="s">
        <v>35</v>
      </c>
      <c r="D12" s="16"/>
      <c r="E12" s="6" t="s">
        <v>37</v>
      </c>
      <c r="F12" s="9" t="str">
        <f>IFERROR(VLOOKUP(D12,'Savdo komissiyasi (UZB)'!E:F,2,0),"")</f>
        <v/>
      </c>
      <c r="G12" s="10">
        <f t="shared" si="0"/>
        <v>2000</v>
      </c>
      <c r="H12" s="10" t="str">
        <f t="shared" si="1"/>
        <v/>
      </c>
      <c r="I12" s="10" t="e">
        <f t="shared" si="2"/>
        <v>#VALUE!</v>
      </c>
      <c r="J12" s="10" t="str">
        <f t="shared" si="3"/>
        <v/>
      </c>
      <c r="K12" s="10"/>
      <c r="L12" s="10" t="str">
        <f t="shared" si="4"/>
        <v/>
      </c>
      <c r="O12" s="5"/>
      <c r="P12" s="5"/>
      <c r="Q12" s="5"/>
    </row>
    <row r="13" spans="1:28" ht="20.25" customHeight="1" x14ac:dyDescent="0.25">
      <c r="A13" s="6">
        <v>12</v>
      </c>
      <c r="B13" s="17"/>
      <c r="C13" s="6" t="s">
        <v>35</v>
      </c>
      <c r="D13" s="16"/>
      <c r="E13" s="6" t="s">
        <v>37</v>
      </c>
      <c r="F13" s="9" t="str">
        <f>IFERROR(VLOOKUP(D13,'Savdo komissiyasi (UZB)'!E:F,2,0),"")</f>
        <v/>
      </c>
      <c r="G13" s="10">
        <f t="shared" si="0"/>
        <v>2000</v>
      </c>
      <c r="H13" s="10" t="str">
        <f t="shared" si="1"/>
        <v/>
      </c>
      <c r="I13" s="10" t="e">
        <f t="shared" si="2"/>
        <v>#VALUE!</v>
      </c>
      <c r="J13" s="10" t="str">
        <f t="shared" si="3"/>
        <v/>
      </c>
      <c r="K13" s="10"/>
      <c r="L13" s="10" t="str">
        <f t="shared" si="4"/>
        <v/>
      </c>
      <c r="O13" s="5"/>
      <c r="P13" s="5"/>
      <c r="Q13" s="5"/>
    </row>
    <row r="14" spans="1:28" ht="20.25" customHeight="1" x14ac:dyDescent="0.25">
      <c r="A14" s="6">
        <v>13</v>
      </c>
      <c r="B14" s="17"/>
      <c r="C14" s="6" t="s">
        <v>35</v>
      </c>
      <c r="D14" s="16"/>
      <c r="E14" s="6" t="s">
        <v>37</v>
      </c>
      <c r="F14" s="9" t="str">
        <f>IFERROR(VLOOKUP(D14,'Savdo komissiyasi (UZB)'!E:F,2,0),"")</f>
        <v/>
      </c>
      <c r="G14" s="10">
        <f t="shared" si="0"/>
        <v>2000</v>
      </c>
      <c r="H14" s="10" t="str">
        <f t="shared" si="1"/>
        <v/>
      </c>
      <c r="I14" s="10" t="e">
        <f t="shared" si="2"/>
        <v>#VALUE!</v>
      </c>
      <c r="J14" s="10" t="str">
        <f t="shared" si="3"/>
        <v/>
      </c>
      <c r="K14" s="10"/>
      <c r="L14" s="10" t="str">
        <f t="shared" si="4"/>
        <v/>
      </c>
      <c r="O14" s="5"/>
      <c r="P14" s="5"/>
      <c r="Q14" s="5"/>
    </row>
    <row r="15" spans="1:28" ht="20.25" customHeight="1" x14ac:dyDescent="0.25">
      <c r="A15" s="6">
        <v>14</v>
      </c>
      <c r="B15" s="17"/>
      <c r="C15" s="6" t="s">
        <v>35</v>
      </c>
      <c r="D15" s="16"/>
      <c r="E15" s="6" t="s">
        <v>37</v>
      </c>
      <c r="F15" s="9" t="str">
        <f>IFERROR(VLOOKUP(D15,'Savdo komissiyasi (UZB)'!E:F,2,0),"")</f>
        <v/>
      </c>
      <c r="G15" s="10">
        <f t="shared" si="0"/>
        <v>2000</v>
      </c>
      <c r="H15" s="10" t="str">
        <f t="shared" si="1"/>
        <v/>
      </c>
      <c r="I15" s="10" t="e">
        <f t="shared" si="2"/>
        <v>#VALUE!</v>
      </c>
      <c r="J15" s="10" t="str">
        <f t="shared" si="3"/>
        <v/>
      </c>
      <c r="K15" s="10"/>
      <c r="L15" s="10" t="str">
        <f t="shared" si="4"/>
        <v/>
      </c>
      <c r="O15" s="5"/>
      <c r="P15" s="5"/>
      <c r="Q15" s="5"/>
    </row>
    <row r="16" spans="1:28" ht="20.25" customHeight="1" x14ac:dyDescent="0.25">
      <c r="A16" s="6">
        <v>15</v>
      </c>
      <c r="B16" s="17"/>
      <c r="C16" s="6" t="s">
        <v>35</v>
      </c>
      <c r="D16" s="16"/>
      <c r="E16" s="6" t="s">
        <v>37</v>
      </c>
      <c r="F16" s="9" t="str">
        <f>IFERROR(VLOOKUP(D16,'Savdo komissiyasi (UZB)'!E:F,2,0),"")</f>
        <v/>
      </c>
      <c r="G16" s="10">
        <f t="shared" si="0"/>
        <v>2000</v>
      </c>
      <c r="H16" s="10" t="str">
        <f t="shared" si="1"/>
        <v/>
      </c>
      <c r="I16" s="10" t="e">
        <f t="shared" si="2"/>
        <v>#VALUE!</v>
      </c>
      <c r="J16" s="10" t="str">
        <f t="shared" si="3"/>
        <v/>
      </c>
      <c r="K16" s="10"/>
      <c r="L16" s="10" t="str">
        <f t="shared" si="4"/>
        <v/>
      </c>
      <c r="O16" s="5"/>
      <c r="P16" s="5"/>
      <c r="Q16" s="5"/>
    </row>
    <row r="17" spans="1:17" ht="20.25" customHeight="1" x14ac:dyDescent="0.25">
      <c r="A17" s="6">
        <v>16</v>
      </c>
      <c r="B17" s="17"/>
      <c r="C17" s="6" t="s">
        <v>35</v>
      </c>
      <c r="D17" s="16"/>
      <c r="E17" s="6" t="s">
        <v>37</v>
      </c>
      <c r="F17" s="9" t="str">
        <f>IFERROR(VLOOKUP(D17,'Savdo komissiyasi (UZB)'!E:F,2,0),"")</f>
        <v/>
      </c>
      <c r="G17" s="10">
        <f t="shared" si="0"/>
        <v>2000</v>
      </c>
      <c r="H17" s="10" t="str">
        <f t="shared" si="1"/>
        <v/>
      </c>
      <c r="I17" s="10" t="e">
        <f t="shared" si="2"/>
        <v>#VALUE!</v>
      </c>
      <c r="J17" s="10" t="str">
        <f t="shared" si="3"/>
        <v/>
      </c>
      <c r="K17" s="10"/>
      <c r="L17" s="10" t="str">
        <f t="shared" si="4"/>
        <v/>
      </c>
      <c r="O17" s="5"/>
      <c r="P17" s="5"/>
      <c r="Q17" s="5"/>
    </row>
    <row r="18" spans="1:17" ht="20.25" customHeight="1" x14ac:dyDescent="0.25">
      <c r="A18" s="6">
        <v>17</v>
      </c>
      <c r="B18" s="17"/>
      <c r="C18" s="6" t="s">
        <v>35</v>
      </c>
      <c r="D18" s="16"/>
      <c r="E18" s="6" t="s">
        <v>37</v>
      </c>
      <c r="F18" s="9" t="str">
        <f>IFERROR(VLOOKUP(D18,'Savdo komissiyasi (UZB)'!E:F,2,0),"")</f>
        <v/>
      </c>
      <c r="G18" s="10">
        <f t="shared" si="0"/>
        <v>2000</v>
      </c>
      <c r="H18" s="10" t="str">
        <f t="shared" si="1"/>
        <v/>
      </c>
      <c r="I18" s="10" t="e">
        <f t="shared" si="2"/>
        <v>#VALUE!</v>
      </c>
      <c r="J18" s="10" t="str">
        <f t="shared" si="3"/>
        <v/>
      </c>
      <c r="K18" s="10"/>
      <c r="L18" s="10" t="str">
        <f t="shared" si="4"/>
        <v/>
      </c>
      <c r="O18" s="5"/>
      <c r="P18" s="5"/>
      <c r="Q18" s="5"/>
    </row>
    <row r="19" spans="1:17" ht="20.25" customHeight="1" x14ac:dyDescent="0.25">
      <c r="A19" s="6">
        <v>18</v>
      </c>
      <c r="B19" s="17"/>
      <c r="C19" s="6" t="s">
        <v>35</v>
      </c>
      <c r="D19" s="16"/>
      <c r="E19" s="6" t="s">
        <v>37</v>
      </c>
      <c r="F19" s="9" t="str">
        <f>IFERROR(VLOOKUP(D19,'Savdo komissiyasi (UZB)'!E:F,2,0),"")</f>
        <v/>
      </c>
      <c r="G19" s="10">
        <f t="shared" si="0"/>
        <v>2000</v>
      </c>
      <c r="H19" s="10" t="str">
        <f t="shared" si="1"/>
        <v/>
      </c>
      <c r="I19" s="10" t="e">
        <f t="shared" si="2"/>
        <v>#VALUE!</v>
      </c>
      <c r="J19" s="10" t="str">
        <f t="shared" si="3"/>
        <v/>
      </c>
      <c r="K19" s="10"/>
      <c r="L19" s="10" t="str">
        <f t="shared" si="4"/>
        <v/>
      </c>
      <c r="O19" s="5"/>
      <c r="P19" s="5"/>
      <c r="Q19" s="5"/>
    </row>
    <row r="20" spans="1:17" ht="20.25" customHeight="1" x14ac:dyDescent="0.25">
      <c r="A20" s="6">
        <v>19</v>
      </c>
      <c r="B20" s="17"/>
      <c r="C20" s="6" t="s">
        <v>35</v>
      </c>
      <c r="D20" s="16"/>
      <c r="E20" s="6" t="s">
        <v>37</v>
      </c>
      <c r="F20" s="9" t="str">
        <f>IFERROR(VLOOKUP(D20,'Savdo komissiyasi (UZB)'!E:F,2,0),"")</f>
        <v/>
      </c>
      <c r="G20" s="10">
        <f t="shared" si="0"/>
        <v>2000</v>
      </c>
      <c r="H20" s="10" t="str">
        <f t="shared" si="1"/>
        <v/>
      </c>
      <c r="I20" s="10" t="e">
        <f t="shared" si="2"/>
        <v>#VALUE!</v>
      </c>
      <c r="J20" s="10" t="str">
        <f t="shared" si="3"/>
        <v/>
      </c>
      <c r="K20" s="10"/>
      <c r="L20" s="10" t="str">
        <f t="shared" si="4"/>
        <v/>
      </c>
      <c r="O20" s="5"/>
      <c r="P20" s="5"/>
      <c r="Q20" s="5"/>
    </row>
    <row r="21" spans="1:17" ht="20.25" customHeight="1" x14ac:dyDescent="0.25">
      <c r="A21" s="6">
        <v>20</v>
      </c>
      <c r="B21" s="17"/>
      <c r="C21" s="6" t="s">
        <v>35</v>
      </c>
      <c r="D21" s="16"/>
      <c r="E21" s="6" t="s">
        <v>37</v>
      </c>
      <c r="F21" s="9" t="str">
        <f>IFERROR(VLOOKUP(D21,'Savdo komissiyasi (UZB)'!E:F,2,0),"")</f>
        <v/>
      </c>
      <c r="G21" s="10">
        <f t="shared" si="0"/>
        <v>2000</v>
      </c>
      <c r="H21" s="10" t="str">
        <f t="shared" si="1"/>
        <v/>
      </c>
      <c r="I21" s="10" t="e">
        <f t="shared" si="2"/>
        <v>#VALUE!</v>
      </c>
      <c r="J21" s="10" t="str">
        <f t="shared" si="3"/>
        <v/>
      </c>
      <c r="K21" s="10"/>
      <c r="L21" s="10" t="str">
        <f t="shared" si="4"/>
        <v/>
      </c>
      <c r="O21" s="5"/>
      <c r="P21" s="5"/>
      <c r="Q21" s="5"/>
    </row>
    <row r="22" spans="1:17" ht="20.25" customHeight="1" x14ac:dyDescent="0.25">
      <c r="A22" s="6">
        <v>21</v>
      </c>
      <c r="B22" s="17"/>
      <c r="C22" s="6" t="s">
        <v>35</v>
      </c>
      <c r="D22" s="16"/>
      <c r="E22" s="6" t="s">
        <v>37</v>
      </c>
      <c r="F22" s="9" t="str">
        <f>IFERROR(VLOOKUP(D22,'Savdo komissiyasi (UZB)'!E:F,2,0),"")</f>
        <v/>
      </c>
      <c r="G22" s="10">
        <f t="shared" si="0"/>
        <v>2000</v>
      </c>
      <c r="H22" s="10" t="str">
        <f t="shared" si="1"/>
        <v/>
      </c>
      <c r="I22" s="10" t="e">
        <f t="shared" si="2"/>
        <v>#VALUE!</v>
      </c>
      <c r="J22" s="10" t="str">
        <f t="shared" si="3"/>
        <v/>
      </c>
      <c r="K22" s="10"/>
      <c r="L22" s="10" t="str">
        <f t="shared" si="4"/>
        <v/>
      </c>
      <c r="O22" s="5"/>
      <c r="P22" s="5"/>
      <c r="Q22" s="5"/>
    </row>
    <row r="23" spans="1:17" ht="20.25" customHeight="1" x14ac:dyDescent="0.25">
      <c r="A23" s="6">
        <v>22</v>
      </c>
      <c r="B23" s="17"/>
      <c r="C23" s="6" t="s">
        <v>35</v>
      </c>
      <c r="D23" s="16"/>
      <c r="E23" s="6" t="s">
        <v>37</v>
      </c>
      <c r="F23" s="9" t="str">
        <f>IFERROR(VLOOKUP(D23,'Savdo komissiyasi (UZB)'!E:F,2,0),"")</f>
        <v/>
      </c>
      <c r="G23" s="10">
        <f t="shared" si="0"/>
        <v>2000</v>
      </c>
      <c r="H23" s="10" t="str">
        <f t="shared" si="1"/>
        <v/>
      </c>
      <c r="I23" s="10" t="e">
        <f t="shared" si="2"/>
        <v>#VALUE!</v>
      </c>
      <c r="J23" s="10" t="str">
        <f t="shared" si="3"/>
        <v/>
      </c>
      <c r="K23" s="10"/>
      <c r="L23" s="10" t="str">
        <f t="shared" si="4"/>
        <v/>
      </c>
      <c r="O23" s="5"/>
      <c r="P23" s="5"/>
      <c r="Q23" s="5"/>
    </row>
    <row r="24" spans="1:17" ht="20.25" customHeight="1" x14ac:dyDescent="0.25">
      <c r="A24" s="6">
        <v>23</v>
      </c>
      <c r="B24" s="17"/>
      <c r="C24" s="6" t="s">
        <v>35</v>
      </c>
      <c r="D24" s="16"/>
      <c r="E24" s="6" t="s">
        <v>37</v>
      </c>
      <c r="F24" s="9" t="str">
        <f>IFERROR(VLOOKUP(D24,'Savdo komissiyasi (UZB)'!E:F,2,0),"")</f>
        <v/>
      </c>
      <c r="G24" s="10">
        <f t="shared" si="0"/>
        <v>2000</v>
      </c>
      <c r="H24" s="10" t="str">
        <f t="shared" si="1"/>
        <v/>
      </c>
      <c r="I24" s="10" t="e">
        <f t="shared" si="2"/>
        <v>#VALUE!</v>
      </c>
      <c r="J24" s="10" t="str">
        <f t="shared" si="3"/>
        <v/>
      </c>
      <c r="K24" s="10"/>
      <c r="L24" s="10" t="str">
        <f t="shared" si="4"/>
        <v/>
      </c>
      <c r="O24" s="5"/>
      <c r="P24" s="5"/>
      <c r="Q24" s="5"/>
    </row>
    <row r="25" spans="1:17" ht="20.25" customHeight="1" x14ac:dyDescent="0.25">
      <c r="A25" s="6">
        <v>24</v>
      </c>
      <c r="B25" s="17"/>
      <c r="C25" s="6" t="s">
        <v>35</v>
      </c>
      <c r="D25" s="16"/>
      <c r="E25" s="6" t="s">
        <v>37</v>
      </c>
      <c r="F25" s="9" t="str">
        <f>IFERROR(VLOOKUP(D25,'Savdo komissiyasi (UZB)'!E:F,2,0),"")</f>
        <v/>
      </c>
      <c r="G25" s="10">
        <f t="shared" si="0"/>
        <v>2000</v>
      </c>
      <c r="H25" s="10" t="str">
        <f t="shared" si="1"/>
        <v/>
      </c>
      <c r="I25" s="10" t="e">
        <f t="shared" si="2"/>
        <v>#VALUE!</v>
      </c>
      <c r="J25" s="10" t="str">
        <f t="shared" si="3"/>
        <v/>
      </c>
      <c r="K25" s="10"/>
      <c r="L25" s="10" t="str">
        <f t="shared" si="4"/>
        <v/>
      </c>
      <c r="O25" s="5"/>
      <c r="P25" s="5"/>
      <c r="Q25" s="5"/>
    </row>
    <row r="26" spans="1:17" ht="20.25" customHeight="1" x14ac:dyDescent="0.25">
      <c r="A26" s="6">
        <v>25</v>
      </c>
      <c r="B26" s="17"/>
      <c r="C26" s="6" t="s">
        <v>35</v>
      </c>
      <c r="D26" s="16"/>
      <c r="E26" s="6" t="s">
        <v>37</v>
      </c>
      <c r="F26" s="9" t="str">
        <f>IFERROR(VLOOKUP(D26,'Savdo komissiyasi (UZB)'!E:F,2,0),"")</f>
        <v/>
      </c>
      <c r="G26" s="10">
        <f t="shared" si="0"/>
        <v>2000</v>
      </c>
      <c r="H26" s="10" t="str">
        <f t="shared" si="1"/>
        <v/>
      </c>
      <c r="I26" s="10" t="e">
        <f t="shared" si="2"/>
        <v>#VALUE!</v>
      </c>
      <c r="J26" s="10" t="str">
        <f t="shared" si="3"/>
        <v/>
      </c>
      <c r="K26" s="10"/>
      <c r="L26" s="10" t="str">
        <f t="shared" si="4"/>
        <v/>
      </c>
      <c r="O26" s="5"/>
      <c r="P26" s="5"/>
      <c r="Q26" s="5"/>
    </row>
    <row r="27" spans="1:17" ht="20.25" customHeight="1" x14ac:dyDescent="0.25">
      <c r="A27" s="6">
        <v>26</v>
      </c>
      <c r="B27" s="17"/>
      <c r="C27" s="6" t="s">
        <v>35</v>
      </c>
      <c r="D27" s="16"/>
      <c r="E27" s="6" t="s">
        <v>37</v>
      </c>
      <c r="F27" s="9" t="str">
        <f>IFERROR(VLOOKUP(D27,'Savdo komissiyasi (UZB)'!E:F,2,0),"")</f>
        <v/>
      </c>
      <c r="G27" s="10">
        <f t="shared" si="0"/>
        <v>2000</v>
      </c>
      <c r="H27" s="10" t="str">
        <f t="shared" si="1"/>
        <v/>
      </c>
      <c r="I27" s="10" t="e">
        <f t="shared" si="2"/>
        <v>#VALUE!</v>
      </c>
      <c r="J27" s="10" t="str">
        <f t="shared" si="3"/>
        <v/>
      </c>
      <c r="K27" s="10"/>
      <c r="L27" s="10" t="str">
        <f t="shared" si="4"/>
        <v/>
      </c>
      <c r="O27" s="5"/>
      <c r="P27" s="5"/>
      <c r="Q27" s="5"/>
    </row>
    <row r="28" spans="1:17" ht="20.25" customHeight="1" x14ac:dyDescent="0.25">
      <c r="A28" s="6">
        <v>27</v>
      </c>
      <c r="B28" s="17"/>
      <c r="C28" s="6" t="s">
        <v>35</v>
      </c>
      <c r="D28" s="16"/>
      <c r="E28" s="6" t="s">
        <v>37</v>
      </c>
      <c r="F28" s="9" t="str">
        <f>IFERROR(VLOOKUP(D28,'Savdo komissiyasi (UZB)'!E:F,2,0),"")</f>
        <v/>
      </c>
      <c r="G28" s="10">
        <f t="shared" si="0"/>
        <v>2000</v>
      </c>
      <c r="H28" s="10" t="str">
        <f t="shared" si="1"/>
        <v/>
      </c>
      <c r="I28" s="10" t="e">
        <f t="shared" si="2"/>
        <v>#VALUE!</v>
      </c>
      <c r="J28" s="10" t="str">
        <f t="shared" si="3"/>
        <v/>
      </c>
      <c r="K28" s="10"/>
      <c r="L28" s="10" t="str">
        <f t="shared" si="4"/>
        <v/>
      </c>
      <c r="O28" s="5"/>
      <c r="P28" s="5"/>
    </row>
    <row r="29" spans="1:17" ht="20.25" customHeight="1" x14ac:dyDescent="0.25">
      <c r="A29" s="6">
        <v>28</v>
      </c>
      <c r="B29" s="17"/>
      <c r="C29" s="6" t="s">
        <v>35</v>
      </c>
      <c r="D29" s="16"/>
      <c r="E29" s="6" t="s">
        <v>37</v>
      </c>
      <c r="F29" s="9" t="str">
        <f>IFERROR(VLOOKUP(D29,'Savdo komissiyasi (UZB)'!E:F,2,0),"")</f>
        <v/>
      </c>
      <c r="G29" s="10">
        <f t="shared" si="0"/>
        <v>2000</v>
      </c>
      <c r="H29" s="10" t="str">
        <f t="shared" si="1"/>
        <v/>
      </c>
      <c r="I29" s="10" t="e">
        <f t="shared" si="2"/>
        <v>#VALUE!</v>
      </c>
      <c r="J29" s="10" t="str">
        <f t="shared" si="3"/>
        <v/>
      </c>
      <c r="K29" s="10"/>
      <c r="L29" s="10" t="str">
        <f t="shared" si="4"/>
        <v/>
      </c>
      <c r="O29" s="5"/>
      <c r="P29" s="5"/>
    </row>
    <row r="30" spans="1:17" ht="20.25" customHeight="1" x14ac:dyDescent="0.25">
      <c r="A30" s="6">
        <v>29</v>
      </c>
      <c r="B30" s="17"/>
      <c r="C30" s="6" t="s">
        <v>35</v>
      </c>
      <c r="D30" s="16"/>
      <c r="E30" s="6" t="s">
        <v>37</v>
      </c>
      <c r="F30" s="9" t="str">
        <f>IFERROR(VLOOKUP(D30,'Savdo komissiyasi (UZB)'!E:F,2,0),"")</f>
        <v/>
      </c>
      <c r="G30" s="10">
        <f t="shared" si="0"/>
        <v>2000</v>
      </c>
      <c r="H30" s="10" t="str">
        <f t="shared" si="1"/>
        <v/>
      </c>
      <c r="I30" s="10" t="e">
        <f t="shared" si="2"/>
        <v>#VALUE!</v>
      </c>
      <c r="J30" s="10" t="str">
        <f t="shared" si="3"/>
        <v/>
      </c>
      <c r="K30" s="10"/>
      <c r="L30" s="10" t="str">
        <f t="shared" si="4"/>
        <v/>
      </c>
      <c r="O30" s="5"/>
      <c r="P30" s="5"/>
    </row>
    <row r="31" spans="1:17" ht="20.25" customHeight="1" x14ac:dyDescent="0.25">
      <c r="A31" s="6">
        <v>30</v>
      </c>
      <c r="B31" s="17"/>
      <c r="C31" s="6" t="s">
        <v>35</v>
      </c>
      <c r="D31" s="16"/>
      <c r="E31" s="6" t="s">
        <v>37</v>
      </c>
      <c r="F31" s="9" t="str">
        <f>IFERROR(VLOOKUP(D31,'Savdo komissiyasi (UZB)'!E:F,2,0),"")</f>
        <v/>
      </c>
      <c r="G31" s="10">
        <f t="shared" si="0"/>
        <v>2000</v>
      </c>
      <c r="H31" s="10" t="str">
        <f t="shared" si="1"/>
        <v/>
      </c>
      <c r="I31" s="10" t="e">
        <f t="shared" si="2"/>
        <v>#VALUE!</v>
      </c>
      <c r="J31" s="10" t="str">
        <f t="shared" si="3"/>
        <v/>
      </c>
      <c r="K31" s="10"/>
      <c r="L31" s="10" t="str">
        <f t="shared" si="4"/>
        <v/>
      </c>
      <c r="O31" s="5"/>
      <c r="P31" s="5"/>
    </row>
    <row r="32" spans="1:17" ht="13.2" x14ac:dyDescent="0.25">
      <c r="A32" s="6">
        <v>31</v>
      </c>
      <c r="B32" s="17"/>
      <c r="C32" s="6" t="s">
        <v>35</v>
      </c>
      <c r="D32" s="16"/>
      <c r="E32" s="6" t="s">
        <v>37</v>
      </c>
      <c r="F32" s="9" t="str">
        <f>IFERROR(VLOOKUP(D32,'Savdo komissiyasi (UZB)'!E:F,2,0),"")</f>
        <v/>
      </c>
      <c r="G32" s="10">
        <f t="shared" si="0"/>
        <v>2000</v>
      </c>
      <c r="H32" s="10" t="str">
        <f t="shared" si="1"/>
        <v/>
      </c>
      <c r="I32" s="10" t="e">
        <f t="shared" si="2"/>
        <v>#VALUE!</v>
      </c>
      <c r="J32" s="10" t="str">
        <f t="shared" si="3"/>
        <v/>
      </c>
      <c r="K32" s="10"/>
      <c r="L32" s="10" t="str">
        <f t="shared" si="4"/>
        <v/>
      </c>
      <c r="O32" s="5"/>
      <c r="P32" s="5"/>
    </row>
    <row r="33" spans="1:16" ht="13.2" x14ac:dyDescent="0.25">
      <c r="A33" s="6">
        <v>32</v>
      </c>
      <c r="B33" s="17"/>
      <c r="C33" s="6" t="s">
        <v>35</v>
      </c>
      <c r="D33" s="16"/>
      <c r="E33" s="6" t="s">
        <v>37</v>
      </c>
      <c r="F33" s="9" t="str">
        <f>IFERROR(VLOOKUP(D33,'Savdo komissiyasi (UZB)'!E:F,2,0),"")</f>
        <v/>
      </c>
      <c r="G33" s="10">
        <f t="shared" si="0"/>
        <v>2000</v>
      </c>
      <c r="H33" s="10" t="str">
        <f t="shared" si="1"/>
        <v/>
      </c>
      <c r="I33" s="10" t="e">
        <f t="shared" si="2"/>
        <v>#VALUE!</v>
      </c>
      <c r="J33" s="10" t="str">
        <f t="shared" si="3"/>
        <v/>
      </c>
      <c r="K33" s="10"/>
      <c r="L33" s="10" t="str">
        <f t="shared" si="4"/>
        <v/>
      </c>
      <c r="O33" s="5"/>
      <c r="P33" s="5"/>
    </row>
    <row r="34" spans="1:16" ht="13.2" x14ac:dyDescent="0.25">
      <c r="A34" s="6">
        <v>33</v>
      </c>
      <c r="B34" s="17"/>
      <c r="C34" s="6" t="s">
        <v>35</v>
      </c>
      <c r="D34" s="16"/>
      <c r="E34" s="6" t="s">
        <v>37</v>
      </c>
      <c r="F34" s="9" t="str">
        <f>IFERROR(VLOOKUP(D34,'Savdo komissiyasi (UZB)'!E:F,2,0),"")</f>
        <v/>
      </c>
      <c r="G34" s="10">
        <f t="shared" si="0"/>
        <v>2000</v>
      </c>
      <c r="H34" s="10" t="str">
        <f t="shared" si="1"/>
        <v/>
      </c>
      <c r="I34" s="10" t="e">
        <f t="shared" si="2"/>
        <v>#VALUE!</v>
      </c>
      <c r="J34" s="10" t="str">
        <f t="shared" si="3"/>
        <v/>
      </c>
      <c r="K34" s="10"/>
      <c r="L34" s="10" t="str">
        <f t="shared" si="4"/>
        <v/>
      </c>
      <c r="O34" s="5"/>
      <c r="P34" s="5"/>
    </row>
    <row r="35" spans="1:16" ht="13.2" x14ac:dyDescent="0.25">
      <c r="A35" s="6">
        <v>34</v>
      </c>
      <c r="B35" s="17"/>
      <c r="C35" s="6" t="s">
        <v>35</v>
      </c>
      <c r="D35" s="16"/>
      <c r="E35" s="6" t="s">
        <v>37</v>
      </c>
      <c r="F35" s="9" t="str">
        <f>IFERROR(VLOOKUP(D35,'Savdo komissiyasi (UZB)'!E:F,2,0),"")</f>
        <v/>
      </c>
      <c r="G35" s="10">
        <f t="shared" si="0"/>
        <v>2000</v>
      </c>
      <c r="H35" s="10" t="str">
        <f t="shared" si="1"/>
        <v/>
      </c>
      <c r="I35" s="10" t="e">
        <f t="shared" si="2"/>
        <v>#VALUE!</v>
      </c>
      <c r="J35" s="10" t="str">
        <f t="shared" si="3"/>
        <v/>
      </c>
      <c r="K35" s="10"/>
      <c r="L35" s="10" t="str">
        <f t="shared" si="4"/>
        <v/>
      </c>
      <c r="O35" s="5"/>
      <c r="P35" s="5"/>
    </row>
    <row r="36" spans="1:16" ht="13.2" x14ac:dyDescent="0.25">
      <c r="A36" s="6">
        <v>35</v>
      </c>
      <c r="B36" s="17"/>
      <c r="C36" s="6" t="s">
        <v>35</v>
      </c>
      <c r="D36" s="16"/>
      <c r="E36" s="6" t="s">
        <v>37</v>
      </c>
      <c r="F36" s="9" t="str">
        <f>IFERROR(VLOOKUP(D36,'Savdo komissiyasi (UZB)'!E:F,2,0),"")</f>
        <v/>
      </c>
      <c r="G36" s="10">
        <f t="shared" si="0"/>
        <v>2000</v>
      </c>
      <c r="H36" s="10" t="str">
        <f t="shared" si="1"/>
        <v/>
      </c>
      <c r="I36" s="10" t="e">
        <f t="shared" si="2"/>
        <v>#VALUE!</v>
      </c>
      <c r="J36" s="10" t="str">
        <f t="shared" si="3"/>
        <v/>
      </c>
      <c r="K36" s="10"/>
      <c r="L36" s="10" t="str">
        <f t="shared" si="4"/>
        <v/>
      </c>
      <c r="O36" s="5"/>
      <c r="P36" s="5"/>
    </row>
    <row r="37" spans="1:16" ht="13.2" x14ac:dyDescent="0.25">
      <c r="A37" s="6">
        <v>36</v>
      </c>
      <c r="B37" s="17"/>
      <c r="C37" s="6" t="s">
        <v>35</v>
      </c>
      <c r="D37" s="16"/>
      <c r="E37" s="6" t="s">
        <v>37</v>
      </c>
      <c r="F37" s="9" t="str">
        <f>IFERROR(VLOOKUP(D37,'Savdo komissiyasi (UZB)'!E:F,2,0),"")</f>
        <v/>
      </c>
      <c r="G37" s="10">
        <f t="shared" si="0"/>
        <v>2000</v>
      </c>
      <c r="H37" s="10" t="str">
        <f t="shared" si="1"/>
        <v/>
      </c>
      <c r="I37" s="10" t="e">
        <f t="shared" si="2"/>
        <v>#VALUE!</v>
      </c>
      <c r="J37" s="10" t="str">
        <f t="shared" si="3"/>
        <v/>
      </c>
      <c r="K37" s="10"/>
      <c r="L37" s="10" t="str">
        <f t="shared" si="4"/>
        <v/>
      </c>
      <c r="O37" s="5"/>
      <c r="P37" s="5"/>
    </row>
    <row r="38" spans="1:16" ht="13.2" x14ac:dyDescent="0.25">
      <c r="A38" s="6">
        <v>37</v>
      </c>
      <c r="B38" s="17"/>
      <c r="C38" s="6" t="s">
        <v>35</v>
      </c>
      <c r="D38" s="16"/>
      <c r="E38" s="6" t="s">
        <v>37</v>
      </c>
      <c r="F38" s="9" t="str">
        <f>IFERROR(VLOOKUP(D38,'Savdo komissiyasi (UZB)'!E:F,2,0),"")</f>
        <v/>
      </c>
      <c r="G38" s="10">
        <f t="shared" si="0"/>
        <v>2000</v>
      </c>
      <c r="H38" s="10" t="str">
        <f t="shared" si="1"/>
        <v/>
      </c>
      <c r="I38" s="10" t="e">
        <f t="shared" si="2"/>
        <v>#VALUE!</v>
      </c>
      <c r="J38" s="10" t="str">
        <f t="shared" si="3"/>
        <v/>
      </c>
      <c r="K38" s="10"/>
      <c r="L38" s="10" t="str">
        <f t="shared" si="4"/>
        <v/>
      </c>
      <c r="O38" s="5"/>
      <c r="P38" s="5"/>
    </row>
    <row r="39" spans="1:16" ht="13.2" x14ac:dyDescent="0.25">
      <c r="A39" s="6">
        <v>38</v>
      </c>
      <c r="B39" s="17"/>
      <c r="C39" s="6" t="s">
        <v>35</v>
      </c>
      <c r="D39" s="16"/>
      <c r="E39" s="6" t="s">
        <v>37</v>
      </c>
      <c r="F39" s="9" t="str">
        <f>IFERROR(VLOOKUP(D39,'Savdo komissiyasi (UZB)'!E:F,2,0),"")</f>
        <v/>
      </c>
      <c r="G39" s="10">
        <f t="shared" si="0"/>
        <v>2000</v>
      </c>
      <c r="H39" s="10" t="str">
        <f t="shared" si="1"/>
        <v/>
      </c>
      <c r="I39" s="10" t="e">
        <f t="shared" si="2"/>
        <v>#VALUE!</v>
      </c>
      <c r="J39" s="10" t="str">
        <f t="shared" si="3"/>
        <v/>
      </c>
      <c r="K39" s="10"/>
      <c r="L39" s="10" t="str">
        <f t="shared" si="4"/>
        <v/>
      </c>
      <c r="O39" s="5"/>
      <c r="P39" s="5"/>
    </row>
    <row r="40" spans="1:16" ht="13.2" x14ac:dyDescent="0.25">
      <c r="A40" s="6">
        <v>39</v>
      </c>
      <c r="B40" s="17"/>
      <c r="C40" s="6" t="s">
        <v>35</v>
      </c>
      <c r="D40" s="16"/>
      <c r="E40" s="6" t="s">
        <v>37</v>
      </c>
      <c r="F40" s="9" t="str">
        <f>IFERROR(VLOOKUP(D40,'Savdo komissiyasi (UZB)'!E:F,2,0),"")</f>
        <v/>
      </c>
      <c r="G40" s="10">
        <f t="shared" si="0"/>
        <v>2000</v>
      </c>
      <c r="H40" s="10" t="str">
        <f t="shared" si="1"/>
        <v/>
      </c>
      <c r="I40" s="10" t="e">
        <f t="shared" si="2"/>
        <v>#VALUE!</v>
      </c>
      <c r="J40" s="10" t="str">
        <f t="shared" si="3"/>
        <v/>
      </c>
      <c r="K40" s="10"/>
      <c r="L40" s="10" t="str">
        <f t="shared" si="4"/>
        <v/>
      </c>
      <c r="O40" s="5"/>
      <c r="P40" s="5"/>
    </row>
    <row r="41" spans="1:16" ht="13.2" x14ac:dyDescent="0.25">
      <c r="A41" s="6">
        <v>40</v>
      </c>
      <c r="B41" s="17"/>
      <c r="C41" s="6" t="s">
        <v>35</v>
      </c>
      <c r="D41" s="16"/>
      <c r="E41" s="6" t="s">
        <v>37</v>
      </c>
      <c r="F41" s="9" t="str">
        <f>IFERROR(VLOOKUP(D41,'Savdo komissiyasi (UZB)'!E:F,2,0),"")</f>
        <v/>
      </c>
      <c r="G41" s="10">
        <f t="shared" si="0"/>
        <v>2000</v>
      </c>
      <c r="H41" s="10" t="str">
        <f t="shared" si="1"/>
        <v/>
      </c>
      <c r="I41" s="10" t="e">
        <f t="shared" si="2"/>
        <v>#VALUE!</v>
      </c>
      <c r="J41" s="10" t="str">
        <f t="shared" si="3"/>
        <v/>
      </c>
      <c r="K41" s="10"/>
      <c r="L41" s="10" t="str">
        <f t="shared" si="4"/>
        <v/>
      </c>
      <c r="O41" s="5"/>
      <c r="P41" s="5"/>
    </row>
    <row r="42" spans="1:16" ht="13.2" x14ac:dyDescent="0.25">
      <c r="A42" s="6">
        <v>41</v>
      </c>
      <c r="B42" s="17"/>
      <c r="C42" s="6" t="s">
        <v>35</v>
      </c>
      <c r="D42" s="16"/>
      <c r="E42" s="6" t="s">
        <v>37</v>
      </c>
      <c r="F42" s="9" t="str">
        <f>IFERROR(VLOOKUP(D42,'Savdo komissiyasi (UZB)'!E:F,2,0),"")</f>
        <v/>
      </c>
      <c r="G42" s="10">
        <f t="shared" si="0"/>
        <v>2000</v>
      </c>
      <c r="H42" s="10" t="str">
        <f t="shared" si="1"/>
        <v/>
      </c>
      <c r="I42" s="10" t="e">
        <f t="shared" si="2"/>
        <v>#VALUE!</v>
      </c>
      <c r="J42" s="10" t="str">
        <f t="shared" si="3"/>
        <v/>
      </c>
      <c r="K42" s="10"/>
      <c r="L42" s="10" t="str">
        <f t="shared" si="4"/>
        <v/>
      </c>
      <c r="O42" s="5"/>
      <c r="P42" s="5"/>
    </row>
    <row r="43" spans="1:16" ht="13.2" x14ac:dyDescent="0.25">
      <c r="A43" s="6">
        <v>42</v>
      </c>
      <c r="B43" s="17"/>
      <c r="C43" s="6" t="s">
        <v>35</v>
      </c>
      <c r="D43" s="16"/>
      <c r="E43" s="6" t="s">
        <v>37</v>
      </c>
      <c r="F43" s="9" t="str">
        <f>IFERROR(VLOOKUP(D43,'Savdo komissiyasi (UZB)'!E:F,2,0),"")</f>
        <v/>
      </c>
      <c r="G43" s="10">
        <f t="shared" si="0"/>
        <v>2000</v>
      </c>
      <c r="H43" s="10" t="str">
        <f t="shared" si="1"/>
        <v/>
      </c>
      <c r="I43" s="10" t="e">
        <f t="shared" si="2"/>
        <v>#VALUE!</v>
      </c>
      <c r="J43" s="10" t="str">
        <f t="shared" si="3"/>
        <v/>
      </c>
      <c r="K43" s="10"/>
      <c r="L43" s="10" t="str">
        <f t="shared" si="4"/>
        <v/>
      </c>
      <c r="O43" s="5"/>
      <c r="P43" s="5"/>
    </row>
    <row r="44" spans="1:16" ht="13.2" x14ac:dyDescent="0.25">
      <c r="A44" s="6">
        <v>43</v>
      </c>
      <c r="B44" s="17"/>
      <c r="C44" s="6" t="s">
        <v>35</v>
      </c>
      <c r="D44" s="16"/>
      <c r="E44" s="6" t="s">
        <v>37</v>
      </c>
      <c r="F44" s="9" t="str">
        <f>IFERROR(VLOOKUP(D44,'Savdo komissiyasi (UZB)'!E:F,2,0),"")</f>
        <v/>
      </c>
      <c r="G44" s="10">
        <f t="shared" si="0"/>
        <v>2000</v>
      </c>
      <c r="H44" s="10" t="str">
        <f t="shared" si="1"/>
        <v/>
      </c>
      <c r="I44" s="10" t="e">
        <f t="shared" si="2"/>
        <v>#VALUE!</v>
      </c>
      <c r="J44" s="10" t="str">
        <f t="shared" si="3"/>
        <v/>
      </c>
      <c r="K44" s="10"/>
      <c r="L44" s="10" t="str">
        <f t="shared" si="4"/>
        <v/>
      </c>
      <c r="O44" s="5"/>
      <c r="P44" s="5"/>
    </row>
    <row r="45" spans="1:16" ht="13.2" x14ac:dyDescent="0.25">
      <c r="A45" s="6">
        <v>44</v>
      </c>
      <c r="B45" s="17"/>
      <c r="C45" s="6" t="s">
        <v>35</v>
      </c>
      <c r="D45" s="16"/>
      <c r="E45" s="6" t="s">
        <v>37</v>
      </c>
      <c r="F45" s="9" t="str">
        <f>IFERROR(VLOOKUP(D45,'Savdo komissiyasi (UZB)'!E:F,2,0),"")</f>
        <v/>
      </c>
      <c r="G45" s="10">
        <f t="shared" si="0"/>
        <v>2000</v>
      </c>
      <c r="H45" s="10" t="str">
        <f t="shared" si="1"/>
        <v/>
      </c>
      <c r="I45" s="10" t="e">
        <f t="shared" si="2"/>
        <v>#VALUE!</v>
      </c>
      <c r="J45" s="10" t="str">
        <f t="shared" si="3"/>
        <v/>
      </c>
      <c r="K45" s="10"/>
      <c r="L45" s="10" t="str">
        <f t="shared" si="4"/>
        <v/>
      </c>
      <c r="O45" s="5"/>
      <c r="P45" s="5"/>
    </row>
    <row r="46" spans="1:16" ht="13.2" x14ac:dyDescent="0.25">
      <c r="A46" s="6">
        <v>45</v>
      </c>
      <c r="B46" s="17"/>
      <c r="C46" s="6" t="s">
        <v>35</v>
      </c>
      <c r="D46" s="16"/>
      <c r="E46" s="6" t="s">
        <v>37</v>
      </c>
      <c r="F46" s="9" t="str">
        <f>IFERROR(VLOOKUP(D46,'Savdo komissiyasi (UZB)'!E:F,2,0),"")</f>
        <v/>
      </c>
      <c r="G46" s="10">
        <f t="shared" si="0"/>
        <v>2000</v>
      </c>
      <c r="H46" s="10" t="str">
        <f t="shared" si="1"/>
        <v/>
      </c>
      <c r="I46" s="10" t="e">
        <f t="shared" si="2"/>
        <v>#VALUE!</v>
      </c>
      <c r="J46" s="10" t="str">
        <f t="shared" si="3"/>
        <v/>
      </c>
      <c r="K46" s="10"/>
      <c r="L46" s="10" t="str">
        <f t="shared" si="4"/>
        <v/>
      </c>
      <c r="O46" s="5"/>
      <c r="P46" s="5"/>
    </row>
    <row r="47" spans="1:16" ht="13.2" x14ac:dyDescent="0.25">
      <c r="A47" s="6">
        <v>46</v>
      </c>
      <c r="B47" s="17"/>
      <c r="C47" s="6" t="s">
        <v>35</v>
      </c>
      <c r="D47" s="16"/>
      <c r="E47" s="6" t="s">
        <v>37</v>
      </c>
      <c r="F47" s="9" t="str">
        <f>IFERROR(VLOOKUP(D47,'Savdo komissiyasi (UZB)'!E:F,2,0),"")</f>
        <v/>
      </c>
      <c r="G47" s="10">
        <f t="shared" si="0"/>
        <v>2000</v>
      </c>
      <c r="H47" s="10" t="str">
        <f t="shared" si="1"/>
        <v/>
      </c>
      <c r="I47" s="10" t="e">
        <f t="shared" si="2"/>
        <v>#VALUE!</v>
      </c>
      <c r="J47" s="10" t="str">
        <f t="shared" si="3"/>
        <v/>
      </c>
      <c r="K47" s="10"/>
      <c r="L47" s="10" t="str">
        <f t="shared" si="4"/>
        <v/>
      </c>
      <c r="O47" s="5"/>
      <c r="P47" s="5"/>
    </row>
    <row r="48" spans="1:16" ht="13.2" x14ac:dyDescent="0.25">
      <c r="A48" s="6">
        <v>47</v>
      </c>
      <c r="B48" s="17"/>
      <c r="C48" s="6" t="s">
        <v>35</v>
      </c>
      <c r="D48" s="16"/>
      <c r="E48" s="6" t="s">
        <v>37</v>
      </c>
      <c r="F48" s="9" t="str">
        <f>IFERROR(VLOOKUP(D48,'Savdo komissiyasi (UZB)'!E:F,2,0),"")</f>
        <v/>
      </c>
      <c r="G48" s="10">
        <f t="shared" si="0"/>
        <v>2000</v>
      </c>
      <c r="H48" s="10" t="str">
        <f t="shared" si="1"/>
        <v/>
      </c>
      <c r="I48" s="10" t="e">
        <f t="shared" si="2"/>
        <v>#VALUE!</v>
      </c>
      <c r="J48" s="10" t="str">
        <f t="shared" si="3"/>
        <v/>
      </c>
      <c r="K48" s="10"/>
      <c r="L48" s="10" t="str">
        <f t="shared" si="4"/>
        <v/>
      </c>
      <c r="O48" s="5"/>
      <c r="P48" s="5"/>
    </row>
    <row r="49" spans="1:16" ht="13.2" x14ac:dyDescent="0.25">
      <c r="A49" s="6">
        <v>48</v>
      </c>
      <c r="B49" s="17"/>
      <c r="C49" s="6" t="s">
        <v>35</v>
      </c>
      <c r="D49" s="16"/>
      <c r="E49" s="6" t="s">
        <v>37</v>
      </c>
      <c r="F49" s="9" t="str">
        <f>IFERROR(VLOOKUP(D49,'Savdo komissiyasi (UZB)'!E:F,2,0),"")</f>
        <v/>
      </c>
      <c r="G49" s="10">
        <f t="shared" si="0"/>
        <v>2000</v>
      </c>
      <c r="H49" s="10" t="str">
        <f t="shared" si="1"/>
        <v/>
      </c>
      <c r="I49" s="10" t="e">
        <f t="shared" si="2"/>
        <v>#VALUE!</v>
      </c>
      <c r="J49" s="10" t="str">
        <f t="shared" si="3"/>
        <v/>
      </c>
      <c r="K49" s="10"/>
      <c r="L49" s="10" t="str">
        <f t="shared" si="4"/>
        <v/>
      </c>
      <c r="O49" s="5"/>
      <c r="P49" s="5"/>
    </row>
    <row r="50" spans="1:16" ht="13.2" x14ac:dyDescent="0.25">
      <c r="A50" s="6">
        <v>49</v>
      </c>
      <c r="B50" s="17"/>
      <c r="C50" s="6" t="s">
        <v>35</v>
      </c>
      <c r="D50" s="16"/>
      <c r="E50" s="6" t="s">
        <v>37</v>
      </c>
      <c r="F50" s="9" t="str">
        <f>IFERROR(VLOOKUP(D50,'Savdo komissiyasi (UZB)'!E:F,2,0),"")</f>
        <v/>
      </c>
      <c r="G50" s="10">
        <f t="shared" si="0"/>
        <v>2000</v>
      </c>
      <c r="H50" s="10" t="str">
        <f t="shared" si="1"/>
        <v/>
      </c>
      <c r="I50" s="10" t="e">
        <f t="shared" si="2"/>
        <v>#VALUE!</v>
      </c>
      <c r="J50" s="10" t="str">
        <f t="shared" si="3"/>
        <v/>
      </c>
      <c r="K50" s="10"/>
      <c r="L50" s="10" t="str">
        <f t="shared" si="4"/>
        <v/>
      </c>
      <c r="O50" s="5"/>
      <c r="P50" s="5"/>
    </row>
    <row r="51" spans="1:16" ht="13.2" x14ac:dyDescent="0.25">
      <c r="A51" s="6">
        <v>50</v>
      </c>
      <c r="B51" s="17"/>
      <c r="C51" s="6" t="s">
        <v>35</v>
      </c>
      <c r="D51" s="16"/>
      <c r="E51" s="6" t="s">
        <v>37</v>
      </c>
      <c r="F51" s="9" t="str">
        <f>IFERROR(VLOOKUP(D51,'Savdo komissiyasi (UZB)'!E:F,2,0),"")</f>
        <v/>
      </c>
      <c r="G51" s="10">
        <f t="shared" si="0"/>
        <v>2000</v>
      </c>
      <c r="H51" s="10" t="str">
        <f t="shared" si="1"/>
        <v/>
      </c>
      <c r="I51" s="10" t="e">
        <f t="shared" si="2"/>
        <v>#VALUE!</v>
      </c>
      <c r="J51" s="10" t="str">
        <f t="shared" si="3"/>
        <v/>
      </c>
      <c r="K51" s="10"/>
      <c r="L51" s="10" t="str">
        <f t="shared" si="4"/>
        <v/>
      </c>
      <c r="O51" s="5"/>
      <c r="P51" s="5"/>
    </row>
    <row r="52" spans="1:16" ht="13.2" x14ac:dyDescent="0.25">
      <c r="A52" s="6">
        <v>51</v>
      </c>
      <c r="B52" s="17"/>
      <c r="C52" s="6" t="s">
        <v>35</v>
      </c>
      <c r="D52" s="16"/>
      <c r="E52" s="6" t="s">
        <v>37</v>
      </c>
      <c r="F52" s="9" t="str">
        <f>IFERROR(VLOOKUP(D52,'Savdo komissiyasi (UZB)'!E:F,2,0),"")</f>
        <v/>
      </c>
      <c r="G52" s="10">
        <f t="shared" si="0"/>
        <v>2000</v>
      </c>
      <c r="H52" s="10" t="str">
        <f t="shared" si="1"/>
        <v/>
      </c>
      <c r="I52" s="10" t="e">
        <f t="shared" si="2"/>
        <v>#VALUE!</v>
      </c>
      <c r="J52" s="10" t="str">
        <f t="shared" si="3"/>
        <v/>
      </c>
      <c r="K52" s="10"/>
      <c r="L52" s="10" t="str">
        <f t="shared" si="4"/>
        <v/>
      </c>
      <c r="O52" s="5"/>
      <c r="P52" s="5"/>
    </row>
    <row r="53" spans="1:16" ht="13.2" x14ac:dyDescent="0.25">
      <c r="A53" s="6">
        <v>52</v>
      </c>
      <c r="B53" s="17"/>
      <c r="C53" s="6" t="s">
        <v>35</v>
      </c>
      <c r="D53" s="16"/>
      <c r="E53" s="6" t="s">
        <v>37</v>
      </c>
      <c r="F53" s="9" t="str">
        <f>IFERROR(VLOOKUP(D53,'Savdo komissiyasi (UZB)'!E:F,2,0),"")</f>
        <v/>
      </c>
      <c r="G53" s="10">
        <f t="shared" si="0"/>
        <v>2000</v>
      </c>
      <c r="H53" s="10" t="str">
        <f t="shared" si="1"/>
        <v/>
      </c>
      <c r="I53" s="10" t="e">
        <f t="shared" si="2"/>
        <v>#VALUE!</v>
      </c>
      <c r="J53" s="10" t="str">
        <f t="shared" si="3"/>
        <v/>
      </c>
      <c r="K53" s="10"/>
      <c r="L53" s="10" t="str">
        <f t="shared" si="4"/>
        <v/>
      </c>
      <c r="O53" s="5"/>
      <c r="P53" s="5"/>
    </row>
    <row r="54" spans="1:16" ht="13.2" x14ac:dyDescent="0.25">
      <c r="A54" s="6">
        <v>53</v>
      </c>
      <c r="B54" s="17"/>
      <c r="C54" s="6" t="s">
        <v>35</v>
      </c>
      <c r="D54" s="16"/>
      <c r="E54" s="6" t="s">
        <v>37</v>
      </c>
      <c r="F54" s="9" t="str">
        <f>IFERROR(VLOOKUP(D54,'Savdo komissiyasi (UZB)'!E:F,2,0),"")</f>
        <v/>
      </c>
      <c r="G54" s="10">
        <f t="shared" si="0"/>
        <v>2000</v>
      </c>
      <c r="H54" s="10" t="str">
        <f t="shared" si="1"/>
        <v/>
      </c>
      <c r="I54" s="10" t="e">
        <f t="shared" si="2"/>
        <v>#VALUE!</v>
      </c>
      <c r="J54" s="10" t="str">
        <f t="shared" si="3"/>
        <v/>
      </c>
      <c r="K54" s="10"/>
      <c r="L54" s="10" t="str">
        <f t="shared" si="4"/>
        <v/>
      </c>
      <c r="O54" s="5"/>
      <c r="P54" s="5"/>
    </row>
    <row r="55" spans="1:16" ht="13.2" x14ac:dyDescent="0.25">
      <c r="A55" s="6">
        <v>54</v>
      </c>
      <c r="B55" s="17"/>
      <c r="C55" s="6" t="s">
        <v>35</v>
      </c>
      <c r="D55" s="16"/>
      <c r="E55" s="6" t="s">
        <v>37</v>
      </c>
      <c r="F55" s="9" t="str">
        <f>IFERROR(VLOOKUP(D55,'Savdo komissiyasi (UZB)'!E:F,2,0),"")</f>
        <v/>
      </c>
      <c r="G55" s="10">
        <f t="shared" si="0"/>
        <v>2000</v>
      </c>
      <c r="H55" s="10" t="str">
        <f t="shared" si="1"/>
        <v/>
      </c>
      <c r="I55" s="10" t="e">
        <f t="shared" si="2"/>
        <v>#VALUE!</v>
      </c>
      <c r="J55" s="10" t="str">
        <f t="shared" si="3"/>
        <v/>
      </c>
      <c r="K55" s="10"/>
      <c r="L55" s="10" t="str">
        <f t="shared" si="4"/>
        <v/>
      </c>
      <c r="O55" s="5"/>
      <c r="P55" s="5"/>
    </row>
    <row r="56" spans="1:16" ht="13.2" x14ac:dyDescent="0.25">
      <c r="A56" s="6">
        <v>55</v>
      </c>
      <c r="B56" s="17"/>
      <c r="C56" s="6" t="s">
        <v>35</v>
      </c>
      <c r="D56" s="16"/>
      <c r="E56" s="6" t="s">
        <v>37</v>
      </c>
      <c r="F56" s="9" t="str">
        <f>IFERROR(VLOOKUP(D56,'Savdo komissiyasi (UZB)'!E:F,2,0),"")</f>
        <v/>
      </c>
      <c r="G56" s="10">
        <f t="shared" si="0"/>
        <v>2000</v>
      </c>
      <c r="H56" s="10" t="str">
        <f t="shared" si="1"/>
        <v/>
      </c>
      <c r="I56" s="10" t="e">
        <f t="shared" si="2"/>
        <v>#VALUE!</v>
      </c>
      <c r="J56" s="10" t="str">
        <f t="shared" si="3"/>
        <v/>
      </c>
      <c r="K56" s="10"/>
      <c r="L56" s="10" t="str">
        <f t="shared" si="4"/>
        <v/>
      </c>
      <c r="O56" s="5"/>
      <c r="P56" s="5"/>
    </row>
    <row r="57" spans="1:16" ht="13.2" x14ac:dyDescent="0.25">
      <c r="A57" s="6">
        <v>56</v>
      </c>
      <c r="B57" s="17"/>
      <c r="C57" s="6" t="s">
        <v>35</v>
      </c>
      <c r="D57" s="16"/>
      <c r="E57" s="6" t="s">
        <v>37</v>
      </c>
      <c r="F57" s="9" t="str">
        <f>IFERROR(VLOOKUP(D57,'Savdo komissiyasi (UZB)'!E:F,2,0),"")</f>
        <v/>
      </c>
      <c r="G57" s="10">
        <f t="shared" si="0"/>
        <v>2000</v>
      </c>
      <c r="H57" s="10" t="str">
        <f t="shared" si="1"/>
        <v/>
      </c>
      <c r="I57" s="10" t="e">
        <f t="shared" si="2"/>
        <v>#VALUE!</v>
      </c>
      <c r="J57" s="10" t="str">
        <f t="shared" si="3"/>
        <v/>
      </c>
      <c r="K57" s="10"/>
      <c r="L57" s="10" t="str">
        <f t="shared" si="4"/>
        <v/>
      </c>
      <c r="O57" s="5"/>
      <c r="P57" s="5"/>
    </row>
    <row r="58" spans="1:16" ht="13.2" x14ac:dyDescent="0.25">
      <c r="A58" s="6">
        <v>57</v>
      </c>
      <c r="B58" s="17"/>
      <c r="C58" s="6" t="s">
        <v>35</v>
      </c>
      <c r="D58" s="16"/>
      <c r="E58" s="6" t="s">
        <v>37</v>
      </c>
      <c r="F58" s="9" t="str">
        <f>IFERROR(VLOOKUP(D58,'Savdo komissiyasi (UZB)'!E:F,2,0),"")</f>
        <v/>
      </c>
      <c r="G58" s="10">
        <f t="shared" si="0"/>
        <v>2000</v>
      </c>
      <c r="H58" s="10" t="str">
        <f t="shared" si="1"/>
        <v/>
      </c>
      <c r="I58" s="10" t="e">
        <f t="shared" si="2"/>
        <v>#VALUE!</v>
      </c>
      <c r="J58" s="10" t="str">
        <f t="shared" si="3"/>
        <v/>
      </c>
      <c r="K58" s="10"/>
      <c r="L58" s="10" t="str">
        <f t="shared" si="4"/>
        <v/>
      </c>
      <c r="O58" s="5"/>
      <c r="P58" s="5"/>
    </row>
    <row r="59" spans="1:16" ht="13.2" x14ac:dyDescent="0.25">
      <c r="A59" s="6">
        <v>58</v>
      </c>
      <c r="B59" s="17"/>
      <c r="C59" s="6" t="s">
        <v>35</v>
      </c>
      <c r="D59" s="16"/>
      <c r="E59" s="6" t="s">
        <v>37</v>
      </c>
      <c r="F59" s="9" t="str">
        <f>IFERROR(VLOOKUP(D59,'Savdo komissiyasi (UZB)'!E:F,2,0),"")</f>
        <v/>
      </c>
      <c r="G59" s="10">
        <f t="shared" si="0"/>
        <v>2000</v>
      </c>
      <c r="H59" s="10" t="str">
        <f t="shared" si="1"/>
        <v/>
      </c>
      <c r="I59" s="10" t="e">
        <f t="shared" si="2"/>
        <v>#VALUE!</v>
      </c>
      <c r="J59" s="10" t="str">
        <f t="shared" si="3"/>
        <v/>
      </c>
      <c r="K59" s="10"/>
      <c r="L59" s="10" t="str">
        <f t="shared" si="4"/>
        <v/>
      </c>
      <c r="O59" s="5"/>
      <c r="P59" s="5"/>
    </row>
    <row r="60" spans="1:16" ht="13.2" x14ac:dyDescent="0.25">
      <c r="A60" s="6">
        <v>59</v>
      </c>
      <c r="B60" s="17"/>
      <c r="C60" s="6" t="s">
        <v>35</v>
      </c>
      <c r="D60" s="16"/>
      <c r="E60" s="6" t="s">
        <v>37</v>
      </c>
      <c r="F60" s="9" t="str">
        <f>IFERROR(VLOOKUP(D60,'Savdo komissiyasi (UZB)'!E:F,2,0),"")</f>
        <v/>
      </c>
      <c r="G60" s="10">
        <f t="shared" si="0"/>
        <v>2000</v>
      </c>
      <c r="H60" s="10" t="str">
        <f t="shared" si="1"/>
        <v/>
      </c>
      <c r="I60" s="10" t="e">
        <f t="shared" si="2"/>
        <v>#VALUE!</v>
      </c>
      <c r="J60" s="10" t="str">
        <f t="shared" si="3"/>
        <v/>
      </c>
      <c r="K60" s="10"/>
      <c r="L60" s="10" t="str">
        <f t="shared" si="4"/>
        <v/>
      </c>
      <c r="O60" s="5"/>
      <c r="P60" s="5"/>
    </row>
    <row r="61" spans="1:16" ht="13.2" x14ac:dyDescent="0.25">
      <c r="A61" s="6">
        <v>60</v>
      </c>
      <c r="B61" s="17"/>
      <c r="C61" s="6" t="s">
        <v>35</v>
      </c>
      <c r="D61" s="16"/>
      <c r="E61" s="6" t="s">
        <v>37</v>
      </c>
      <c r="F61" s="9" t="str">
        <f>IFERROR(VLOOKUP(D61,'Savdo komissiyasi (UZB)'!E:F,2,0),"")</f>
        <v/>
      </c>
      <c r="G61" s="10">
        <f t="shared" si="0"/>
        <v>2000</v>
      </c>
      <c r="H61" s="10" t="str">
        <f t="shared" si="1"/>
        <v/>
      </c>
      <c r="I61" s="10" t="e">
        <f t="shared" si="2"/>
        <v>#VALUE!</v>
      </c>
      <c r="J61" s="10" t="str">
        <f t="shared" si="3"/>
        <v/>
      </c>
      <c r="K61" s="10"/>
      <c r="L61" s="10" t="str">
        <f t="shared" si="4"/>
        <v/>
      </c>
      <c r="O61" s="5"/>
      <c r="P61" s="5"/>
    </row>
    <row r="62" spans="1:16" ht="13.2" x14ac:dyDescent="0.25">
      <c r="A62" s="6">
        <v>61</v>
      </c>
      <c r="B62" s="17"/>
      <c r="C62" s="6" t="s">
        <v>35</v>
      </c>
      <c r="D62" s="16"/>
      <c r="E62" s="6" t="s">
        <v>37</v>
      </c>
      <c r="F62" s="9" t="str">
        <f>IFERROR(VLOOKUP(D62,'Savdo komissiyasi (UZB)'!E:F,2,0),"")</f>
        <v/>
      </c>
      <c r="G62" s="10">
        <f t="shared" si="0"/>
        <v>2000</v>
      </c>
      <c r="H62" s="10" t="str">
        <f t="shared" si="1"/>
        <v/>
      </c>
      <c r="I62" s="10" t="e">
        <f t="shared" si="2"/>
        <v>#VALUE!</v>
      </c>
      <c r="J62" s="10" t="str">
        <f t="shared" si="3"/>
        <v/>
      </c>
      <c r="K62" s="10"/>
      <c r="L62" s="10" t="str">
        <f t="shared" si="4"/>
        <v/>
      </c>
      <c r="O62" s="5"/>
      <c r="P62" s="5"/>
    </row>
    <row r="63" spans="1:16" ht="13.2" x14ac:dyDescent="0.25">
      <c r="A63" s="6">
        <v>62</v>
      </c>
      <c r="B63" s="17"/>
      <c r="C63" s="6" t="s">
        <v>35</v>
      </c>
      <c r="D63" s="16"/>
      <c r="E63" s="6" t="s">
        <v>37</v>
      </c>
      <c r="F63" s="9" t="str">
        <f>IFERROR(VLOOKUP(D63,'Savdo komissiyasi (UZB)'!E:F,2,0),"")</f>
        <v/>
      </c>
      <c r="G63" s="10">
        <f t="shared" si="0"/>
        <v>2000</v>
      </c>
      <c r="H63" s="10" t="str">
        <f t="shared" si="1"/>
        <v/>
      </c>
      <c r="I63" s="10" t="e">
        <f t="shared" si="2"/>
        <v>#VALUE!</v>
      </c>
      <c r="J63" s="10" t="str">
        <f t="shared" si="3"/>
        <v/>
      </c>
      <c r="K63" s="10"/>
      <c r="L63" s="10" t="str">
        <f t="shared" si="4"/>
        <v/>
      </c>
      <c r="O63" s="5"/>
      <c r="P63" s="5"/>
    </row>
    <row r="64" spans="1:16" ht="13.2" x14ac:dyDescent="0.25">
      <c r="A64" s="6">
        <v>63</v>
      </c>
      <c r="B64" s="17"/>
      <c r="C64" s="6" t="s">
        <v>35</v>
      </c>
      <c r="D64" s="16"/>
      <c r="E64" s="6" t="s">
        <v>37</v>
      </c>
      <c r="F64" s="9" t="str">
        <f>IFERROR(VLOOKUP(D64,'Savdo komissiyasi (UZB)'!E:F,2,0),"")</f>
        <v/>
      </c>
      <c r="G64" s="10">
        <f t="shared" si="0"/>
        <v>2000</v>
      </c>
      <c r="H64" s="10" t="str">
        <f t="shared" si="1"/>
        <v/>
      </c>
      <c r="I64" s="10" t="e">
        <f t="shared" si="2"/>
        <v>#VALUE!</v>
      </c>
      <c r="J64" s="10" t="str">
        <f t="shared" si="3"/>
        <v/>
      </c>
      <c r="K64" s="10"/>
      <c r="L64" s="10" t="str">
        <f t="shared" si="4"/>
        <v/>
      </c>
      <c r="O64" s="5"/>
      <c r="P64" s="5"/>
    </row>
    <row r="65" spans="1:16" ht="13.2" x14ac:dyDescent="0.25">
      <c r="A65" s="6">
        <v>64</v>
      </c>
      <c r="B65" s="17"/>
      <c r="C65" s="6" t="s">
        <v>35</v>
      </c>
      <c r="D65" s="16"/>
      <c r="E65" s="6" t="s">
        <v>37</v>
      </c>
      <c r="F65" s="9" t="str">
        <f>IFERROR(VLOOKUP(D65,'Savdo komissiyasi (UZB)'!E:F,2,0),"")</f>
        <v/>
      </c>
      <c r="G65" s="10">
        <f t="shared" si="0"/>
        <v>2000</v>
      </c>
      <c r="H65" s="10" t="str">
        <f t="shared" si="1"/>
        <v/>
      </c>
      <c r="I65" s="10" t="e">
        <f t="shared" si="2"/>
        <v>#VALUE!</v>
      </c>
      <c r="J65" s="10" t="str">
        <f t="shared" si="3"/>
        <v/>
      </c>
      <c r="K65" s="10"/>
      <c r="L65" s="10" t="str">
        <f t="shared" si="4"/>
        <v/>
      </c>
      <c r="O65" s="5"/>
      <c r="P65" s="5"/>
    </row>
    <row r="66" spans="1:16" ht="13.2" x14ac:dyDescent="0.25">
      <c r="A66" s="6">
        <v>65</v>
      </c>
      <c r="B66" s="17"/>
      <c r="C66" s="6" t="s">
        <v>35</v>
      </c>
      <c r="D66" s="16"/>
      <c r="E66" s="6" t="s">
        <v>37</v>
      </c>
      <c r="F66" s="9" t="str">
        <f>IFERROR(VLOOKUP(D66,'Savdo komissiyasi (UZB)'!E:F,2,0),"")</f>
        <v/>
      </c>
      <c r="G66" s="10">
        <f t="shared" si="0"/>
        <v>2000</v>
      </c>
      <c r="H66" s="10" t="str">
        <f t="shared" si="1"/>
        <v/>
      </c>
      <c r="I66" s="10" t="e">
        <f t="shared" si="2"/>
        <v>#VALUE!</v>
      </c>
      <c r="J66" s="10" t="str">
        <f t="shared" si="3"/>
        <v/>
      </c>
      <c r="K66" s="10"/>
      <c r="L66" s="10" t="str">
        <f t="shared" si="4"/>
        <v/>
      </c>
      <c r="O66" s="5"/>
      <c r="P66" s="5"/>
    </row>
    <row r="67" spans="1:16" ht="13.2" x14ac:dyDescent="0.25">
      <c r="A67" s="6">
        <v>66</v>
      </c>
      <c r="B67" s="17"/>
      <c r="C67" s="6" t="s">
        <v>35</v>
      </c>
      <c r="D67" s="16"/>
      <c r="E67" s="6" t="s">
        <v>37</v>
      </c>
      <c r="F67" s="9" t="str">
        <f>IFERROR(VLOOKUP(D67,'Savdo komissiyasi (UZB)'!E:F,2,0),"")</f>
        <v/>
      </c>
      <c r="G67" s="10">
        <f t="shared" si="0"/>
        <v>2000</v>
      </c>
      <c r="H67" s="10" t="str">
        <f t="shared" si="1"/>
        <v/>
      </c>
      <c r="I67" s="10" t="e">
        <f t="shared" si="2"/>
        <v>#VALUE!</v>
      </c>
      <c r="J67" s="10" t="str">
        <f t="shared" si="3"/>
        <v/>
      </c>
      <c r="K67" s="10"/>
      <c r="L67" s="10" t="str">
        <f t="shared" si="4"/>
        <v/>
      </c>
      <c r="O67" s="5"/>
      <c r="P67" s="5"/>
    </row>
    <row r="68" spans="1:16" ht="13.2" x14ac:dyDescent="0.25">
      <c r="A68" s="6">
        <v>67</v>
      </c>
      <c r="B68" s="17"/>
      <c r="C68" s="6" t="s">
        <v>35</v>
      </c>
      <c r="D68" s="16"/>
      <c r="E68" s="6" t="s">
        <v>37</v>
      </c>
      <c r="F68" s="9" t="str">
        <f>IFERROR(VLOOKUP(D68,'Savdo komissiyasi (UZB)'!E:F,2,0),"")</f>
        <v/>
      </c>
      <c r="G68" s="10">
        <f t="shared" si="0"/>
        <v>2000</v>
      </c>
      <c r="H68" s="10" t="str">
        <f t="shared" si="1"/>
        <v/>
      </c>
      <c r="I68" s="10" t="e">
        <f t="shared" si="2"/>
        <v>#VALUE!</v>
      </c>
      <c r="J68" s="10" t="str">
        <f t="shared" si="3"/>
        <v/>
      </c>
      <c r="K68" s="10"/>
      <c r="L68" s="10" t="str">
        <f t="shared" si="4"/>
        <v/>
      </c>
      <c r="O68" s="5"/>
      <c r="P68" s="5"/>
    </row>
    <row r="69" spans="1:16" ht="13.2" x14ac:dyDescent="0.25">
      <c r="A69" s="6">
        <v>68</v>
      </c>
      <c r="B69" s="17"/>
      <c r="C69" s="6" t="s">
        <v>35</v>
      </c>
      <c r="D69" s="16"/>
      <c r="E69" s="6" t="s">
        <v>37</v>
      </c>
      <c r="F69" s="9" t="str">
        <f>IFERROR(VLOOKUP(D69,'Savdo komissiyasi (UZB)'!E:F,2,0),"")</f>
        <v/>
      </c>
      <c r="G69" s="10">
        <f t="shared" si="0"/>
        <v>2000</v>
      </c>
      <c r="H69" s="10" t="str">
        <f t="shared" si="1"/>
        <v/>
      </c>
      <c r="I69" s="10" t="e">
        <f t="shared" si="2"/>
        <v>#VALUE!</v>
      </c>
      <c r="J69" s="10" t="str">
        <f t="shared" si="3"/>
        <v/>
      </c>
      <c r="K69" s="10"/>
      <c r="L69" s="10" t="str">
        <f t="shared" si="4"/>
        <v/>
      </c>
      <c r="O69" s="5"/>
      <c r="P69" s="5"/>
    </row>
    <row r="70" spans="1:16" ht="13.2" x14ac:dyDescent="0.25">
      <c r="A70" s="6">
        <v>69</v>
      </c>
      <c r="B70" s="17"/>
      <c r="C70" s="6" t="s">
        <v>35</v>
      </c>
      <c r="D70" s="16"/>
      <c r="E70" s="6" t="s">
        <v>37</v>
      </c>
      <c r="F70" s="9" t="str">
        <f>IFERROR(VLOOKUP(D70,'Savdo komissiyasi (UZB)'!E:F,2,0),"")</f>
        <v/>
      </c>
      <c r="G70" s="10">
        <f t="shared" si="0"/>
        <v>2000</v>
      </c>
      <c r="H70" s="10" t="str">
        <f t="shared" si="1"/>
        <v/>
      </c>
      <c r="I70" s="10" t="e">
        <f t="shared" si="2"/>
        <v>#VALUE!</v>
      </c>
      <c r="J70" s="10" t="str">
        <f t="shared" si="3"/>
        <v/>
      </c>
      <c r="K70" s="10"/>
      <c r="L70" s="10" t="str">
        <f t="shared" si="4"/>
        <v/>
      </c>
      <c r="O70" s="5"/>
      <c r="P70" s="5"/>
    </row>
    <row r="71" spans="1:16" ht="13.2" x14ac:dyDescent="0.25">
      <c r="A71" s="6">
        <v>70</v>
      </c>
      <c r="B71" s="17"/>
      <c r="C71" s="6" t="s">
        <v>35</v>
      </c>
      <c r="D71" s="16"/>
      <c r="E71" s="6" t="s">
        <v>37</v>
      </c>
      <c r="F71" s="9" t="str">
        <f>IFERROR(VLOOKUP(D71,'Savdo komissiyasi (UZB)'!E:F,2,0),"")</f>
        <v/>
      </c>
      <c r="G71" s="10">
        <f t="shared" si="0"/>
        <v>2000</v>
      </c>
      <c r="H71" s="10" t="str">
        <f t="shared" si="1"/>
        <v/>
      </c>
      <c r="I71" s="10" t="e">
        <f t="shared" si="2"/>
        <v>#VALUE!</v>
      </c>
      <c r="J71" s="10" t="str">
        <f t="shared" si="3"/>
        <v/>
      </c>
      <c r="K71" s="10"/>
      <c r="L71" s="10" t="str">
        <f t="shared" si="4"/>
        <v/>
      </c>
      <c r="O71" s="5"/>
      <c r="P71" s="5"/>
    </row>
    <row r="72" spans="1:16" ht="13.2" x14ac:dyDescent="0.25">
      <c r="A72" s="6">
        <v>71</v>
      </c>
      <c r="B72" s="17"/>
      <c r="C72" s="6" t="s">
        <v>35</v>
      </c>
      <c r="D72" s="16"/>
      <c r="E72" s="6" t="s">
        <v>37</v>
      </c>
      <c r="F72" s="9" t="str">
        <f>IFERROR(VLOOKUP(D72,'Savdo komissiyasi (UZB)'!E:F,2,0),"")</f>
        <v/>
      </c>
      <c r="G72" s="10">
        <f t="shared" si="0"/>
        <v>2000</v>
      </c>
      <c r="H72" s="10" t="str">
        <f t="shared" si="1"/>
        <v/>
      </c>
      <c r="I72" s="10" t="e">
        <f t="shared" si="2"/>
        <v>#VALUE!</v>
      </c>
      <c r="J72" s="10" t="str">
        <f t="shared" si="3"/>
        <v/>
      </c>
      <c r="K72" s="10"/>
      <c r="L72" s="10" t="str">
        <f t="shared" si="4"/>
        <v/>
      </c>
      <c r="O72" s="5"/>
      <c r="P72" s="5"/>
    </row>
    <row r="73" spans="1:16" ht="13.2" x14ac:dyDescent="0.25">
      <c r="A73" s="6">
        <v>72</v>
      </c>
      <c r="B73" s="17"/>
      <c r="C73" s="6" t="s">
        <v>35</v>
      </c>
      <c r="D73" s="16"/>
      <c r="E73" s="6" t="s">
        <v>37</v>
      </c>
      <c r="F73" s="9" t="str">
        <f>IFERROR(VLOOKUP(D73,'Savdo komissiyasi (UZB)'!E:F,2,0),"")</f>
        <v/>
      </c>
      <c r="G73" s="10">
        <f t="shared" si="0"/>
        <v>2000</v>
      </c>
      <c r="H73" s="10" t="str">
        <f t="shared" si="1"/>
        <v/>
      </c>
      <c r="I73" s="10" t="e">
        <f t="shared" si="2"/>
        <v>#VALUE!</v>
      </c>
      <c r="J73" s="10" t="str">
        <f t="shared" si="3"/>
        <v/>
      </c>
      <c r="K73" s="10"/>
      <c r="L73" s="10" t="str">
        <f t="shared" si="4"/>
        <v/>
      </c>
      <c r="O73" s="5"/>
      <c r="P73" s="5"/>
    </row>
    <row r="74" spans="1:16" ht="13.2" x14ac:dyDescent="0.25">
      <c r="A74" s="6">
        <v>73</v>
      </c>
      <c r="B74" s="17"/>
      <c r="C74" s="6" t="s">
        <v>35</v>
      </c>
      <c r="D74" s="16"/>
      <c r="E74" s="6" t="s">
        <v>37</v>
      </c>
      <c r="F74" s="9" t="str">
        <f>IFERROR(VLOOKUP(D74,'Savdo komissiyasi (UZB)'!E:F,2,0),"")</f>
        <v/>
      </c>
      <c r="G74" s="10">
        <f t="shared" si="0"/>
        <v>2000</v>
      </c>
      <c r="H74" s="10" t="str">
        <f t="shared" si="1"/>
        <v/>
      </c>
      <c r="I74" s="10" t="e">
        <f t="shared" si="2"/>
        <v>#VALUE!</v>
      </c>
      <c r="J74" s="10" t="str">
        <f t="shared" si="3"/>
        <v/>
      </c>
      <c r="K74" s="10"/>
      <c r="L74" s="10" t="str">
        <f t="shared" si="4"/>
        <v/>
      </c>
      <c r="O74" s="5"/>
      <c r="P74" s="5"/>
    </row>
    <row r="75" spans="1:16" ht="13.2" x14ac:dyDescent="0.25">
      <c r="A75" s="6">
        <v>74</v>
      </c>
      <c r="B75" s="17"/>
      <c r="C75" s="6" t="s">
        <v>35</v>
      </c>
      <c r="D75" s="16"/>
      <c r="E75" s="6" t="s">
        <v>37</v>
      </c>
      <c r="F75" s="9" t="str">
        <f>IFERROR(VLOOKUP(D75,'Savdo komissiyasi (UZB)'!E:F,2,0),"")</f>
        <v/>
      </c>
      <c r="G75" s="10">
        <f t="shared" si="0"/>
        <v>2000</v>
      </c>
      <c r="H75" s="10" t="str">
        <f t="shared" si="1"/>
        <v/>
      </c>
      <c r="I75" s="10" t="e">
        <f t="shared" si="2"/>
        <v>#VALUE!</v>
      </c>
      <c r="J75" s="10" t="str">
        <f t="shared" si="3"/>
        <v/>
      </c>
      <c r="K75" s="10"/>
      <c r="L75" s="10" t="str">
        <f t="shared" si="4"/>
        <v/>
      </c>
      <c r="O75" s="5"/>
      <c r="P75" s="5"/>
    </row>
    <row r="76" spans="1:16" ht="13.2" x14ac:dyDescent="0.25">
      <c r="A76" s="6">
        <v>75</v>
      </c>
      <c r="B76" s="17"/>
      <c r="C76" s="6" t="s">
        <v>35</v>
      </c>
      <c r="D76" s="16"/>
      <c r="E76" s="6" t="s">
        <v>37</v>
      </c>
      <c r="F76" s="9" t="str">
        <f>IFERROR(VLOOKUP(D76,'Savdo komissiyasi (UZB)'!E:F,2,0),"")</f>
        <v/>
      </c>
      <c r="G76" s="10">
        <f t="shared" si="0"/>
        <v>2000</v>
      </c>
      <c r="H76" s="10" t="str">
        <f t="shared" si="1"/>
        <v/>
      </c>
      <c r="I76" s="10" t="e">
        <f t="shared" si="2"/>
        <v>#VALUE!</v>
      </c>
      <c r="J76" s="10" t="str">
        <f t="shared" si="3"/>
        <v/>
      </c>
      <c r="K76" s="10"/>
      <c r="L76" s="10" t="str">
        <f t="shared" si="4"/>
        <v/>
      </c>
      <c r="O76" s="5"/>
      <c r="P76" s="5"/>
    </row>
    <row r="77" spans="1:16" ht="13.2" x14ac:dyDescent="0.25">
      <c r="A77" s="6">
        <v>76</v>
      </c>
      <c r="B77" s="17"/>
      <c r="C77" s="6" t="s">
        <v>35</v>
      </c>
      <c r="D77" s="16"/>
      <c r="E77" s="6" t="s">
        <v>37</v>
      </c>
      <c r="F77" s="9" t="str">
        <f>IFERROR(VLOOKUP(D77,'Savdo komissiyasi (UZB)'!E:F,2,0),"")</f>
        <v/>
      </c>
      <c r="G77" s="10">
        <f t="shared" si="0"/>
        <v>2000</v>
      </c>
      <c r="H77" s="10" t="str">
        <f t="shared" si="1"/>
        <v/>
      </c>
      <c r="I77" s="10" t="e">
        <f t="shared" si="2"/>
        <v>#VALUE!</v>
      </c>
      <c r="J77" s="10" t="str">
        <f t="shared" si="3"/>
        <v/>
      </c>
      <c r="K77" s="10"/>
      <c r="L77" s="10" t="str">
        <f t="shared" si="4"/>
        <v/>
      </c>
      <c r="O77" s="5"/>
      <c r="P77" s="5"/>
    </row>
    <row r="78" spans="1:16" ht="13.2" x14ac:dyDescent="0.25">
      <c r="A78" s="6">
        <v>77</v>
      </c>
      <c r="B78" s="17"/>
      <c r="C78" s="6" t="s">
        <v>35</v>
      </c>
      <c r="D78" s="16"/>
      <c r="E78" s="6" t="s">
        <v>37</v>
      </c>
      <c r="F78" s="9" t="str">
        <f>IFERROR(VLOOKUP(D78,'Savdo komissiyasi (UZB)'!E:F,2,0),"")</f>
        <v/>
      </c>
      <c r="G78" s="10">
        <f t="shared" si="0"/>
        <v>2000</v>
      </c>
      <c r="H78" s="10" t="str">
        <f t="shared" si="1"/>
        <v/>
      </c>
      <c r="I78" s="10" t="e">
        <f t="shared" si="2"/>
        <v>#VALUE!</v>
      </c>
      <c r="J78" s="10" t="str">
        <f t="shared" si="3"/>
        <v/>
      </c>
      <c r="K78" s="10"/>
      <c r="L78" s="10" t="str">
        <f t="shared" si="4"/>
        <v/>
      </c>
      <c r="O78" s="5"/>
      <c r="P78" s="5"/>
    </row>
    <row r="79" spans="1:16" ht="13.2" x14ac:dyDescent="0.25">
      <c r="A79" s="6">
        <v>78</v>
      </c>
      <c r="B79" s="17"/>
      <c r="C79" s="6" t="s">
        <v>35</v>
      </c>
      <c r="D79" s="16"/>
      <c r="E79" s="6" t="s">
        <v>37</v>
      </c>
      <c r="F79" s="9" t="str">
        <f>IFERROR(VLOOKUP(D79,'Savdo komissiyasi (UZB)'!E:F,2,0),"")</f>
        <v/>
      </c>
      <c r="G79" s="10">
        <f t="shared" si="0"/>
        <v>2000</v>
      </c>
      <c r="H79" s="10" t="str">
        <f t="shared" si="1"/>
        <v/>
      </c>
      <c r="I79" s="10" t="e">
        <f t="shared" si="2"/>
        <v>#VALUE!</v>
      </c>
      <c r="J79" s="10" t="str">
        <f t="shared" si="3"/>
        <v/>
      </c>
      <c r="K79" s="10"/>
      <c r="L79" s="10" t="str">
        <f t="shared" si="4"/>
        <v/>
      </c>
      <c r="O79" s="5"/>
      <c r="P79" s="5"/>
    </row>
    <row r="80" spans="1:16" ht="13.2" x14ac:dyDescent="0.25">
      <c r="A80" s="6">
        <v>79</v>
      </c>
      <c r="B80" s="17"/>
      <c r="C80" s="6" t="s">
        <v>35</v>
      </c>
      <c r="D80" s="16"/>
      <c r="E80" s="6" t="s">
        <v>37</v>
      </c>
      <c r="F80" s="9" t="str">
        <f>IFERROR(VLOOKUP(D80,'Savdo komissiyasi (UZB)'!E:F,2,0),"")</f>
        <v/>
      </c>
      <c r="G80" s="10">
        <f t="shared" si="0"/>
        <v>2000</v>
      </c>
      <c r="H80" s="10" t="str">
        <f t="shared" si="1"/>
        <v/>
      </c>
      <c r="I80" s="10" t="e">
        <f t="shared" si="2"/>
        <v>#VALUE!</v>
      </c>
      <c r="J80" s="10" t="str">
        <f t="shared" si="3"/>
        <v/>
      </c>
      <c r="K80" s="10"/>
      <c r="L80" s="10" t="str">
        <f t="shared" si="4"/>
        <v/>
      </c>
      <c r="O80" s="5"/>
      <c r="P80" s="5"/>
    </row>
    <row r="81" spans="1:16" ht="13.2" x14ac:dyDescent="0.25">
      <c r="A81" s="6">
        <v>80</v>
      </c>
      <c r="B81" s="17"/>
      <c r="C81" s="6" t="s">
        <v>35</v>
      </c>
      <c r="D81" s="16"/>
      <c r="E81" s="6" t="s">
        <v>37</v>
      </c>
      <c r="F81" s="9" t="str">
        <f>IFERROR(VLOOKUP(D81,'Savdo komissiyasi (UZB)'!E:F,2,0),"")</f>
        <v/>
      </c>
      <c r="G81" s="10">
        <f t="shared" si="0"/>
        <v>2000</v>
      </c>
      <c r="H81" s="10" t="str">
        <f t="shared" si="1"/>
        <v/>
      </c>
      <c r="I81" s="10" t="e">
        <f t="shared" si="2"/>
        <v>#VALUE!</v>
      </c>
      <c r="J81" s="10" t="str">
        <f t="shared" si="3"/>
        <v/>
      </c>
      <c r="K81" s="10"/>
      <c r="L81" s="10" t="str">
        <f t="shared" si="4"/>
        <v/>
      </c>
      <c r="O81" s="5"/>
      <c r="P81" s="5"/>
    </row>
    <row r="82" spans="1:16" ht="13.2" x14ac:dyDescent="0.25">
      <c r="A82" s="6">
        <v>81</v>
      </c>
      <c r="B82" s="17"/>
      <c r="C82" s="6" t="s">
        <v>35</v>
      </c>
      <c r="D82" s="16"/>
      <c r="E82" s="6" t="s">
        <v>37</v>
      </c>
      <c r="F82" s="9" t="str">
        <f>IFERROR(VLOOKUP(D82,'Savdo komissiyasi (UZB)'!E:F,2,0),"")</f>
        <v/>
      </c>
      <c r="G82" s="10">
        <f t="shared" si="0"/>
        <v>2000</v>
      </c>
      <c r="H82" s="10" t="str">
        <f t="shared" si="1"/>
        <v/>
      </c>
      <c r="I82" s="10" t="e">
        <f t="shared" si="2"/>
        <v>#VALUE!</v>
      </c>
      <c r="J82" s="10" t="str">
        <f t="shared" si="3"/>
        <v/>
      </c>
      <c r="K82" s="10"/>
      <c r="L82" s="10" t="str">
        <f t="shared" si="4"/>
        <v/>
      </c>
      <c r="O82" s="5"/>
      <c r="P82" s="5"/>
    </row>
    <row r="83" spans="1:16" ht="13.2" x14ac:dyDescent="0.25">
      <c r="A83" s="6">
        <v>82</v>
      </c>
      <c r="B83" s="17"/>
      <c r="C83" s="6" t="s">
        <v>35</v>
      </c>
      <c r="D83" s="16"/>
      <c r="E83" s="6" t="s">
        <v>37</v>
      </c>
      <c r="F83" s="9" t="str">
        <f>IFERROR(VLOOKUP(D83,'Savdo komissiyasi (UZB)'!E:F,2,0),"")</f>
        <v/>
      </c>
      <c r="G83" s="10">
        <f t="shared" si="0"/>
        <v>2000</v>
      </c>
      <c r="H83" s="10" t="str">
        <f t="shared" si="1"/>
        <v/>
      </c>
      <c r="I83" s="10" t="e">
        <f t="shared" si="2"/>
        <v>#VALUE!</v>
      </c>
      <c r="J83" s="10" t="str">
        <f t="shared" si="3"/>
        <v/>
      </c>
      <c r="K83" s="10"/>
      <c r="L83" s="10" t="str">
        <f t="shared" si="4"/>
        <v/>
      </c>
      <c r="O83" s="5"/>
      <c r="P83" s="5"/>
    </row>
    <row r="84" spans="1:16" ht="13.2" x14ac:dyDescent="0.25">
      <c r="A84" s="6">
        <v>83</v>
      </c>
      <c r="B84" s="17"/>
      <c r="C84" s="6" t="s">
        <v>35</v>
      </c>
      <c r="D84" s="16"/>
      <c r="E84" s="6" t="s">
        <v>37</v>
      </c>
      <c r="F84" s="9" t="str">
        <f>IFERROR(VLOOKUP(D84,'Savdo komissiyasi (UZB)'!E:F,2,0),"")</f>
        <v/>
      </c>
      <c r="G84" s="10">
        <f t="shared" si="0"/>
        <v>2000</v>
      </c>
      <c r="H84" s="10" t="str">
        <f t="shared" si="1"/>
        <v/>
      </c>
      <c r="I84" s="10" t="e">
        <f t="shared" si="2"/>
        <v>#VALUE!</v>
      </c>
      <c r="J84" s="10" t="str">
        <f t="shared" si="3"/>
        <v/>
      </c>
      <c r="K84" s="10"/>
      <c r="L84" s="10" t="str">
        <f t="shared" si="4"/>
        <v/>
      </c>
      <c r="O84" s="5"/>
      <c r="P84" s="5"/>
    </row>
    <row r="85" spans="1:16" ht="13.2" x14ac:dyDescent="0.25">
      <c r="A85" s="6">
        <v>84</v>
      </c>
      <c r="B85" s="17"/>
      <c r="C85" s="6" t="s">
        <v>35</v>
      </c>
      <c r="D85" s="16"/>
      <c r="E85" s="6" t="s">
        <v>37</v>
      </c>
      <c r="F85" s="9" t="str">
        <f>IFERROR(VLOOKUP(D85,'Savdo komissiyasi (UZB)'!E:F,2,0),"")</f>
        <v/>
      </c>
      <c r="G85" s="10">
        <f t="shared" si="0"/>
        <v>2000</v>
      </c>
      <c r="H85" s="10" t="str">
        <f t="shared" si="1"/>
        <v/>
      </c>
      <c r="I85" s="10" t="e">
        <f t="shared" si="2"/>
        <v>#VALUE!</v>
      </c>
      <c r="J85" s="10" t="str">
        <f t="shared" si="3"/>
        <v/>
      </c>
      <c r="K85" s="10"/>
      <c r="L85" s="10" t="str">
        <f t="shared" si="4"/>
        <v/>
      </c>
      <c r="O85" s="5"/>
      <c r="P85" s="5"/>
    </row>
    <row r="86" spans="1:16" ht="13.2" x14ac:dyDescent="0.25">
      <c r="A86" s="6">
        <v>85</v>
      </c>
      <c r="B86" s="17"/>
      <c r="C86" s="6" t="s">
        <v>35</v>
      </c>
      <c r="D86" s="16"/>
      <c r="E86" s="6" t="s">
        <v>37</v>
      </c>
      <c r="F86" s="9" t="str">
        <f>IFERROR(VLOOKUP(D86,'Savdo komissiyasi (UZB)'!E:F,2,0),"")</f>
        <v/>
      </c>
      <c r="G86" s="10">
        <f t="shared" si="0"/>
        <v>2000</v>
      </c>
      <c r="H86" s="10" t="str">
        <f t="shared" si="1"/>
        <v/>
      </c>
      <c r="I86" s="10" t="e">
        <f t="shared" si="2"/>
        <v>#VALUE!</v>
      </c>
      <c r="J86" s="10" t="str">
        <f t="shared" si="3"/>
        <v/>
      </c>
      <c r="K86" s="10"/>
      <c r="L86" s="10" t="str">
        <f t="shared" si="4"/>
        <v/>
      </c>
      <c r="O86" s="5"/>
      <c r="P86" s="5"/>
    </row>
    <row r="87" spans="1:16" ht="13.2" x14ac:dyDescent="0.25">
      <c r="A87" s="6">
        <v>86</v>
      </c>
      <c r="B87" s="17"/>
      <c r="C87" s="6" t="s">
        <v>35</v>
      </c>
      <c r="D87" s="16"/>
      <c r="E87" s="6" t="s">
        <v>37</v>
      </c>
      <c r="F87" s="9" t="str">
        <f>IFERROR(VLOOKUP(D87,'Savdo komissiyasi (UZB)'!E:F,2,0),"")</f>
        <v/>
      </c>
      <c r="G87" s="10">
        <f t="shared" si="0"/>
        <v>2000</v>
      </c>
      <c r="H87" s="10" t="str">
        <f t="shared" si="1"/>
        <v/>
      </c>
      <c r="I87" s="10" t="e">
        <f t="shared" si="2"/>
        <v>#VALUE!</v>
      </c>
      <c r="J87" s="10" t="str">
        <f t="shared" si="3"/>
        <v/>
      </c>
      <c r="K87" s="10"/>
      <c r="L87" s="10" t="str">
        <f t="shared" si="4"/>
        <v/>
      </c>
      <c r="O87" s="5"/>
      <c r="P87" s="5"/>
    </row>
    <row r="88" spans="1:16" ht="13.2" x14ac:dyDescent="0.25">
      <c r="A88" s="6">
        <v>87</v>
      </c>
      <c r="B88" s="17"/>
      <c r="C88" s="6" t="s">
        <v>35</v>
      </c>
      <c r="D88" s="16"/>
      <c r="E88" s="6" t="s">
        <v>37</v>
      </c>
      <c r="F88" s="9" t="str">
        <f>IFERROR(VLOOKUP(D88,'Savdo komissiyasi (UZB)'!E:F,2,0),"")</f>
        <v/>
      </c>
      <c r="G88" s="10">
        <f t="shared" si="0"/>
        <v>2000</v>
      </c>
      <c r="H88" s="10" t="str">
        <f t="shared" si="1"/>
        <v/>
      </c>
      <c r="I88" s="10" t="e">
        <f t="shared" si="2"/>
        <v>#VALUE!</v>
      </c>
      <c r="J88" s="10" t="str">
        <f t="shared" si="3"/>
        <v/>
      </c>
      <c r="K88" s="10"/>
      <c r="L88" s="10" t="str">
        <f t="shared" si="4"/>
        <v/>
      </c>
      <c r="O88" s="5"/>
      <c r="P88" s="5"/>
    </row>
    <row r="89" spans="1:16" ht="13.2" x14ac:dyDescent="0.25">
      <c r="A89" s="6">
        <v>88</v>
      </c>
      <c r="B89" s="17"/>
      <c r="C89" s="6" t="s">
        <v>35</v>
      </c>
      <c r="D89" s="16"/>
      <c r="E89" s="6" t="s">
        <v>37</v>
      </c>
      <c r="F89" s="9" t="str">
        <f>IFERROR(VLOOKUP(D89,'Savdo komissiyasi (UZB)'!E:F,2,0),"")</f>
        <v/>
      </c>
      <c r="G89" s="10">
        <f t="shared" si="0"/>
        <v>2000</v>
      </c>
      <c r="H89" s="10" t="str">
        <f t="shared" si="1"/>
        <v/>
      </c>
      <c r="I89" s="10" t="e">
        <f t="shared" si="2"/>
        <v>#VALUE!</v>
      </c>
      <c r="J89" s="10" t="str">
        <f t="shared" si="3"/>
        <v/>
      </c>
      <c r="K89" s="10"/>
      <c r="L89" s="10" t="str">
        <f t="shared" si="4"/>
        <v/>
      </c>
      <c r="O89" s="5"/>
      <c r="P89" s="5"/>
    </row>
    <row r="90" spans="1:16" ht="13.2" x14ac:dyDescent="0.25">
      <c r="A90" s="6">
        <v>89</v>
      </c>
      <c r="B90" s="17"/>
      <c r="C90" s="6" t="s">
        <v>35</v>
      </c>
      <c r="D90" s="16"/>
      <c r="E90" s="6" t="s">
        <v>37</v>
      </c>
      <c r="F90" s="9" t="str">
        <f>IFERROR(VLOOKUP(D90,'Savdo komissiyasi (UZB)'!E:F,2,0),"")</f>
        <v/>
      </c>
      <c r="G90" s="10">
        <f t="shared" si="0"/>
        <v>2000</v>
      </c>
      <c r="H90" s="10" t="str">
        <f t="shared" si="1"/>
        <v/>
      </c>
      <c r="I90" s="10" t="e">
        <f t="shared" si="2"/>
        <v>#VALUE!</v>
      </c>
      <c r="J90" s="10" t="str">
        <f t="shared" si="3"/>
        <v/>
      </c>
      <c r="K90" s="10"/>
      <c r="L90" s="10" t="str">
        <f t="shared" si="4"/>
        <v/>
      </c>
      <c r="O90" s="5"/>
      <c r="P90" s="5"/>
    </row>
    <row r="91" spans="1:16" ht="13.2" x14ac:dyDescent="0.25">
      <c r="A91" s="6">
        <v>90</v>
      </c>
      <c r="B91" s="17"/>
      <c r="C91" s="6" t="s">
        <v>35</v>
      </c>
      <c r="D91" s="16"/>
      <c r="E91" s="6" t="s">
        <v>37</v>
      </c>
      <c r="F91" s="9" t="str">
        <f>IFERROR(VLOOKUP(D91,'Savdo komissiyasi (UZB)'!E:F,2,0),"")</f>
        <v/>
      </c>
      <c r="G91" s="10">
        <f t="shared" si="0"/>
        <v>2000</v>
      </c>
      <c r="H91" s="10" t="str">
        <f t="shared" si="1"/>
        <v/>
      </c>
      <c r="I91" s="10" t="e">
        <f t="shared" si="2"/>
        <v>#VALUE!</v>
      </c>
      <c r="J91" s="10" t="str">
        <f t="shared" si="3"/>
        <v/>
      </c>
      <c r="K91" s="10"/>
      <c r="L91" s="10" t="str">
        <f t="shared" si="4"/>
        <v/>
      </c>
      <c r="O91" s="5"/>
      <c r="P91" s="5"/>
    </row>
    <row r="92" spans="1:16" ht="13.2" x14ac:dyDescent="0.25">
      <c r="A92" s="6">
        <v>91</v>
      </c>
      <c r="B92" s="17"/>
      <c r="C92" s="6" t="s">
        <v>35</v>
      </c>
      <c r="D92" s="16"/>
      <c r="E92" s="6" t="s">
        <v>37</v>
      </c>
      <c r="F92" s="9" t="str">
        <f>IFERROR(VLOOKUP(D92,'Savdo komissiyasi (UZB)'!E:F,2,0),"")</f>
        <v/>
      </c>
      <c r="G92" s="10">
        <f t="shared" si="0"/>
        <v>2000</v>
      </c>
      <c r="H92" s="10" t="str">
        <f t="shared" si="1"/>
        <v/>
      </c>
      <c r="I92" s="10" t="e">
        <f t="shared" si="2"/>
        <v>#VALUE!</v>
      </c>
      <c r="J92" s="10" t="str">
        <f t="shared" si="3"/>
        <v/>
      </c>
      <c r="K92" s="10"/>
      <c r="L92" s="10" t="str">
        <f t="shared" si="4"/>
        <v/>
      </c>
      <c r="O92" s="5"/>
      <c r="P92" s="5"/>
    </row>
    <row r="93" spans="1:16" ht="13.2" x14ac:dyDescent="0.25">
      <c r="A93" s="6">
        <v>92</v>
      </c>
      <c r="B93" s="17"/>
      <c r="C93" s="6" t="s">
        <v>35</v>
      </c>
      <c r="D93" s="16"/>
      <c r="E93" s="6" t="s">
        <v>37</v>
      </c>
      <c r="F93" s="9" t="str">
        <f>IFERROR(VLOOKUP(D93,'Savdo komissiyasi (UZB)'!E:F,2,0),"")</f>
        <v/>
      </c>
      <c r="G93" s="10">
        <f t="shared" si="0"/>
        <v>2000</v>
      </c>
      <c r="H93" s="10" t="str">
        <f t="shared" si="1"/>
        <v/>
      </c>
      <c r="I93" s="10" t="e">
        <f t="shared" si="2"/>
        <v>#VALUE!</v>
      </c>
      <c r="J93" s="10" t="str">
        <f t="shared" si="3"/>
        <v/>
      </c>
      <c r="K93" s="10"/>
      <c r="L93" s="10" t="str">
        <f t="shared" si="4"/>
        <v/>
      </c>
      <c r="O93" s="5"/>
      <c r="P93" s="5"/>
    </row>
    <row r="94" spans="1:16" ht="13.2" x14ac:dyDescent="0.25">
      <c r="A94" s="6">
        <v>93</v>
      </c>
      <c r="B94" s="17"/>
      <c r="C94" s="6" t="s">
        <v>35</v>
      </c>
      <c r="D94" s="16"/>
      <c r="E94" s="6" t="s">
        <v>37</v>
      </c>
      <c r="F94" s="9" t="str">
        <f>IFERROR(VLOOKUP(D94,'Savdo komissiyasi (UZB)'!E:F,2,0),"")</f>
        <v/>
      </c>
      <c r="G94" s="10">
        <f t="shared" si="0"/>
        <v>2000</v>
      </c>
      <c r="H94" s="10" t="str">
        <f t="shared" si="1"/>
        <v/>
      </c>
      <c r="I94" s="10" t="e">
        <f t="shared" si="2"/>
        <v>#VALUE!</v>
      </c>
      <c r="J94" s="10" t="str">
        <f t="shared" si="3"/>
        <v/>
      </c>
      <c r="K94" s="10"/>
      <c r="L94" s="10" t="str">
        <f t="shared" si="4"/>
        <v/>
      </c>
      <c r="O94" s="5"/>
      <c r="P94" s="5"/>
    </row>
    <row r="95" spans="1:16" ht="13.2" x14ac:dyDescent="0.25">
      <c r="A95" s="6">
        <v>94</v>
      </c>
      <c r="B95" s="17"/>
      <c r="C95" s="6" t="s">
        <v>35</v>
      </c>
      <c r="D95" s="16"/>
      <c r="E95" s="6" t="s">
        <v>37</v>
      </c>
      <c r="F95" s="9" t="str">
        <f>IFERROR(VLOOKUP(D95,'Savdo komissiyasi (UZB)'!E:F,2,0),"")</f>
        <v/>
      </c>
      <c r="G95" s="10">
        <f t="shared" si="0"/>
        <v>2000</v>
      </c>
      <c r="H95" s="10" t="str">
        <f t="shared" si="1"/>
        <v/>
      </c>
      <c r="I95" s="10" t="e">
        <f t="shared" si="2"/>
        <v>#VALUE!</v>
      </c>
      <c r="J95" s="10" t="str">
        <f t="shared" si="3"/>
        <v/>
      </c>
      <c r="K95" s="10"/>
      <c r="L95" s="10" t="str">
        <f t="shared" si="4"/>
        <v/>
      </c>
      <c r="O95" s="5"/>
      <c r="P95" s="5"/>
    </row>
    <row r="96" spans="1:16" ht="13.2" x14ac:dyDescent="0.25">
      <c r="A96" s="6">
        <v>95</v>
      </c>
      <c r="B96" s="17"/>
      <c r="C96" s="6" t="s">
        <v>35</v>
      </c>
      <c r="D96" s="16"/>
      <c r="E96" s="6" t="s">
        <v>37</v>
      </c>
      <c r="F96" s="9" t="str">
        <f>IFERROR(VLOOKUP(D96,'Savdo komissiyasi (UZB)'!E:F,2,0),"")</f>
        <v/>
      </c>
      <c r="G96" s="10">
        <f t="shared" si="0"/>
        <v>2000</v>
      </c>
      <c r="H96" s="10" t="str">
        <f t="shared" si="1"/>
        <v/>
      </c>
      <c r="I96" s="10" t="e">
        <f t="shared" si="2"/>
        <v>#VALUE!</v>
      </c>
      <c r="J96" s="10" t="str">
        <f t="shared" si="3"/>
        <v/>
      </c>
      <c r="K96" s="10"/>
      <c r="L96" s="10" t="str">
        <f t="shared" si="4"/>
        <v/>
      </c>
      <c r="O96" s="5"/>
      <c r="P96" s="5"/>
    </row>
    <row r="97" spans="1:16" ht="13.2" x14ac:dyDescent="0.25">
      <c r="A97" s="6">
        <v>96</v>
      </c>
      <c r="B97" s="17"/>
      <c r="C97" s="6" t="s">
        <v>35</v>
      </c>
      <c r="D97" s="16"/>
      <c r="E97" s="6" t="s">
        <v>37</v>
      </c>
      <c r="F97" s="9" t="str">
        <f>IFERROR(VLOOKUP(D97,'Savdo komissiyasi (UZB)'!E:F,2,0),"")</f>
        <v/>
      </c>
      <c r="G97" s="10">
        <f t="shared" si="0"/>
        <v>2000</v>
      </c>
      <c r="H97" s="10" t="str">
        <f t="shared" si="1"/>
        <v/>
      </c>
      <c r="I97" s="10" t="e">
        <f t="shared" si="2"/>
        <v>#VALUE!</v>
      </c>
      <c r="J97" s="10" t="str">
        <f t="shared" si="3"/>
        <v/>
      </c>
      <c r="K97" s="10"/>
      <c r="L97" s="10" t="str">
        <f t="shared" si="4"/>
        <v/>
      </c>
      <c r="O97" s="5"/>
      <c r="P97" s="5"/>
    </row>
    <row r="98" spans="1:16" ht="13.2" x14ac:dyDescent="0.25">
      <c r="A98" s="6">
        <v>97</v>
      </c>
      <c r="B98" s="17"/>
      <c r="C98" s="6" t="s">
        <v>35</v>
      </c>
      <c r="D98" s="16"/>
      <c r="E98" s="6" t="s">
        <v>37</v>
      </c>
      <c r="F98" s="9" t="str">
        <f>IFERROR(VLOOKUP(D98,'Savdo komissiyasi (UZB)'!E:F,2,0),"")</f>
        <v/>
      </c>
      <c r="G98" s="10">
        <f t="shared" si="0"/>
        <v>2000</v>
      </c>
      <c r="H98" s="10" t="str">
        <f t="shared" si="1"/>
        <v/>
      </c>
      <c r="I98" s="10" t="e">
        <f t="shared" si="2"/>
        <v>#VALUE!</v>
      </c>
      <c r="J98" s="10" t="str">
        <f t="shared" si="3"/>
        <v/>
      </c>
      <c r="K98" s="10"/>
      <c r="L98" s="10" t="str">
        <f t="shared" si="4"/>
        <v/>
      </c>
      <c r="O98" s="5"/>
      <c r="P98" s="5"/>
    </row>
    <row r="99" spans="1:16" ht="13.2" x14ac:dyDescent="0.25">
      <c r="A99" s="6">
        <v>98</v>
      </c>
      <c r="B99" s="17"/>
      <c r="C99" s="6" t="s">
        <v>35</v>
      </c>
      <c r="D99" s="16"/>
      <c r="E99" s="6" t="s">
        <v>37</v>
      </c>
      <c r="F99" s="9" t="str">
        <f>IFERROR(VLOOKUP(D99,'Savdo komissiyasi (UZB)'!E:F,2,0),"")</f>
        <v/>
      </c>
      <c r="G99" s="10">
        <f t="shared" si="0"/>
        <v>2000</v>
      </c>
      <c r="H99" s="10" t="str">
        <f t="shared" si="1"/>
        <v/>
      </c>
      <c r="I99" s="10" t="e">
        <f t="shared" si="2"/>
        <v>#VALUE!</v>
      </c>
      <c r="J99" s="10" t="str">
        <f t="shared" si="3"/>
        <v/>
      </c>
      <c r="K99" s="10"/>
      <c r="L99" s="10" t="str">
        <f t="shared" si="4"/>
        <v/>
      </c>
      <c r="O99" s="5"/>
      <c r="P99" s="5"/>
    </row>
    <row r="100" spans="1:16" ht="13.2" x14ac:dyDescent="0.25">
      <c r="A100" s="6">
        <v>99</v>
      </c>
      <c r="B100" s="17"/>
      <c r="C100" s="6" t="s">
        <v>35</v>
      </c>
      <c r="D100" s="16"/>
      <c r="E100" s="6" t="s">
        <v>37</v>
      </c>
      <c r="F100" s="9" t="str">
        <f>IFERROR(VLOOKUP(D100,'Savdo komissiyasi (UZB)'!E:F,2,0),"")</f>
        <v/>
      </c>
      <c r="G100" s="10">
        <f t="shared" si="0"/>
        <v>2000</v>
      </c>
      <c r="H100" s="10" t="str">
        <f t="shared" si="1"/>
        <v/>
      </c>
      <c r="I100" s="10" t="e">
        <f t="shared" si="2"/>
        <v>#VALUE!</v>
      </c>
      <c r="J100" s="10" t="str">
        <f t="shared" si="3"/>
        <v/>
      </c>
      <c r="K100" s="10"/>
      <c r="L100" s="10" t="str">
        <f t="shared" si="4"/>
        <v/>
      </c>
      <c r="O100" s="5"/>
      <c r="P100" s="5"/>
    </row>
    <row r="101" spans="1:16" ht="13.2" x14ac:dyDescent="0.25">
      <c r="A101" s="6">
        <v>100</v>
      </c>
      <c r="B101" s="17"/>
      <c r="C101" s="6" t="s">
        <v>35</v>
      </c>
      <c r="D101" s="16"/>
      <c r="E101" s="6" t="s">
        <v>37</v>
      </c>
      <c r="F101" s="9" t="str">
        <f>IFERROR(VLOOKUP(D101,'Savdo komissiyasi (UZB)'!E:F,2,0),"")</f>
        <v/>
      </c>
      <c r="G101" s="10">
        <f t="shared" si="0"/>
        <v>2000</v>
      </c>
      <c r="H101" s="10" t="str">
        <f t="shared" si="1"/>
        <v/>
      </c>
      <c r="I101" s="10" t="e">
        <f t="shared" si="2"/>
        <v>#VALUE!</v>
      </c>
      <c r="J101" s="10" t="str">
        <f t="shared" si="3"/>
        <v/>
      </c>
      <c r="K101" s="10"/>
      <c r="L101" s="10" t="str">
        <f t="shared" si="4"/>
        <v/>
      </c>
      <c r="O101" s="5"/>
      <c r="P101" s="5"/>
    </row>
    <row r="102" spans="1:16" ht="13.2" x14ac:dyDescent="0.25">
      <c r="B102" s="18"/>
      <c r="C102" s="19"/>
      <c r="D102" s="19"/>
      <c r="O102" s="5"/>
      <c r="P102" s="5"/>
    </row>
    <row r="103" spans="1:16" ht="13.2" x14ac:dyDescent="0.25">
      <c r="B103" s="18"/>
      <c r="C103" s="19"/>
      <c r="D103" s="19"/>
      <c r="O103" s="5"/>
      <c r="P103" s="5"/>
    </row>
    <row r="104" spans="1:16" ht="13.2" x14ac:dyDescent="0.25">
      <c r="B104" s="18"/>
      <c r="C104" s="19"/>
      <c r="D104" s="19"/>
      <c r="O104" s="5"/>
      <c r="P104" s="5"/>
    </row>
    <row r="105" spans="1:16" ht="13.2" x14ac:dyDescent="0.25">
      <c r="B105" s="18"/>
      <c r="C105" s="19"/>
      <c r="D105" s="19"/>
      <c r="O105" s="5"/>
      <c r="P105" s="5"/>
    </row>
    <row r="106" spans="1:16" ht="13.2" x14ac:dyDescent="0.25">
      <c r="B106" s="18"/>
      <c r="C106" s="19"/>
      <c r="D106" s="19"/>
      <c r="O106" s="5"/>
      <c r="P106" s="5"/>
    </row>
    <row r="107" spans="1:16" ht="13.2" x14ac:dyDescent="0.25">
      <c r="B107" s="18"/>
      <c r="C107" s="19"/>
      <c r="D107" s="19"/>
      <c r="O107" s="5"/>
      <c r="P107" s="5"/>
    </row>
    <row r="108" spans="1:16" ht="13.2" x14ac:dyDescent="0.25">
      <c r="B108" s="18"/>
      <c r="C108" s="19"/>
      <c r="D108" s="19"/>
      <c r="O108" s="5"/>
      <c r="P108" s="5"/>
    </row>
    <row r="109" spans="1:16" ht="13.2" x14ac:dyDescent="0.25">
      <c r="B109" s="18"/>
      <c r="C109" s="19"/>
      <c r="D109" s="19"/>
      <c r="O109" s="5"/>
      <c r="P109" s="5"/>
    </row>
    <row r="110" spans="1:16" ht="13.2" x14ac:dyDescent="0.25">
      <c r="B110" s="18"/>
      <c r="C110" s="19"/>
      <c r="D110" s="19"/>
      <c r="O110" s="5"/>
      <c r="P110" s="5"/>
    </row>
    <row r="111" spans="1:16" ht="13.2" x14ac:dyDescent="0.25">
      <c r="B111" s="18"/>
      <c r="C111" s="19"/>
      <c r="D111" s="19"/>
      <c r="O111" s="5"/>
      <c r="P111" s="5"/>
    </row>
    <row r="112" spans="1:16" ht="13.2" x14ac:dyDescent="0.25">
      <c r="B112" s="18"/>
      <c r="C112" s="19"/>
      <c r="D112" s="19"/>
      <c r="O112" s="5"/>
      <c r="P112" s="5"/>
    </row>
    <row r="113" spans="2:16" ht="13.2" x14ac:dyDescent="0.25">
      <c r="B113" s="18"/>
      <c r="C113" s="19"/>
      <c r="D113" s="19"/>
      <c r="O113" s="5"/>
      <c r="P113" s="5"/>
    </row>
    <row r="114" spans="2:16" ht="13.2" x14ac:dyDescent="0.25">
      <c r="B114" s="18"/>
      <c r="C114" s="19"/>
      <c r="D114" s="19"/>
      <c r="O114" s="5"/>
      <c r="P114" s="5"/>
    </row>
    <row r="115" spans="2:16" ht="13.2" x14ac:dyDescent="0.25">
      <c r="B115" s="18"/>
      <c r="C115" s="19"/>
      <c r="D115" s="19"/>
      <c r="O115" s="5"/>
      <c r="P115" s="5"/>
    </row>
    <row r="116" spans="2:16" ht="13.2" x14ac:dyDescent="0.25">
      <c r="B116" s="18"/>
      <c r="C116" s="19"/>
      <c r="D116" s="19"/>
      <c r="O116" s="5"/>
      <c r="P116" s="5"/>
    </row>
    <row r="117" spans="2:16" ht="13.2" x14ac:dyDescent="0.25">
      <c r="B117" s="18"/>
      <c r="C117" s="19"/>
      <c r="D117" s="19"/>
      <c r="O117" s="5"/>
      <c r="P117" s="5"/>
    </row>
    <row r="118" spans="2:16" ht="13.2" x14ac:dyDescent="0.25">
      <c r="B118" s="18"/>
      <c r="C118" s="19"/>
      <c r="D118" s="19"/>
      <c r="O118" s="5"/>
      <c r="P118" s="5"/>
    </row>
    <row r="119" spans="2:16" ht="13.2" x14ac:dyDescent="0.25">
      <c r="B119" s="18"/>
      <c r="C119" s="19"/>
      <c r="D119" s="19"/>
      <c r="O119" s="5"/>
      <c r="P119" s="5"/>
    </row>
    <row r="120" spans="2:16" ht="13.2" x14ac:dyDescent="0.25">
      <c r="B120" s="18"/>
      <c r="C120" s="19"/>
      <c r="D120" s="19"/>
      <c r="O120" s="5"/>
      <c r="P120" s="5"/>
    </row>
    <row r="121" spans="2:16" ht="13.2" x14ac:dyDescent="0.25">
      <c r="B121" s="18"/>
      <c r="C121" s="19"/>
      <c r="D121" s="19"/>
      <c r="O121" s="5"/>
      <c r="P121" s="5"/>
    </row>
    <row r="122" spans="2:16" ht="13.2" x14ac:dyDescent="0.25">
      <c r="B122" s="18"/>
      <c r="C122" s="19"/>
      <c r="D122" s="19"/>
      <c r="O122" s="5"/>
      <c r="P122" s="5"/>
    </row>
    <row r="123" spans="2:16" ht="13.2" x14ac:dyDescent="0.25">
      <c r="B123" s="18"/>
      <c r="C123" s="19"/>
      <c r="D123" s="19"/>
      <c r="O123" s="5"/>
      <c r="P123" s="5"/>
    </row>
    <row r="124" spans="2:16" ht="13.2" x14ac:dyDescent="0.25">
      <c r="B124" s="18"/>
      <c r="C124" s="19"/>
      <c r="D124" s="19"/>
      <c r="O124" s="5"/>
      <c r="P124" s="5"/>
    </row>
    <row r="125" spans="2:16" ht="13.2" x14ac:dyDescent="0.25">
      <c r="B125" s="18"/>
      <c r="C125" s="19"/>
      <c r="D125" s="19"/>
      <c r="O125" s="5"/>
      <c r="P125" s="5"/>
    </row>
    <row r="126" spans="2:16" ht="13.2" x14ac:dyDescent="0.25">
      <c r="B126" s="18"/>
      <c r="C126" s="19"/>
      <c r="D126" s="19"/>
      <c r="O126" s="5"/>
      <c r="P126" s="5"/>
    </row>
    <row r="127" spans="2:16" ht="13.2" x14ac:dyDescent="0.25">
      <c r="B127" s="18"/>
      <c r="C127" s="19"/>
      <c r="D127" s="19"/>
      <c r="O127" s="5"/>
      <c r="P127" s="5"/>
    </row>
    <row r="128" spans="2:16" ht="13.2" x14ac:dyDescent="0.25">
      <c r="B128" s="18"/>
      <c r="C128" s="19"/>
      <c r="D128" s="19"/>
      <c r="O128" s="5"/>
      <c r="P128" s="5"/>
    </row>
    <row r="129" spans="2:16" ht="13.2" x14ac:dyDescent="0.25">
      <c r="B129" s="18"/>
      <c r="C129" s="19"/>
      <c r="D129" s="19"/>
      <c r="O129" s="5"/>
      <c r="P129" s="5"/>
    </row>
    <row r="130" spans="2:16" ht="13.2" x14ac:dyDescent="0.25">
      <c r="B130" s="18"/>
      <c r="C130" s="19"/>
      <c r="D130" s="19"/>
      <c r="O130" s="5"/>
      <c r="P130" s="5"/>
    </row>
    <row r="131" spans="2:16" ht="13.2" x14ac:dyDescent="0.25">
      <c r="B131" s="18"/>
      <c r="C131" s="19"/>
      <c r="D131" s="19"/>
      <c r="O131" s="5"/>
      <c r="P131" s="5"/>
    </row>
    <row r="132" spans="2:16" ht="13.2" x14ac:dyDescent="0.25">
      <c r="B132" s="18"/>
      <c r="C132" s="19"/>
      <c r="D132" s="19"/>
      <c r="O132" s="5"/>
      <c r="P132" s="5"/>
    </row>
    <row r="133" spans="2:16" ht="13.2" x14ac:dyDescent="0.25">
      <c r="B133" s="18"/>
      <c r="C133" s="19"/>
      <c r="D133" s="19"/>
      <c r="O133" s="5"/>
      <c r="P133" s="5"/>
    </row>
    <row r="134" spans="2:16" ht="13.2" x14ac:dyDescent="0.25">
      <c r="B134" s="18"/>
      <c r="C134" s="19"/>
      <c r="D134" s="19"/>
      <c r="O134" s="5"/>
      <c r="P134" s="5"/>
    </row>
    <row r="135" spans="2:16" ht="13.2" x14ac:dyDescent="0.25">
      <c r="B135" s="18"/>
      <c r="C135" s="19"/>
      <c r="D135" s="19"/>
      <c r="O135" s="5"/>
      <c r="P135" s="5"/>
    </row>
    <row r="136" spans="2:16" ht="13.2" x14ac:dyDescent="0.25">
      <c r="B136" s="18"/>
      <c r="C136" s="19"/>
      <c r="D136" s="19"/>
      <c r="O136" s="5"/>
      <c r="P136" s="5"/>
    </row>
    <row r="137" spans="2:16" ht="13.2" x14ac:dyDescent="0.25">
      <c r="B137" s="18"/>
      <c r="C137" s="19"/>
      <c r="D137" s="19"/>
      <c r="O137" s="5"/>
      <c r="P137" s="5"/>
    </row>
    <row r="138" spans="2:16" ht="13.2" x14ac:dyDescent="0.25">
      <c r="B138" s="18"/>
      <c r="C138" s="19"/>
      <c r="D138" s="19"/>
      <c r="O138" s="5"/>
      <c r="P138" s="5"/>
    </row>
    <row r="139" spans="2:16" ht="13.2" x14ac:dyDescent="0.25">
      <c r="B139" s="18"/>
      <c r="C139" s="19"/>
      <c r="D139" s="19"/>
      <c r="O139" s="5"/>
      <c r="P139" s="5"/>
    </row>
    <row r="140" spans="2:16" ht="13.2" x14ac:dyDescent="0.25">
      <c r="B140" s="18"/>
      <c r="C140" s="19"/>
      <c r="D140" s="19"/>
      <c r="O140" s="5"/>
      <c r="P140" s="5"/>
    </row>
    <row r="141" spans="2:16" ht="13.2" x14ac:dyDescent="0.25">
      <c r="B141" s="18"/>
      <c r="C141" s="19"/>
      <c r="D141" s="19"/>
      <c r="O141" s="5"/>
      <c r="P141" s="5"/>
    </row>
    <row r="142" spans="2:16" ht="13.2" x14ac:dyDescent="0.25">
      <c r="B142" s="18"/>
      <c r="C142" s="19"/>
      <c r="D142" s="19"/>
      <c r="O142" s="5"/>
      <c r="P142" s="5"/>
    </row>
    <row r="143" spans="2:16" ht="13.2" x14ac:dyDescent="0.25">
      <c r="B143" s="18"/>
      <c r="C143" s="19"/>
      <c r="D143" s="19"/>
      <c r="O143" s="5"/>
      <c r="P143" s="5"/>
    </row>
    <row r="144" spans="2:16" ht="13.2" x14ac:dyDescent="0.25">
      <c r="B144" s="18"/>
      <c r="C144" s="19"/>
      <c r="D144" s="19"/>
      <c r="O144" s="5"/>
      <c r="P144" s="5"/>
    </row>
    <row r="145" spans="2:16" ht="13.2" x14ac:dyDescent="0.25">
      <c r="B145" s="18"/>
      <c r="C145" s="19"/>
      <c r="D145" s="19"/>
      <c r="O145" s="5"/>
      <c r="P145" s="5"/>
    </row>
    <row r="146" spans="2:16" ht="13.2" x14ac:dyDescent="0.25">
      <c r="B146" s="18"/>
      <c r="C146" s="19"/>
      <c r="D146" s="19"/>
      <c r="O146" s="5"/>
      <c r="P146" s="5"/>
    </row>
    <row r="147" spans="2:16" ht="13.2" x14ac:dyDescent="0.25">
      <c r="B147" s="18"/>
      <c r="C147" s="19"/>
      <c r="D147" s="19"/>
      <c r="O147" s="5"/>
      <c r="P147" s="5"/>
    </row>
    <row r="148" spans="2:16" ht="13.2" x14ac:dyDescent="0.25">
      <c r="B148" s="18"/>
      <c r="C148" s="19"/>
      <c r="D148" s="19"/>
      <c r="O148" s="5"/>
      <c r="P148" s="5"/>
    </row>
    <row r="149" spans="2:16" ht="13.2" x14ac:dyDescent="0.25">
      <c r="B149" s="18"/>
      <c r="C149" s="19"/>
      <c r="D149" s="19"/>
      <c r="O149" s="5"/>
      <c r="P149" s="5"/>
    </row>
    <row r="150" spans="2:16" ht="13.2" x14ac:dyDescent="0.25">
      <c r="B150" s="18"/>
      <c r="C150" s="19"/>
      <c r="D150" s="19"/>
      <c r="O150" s="5"/>
      <c r="P150" s="5"/>
    </row>
    <row r="151" spans="2:16" ht="13.2" x14ac:dyDescent="0.25">
      <c r="B151" s="18"/>
      <c r="C151" s="19"/>
      <c r="D151" s="19"/>
      <c r="O151" s="5"/>
      <c r="P151" s="5"/>
    </row>
    <row r="152" spans="2:16" ht="13.2" x14ac:dyDescent="0.25">
      <c r="B152" s="18"/>
      <c r="C152" s="19"/>
      <c r="D152" s="19"/>
      <c r="O152" s="5"/>
      <c r="P152" s="5"/>
    </row>
    <row r="153" spans="2:16" ht="13.2" x14ac:dyDescent="0.25">
      <c r="B153" s="18"/>
      <c r="C153" s="19"/>
      <c r="D153" s="19"/>
      <c r="O153" s="5"/>
      <c r="P153" s="5"/>
    </row>
    <row r="154" spans="2:16" ht="13.2" x14ac:dyDescent="0.25">
      <c r="B154" s="18"/>
      <c r="C154" s="19"/>
      <c r="D154" s="19"/>
      <c r="O154" s="5"/>
      <c r="P154" s="5"/>
    </row>
    <row r="155" spans="2:16" ht="13.2" x14ac:dyDescent="0.25">
      <c r="B155" s="18"/>
      <c r="C155" s="19"/>
      <c r="D155" s="19"/>
      <c r="O155" s="5"/>
      <c r="P155" s="5"/>
    </row>
    <row r="156" spans="2:16" ht="13.2" x14ac:dyDescent="0.25">
      <c r="B156" s="18"/>
      <c r="C156" s="19"/>
      <c r="D156" s="19"/>
      <c r="O156" s="5"/>
      <c r="P156" s="5"/>
    </row>
    <row r="157" spans="2:16" ht="13.2" x14ac:dyDescent="0.25">
      <c r="B157" s="18"/>
      <c r="C157" s="19"/>
      <c r="D157" s="19"/>
      <c r="O157" s="5"/>
      <c r="P157" s="5"/>
    </row>
    <row r="158" spans="2:16" ht="13.2" x14ac:dyDescent="0.25">
      <c r="B158" s="18"/>
      <c r="C158" s="19"/>
      <c r="D158" s="19"/>
      <c r="O158" s="5"/>
      <c r="P158" s="5"/>
    </row>
    <row r="159" spans="2:16" ht="13.2" x14ac:dyDescent="0.25">
      <c r="B159" s="18"/>
      <c r="C159" s="19"/>
      <c r="D159" s="19"/>
      <c r="O159" s="5"/>
      <c r="P159" s="5"/>
    </row>
    <row r="160" spans="2:16" ht="13.2" x14ac:dyDescent="0.25">
      <c r="B160" s="18"/>
      <c r="C160" s="19"/>
      <c r="D160" s="19"/>
      <c r="O160" s="5"/>
      <c r="P160" s="5"/>
    </row>
    <row r="161" spans="2:16" ht="13.2" x14ac:dyDescent="0.25">
      <c r="B161" s="18"/>
      <c r="C161" s="19"/>
      <c r="D161" s="19"/>
      <c r="O161" s="5"/>
      <c r="P161" s="5"/>
    </row>
    <row r="162" spans="2:16" ht="13.2" x14ac:dyDescent="0.25">
      <c r="B162" s="18"/>
      <c r="C162" s="19"/>
      <c r="D162" s="19"/>
      <c r="O162" s="5"/>
      <c r="P162" s="5"/>
    </row>
    <row r="163" spans="2:16" ht="13.2" x14ac:dyDescent="0.25">
      <c r="B163" s="18"/>
      <c r="C163" s="19"/>
      <c r="D163" s="19"/>
      <c r="O163" s="5"/>
      <c r="P163" s="5"/>
    </row>
    <row r="164" spans="2:16" ht="13.2" x14ac:dyDescent="0.25">
      <c r="B164" s="18"/>
      <c r="C164" s="19"/>
      <c r="D164" s="19"/>
      <c r="O164" s="5"/>
      <c r="P164" s="5"/>
    </row>
    <row r="165" spans="2:16" ht="13.2" x14ac:dyDescent="0.25">
      <c r="B165" s="18"/>
      <c r="C165" s="19"/>
      <c r="D165" s="19"/>
      <c r="O165" s="5"/>
      <c r="P165" s="5"/>
    </row>
    <row r="166" spans="2:16" ht="13.2" x14ac:dyDescent="0.25">
      <c r="B166" s="18"/>
      <c r="C166" s="19"/>
      <c r="D166" s="19"/>
      <c r="O166" s="5"/>
      <c r="P166" s="5"/>
    </row>
    <row r="167" spans="2:16" ht="13.2" x14ac:dyDescent="0.25">
      <c r="B167" s="18"/>
      <c r="C167" s="19"/>
      <c r="D167" s="19"/>
      <c r="O167" s="5"/>
      <c r="P167" s="5"/>
    </row>
    <row r="168" spans="2:16" ht="13.2" x14ac:dyDescent="0.25">
      <c r="B168" s="18"/>
      <c r="C168" s="19"/>
      <c r="D168" s="19"/>
      <c r="O168" s="5"/>
      <c r="P168" s="5"/>
    </row>
    <row r="169" spans="2:16" ht="13.2" x14ac:dyDescent="0.25">
      <c r="B169" s="18"/>
      <c r="C169" s="19"/>
      <c r="D169" s="19"/>
      <c r="O169" s="5"/>
      <c r="P169" s="5"/>
    </row>
    <row r="170" spans="2:16" ht="13.2" x14ac:dyDescent="0.25">
      <c r="B170" s="18"/>
      <c r="C170" s="19"/>
      <c r="D170" s="19"/>
      <c r="O170" s="5"/>
      <c r="P170" s="5"/>
    </row>
    <row r="171" spans="2:16" ht="13.2" x14ac:dyDescent="0.25">
      <c r="B171" s="18"/>
      <c r="C171" s="19"/>
      <c r="D171" s="19"/>
      <c r="O171" s="5"/>
      <c r="P171" s="5"/>
    </row>
    <row r="172" spans="2:16" ht="13.2" x14ac:dyDescent="0.25">
      <c r="B172" s="18"/>
      <c r="C172" s="19"/>
      <c r="D172" s="19"/>
      <c r="O172" s="5"/>
      <c r="P172" s="5"/>
    </row>
    <row r="173" spans="2:16" ht="13.2" x14ac:dyDescent="0.25">
      <c r="B173" s="18"/>
      <c r="C173" s="19"/>
      <c r="D173" s="19"/>
      <c r="O173" s="5"/>
      <c r="P173" s="5"/>
    </row>
    <row r="174" spans="2:16" ht="13.2" x14ac:dyDescent="0.25">
      <c r="B174" s="18"/>
      <c r="C174" s="19"/>
      <c r="D174" s="19"/>
      <c r="O174" s="5"/>
      <c r="P174" s="5"/>
    </row>
    <row r="175" spans="2:16" ht="13.2" x14ac:dyDescent="0.25">
      <c r="B175" s="18"/>
      <c r="C175" s="19"/>
      <c r="D175" s="19"/>
      <c r="O175" s="5"/>
      <c r="P175" s="5"/>
    </row>
    <row r="176" spans="2:16" ht="13.2" x14ac:dyDescent="0.25">
      <c r="B176" s="18"/>
      <c r="C176" s="19"/>
      <c r="D176" s="19"/>
      <c r="O176" s="5"/>
      <c r="P176" s="5"/>
    </row>
    <row r="177" spans="2:16" ht="13.2" x14ac:dyDescent="0.25">
      <c r="B177" s="18"/>
      <c r="C177" s="19"/>
      <c r="D177" s="19"/>
      <c r="O177" s="5"/>
      <c r="P177" s="5"/>
    </row>
    <row r="178" spans="2:16" ht="13.2" x14ac:dyDescent="0.25">
      <c r="B178" s="18"/>
      <c r="C178" s="19"/>
      <c r="D178" s="19"/>
      <c r="O178" s="5"/>
      <c r="P178" s="5"/>
    </row>
    <row r="179" spans="2:16" ht="13.2" x14ac:dyDescent="0.25">
      <c r="B179" s="18"/>
      <c r="C179" s="19"/>
      <c r="D179" s="19"/>
      <c r="O179" s="5"/>
      <c r="P179" s="5"/>
    </row>
    <row r="180" spans="2:16" ht="13.2" x14ac:dyDescent="0.25">
      <c r="B180" s="18"/>
      <c r="C180" s="19"/>
      <c r="D180" s="19"/>
      <c r="O180" s="5"/>
      <c r="P180" s="5"/>
    </row>
    <row r="181" spans="2:16" ht="13.2" x14ac:dyDescent="0.25">
      <c r="B181" s="18"/>
      <c r="C181" s="19"/>
      <c r="D181" s="19"/>
      <c r="O181" s="5"/>
      <c r="P181" s="5"/>
    </row>
    <row r="182" spans="2:16" ht="13.2" x14ac:dyDescent="0.25">
      <c r="B182" s="18"/>
      <c r="C182" s="19"/>
      <c r="D182" s="19"/>
      <c r="O182" s="5"/>
      <c r="P182" s="5"/>
    </row>
    <row r="183" spans="2:16" ht="13.2" x14ac:dyDescent="0.25">
      <c r="B183" s="18"/>
      <c r="C183" s="19"/>
      <c r="D183" s="19"/>
      <c r="O183" s="5"/>
      <c r="P183" s="5"/>
    </row>
    <row r="184" spans="2:16" ht="13.2" x14ac:dyDescent="0.25">
      <c r="B184" s="18"/>
      <c r="C184" s="19"/>
      <c r="D184" s="19"/>
      <c r="O184" s="5"/>
      <c r="P184" s="5"/>
    </row>
    <row r="185" spans="2:16" ht="13.2" x14ac:dyDescent="0.25">
      <c r="B185" s="18"/>
      <c r="C185" s="19"/>
      <c r="D185" s="19"/>
      <c r="O185" s="5"/>
      <c r="P185" s="5"/>
    </row>
    <row r="186" spans="2:16" ht="13.2" x14ac:dyDescent="0.25">
      <c r="B186" s="18"/>
      <c r="C186" s="19"/>
      <c r="D186" s="19"/>
      <c r="O186" s="5"/>
      <c r="P186" s="5"/>
    </row>
    <row r="187" spans="2:16" ht="13.2" x14ac:dyDescent="0.25">
      <c r="B187" s="18"/>
      <c r="C187" s="19"/>
      <c r="D187" s="19"/>
      <c r="O187" s="5"/>
      <c r="P187" s="5"/>
    </row>
    <row r="188" spans="2:16" ht="13.2" x14ac:dyDescent="0.25">
      <c r="B188" s="18"/>
      <c r="C188" s="19"/>
      <c r="D188" s="19"/>
      <c r="O188" s="5"/>
      <c r="P188" s="5"/>
    </row>
    <row r="189" spans="2:16" ht="13.2" x14ac:dyDescent="0.25">
      <c r="B189" s="18"/>
      <c r="C189" s="19"/>
      <c r="D189" s="19"/>
      <c r="O189" s="5"/>
      <c r="P189" s="5"/>
    </row>
    <row r="190" spans="2:16" ht="13.2" x14ac:dyDescent="0.25">
      <c r="B190" s="18"/>
      <c r="C190" s="19"/>
      <c r="D190" s="19"/>
      <c r="O190" s="5"/>
      <c r="P190" s="5"/>
    </row>
    <row r="191" spans="2:16" ht="13.2" x14ac:dyDescent="0.25">
      <c r="B191" s="18"/>
      <c r="C191" s="19"/>
      <c r="D191" s="19"/>
      <c r="O191" s="5"/>
      <c r="P191" s="5"/>
    </row>
    <row r="192" spans="2:16" ht="13.2" x14ac:dyDescent="0.25">
      <c r="B192" s="18"/>
      <c r="C192" s="19"/>
      <c r="D192" s="19"/>
      <c r="O192" s="5"/>
      <c r="P192" s="5"/>
    </row>
    <row r="193" spans="2:16" ht="13.2" x14ac:dyDescent="0.25">
      <c r="B193" s="18"/>
      <c r="C193" s="19"/>
      <c r="D193" s="19"/>
      <c r="O193" s="5"/>
      <c r="P193" s="5"/>
    </row>
    <row r="194" spans="2:16" ht="13.2" x14ac:dyDescent="0.25">
      <c r="B194" s="18"/>
      <c r="C194" s="19"/>
      <c r="D194" s="19"/>
      <c r="O194" s="5"/>
      <c r="P194" s="5"/>
    </row>
    <row r="195" spans="2:16" ht="13.2" x14ac:dyDescent="0.25">
      <c r="B195" s="18"/>
      <c r="C195" s="19"/>
      <c r="D195" s="19"/>
      <c r="O195" s="5"/>
      <c r="P195" s="5"/>
    </row>
    <row r="196" spans="2:16" ht="13.2" x14ac:dyDescent="0.25">
      <c r="B196" s="18"/>
      <c r="C196" s="19"/>
      <c r="D196" s="19"/>
      <c r="O196" s="5"/>
      <c r="P196" s="5"/>
    </row>
    <row r="197" spans="2:16" ht="13.2" x14ac:dyDescent="0.25">
      <c r="B197" s="18"/>
      <c r="C197" s="19"/>
      <c r="D197" s="19"/>
      <c r="O197" s="5"/>
      <c r="P197" s="5"/>
    </row>
    <row r="198" spans="2:16" ht="13.2" x14ac:dyDescent="0.25">
      <c r="B198" s="18"/>
      <c r="C198" s="19"/>
      <c r="D198" s="19"/>
      <c r="O198" s="5"/>
      <c r="P198" s="5"/>
    </row>
    <row r="199" spans="2:16" ht="13.2" x14ac:dyDescent="0.25">
      <c r="B199" s="18"/>
      <c r="C199" s="19"/>
      <c r="D199" s="19"/>
      <c r="O199" s="5"/>
      <c r="P199" s="5"/>
    </row>
    <row r="200" spans="2:16" ht="13.2" x14ac:dyDescent="0.25">
      <c r="B200" s="18"/>
      <c r="C200" s="19"/>
      <c r="D200" s="19"/>
      <c r="O200" s="5"/>
      <c r="P200" s="5"/>
    </row>
    <row r="201" spans="2:16" ht="13.2" x14ac:dyDescent="0.25">
      <c r="B201" s="18"/>
      <c r="C201" s="19"/>
      <c r="D201" s="19"/>
      <c r="O201" s="5"/>
      <c r="P201" s="5"/>
    </row>
    <row r="202" spans="2:16" ht="13.2" x14ac:dyDescent="0.25">
      <c r="B202" s="18"/>
      <c r="C202" s="19"/>
      <c r="D202" s="19"/>
      <c r="O202" s="5"/>
      <c r="P202" s="5"/>
    </row>
    <row r="203" spans="2:16" ht="13.2" x14ac:dyDescent="0.25">
      <c r="B203" s="18"/>
      <c r="C203" s="19"/>
      <c r="D203" s="19"/>
      <c r="O203" s="5"/>
      <c r="P203" s="5"/>
    </row>
    <row r="204" spans="2:16" ht="13.2" x14ac:dyDescent="0.25">
      <c r="B204" s="18"/>
      <c r="C204" s="19"/>
      <c r="D204" s="19"/>
      <c r="O204" s="5"/>
      <c r="P204" s="5"/>
    </row>
    <row r="205" spans="2:16" ht="13.2" x14ac:dyDescent="0.25">
      <c r="B205" s="18"/>
      <c r="C205" s="19"/>
      <c r="D205" s="19"/>
      <c r="O205" s="5"/>
      <c r="P205" s="5"/>
    </row>
    <row r="206" spans="2:16" ht="13.2" x14ac:dyDescent="0.25">
      <c r="B206" s="18"/>
      <c r="C206" s="19"/>
      <c r="D206" s="19"/>
      <c r="O206" s="5"/>
      <c r="P206" s="5"/>
    </row>
    <row r="207" spans="2:16" ht="13.2" x14ac:dyDescent="0.25">
      <c r="B207" s="18"/>
      <c r="C207" s="19"/>
      <c r="D207" s="19"/>
      <c r="O207" s="5"/>
      <c r="P207" s="5"/>
    </row>
    <row r="208" spans="2:16" ht="13.2" x14ac:dyDescent="0.25">
      <c r="B208" s="18"/>
      <c r="C208" s="19"/>
      <c r="D208" s="19"/>
      <c r="O208" s="5"/>
      <c r="P208" s="5"/>
    </row>
    <row r="209" spans="2:16" ht="13.2" x14ac:dyDescent="0.25">
      <c r="B209" s="18"/>
      <c r="C209" s="19"/>
      <c r="D209" s="19"/>
      <c r="O209" s="5"/>
      <c r="P209" s="5"/>
    </row>
    <row r="210" spans="2:16" ht="13.2" x14ac:dyDescent="0.25">
      <c r="B210" s="18"/>
      <c r="C210" s="19"/>
      <c r="D210" s="19"/>
      <c r="O210" s="5"/>
      <c r="P210" s="5"/>
    </row>
    <row r="211" spans="2:16" ht="13.2" x14ac:dyDescent="0.25">
      <c r="B211" s="18"/>
      <c r="C211" s="19"/>
      <c r="D211" s="19"/>
      <c r="O211" s="5"/>
      <c r="P211" s="5"/>
    </row>
    <row r="212" spans="2:16" ht="13.2" x14ac:dyDescent="0.25">
      <c r="B212" s="18"/>
      <c r="C212" s="19"/>
      <c r="D212" s="19"/>
      <c r="O212" s="5"/>
      <c r="P212" s="5"/>
    </row>
    <row r="213" spans="2:16" ht="13.2" x14ac:dyDescent="0.25">
      <c r="B213" s="18"/>
      <c r="C213" s="19"/>
      <c r="D213" s="19"/>
      <c r="O213" s="5"/>
      <c r="P213" s="5"/>
    </row>
    <row r="214" spans="2:16" ht="13.2" x14ac:dyDescent="0.25">
      <c r="B214" s="18"/>
      <c r="C214" s="19"/>
      <c r="D214" s="19"/>
      <c r="O214" s="5"/>
      <c r="P214" s="5"/>
    </row>
    <row r="215" spans="2:16" ht="13.2" x14ac:dyDescent="0.25">
      <c r="B215" s="18"/>
      <c r="C215" s="19"/>
      <c r="D215" s="19"/>
      <c r="O215" s="5"/>
      <c r="P215" s="5"/>
    </row>
    <row r="216" spans="2:16" ht="13.2" x14ac:dyDescent="0.25">
      <c r="B216" s="18"/>
      <c r="C216" s="19"/>
      <c r="D216" s="19"/>
      <c r="O216" s="5"/>
      <c r="P216" s="5"/>
    </row>
    <row r="217" spans="2:16" ht="13.2" x14ac:dyDescent="0.25">
      <c r="B217" s="18"/>
      <c r="C217" s="19"/>
      <c r="D217" s="19"/>
      <c r="O217" s="5"/>
      <c r="P217" s="5"/>
    </row>
    <row r="218" spans="2:16" ht="13.2" x14ac:dyDescent="0.25">
      <c r="B218" s="18"/>
      <c r="C218" s="19"/>
      <c r="D218" s="19"/>
      <c r="O218" s="5"/>
      <c r="P218" s="5"/>
    </row>
    <row r="219" spans="2:16" ht="13.2" x14ac:dyDescent="0.25">
      <c r="B219" s="18"/>
      <c r="C219" s="19"/>
      <c r="D219" s="19"/>
      <c r="O219" s="5"/>
      <c r="P219" s="5"/>
    </row>
    <row r="220" spans="2:16" ht="13.2" x14ac:dyDescent="0.25">
      <c r="B220" s="18"/>
      <c r="C220" s="19"/>
      <c r="D220" s="19"/>
      <c r="O220" s="5"/>
      <c r="P220" s="5"/>
    </row>
    <row r="221" spans="2:16" ht="13.2" x14ac:dyDescent="0.25">
      <c r="B221" s="18"/>
      <c r="C221" s="19"/>
      <c r="D221" s="19"/>
      <c r="O221" s="5"/>
      <c r="P221" s="5"/>
    </row>
    <row r="222" spans="2:16" ht="13.2" x14ac:dyDescent="0.25">
      <c r="B222" s="18"/>
      <c r="C222" s="19"/>
      <c r="D222" s="19"/>
      <c r="O222" s="5"/>
      <c r="P222" s="5"/>
    </row>
    <row r="223" spans="2:16" ht="13.2" x14ac:dyDescent="0.25">
      <c r="B223" s="18"/>
      <c r="C223" s="19"/>
      <c r="D223" s="19"/>
      <c r="O223" s="5"/>
      <c r="P223" s="5"/>
    </row>
    <row r="224" spans="2:16" ht="13.2" x14ac:dyDescent="0.25">
      <c r="B224" s="18"/>
      <c r="C224" s="19"/>
      <c r="D224" s="19"/>
      <c r="O224" s="5"/>
      <c r="P224" s="5"/>
    </row>
    <row r="225" spans="2:16" ht="13.2" x14ac:dyDescent="0.25">
      <c r="B225" s="18"/>
      <c r="C225" s="19"/>
      <c r="D225" s="19"/>
      <c r="O225" s="5"/>
      <c r="P225" s="5"/>
    </row>
    <row r="226" spans="2:16" ht="13.2" x14ac:dyDescent="0.25">
      <c r="B226" s="18"/>
      <c r="C226" s="19"/>
      <c r="D226" s="19"/>
      <c r="O226" s="5"/>
      <c r="P226" s="5"/>
    </row>
    <row r="227" spans="2:16" ht="13.2" x14ac:dyDescent="0.25">
      <c r="B227" s="18"/>
      <c r="C227" s="19"/>
      <c r="D227" s="19"/>
      <c r="O227" s="5"/>
      <c r="P227" s="5"/>
    </row>
    <row r="228" spans="2:16" ht="13.2" x14ac:dyDescent="0.25">
      <c r="B228" s="18"/>
      <c r="C228" s="19"/>
      <c r="D228" s="19"/>
      <c r="O228" s="5"/>
      <c r="P228" s="5"/>
    </row>
    <row r="229" spans="2:16" ht="13.2" x14ac:dyDescent="0.25">
      <c r="B229" s="18"/>
      <c r="C229" s="19"/>
      <c r="D229" s="19"/>
      <c r="O229" s="5"/>
      <c r="P229" s="5"/>
    </row>
    <row r="230" spans="2:16" ht="13.2" x14ac:dyDescent="0.25">
      <c r="B230" s="18"/>
      <c r="C230" s="19"/>
      <c r="D230" s="19"/>
      <c r="O230" s="5"/>
      <c r="P230" s="5"/>
    </row>
    <row r="231" spans="2:16" ht="13.2" x14ac:dyDescent="0.25">
      <c r="B231" s="18"/>
      <c r="C231" s="19"/>
      <c r="D231" s="19"/>
      <c r="O231" s="5"/>
      <c r="P231" s="5"/>
    </row>
    <row r="232" spans="2:16" ht="13.2" x14ac:dyDescent="0.25">
      <c r="B232" s="18"/>
      <c r="C232" s="19"/>
      <c r="D232" s="19"/>
      <c r="O232" s="5"/>
      <c r="P232" s="5"/>
    </row>
    <row r="233" spans="2:16" ht="13.2" x14ac:dyDescent="0.25">
      <c r="B233" s="18"/>
      <c r="C233" s="19"/>
      <c r="D233" s="19"/>
      <c r="O233" s="5"/>
      <c r="P233" s="5"/>
    </row>
    <row r="234" spans="2:16" ht="13.2" x14ac:dyDescent="0.25">
      <c r="B234" s="18"/>
      <c r="C234" s="19"/>
      <c r="D234" s="19"/>
      <c r="O234" s="5"/>
      <c r="P234" s="5"/>
    </row>
    <row r="235" spans="2:16" ht="13.2" x14ac:dyDescent="0.25">
      <c r="B235" s="18"/>
      <c r="C235" s="19"/>
      <c r="D235" s="19"/>
      <c r="O235" s="5"/>
      <c r="P235" s="5"/>
    </row>
    <row r="236" spans="2:16" ht="13.2" x14ac:dyDescent="0.25">
      <c r="B236" s="18"/>
      <c r="C236" s="19"/>
      <c r="D236" s="19"/>
      <c r="O236" s="5"/>
      <c r="P236" s="5"/>
    </row>
    <row r="237" spans="2:16" ht="13.2" x14ac:dyDescent="0.25">
      <c r="B237" s="18"/>
      <c r="C237" s="19"/>
      <c r="D237" s="19"/>
      <c r="O237" s="5"/>
      <c r="P237" s="5"/>
    </row>
    <row r="238" spans="2:16" ht="13.2" x14ac:dyDescent="0.25">
      <c r="B238" s="18"/>
      <c r="C238" s="19"/>
      <c r="D238" s="19"/>
      <c r="O238" s="5"/>
      <c r="P238" s="5"/>
    </row>
    <row r="239" spans="2:16" ht="13.2" x14ac:dyDescent="0.25">
      <c r="B239" s="18"/>
      <c r="C239" s="19"/>
      <c r="D239" s="19"/>
      <c r="O239" s="5"/>
      <c r="P239" s="5"/>
    </row>
    <row r="240" spans="2:16" ht="13.2" x14ac:dyDescent="0.25">
      <c r="B240" s="18"/>
      <c r="C240" s="19"/>
      <c r="D240" s="19"/>
      <c r="O240" s="5"/>
      <c r="P240" s="5"/>
    </row>
    <row r="241" spans="2:16" ht="13.2" x14ac:dyDescent="0.25">
      <c r="B241" s="18"/>
      <c r="C241" s="19"/>
      <c r="D241" s="19"/>
      <c r="O241" s="5"/>
      <c r="P241" s="5"/>
    </row>
    <row r="242" spans="2:16" ht="13.2" x14ac:dyDescent="0.25">
      <c r="B242" s="18"/>
      <c r="C242" s="19"/>
      <c r="D242" s="19"/>
      <c r="O242" s="5"/>
      <c r="P242" s="5"/>
    </row>
    <row r="243" spans="2:16" ht="13.2" x14ac:dyDescent="0.25">
      <c r="B243" s="18"/>
      <c r="C243" s="19"/>
      <c r="D243" s="19"/>
      <c r="O243" s="5"/>
      <c r="P243" s="5"/>
    </row>
    <row r="244" spans="2:16" ht="13.2" x14ac:dyDescent="0.25">
      <c r="B244" s="18"/>
      <c r="C244" s="19"/>
      <c r="D244" s="19"/>
      <c r="O244" s="5"/>
      <c r="P244" s="5"/>
    </row>
    <row r="245" spans="2:16" ht="13.2" x14ac:dyDescent="0.25">
      <c r="B245" s="18"/>
      <c r="C245" s="19"/>
      <c r="D245" s="19"/>
      <c r="O245" s="5"/>
      <c r="P245" s="5"/>
    </row>
    <row r="246" spans="2:16" ht="13.2" x14ac:dyDescent="0.25">
      <c r="B246" s="18"/>
      <c r="C246" s="19"/>
      <c r="D246" s="19"/>
      <c r="O246" s="5"/>
      <c r="P246" s="5"/>
    </row>
    <row r="247" spans="2:16" ht="13.2" x14ac:dyDescent="0.25">
      <c r="B247" s="18"/>
      <c r="C247" s="19"/>
      <c r="D247" s="19"/>
      <c r="O247" s="5"/>
      <c r="P247" s="5"/>
    </row>
    <row r="248" spans="2:16" ht="13.2" x14ac:dyDescent="0.25">
      <c r="B248" s="18"/>
      <c r="C248" s="19"/>
      <c r="D248" s="19"/>
      <c r="O248" s="5"/>
      <c r="P248" s="5"/>
    </row>
    <row r="249" spans="2:16" ht="13.2" x14ac:dyDescent="0.25">
      <c r="B249" s="18"/>
      <c r="C249" s="19"/>
      <c r="D249" s="19"/>
      <c r="O249" s="5"/>
      <c r="P249" s="5"/>
    </row>
    <row r="250" spans="2:16" ht="13.2" x14ac:dyDescent="0.25">
      <c r="B250" s="18"/>
      <c r="C250" s="19"/>
      <c r="D250" s="19"/>
      <c r="O250" s="5"/>
      <c r="P250" s="5"/>
    </row>
    <row r="251" spans="2:16" ht="13.2" x14ac:dyDescent="0.25">
      <c r="B251" s="18"/>
      <c r="C251" s="19"/>
      <c r="D251" s="19"/>
      <c r="O251" s="5"/>
      <c r="P251" s="5"/>
    </row>
    <row r="252" spans="2:16" ht="13.2" x14ac:dyDescent="0.25">
      <c r="B252" s="18"/>
      <c r="C252" s="19"/>
      <c r="D252" s="19"/>
      <c r="O252" s="5"/>
      <c r="P252" s="5"/>
    </row>
    <row r="253" spans="2:16" ht="13.2" x14ac:dyDescent="0.25">
      <c r="B253" s="18"/>
      <c r="C253" s="19"/>
      <c r="D253" s="19"/>
      <c r="O253" s="5"/>
      <c r="P253" s="5"/>
    </row>
    <row r="254" spans="2:16" ht="13.2" x14ac:dyDescent="0.25">
      <c r="B254" s="18"/>
      <c r="C254" s="19"/>
      <c r="D254" s="19"/>
      <c r="O254" s="5"/>
      <c r="P254" s="5"/>
    </row>
    <row r="255" spans="2:16" ht="13.2" x14ac:dyDescent="0.25">
      <c r="B255" s="18"/>
      <c r="C255" s="19"/>
      <c r="D255" s="19"/>
      <c r="O255" s="5"/>
      <c r="P255" s="5"/>
    </row>
    <row r="256" spans="2:16" ht="13.2" x14ac:dyDescent="0.25">
      <c r="B256" s="18"/>
      <c r="C256" s="19"/>
      <c r="D256" s="19"/>
      <c r="O256" s="5"/>
      <c r="P256" s="5"/>
    </row>
    <row r="257" spans="2:16" ht="13.2" x14ac:dyDescent="0.25">
      <c r="B257" s="18"/>
      <c r="C257" s="19"/>
      <c r="D257" s="19"/>
      <c r="O257" s="5"/>
      <c r="P257" s="5"/>
    </row>
    <row r="258" spans="2:16" ht="13.2" x14ac:dyDescent="0.25">
      <c r="B258" s="18"/>
      <c r="C258" s="19"/>
      <c r="D258" s="19"/>
      <c r="O258" s="5"/>
      <c r="P258" s="5"/>
    </row>
    <row r="259" spans="2:16" ht="13.2" x14ac:dyDescent="0.25">
      <c r="B259" s="18"/>
      <c r="C259" s="19"/>
      <c r="D259" s="19"/>
      <c r="O259" s="5"/>
      <c r="P259" s="5"/>
    </row>
    <row r="260" spans="2:16" ht="13.2" x14ac:dyDescent="0.25">
      <c r="B260" s="18"/>
      <c r="C260" s="19"/>
      <c r="D260" s="19"/>
      <c r="O260" s="5"/>
      <c r="P260" s="5"/>
    </row>
    <row r="261" spans="2:16" ht="13.2" x14ac:dyDescent="0.25">
      <c r="B261" s="18"/>
      <c r="C261" s="19"/>
      <c r="D261" s="19"/>
      <c r="O261" s="5"/>
      <c r="P261" s="5"/>
    </row>
    <row r="262" spans="2:16" ht="13.2" x14ac:dyDescent="0.25">
      <c r="B262" s="18"/>
      <c r="C262" s="19"/>
      <c r="D262" s="19"/>
      <c r="O262" s="5"/>
      <c r="P262" s="5"/>
    </row>
    <row r="263" spans="2:16" ht="13.2" x14ac:dyDescent="0.25">
      <c r="B263" s="18"/>
      <c r="C263" s="19"/>
      <c r="D263" s="19"/>
      <c r="O263" s="5"/>
      <c r="P263" s="5"/>
    </row>
    <row r="264" spans="2:16" ht="13.2" x14ac:dyDescent="0.25">
      <c r="B264" s="18"/>
      <c r="C264" s="19"/>
      <c r="D264" s="19"/>
      <c r="O264" s="5"/>
      <c r="P264" s="5"/>
    </row>
    <row r="265" spans="2:16" ht="13.2" x14ac:dyDescent="0.25">
      <c r="B265" s="18"/>
      <c r="C265" s="19"/>
      <c r="D265" s="19"/>
      <c r="O265" s="5"/>
      <c r="P265" s="5"/>
    </row>
    <row r="266" spans="2:16" ht="13.2" x14ac:dyDescent="0.25">
      <c r="B266" s="18"/>
      <c r="C266" s="19"/>
      <c r="D266" s="19"/>
      <c r="O266" s="5"/>
      <c r="P266" s="5"/>
    </row>
    <row r="267" spans="2:16" ht="13.2" x14ac:dyDescent="0.25">
      <c r="B267" s="18"/>
      <c r="C267" s="19"/>
      <c r="D267" s="19"/>
      <c r="O267" s="5"/>
      <c r="P267" s="5"/>
    </row>
    <row r="268" spans="2:16" ht="13.2" x14ac:dyDescent="0.25">
      <c r="B268" s="18"/>
      <c r="C268" s="19"/>
      <c r="D268" s="19"/>
      <c r="O268" s="5"/>
      <c r="P268" s="5"/>
    </row>
    <row r="269" spans="2:16" ht="13.2" x14ac:dyDescent="0.25">
      <c r="B269" s="18"/>
      <c r="C269" s="19"/>
      <c r="D269" s="19"/>
      <c r="O269" s="5"/>
      <c r="P269" s="5"/>
    </row>
    <row r="270" spans="2:16" ht="13.2" x14ac:dyDescent="0.25">
      <c r="B270" s="18"/>
      <c r="C270" s="19"/>
      <c r="D270" s="19"/>
      <c r="O270" s="5"/>
      <c r="P270" s="5"/>
    </row>
    <row r="271" spans="2:16" ht="13.2" x14ac:dyDescent="0.25">
      <c r="B271" s="18"/>
      <c r="C271" s="19"/>
      <c r="D271" s="19"/>
      <c r="O271" s="5"/>
      <c r="P271" s="5"/>
    </row>
    <row r="272" spans="2:16" ht="13.2" x14ac:dyDescent="0.25">
      <c r="B272" s="18"/>
      <c r="C272" s="19"/>
      <c r="D272" s="19"/>
      <c r="O272" s="5"/>
      <c r="P272" s="5"/>
    </row>
    <row r="273" spans="2:16" ht="13.2" x14ac:dyDescent="0.25">
      <c r="B273" s="18"/>
      <c r="C273" s="19"/>
      <c r="D273" s="19"/>
      <c r="O273" s="5"/>
      <c r="P273" s="5"/>
    </row>
    <row r="274" spans="2:16" ht="13.2" x14ac:dyDescent="0.25">
      <c r="B274" s="18"/>
      <c r="C274" s="19"/>
      <c r="D274" s="19"/>
      <c r="O274" s="5"/>
      <c r="P274" s="5"/>
    </row>
    <row r="275" spans="2:16" ht="13.2" x14ac:dyDescent="0.25">
      <c r="B275" s="18"/>
      <c r="C275" s="19"/>
      <c r="D275" s="19"/>
      <c r="O275" s="5"/>
      <c r="P275" s="5"/>
    </row>
    <row r="276" spans="2:16" ht="13.2" x14ac:dyDescent="0.25">
      <c r="B276" s="18"/>
      <c r="C276" s="19"/>
      <c r="D276" s="19"/>
      <c r="O276" s="5"/>
      <c r="P276" s="5"/>
    </row>
    <row r="277" spans="2:16" ht="13.2" x14ac:dyDescent="0.25">
      <c r="B277" s="18"/>
      <c r="C277" s="19"/>
      <c r="D277" s="19"/>
      <c r="O277" s="5"/>
      <c r="P277" s="5"/>
    </row>
    <row r="278" spans="2:16" ht="13.2" x14ac:dyDescent="0.25">
      <c r="B278" s="18"/>
      <c r="C278" s="19"/>
      <c r="D278" s="19"/>
      <c r="O278" s="5"/>
      <c r="P278" s="5"/>
    </row>
    <row r="279" spans="2:16" ht="13.2" x14ac:dyDescent="0.25">
      <c r="B279" s="18"/>
      <c r="C279" s="19"/>
      <c r="D279" s="19"/>
      <c r="O279" s="5"/>
      <c r="P279" s="5"/>
    </row>
    <row r="280" spans="2:16" ht="13.2" x14ac:dyDescent="0.25">
      <c r="B280" s="18"/>
      <c r="C280" s="19"/>
      <c r="D280" s="19"/>
      <c r="O280" s="5"/>
      <c r="P280" s="5"/>
    </row>
    <row r="281" spans="2:16" ht="13.2" x14ac:dyDescent="0.25">
      <c r="B281" s="18"/>
      <c r="C281" s="19"/>
      <c r="D281" s="19"/>
      <c r="O281" s="5"/>
      <c r="P281" s="5"/>
    </row>
    <row r="282" spans="2:16" ht="13.2" x14ac:dyDescent="0.25">
      <c r="B282" s="18"/>
      <c r="C282" s="19"/>
      <c r="D282" s="19"/>
      <c r="O282" s="5"/>
      <c r="P282" s="5"/>
    </row>
    <row r="283" spans="2:16" ht="13.2" x14ac:dyDescent="0.25">
      <c r="B283" s="18"/>
      <c r="C283" s="19"/>
      <c r="D283" s="19"/>
      <c r="O283" s="5"/>
      <c r="P283" s="5"/>
    </row>
    <row r="284" spans="2:16" ht="13.2" x14ac:dyDescent="0.25">
      <c r="B284" s="18"/>
      <c r="C284" s="19"/>
      <c r="D284" s="19"/>
      <c r="O284" s="5"/>
      <c r="P284" s="5"/>
    </row>
    <row r="285" spans="2:16" ht="13.2" x14ac:dyDescent="0.25">
      <c r="B285" s="18"/>
      <c r="C285" s="19"/>
      <c r="D285" s="19"/>
      <c r="O285" s="5"/>
      <c r="P285" s="5"/>
    </row>
    <row r="286" spans="2:16" ht="13.2" x14ac:dyDescent="0.25">
      <c r="B286" s="18"/>
      <c r="C286" s="19"/>
      <c r="D286" s="19"/>
      <c r="O286" s="5"/>
      <c r="P286" s="5"/>
    </row>
    <row r="287" spans="2:16" ht="13.2" x14ac:dyDescent="0.25">
      <c r="B287" s="18"/>
      <c r="C287" s="19"/>
      <c r="D287" s="19"/>
      <c r="O287" s="5"/>
      <c r="P287" s="5"/>
    </row>
    <row r="288" spans="2:16" ht="13.2" x14ac:dyDescent="0.25">
      <c r="B288" s="18"/>
      <c r="C288" s="19"/>
      <c r="D288" s="19"/>
      <c r="O288" s="5"/>
      <c r="P288" s="5"/>
    </row>
    <row r="289" spans="2:16" ht="13.2" x14ac:dyDescent="0.25">
      <c r="B289" s="18"/>
      <c r="C289" s="19"/>
      <c r="D289" s="19"/>
      <c r="O289" s="5"/>
      <c r="P289" s="5"/>
    </row>
    <row r="290" spans="2:16" ht="13.2" x14ac:dyDescent="0.25">
      <c r="B290" s="18"/>
      <c r="C290" s="19"/>
      <c r="D290" s="19"/>
      <c r="O290" s="5"/>
      <c r="P290" s="5"/>
    </row>
    <row r="291" spans="2:16" ht="13.2" x14ac:dyDescent="0.25">
      <c r="B291" s="18"/>
      <c r="C291" s="19"/>
      <c r="D291" s="19"/>
      <c r="O291" s="5"/>
      <c r="P291" s="5"/>
    </row>
    <row r="292" spans="2:16" ht="13.2" x14ac:dyDescent="0.25">
      <c r="B292" s="18"/>
      <c r="C292" s="19"/>
      <c r="D292" s="19"/>
      <c r="O292" s="5"/>
      <c r="P292" s="5"/>
    </row>
    <row r="293" spans="2:16" ht="13.2" x14ac:dyDescent="0.25">
      <c r="B293" s="18"/>
      <c r="C293" s="19"/>
      <c r="D293" s="19"/>
      <c r="O293" s="5"/>
      <c r="P293" s="5"/>
    </row>
    <row r="294" spans="2:16" ht="13.2" x14ac:dyDescent="0.25">
      <c r="B294" s="18"/>
      <c r="C294" s="19"/>
      <c r="D294" s="19"/>
      <c r="O294" s="5"/>
      <c r="P294" s="5"/>
    </row>
    <row r="295" spans="2:16" ht="13.2" x14ac:dyDescent="0.25">
      <c r="B295" s="18"/>
      <c r="C295" s="19"/>
      <c r="D295" s="19"/>
      <c r="O295" s="5"/>
      <c r="P295" s="5"/>
    </row>
    <row r="296" spans="2:16" ht="13.2" x14ac:dyDescent="0.25">
      <c r="B296" s="18"/>
      <c r="C296" s="19"/>
      <c r="D296" s="19"/>
      <c r="O296" s="5"/>
      <c r="P296" s="5"/>
    </row>
    <row r="297" spans="2:16" ht="13.2" x14ac:dyDescent="0.25">
      <c r="B297" s="18"/>
      <c r="C297" s="19"/>
      <c r="D297" s="19"/>
      <c r="O297" s="5"/>
      <c r="P297" s="5"/>
    </row>
    <row r="298" spans="2:16" ht="13.2" x14ac:dyDescent="0.25">
      <c r="B298" s="18"/>
      <c r="C298" s="19"/>
      <c r="D298" s="19"/>
      <c r="O298" s="5"/>
      <c r="P298" s="5"/>
    </row>
    <row r="299" spans="2:16" ht="13.2" x14ac:dyDescent="0.25">
      <c r="B299" s="18"/>
      <c r="C299" s="19"/>
      <c r="D299" s="19"/>
      <c r="O299" s="5"/>
      <c r="P299" s="5"/>
    </row>
    <row r="300" spans="2:16" ht="13.2" x14ac:dyDescent="0.25">
      <c r="B300" s="18"/>
      <c r="C300" s="19"/>
      <c r="D300" s="19"/>
      <c r="O300" s="5"/>
      <c r="P300" s="5"/>
    </row>
    <row r="301" spans="2:16" ht="13.2" x14ac:dyDescent="0.25">
      <c r="B301" s="18"/>
      <c r="C301" s="19"/>
      <c r="D301" s="19"/>
      <c r="O301" s="5"/>
      <c r="P301" s="5"/>
    </row>
    <row r="302" spans="2:16" ht="13.2" x14ac:dyDescent="0.25">
      <c r="B302" s="18"/>
      <c r="C302" s="19"/>
      <c r="D302" s="19"/>
      <c r="O302" s="5"/>
      <c r="P302" s="5"/>
    </row>
    <row r="303" spans="2:16" ht="13.2" x14ac:dyDescent="0.25">
      <c r="B303" s="18"/>
      <c r="C303" s="19"/>
      <c r="D303" s="19"/>
      <c r="O303" s="5"/>
      <c r="P303" s="5"/>
    </row>
    <row r="304" spans="2:16" ht="13.2" x14ac:dyDescent="0.25">
      <c r="B304" s="18"/>
      <c r="C304" s="19"/>
      <c r="D304" s="19"/>
      <c r="O304" s="5"/>
      <c r="P304" s="5"/>
    </row>
    <row r="305" spans="2:16" ht="13.2" x14ac:dyDescent="0.25">
      <c r="B305" s="18"/>
      <c r="C305" s="19"/>
      <c r="D305" s="19"/>
      <c r="O305" s="5"/>
      <c r="P305" s="5"/>
    </row>
    <row r="306" spans="2:16" ht="13.2" x14ac:dyDescent="0.25">
      <c r="B306" s="18"/>
      <c r="C306" s="19"/>
      <c r="D306" s="19"/>
      <c r="O306" s="5"/>
      <c r="P306" s="5"/>
    </row>
    <row r="307" spans="2:16" ht="13.2" x14ac:dyDescent="0.25">
      <c r="B307" s="18"/>
      <c r="C307" s="19"/>
      <c r="D307" s="19"/>
      <c r="O307" s="5"/>
      <c r="P307" s="5"/>
    </row>
    <row r="308" spans="2:16" ht="13.2" x14ac:dyDescent="0.25">
      <c r="B308" s="18"/>
      <c r="C308" s="19"/>
      <c r="D308" s="19"/>
      <c r="O308" s="5"/>
      <c r="P308" s="5"/>
    </row>
    <row r="309" spans="2:16" ht="13.2" x14ac:dyDescent="0.25">
      <c r="B309" s="18"/>
      <c r="C309" s="19"/>
      <c r="D309" s="19"/>
      <c r="O309" s="5"/>
      <c r="P309" s="5"/>
    </row>
    <row r="310" spans="2:16" ht="13.2" x14ac:dyDescent="0.25">
      <c r="B310" s="18"/>
      <c r="C310" s="19"/>
      <c r="D310" s="19"/>
      <c r="O310" s="5"/>
      <c r="P310" s="5"/>
    </row>
    <row r="311" spans="2:16" ht="13.2" x14ac:dyDescent="0.25">
      <c r="B311" s="18"/>
      <c r="C311" s="19"/>
      <c r="D311" s="19"/>
      <c r="O311" s="5"/>
      <c r="P311" s="5"/>
    </row>
    <row r="312" spans="2:16" ht="13.2" x14ac:dyDescent="0.25">
      <c r="B312" s="18"/>
      <c r="C312" s="19"/>
      <c r="D312" s="19"/>
      <c r="O312" s="5"/>
      <c r="P312" s="5"/>
    </row>
    <row r="313" spans="2:16" ht="13.2" x14ac:dyDescent="0.25">
      <c r="B313" s="18"/>
      <c r="C313" s="19"/>
      <c r="D313" s="19"/>
      <c r="O313" s="5"/>
      <c r="P313" s="5"/>
    </row>
    <row r="314" spans="2:16" ht="13.2" x14ac:dyDescent="0.25">
      <c r="B314" s="18"/>
      <c r="C314" s="19"/>
      <c r="D314" s="19"/>
      <c r="O314" s="5"/>
      <c r="P314" s="5"/>
    </row>
    <row r="315" spans="2:16" ht="13.2" x14ac:dyDescent="0.25">
      <c r="B315" s="18"/>
      <c r="C315" s="19"/>
      <c r="D315" s="19"/>
      <c r="O315" s="5"/>
      <c r="P315" s="5"/>
    </row>
    <row r="316" spans="2:16" ht="13.2" x14ac:dyDescent="0.25">
      <c r="B316" s="18"/>
      <c r="C316" s="19"/>
      <c r="D316" s="19"/>
      <c r="O316" s="5"/>
      <c r="P316" s="5"/>
    </row>
    <row r="317" spans="2:16" ht="13.2" x14ac:dyDescent="0.25">
      <c r="B317" s="18"/>
      <c r="C317" s="19"/>
      <c r="D317" s="19"/>
      <c r="O317" s="5"/>
      <c r="P317" s="5"/>
    </row>
    <row r="318" spans="2:16" ht="13.2" x14ac:dyDescent="0.25">
      <c r="B318" s="18"/>
      <c r="C318" s="19"/>
      <c r="D318" s="19"/>
      <c r="O318" s="5"/>
      <c r="P318" s="5"/>
    </row>
    <row r="319" spans="2:16" ht="13.2" x14ac:dyDescent="0.25">
      <c r="B319" s="18"/>
      <c r="C319" s="19"/>
      <c r="D319" s="19"/>
      <c r="O319" s="5"/>
      <c r="P319" s="5"/>
    </row>
    <row r="320" spans="2:16" ht="13.2" x14ac:dyDescent="0.25">
      <c r="B320" s="18"/>
      <c r="C320" s="19"/>
      <c r="D320" s="19"/>
      <c r="O320" s="5"/>
      <c r="P320" s="5"/>
    </row>
    <row r="321" spans="2:16" ht="13.2" x14ac:dyDescent="0.25">
      <c r="B321" s="18"/>
      <c r="C321" s="19"/>
      <c r="D321" s="19"/>
      <c r="O321" s="5"/>
      <c r="P321" s="5"/>
    </row>
    <row r="322" spans="2:16" ht="13.2" x14ac:dyDescent="0.25">
      <c r="B322" s="18"/>
      <c r="C322" s="19"/>
      <c r="D322" s="19"/>
      <c r="O322" s="5"/>
      <c r="P322" s="5"/>
    </row>
    <row r="323" spans="2:16" ht="13.2" x14ac:dyDescent="0.25">
      <c r="B323" s="18"/>
      <c r="C323" s="19"/>
      <c r="D323" s="19"/>
      <c r="O323" s="5"/>
      <c r="P323" s="5"/>
    </row>
    <row r="324" spans="2:16" ht="13.2" x14ac:dyDescent="0.25">
      <c r="B324" s="18"/>
      <c r="C324" s="19"/>
      <c r="D324" s="19"/>
      <c r="O324" s="5"/>
      <c r="P324" s="5"/>
    </row>
    <row r="325" spans="2:16" ht="13.2" x14ac:dyDescent="0.25">
      <c r="B325" s="18"/>
      <c r="C325" s="19"/>
      <c r="D325" s="19"/>
      <c r="O325" s="5"/>
      <c r="P325" s="5"/>
    </row>
    <row r="326" spans="2:16" ht="13.2" x14ac:dyDescent="0.25">
      <c r="B326" s="18"/>
      <c r="C326" s="19"/>
      <c r="D326" s="19"/>
      <c r="O326" s="5"/>
      <c r="P326" s="5"/>
    </row>
    <row r="327" spans="2:16" ht="13.2" x14ac:dyDescent="0.25">
      <c r="B327" s="18"/>
      <c r="C327" s="19"/>
      <c r="D327" s="19"/>
      <c r="O327" s="5"/>
      <c r="P327" s="5"/>
    </row>
    <row r="328" spans="2:16" ht="13.2" x14ac:dyDescent="0.25">
      <c r="B328" s="18"/>
      <c r="C328" s="19"/>
      <c r="D328" s="19"/>
      <c r="O328" s="5"/>
      <c r="P328" s="5"/>
    </row>
    <row r="329" spans="2:16" ht="13.2" x14ac:dyDescent="0.25">
      <c r="B329" s="18"/>
      <c r="C329" s="19"/>
      <c r="D329" s="19"/>
      <c r="O329" s="5"/>
      <c r="P329" s="5"/>
    </row>
    <row r="330" spans="2:16" ht="13.2" x14ac:dyDescent="0.25">
      <c r="B330" s="18"/>
      <c r="C330" s="19"/>
      <c r="D330" s="19"/>
      <c r="O330" s="5"/>
      <c r="P330" s="5"/>
    </row>
    <row r="331" spans="2:16" ht="13.2" x14ac:dyDescent="0.25">
      <c r="B331" s="18"/>
      <c r="C331" s="19"/>
      <c r="D331" s="19"/>
      <c r="O331" s="5"/>
      <c r="P331" s="5"/>
    </row>
    <row r="332" spans="2:16" ht="13.2" x14ac:dyDescent="0.25">
      <c r="B332" s="18"/>
      <c r="C332" s="19"/>
      <c r="D332" s="19"/>
      <c r="O332" s="5"/>
      <c r="P332" s="5"/>
    </row>
    <row r="333" spans="2:16" ht="13.2" x14ac:dyDescent="0.25">
      <c r="B333" s="18"/>
      <c r="C333" s="19"/>
      <c r="D333" s="19"/>
      <c r="O333" s="5"/>
      <c r="P333" s="5"/>
    </row>
    <row r="334" spans="2:16" ht="13.2" x14ac:dyDescent="0.25">
      <c r="B334" s="18"/>
      <c r="C334" s="19"/>
      <c r="D334" s="19"/>
      <c r="O334" s="5"/>
      <c r="P334" s="5"/>
    </row>
    <row r="335" spans="2:16" ht="13.2" x14ac:dyDescent="0.25">
      <c r="B335" s="18"/>
      <c r="C335" s="19"/>
      <c r="D335" s="19"/>
      <c r="O335" s="5"/>
      <c r="P335" s="5"/>
    </row>
    <row r="336" spans="2:16" ht="13.2" x14ac:dyDescent="0.25">
      <c r="B336" s="18"/>
      <c r="C336" s="19"/>
      <c r="D336" s="19"/>
      <c r="O336" s="5"/>
      <c r="P336" s="5"/>
    </row>
    <row r="337" spans="2:16" ht="13.2" x14ac:dyDescent="0.25">
      <c r="B337" s="18"/>
      <c r="C337" s="19"/>
      <c r="D337" s="19"/>
      <c r="O337" s="5"/>
      <c r="P337" s="5"/>
    </row>
    <row r="338" spans="2:16" ht="13.2" x14ac:dyDescent="0.25">
      <c r="B338" s="18"/>
      <c r="C338" s="19"/>
      <c r="D338" s="19"/>
      <c r="O338" s="5"/>
      <c r="P338" s="5"/>
    </row>
    <row r="339" spans="2:16" ht="13.2" x14ac:dyDescent="0.25">
      <c r="B339" s="18"/>
      <c r="C339" s="19"/>
      <c r="D339" s="19"/>
      <c r="O339" s="5"/>
      <c r="P339" s="5"/>
    </row>
    <row r="340" spans="2:16" ht="13.2" x14ac:dyDescent="0.25">
      <c r="B340" s="18"/>
      <c r="C340" s="19"/>
      <c r="D340" s="19"/>
      <c r="O340" s="5"/>
      <c r="P340" s="5"/>
    </row>
    <row r="341" spans="2:16" ht="13.2" x14ac:dyDescent="0.25">
      <c r="B341" s="18"/>
      <c r="C341" s="19"/>
      <c r="D341" s="19"/>
      <c r="O341" s="5"/>
      <c r="P341" s="5"/>
    </row>
    <row r="342" spans="2:16" ht="13.2" x14ac:dyDescent="0.25">
      <c r="B342" s="18"/>
      <c r="C342" s="19"/>
      <c r="D342" s="19"/>
      <c r="O342" s="5"/>
      <c r="P342" s="5"/>
    </row>
    <row r="343" spans="2:16" ht="13.2" x14ac:dyDescent="0.25">
      <c r="B343" s="18"/>
      <c r="C343" s="19"/>
      <c r="D343" s="19"/>
      <c r="O343" s="5"/>
      <c r="P343" s="5"/>
    </row>
    <row r="344" spans="2:16" ht="13.2" x14ac:dyDescent="0.25">
      <c r="B344" s="18"/>
      <c r="C344" s="19"/>
      <c r="D344" s="19"/>
      <c r="O344" s="5"/>
      <c r="P344" s="5"/>
    </row>
    <row r="345" spans="2:16" ht="13.2" x14ac:dyDescent="0.25">
      <c r="B345" s="18"/>
      <c r="C345" s="19"/>
      <c r="D345" s="19"/>
      <c r="O345" s="5"/>
      <c r="P345" s="5"/>
    </row>
    <row r="346" spans="2:16" ht="13.2" x14ac:dyDescent="0.25">
      <c r="B346" s="18"/>
      <c r="C346" s="19"/>
      <c r="D346" s="19"/>
      <c r="O346" s="5"/>
      <c r="P346" s="5"/>
    </row>
    <row r="347" spans="2:16" ht="13.2" x14ac:dyDescent="0.25">
      <c r="B347" s="18"/>
      <c r="C347" s="19"/>
      <c r="D347" s="19"/>
      <c r="O347" s="5"/>
      <c r="P347" s="5"/>
    </row>
    <row r="348" spans="2:16" ht="13.2" x14ac:dyDescent="0.25">
      <c r="B348" s="18"/>
      <c r="C348" s="19"/>
      <c r="D348" s="19"/>
      <c r="O348" s="5"/>
      <c r="P348" s="5"/>
    </row>
    <row r="349" spans="2:16" ht="13.2" x14ac:dyDescent="0.25">
      <c r="B349" s="18"/>
      <c r="C349" s="19"/>
      <c r="D349" s="19"/>
      <c r="O349" s="5"/>
      <c r="P349" s="5"/>
    </row>
    <row r="350" spans="2:16" ht="13.2" x14ac:dyDescent="0.25">
      <c r="B350" s="18"/>
      <c r="C350" s="19"/>
      <c r="D350" s="19"/>
      <c r="O350" s="5"/>
      <c r="P350" s="5"/>
    </row>
    <row r="351" spans="2:16" ht="13.2" x14ac:dyDescent="0.25">
      <c r="B351" s="18"/>
      <c r="C351" s="19"/>
      <c r="D351" s="19"/>
      <c r="O351" s="5"/>
      <c r="P351" s="5"/>
    </row>
    <row r="352" spans="2:16" ht="13.2" x14ac:dyDescent="0.25">
      <c r="B352" s="18"/>
      <c r="C352" s="19"/>
      <c r="D352" s="19"/>
      <c r="O352" s="5"/>
      <c r="P352" s="5"/>
    </row>
    <row r="353" spans="2:16" ht="13.2" x14ac:dyDescent="0.25">
      <c r="B353" s="18"/>
      <c r="C353" s="19"/>
      <c r="D353" s="19"/>
      <c r="O353" s="5"/>
      <c r="P353" s="5"/>
    </row>
    <row r="354" spans="2:16" ht="13.2" x14ac:dyDescent="0.25">
      <c r="B354" s="18"/>
      <c r="C354" s="19"/>
      <c r="D354" s="19"/>
      <c r="O354" s="5"/>
      <c r="P354" s="5"/>
    </row>
    <row r="355" spans="2:16" ht="13.2" x14ac:dyDescent="0.25">
      <c r="B355" s="18"/>
      <c r="C355" s="19"/>
      <c r="D355" s="19"/>
      <c r="O355" s="5"/>
      <c r="P355" s="5"/>
    </row>
    <row r="356" spans="2:16" ht="13.2" x14ac:dyDescent="0.25">
      <c r="B356" s="18"/>
      <c r="C356" s="19"/>
      <c r="D356" s="19"/>
      <c r="O356" s="5"/>
      <c r="P356" s="5"/>
    </row>
    <row r="357" spans="2:16" ht="13.2" x14ac:dyDescent="0.25">
      <c r="B357" s="18"/>
      <c r="C357" s="19"/>
      <c r="D357" s="19"/>
      <c r="O357" s="5"/>
      <c r="P357" s="5"/>
    </row>
    <row r="358" spans="2:16" ht="13.2" x14ac:dyDescent="0.25">
      <c r="B358" s="18"/>
      <c r="C358" s="19"/>
      <c r="D358" s="19"/>
      <c r="O358" s="5"/>
      <c r="P358" s="5"/>
    </row>
    <row r="359" spans="2:16" ht="13.2" x14ac:dyDescent="0.25">
      <c r="B359" s="18"/>
      <c r="C359" s="19"/>
      <c r="D359" s="19"/>
      <c r="O359" s="5"/>
      <c r="P359" s="5"/>
    </row>
    <row r="360" spans="2:16" ht="13.2" x14ac:dyDescent="0.25">
      <c r="B360" s="18"/>
      <c r="C360" s="19"/>
      <c r="D360" s="19"/>
      <c r="O360" s="5"/>
      <c r="P360" s="5"/>
    </row>
    <row r="361" spans="2:16" ht="13.2" x14ac:dyDescent="0.25">
      <c r="B361" s="18"/>
      <c r="C361" s="19"/>
      <c r="D361" s="19"/>
      <c r="O361" s="5"/>
      <c r="P361" s="5"/>
    </row>
    <row r="362" spans="2:16" ht="13.2" x14ac:dyDescent="0.25">
      <c r="B362" s="18"/>
      <c r="C362" s="19"/>
      <c r="D362" s="19"/>
      <c r="O362" s="5"/>
      <c r="P362" s="5"/>
    </row>
    <row r="363" spans="2:16" ht="13.2" x14ac:dyDescent="0.25">
      <c r="B363" s="18"/>
      <c r="C363" s="19"/>
      <c r="D363" s="19"/>
      <c r="O363" s="5"/>
      <c r="P363" s="5"/>
    </row>
    <row r="364" spans="2:16" ht="13.2" x14ac:dyDescent="0.25">
      <c r="B364" s="18"/>
      <c r="C364" s="19"/>
      <c r="D364" s="19"/>
      <c r="O364" s="5"/>
      <c r="P364" s="5"/>
    </row>
    <row r="365" spans="2:16" ht="13.2" x14ac:dyDescent="0.25">
      <c r="B365" s="18"/>
      <c r="C365" s="19"/>
      <c r="D365" s="19"/>
      <c r="O365" s="5"/>
      <c r="P365" s="5"/>
    </row>
    <row r="366" spans="2:16" ht="13.2" x14ac:dyDescent="0.25">
      <c r="B366" s="18"/>
      <c r="C366" s="19"/>
      <c r="D366" s="19"/>
      <c r="O366" s="5"/>
      <c r="P366" s="5"/>
    </row>
    <row r="367" spans="2:16" ht="13.2" x14ac:dyDescent="0.25">
      <c r="B367" s="18"/>
      <c r="C367" s="19"/>
      <c r="D367" s="19"/>
      <c r="O367" s="5"/>
      <c r="P367" s="5"/>
    </row>
    <row r="368" spans="2:16" ht="13.2" x14ac:dyDescent="0.25">
      <c r="B368" s="18"/>
      <c r="C368" s="19"/>
      <c r="D368" s="19"/>
      <c r="O368" s="5"/>
      <c r="P368" s="5"/>
    </row>
    <row r="369" spans="2:16" ht="13.2" x14ac:dyDescent="0.25">
      <c r="B369" s="18"/>
      <c r="C369" s="19"/>
      <c r="D369" s="19"/>
      <c r="O369" s="5"/>
      <c r="P369" s="5"/>
    </row>
    <row r="370" spans="2:16" ht="13.2" x14ac:dyDescent="0.25">
      <c r="B370" s="18"/>
      <c r="C370" s="19"/>
      <c r="D370" s="19"/>
      <c r="O370" s="5"/>
      <c r="P370" s="5"/>
    </row>
    <row r="371" spans="2:16" ht="13.2" x14ac:dyDescent="0.25">
      <c r="B371" s="18"/>
      <c r="C371" s="19"/>
      <c r="D371" s="19"/>
      <c r="O371" s="5"/>
      <c r="P371" s="5"/>
    </row>
    <row r="372" spans="2:16" ht="13.2" x14ac:dyDescent="0.25">
      <c r="B372" s="18"/>
      <c r="C372" s="19"/>
      <c r="D372" s="19"/>
      <c r="O372" s="5"/>
      <c r="P372" s="5"/>
    </row>
    <row r="373" spans="2:16" ht="13.2" x14ac:dyDescent="0.25">
      <c r="B373" s="18"/>
      <c r="C373" s="19"/>
      <c r="D373" s="19"/>
      <c r="O373" s="5"/>
      <c r="P373" s="5"/>
    </row>
    <row r="374" spans="2:16" ht="13.2" x14ac:dyDescent="0.25">
      <c r="B374" s="18"/>
      <c r="C374" s="19"/>
      <c r="D374" s="19"/>
      <c r="O374" s="5"/>
      <c r="P374" s="5"/>
    </row>
    <row r="375" spans="2:16" ht="13.2" x14ac:dyDescent="0.25">
      <c r="B375" s="18"/>
      <c r="C375" s="19"/>
      <c r="D375" s="19"/>
      <c r="O375" s="5"/>
      <c r="P375" s="5"/>
    </row>
    <row r="376" spans="2:16" ht="13.2" x14ac:dyDescent="0.25">
      <c r="B376" s="18"/>
      <c r="C376" s="19"/>
      <c r="D376" s="19"/>
      <c r="O376" s="5"/>
      <c r="P376" s="5"/>
    </row>
    <row r="377" spans="2:16" ht="13.2" x14ac:dyDescent="0.25">
      <c r="B377" s="18"/>
      <c r="C377" s="19"/>
      <c r="D377" s="19"/>
      <c r="O377" s="5"/>
      <c r="P377" s="5"/>
    </row>
    <row r="378" spans="2:16" ht="13.2" x14ac:dyDescent="0.25">
      <c r="B378" s="18"/>
      <c r="C378" s="19"/>
      <c r="D378" s="19"/>
      <c r="O378" s="5"/>
      <c r="P378" s="5"/>
    </row>
    <row r="379" spans="2:16" ht="13.2" x14ac:dyDescent="0.25">
      <c r="B379" s="18"/>
      <c r="C379" s="19"/>
      <c r="D379" s="19"/>
      <c r="O379" s="5"/>
      <c r="P379" s="5"/>
    </row>
    <row r="380" spans="2:16" ht="13.2" x14ac:dyDescent="0.25">
      <c r="B380" s="18"/>
      <c r="C380" s="19"/>
      <c r="D380" s="19"/>
      <c r="O380" s="5"/>
      <c r="P380" s="5"/>
    </row>
    <row r="381" spans="2:16" ht="13.2" x14ac:dyDescent="0.25">
      <c r="B381" s="18"/>
      <c r="C381" s="19"/>
      <c r="D381" s="19"/>
      <c r="O381" s="5"/>
      <c r="P381" s="5"/>
    </row>
    <row r="382" spans="2:16" ht="13.2" x14ac:dyDescent="0.25">
      <c r="B382" s="18"/>
      <c r="C382" s="19"/>
      <c r="D382" s="19"/>
      <c r="O382" s="5"/>
      <c r="P382" s="5"/>
    </row>
    <row r="383" spans="2:16" ht="13.2" x14ac:dyDescent="0.25">
      <c r="B383" s="18"/>
      <c r="C383" s="19"/>
      <c r="D383" s="19"/>
      <c r="O383" s="5"/>
      <c r="P383" s="5"/>
    </row>
    <row r="384" spans="2:16" ht="13.2" x14ac:dyDescent="0.25">
      <c r="B384" s="18"/>
      <c r="C384" s="19"/>
      <c r="D384" s="19"/>
      <c r="O384" s="5"/>
      <c r="P384" s="5"/>
    </row>
    <row r="385" spans="2:16" ht="13.2" x14ac:dyDescent="0.25">
      <c r="B385" s="18"/>
      <c r="C385" s="19"/>
      <c r="D385" s="19"/>
      <c r="O385" s="5"/>
      <c r="P385" s="5"/>
    </row>
    <row r="386" spans="2:16" ht="13.2" x14ac:dyDescent="0.25">
      <c r="B386" s="18"/>
      <c r="C386" s="19"/>
      <c r="D386" s="19"/>
      <c r="O386" s="5"/>
      <c r="P386" s="5"/>
    </row>
    <row r="387" spans="2:16" ht="13.2" x14ac:dyDescent="0.25">
      <c r="B387" s="18"/>
      <c r="C387" s="19"/>
      <c r="D387" s="19"/>
      <c r="O387" s="5"/>
      <c r="P387" s="5"/>
    </row>
    <row r="388" spans="2:16" ht="13.2" x14ac:dyDescent="0.25">
      <c r="B388" s="18"/>
      <c r="C388" s="19"/>
      <c r="D388" s="19"/>
      <c r="O388" s="5"/>
      <c r="P388" s="5"/>
    </row>
    <row r="389" spans="2:16" ht="13.2" x14ac:dyDescent="0.25">
      <c r="B389" s="18"/>
      <c r="C389" s="19"/>
      <c r="D389" s="19"/>
      <c r="O389" s="5"/>
      <c r="P389" s="5"/>
    </row>
    <row r="390" spans="2:16" ht="13.2" x14ac:dyDescent="0.25">
      <c r="B390" s="18"/>
      <c r="C390" s="19"/>
      <c r="D390" s="19"/>
      <c r="O390" s="5"/>
      <c r="P390" s="5"/>
    </row>
    <row r="391" spans="2:16" ht="13.2" x14ac:dyDescent="0.25">
      <c r="B391" s="18"/>
      <c r="C391" s="19"/>
      <c r="D391" s="19"/>
      <c r="O391" s="5"/>
      <c r="P391" s="5"/>
    </row>
    <row r="392" spans="2:16" ht="13.2" x14ac:dyDescent="0.25">
      <c r="B392" s="18"/>
      <c r="C392" s="19"/>
      <c r="D392" s="19"/>
      <c r="O392" s="5"/>
      <c r="P392" s="5"/>
    </row>
    <row r="393" spans="2:16" ht="13.2" x14ac:dyDescent="0.25">
      <c r="B393" s="18"/>
      <c r="C393" s="19"/>
      <c r="D393" s="19"/>
      <c r="O393" s="5"/>
      <c r="P393" s="5"/>
    </row>
    <row r="394" spans="2:16" ht="13.2" x14ac:dyDescent="0.25">
      <c r="B394" s="18"/>
      <c r="C394" s="19"/>
      <c r="D394" s="19"/>
      <c r="O394" s="5"/>
      <c r="P394" s="5"/>
    </row>
    <row r="395" spans="2:16" ht="13.2" x14ac:dyDescent="0.25">
      <c r="B395" s="18"/>
      <c r="C395" s="19"/>
      <c r="D395" s="19"/>
      <c r="O395" s="5"/>
      <c r="P395" s="5"/>
    </row>
    <row r="396" spans="2:16" ht="13.2" x14ac:dyDescent="0.25">
      <c r="B396" s="18"/>
      <c r="C396" s="19"/>
      <c r="D396" s="19"/>
      <c r="O396" s="5"/>
      <c r="P396" s="5"/>
    </row>
    <row r="397" spans="2:16" ht="13.2" x14ac:dyDescent="0.25">
      <c r="B397" s="18"/>
      <c r="C397" s="19"/>
      <c r="D397" s="19"/>
      <c r="O397" s="5"/>
      <c r="P397" s="5"/>
    </row>
    <row r="398" spans="2:16" ht="13.2" x14ac:dyDescent="0.25">
      <c r="B398" s="18"/>
      <c r="C398" s="19"/>
      <c r="D398" s="19"/>
      <c r="O398" s="5"/>
      <c r="P398" s="5"/>
    </row>
    <row r="399" spans="2:16" ht="13.2" x14ac:dyDescent="0.25">
      <c r="B399" s="18"/>
      <c r="C399" s="19"/>
      <c r="D399" s="19"/>
      <c r="O399" s="5"/>
      <c r="P399" s="5"/>
    </row>
    <row r="400" spans="2:16" ht="13.2" x14ac:dyDescent="0.25">
      <c r="B400" s="18"/>
      <c r="C400" s="19"/>
      <c r="D400" s="19"/>
      <c r="O400" s="5"/>
      <c r="P400" s="5"/>
    </row>
    <row r="401" spans="2:16" ht="13.2" x14ac:dyDescent="0.25">
      <c r="B401" s="18"/>
      <c r="C401" s="19"/>
      <c r="D401" s="19"/>
      <c r="O401" s="5"/>
      <c r="P401" s="5"/>
    </row>
    <row r="402" spans="2:16" ht="13.2" x14ac:dyDescent="0.25">
      <c r="B402" s="18"/>
      <c r="C402" s="19"/>
      <c r="D402" s="19"/>
      <c r="O402" s="5"/>
      <c r="P402" s="5"/>
    </row>
    <row r="403" spans="2:16" ht="13.2" x14ac:dyDescent="0.25">
      <c r="B403" s="18"/>
      <c r="C403" s="19"/>
      <c r="D403" s="19"/>
      <c r="O403" s="5"/>
      <c r="P403" s="5"/>
    </row>
    <row r="404" spans="2:16" ht="13.2" x14ac:dyDescent="0.25">
      <c r="B404" s="18"/>
      <c r="C404" s="19"/>
      <c r="D404" s="19"/>
      <c r="O404" s="5"/>
      <c r="P404" s="5"/>
    </row>
    <row r="405" spans="2:16" ht="13.2" x14ac:dyDescent="0.25">
      <c r="B405" s="18"/>
      <c r="C405" s="19"/>
      <c r="D405" s="19"/>
      <c r="O405" s="5"/>
      <c r="P405" s="5"/>
    </row>
    <row r="406" spans="2:16" ht="13.2" x14ac:dyDescent="0.25">
      <c r="B406" s="18"/>
      <c r="C406" s="19"/>
      <c r="D406" s="19"/>
      <c r="O406" s="5"/>
      <c r="P406" s="5"/>
    </row>
    <row r="407" spans="2:16" ht="13.2" x14ac:dyDescent="0.25">
      <c r="B407" s="18"/>
      <c r="C407" s="19"/>
      <c r="D407" s="19"/>
      <c r="O407" s="5"/>
      <c r="P407" s="5"/>
    </row>
    <row r="408" spans="2:16" ht="13.2" x14ac:dyDescent="0.25">
      <c r="B408" s="18"/>
      <c r="C408" s="19"/>
      <c r="D408" s="19"/>
      <c r="O408" s="5"/>
      <c r="P408" s="5"/>
    </row>
    <row r="409" spans="2:16" ht="13.2" x14ac:dyDescent="0.25">
      <c r="B409" s="18"/>
      <c r="C409" s="19"/>
      <c r="D409" s="19"/>
      <c r="O409" s="5"/>
      <c r="P409" s="5"/>
    </row>
    <row r="410" spans="2:16" ht="13.2" x14ac:dyDescent="0.25">
      <c r="B410" s="18"/>
      <c r="C410" s="19"/>
      <c r="D410" s="19"/>
      <c r="O410" s="5"/>
      <c r="P410" s="5"/>
    </row>
    <row r="411" spans="2:16" ht="13.2" x14ac:dyDescent="0.25">
      <c r="B411" s="18"/>
      <c r="C411" s="19"/>
      <c r="D411" s="19"/>
      <c r="O411" s="5"/>
      <c r="P411" s="5"/>
    </row>
    <row r="412" spans="2:16" ht="13.2" x14ac:dyDescent="0.25">
      <c r="B412" s="18"/>
      <c r="C412" s="19"/>
      <c r="D412" s="19"/>
      <c r="O412" s="5"/>
      <c r="P412" s="5"/>
    </row>
    <row r="413" spans="2:16" ht="13.2" x14ac:dyDescent="0.25">
      <c r="B413" s="18"/>
      <c r="C413" s="19"/>
      <c r="D413" s="19"/>
      <c r="O413" s="5"/>
      <c r="P413" s="5"/>
    </row>
    <row r="414" spans="2:16" ht="13.2" x14ac:dyDescent="0.25">
      <c r="B414" s="18"/>
      <c r="C414" s="19"/>
      <c r="D414" s="19"/>
      <c r="O414" s="5"/>
      <c r="P414" s="5"/>
    </row>
    <row r="415" spans="2:16" ht="13.2" x14ac:dyDescent="0.25">
      <c r="B415" s="18"/>
      <c r="C415" s="19"/>
      <c r="D415" s="19"/>
      <c r="O415" s="5"/>
      <c r="P415" s="5"/>
    </row>
    <row r="416" spans="2:16" ht="13.2" x14ac:dyDescent="0.25">
      <c r="B416" s="18"/>
      <c r="C416" s="19"/>
      <c r="D416" s="19"/>
      <c r="O416" s="5"/>
      <c r="P416" s="5"/>
    </row>
    <row r="417" spans="2:16" ht="13.2" x14ac:dyDescent="0.25">
      <c r="B417" s="18"/>
      <c r="C417" s="19"/>
      <c r="D417" s="19"/>
      <c r="O417" s="5"/>
      <c r="P417" s="5"/>
    </row>
    <row r="418" spans="2:16" ht="13.2" x14ac:dyDescent="0.25">
      <c r="B418" s="18"/>
      <c r="C418" s="19"/>
      <c r="D418" s="19"/>
      <c r="O418" s="5"/>
      <c r="P418" s="5"/>
    </row>
    <row r="419" spans="2:16" ht="13.2" x14ac:dyDescent="0.25">
      <c r="B419" s="18"/>
      <c r="C419" s="19"/>
      <c r="D419" s="19"/>
      <c r="O419" s="5"/>
      <c r="P419" s="5"/>
    </row>
    <row r="420" spans="2:16" ht="13.2" x14ac:dyDescent="0.25">
      <c r="B420" s="18"/>
      <c r="C420" s="19"/>
      <c r="D420" s="19"/>
      <c r="O420" s="5"/>
      <c r="P420" s="5"/>
    </row>
    <row r="421" spans="2:16" ht="13.2" x14ac:dyDescent="0.25">
      <c r="B421" s="18"/>
      <c r="C421" s="19"/>
      <c r="D421" s="19"/>
      <c r="O421" s="5"/>
      <c r="P421" s="5"/>
    </row>
    <row r="422" spans="2:16" ht="13.2" x14ac:dyDescent="0.25">
      <c r="B422" s="18"/>
      <c r="C422" s="19"/>
      <c r="D422" s="19"/>
      <c r="O422" s="5"/>
      <c r="P422" s="5"/>
    </row>
    <row r="423" spans="2:16" ht="13.2" x14ac:dyDescent="0.25">
      <c r="B423" s="18"/>
      <c r="C423" s="19"/>
      <c r="D423" s="19"/>
      <c r="O423" s="5"/>
      <c r="P423" s="5"/>
    </row>
    <row r="424" spans="2:16" ht="13.2" x14ac:dyDescent="0.25">
      <c r="B424" s="18"/>
      <c r="C424" s="19"/>
      <c r="D424" s="19"/>
      <c r="O424" s="5"/>
      <c r="P424" s="5"/>
    </row>
    <row r="425" spans="2:16" ht="13.2" x14ac:dyDescent="0.25">
      <c r="B425" s="18"/>
      <c r="C425" s="19"/>
      <c r="D425" s="19"/>
      <c r="O425" s="5"/>
      <c r="P425" s="5"/>
    </row>
    <row r="426" spans="2:16" ht="13.2" x14ac:dyDescent="0.25">
      <c r="B426" s="18"/>
      <c r="C426" s="19"/>
      <c r="D426" s="19"/>
      <c r="O426" s="5"/>
      <c r="P426" s="5"/>
    </row>
    <row r="427" spans="2:16" ht="13.2" x14ac:dyDescent="0.25">
      <c r="B427" s="18"/>
      <c r="C427" s="19"/>
      <c r="D427" s="19"/>
      <c r="O427" s="5"/>
      <c r="P427" s="5"/>
    </row>
    <row r="428" spans="2:16" ht="13.2" x14ac:dyDescent="0.25">
      <c r="B428" s="18"/>
      <c r="C428" s="19"/>
      <c r="D428" s="19"/>
      <c r="O428" s="5"/>
      <c r="P428" s="5"/>
    </row>
    <row r="429" spans="2:16" ht="13.2" x14ac:dyDescent="0.25">
      <c r="B429" s="18"/>
      <c r="C429" s="19"/>
      <c r="D429" s="19"/>
      <c r="O429" s="5"/>
      <c r="P429" s="5"/>
    </row>
    <row r="430" spans="2:16" ht="13.2" x14ac:dyDescent="0.25">
      <c r="B430" s="18"/>
      <c r="C430" s="19"/>
      <c r="D430" s="19"/>
      <c r="O430" s="5"/>
      <c r="P430" s="5"/>
    </row>
    <row r="431" spans="2:16" ht="13.2" x14ac:dyDescent="0.25">
      <c r="B431" s="18"/>
      <c r="C431" s="19"/>
      <c r="D431" s="19"/>
      <c r="O431" s="5"/>
      <c r="P431" s="5"/>
    </row>
    <row r="432" spans="2:16" ht="13.2" x14ac:dyDescent="0.25">
      <c r="B432" s="18"/>
      <c r="C432" s="19"/>
      <c r="D432" s="19"/>
      <c r="O432" s="5"/>
      <c r="P432" s="5"/>
    </row>
    <row r="433" spans="2:16" ht="13.2" x14ac:dyDescent="0.25">
      <c r="B433" s="18"/>
      <c r="C433" s="19"/>
      <c r="D433" s="19"/>
      <c r="O433" s="5"/>
      <c r="P433" s="5"/>
    </row>
    <row r="434" spans="2:16" ht="13.2" x14ac:dyDescent="0.25">
      <c r="B434" s="18"/>
      <c r="C434" s="19"/>
      <c r="D434" s="19"/>
      <c r="O434" s="5"/>
      <c r="P434" s="5"/>
    </row>
    <row r="435" spans="2:16" ht="13.2" x14ac:dyDescent="0.25">
      <c r="B435" s="18"/>
      <c r="C435" s="19"/>
      <c r="D435" s="19"/>
      <c r="O435" s="5"/>
      <c r="P435" s="5"/>
    </row>
    <row r="436" spans="2:16" ht="13.2" x14ac:dyDescent="0.25">
      <c r="B436" s="18"/>
      <c r="C436" s="19"/>
      <c r="D436" s="19"/>
      <c r="O436" s="5"/>
      <c r="P436" s="5"/>
    </row>
    <row r="437" spans="2:16" ht="13.2" x14ac:dyDescent="0.25">
      <c r="B437" s="18"/>
      <c r="C437" s="19"/>
      <c r="D437" s="19"/>
      <c r="O437" s="5"/>
      <c r="P437" s="5"/>
    </row>
    <row r="438" spans="2:16" ht="13.2" x14ac:dyDescent="0.25">
      <c r="B438" s="18"/>
      <c r="C438" s="19"/>
      <c r="D438" s="19"/>
      <c r="O438" s="5"/>
      <c r="P438" s="5"/>
    </row>
    <row r="439" spans="2:16" ht="13.2" x14ac:dyDescent="0.25">
      <c r="B439" s="18"/>
      <c r="C439" s="19"/>
      <c r="D439" s="19"/>
      <c r="O439" s="5"/>
      <c r="P439" s="5"/>
    </row>
    <row r="440" spans="2:16" ht="13.2" x14ac:dyDescent="0.25">
      <c r="B440" s="18"/>
      <c r="C440" s="19"/>
      <c r="D440" s="19"/>
      <c r="O440" s="5"/>
      <c r="P440" s="5"/>
    </row>
    <row r="441" spans="2:16" ht="13.2" x14ac:dyDescent="0.25">
      <c r="B441" s="18"/>
      <c r="C441" s="19"/>
      <c r="D441" s="19"/>
      <c r="O441" s="5"/>
      <c r="P441" s="5"/>
    </row>
    <row r="442" spans="2:16" ht="13.2" x14ac:dyDescent="0.25">
      <c r="B442" s="18"/>
      <c r="C442" s="19"/>
      <c r="D442" s="19"/>
      <c r="O442" s="5"/>
      <c r="P442" s="5"/>
    </row>
    <row r="443" spans="2:16" ht="13.2" x14ac:dyDescent="0.25">
      <c r="B443" s="18"/>
      <c r="C443" s="19"/>
      <c r="D443" s="19"/>
      <c r="O443" s="5"/>
      <c r="P443" s="5"/>
    </row>
    <row r="444" spans="2:16" ht="13.2" x14ac:dyDescent="0.25">
      <c r="B444" s="18"/>
      <c r="C444" s="19"/>
      <c r="D444" s="19"/>
      <c r="O444" s="5"/>
      <c r="P444" s="5"/>
    </row>
    <row r="445" spans="2:16" ht="13.2" x14ac:dyDescent="0.25">
      <c r="B445" s="18"/>
      <c r="C445" s="19"/>
      <c r="D445" s="19"/>
      <c r="O445" s="5"/>
      <c r="P445" s="5"/>
    </row>
    <row r="446" spans="2:16" ht="13.2" x14ac:dyDescent="0.25">
      <c r="B446" s="18"/>
      <c r="C446" s="19"/>
      <c r="D446" s="19"/>
      <c r="O446" s="5"/>
      <c r="P446" s="5"/>
    </row>
    <row r="447" spans="2:16" ht="13.2" x14ac:dyDescent="0.25">
      <c r="B447" s="18"/>
      <c r="C447" s="19"/>
      <c r="D447" s="19"/>
      <c r="O447" s="5"/>
      <c r="P447" s="5"/>
    </row>
    <row r="448" spans="2:16" ht="13.2" x14ac:dyDescent="0.25">
      <c r="B448" s="18"/>
      <c r="C448" s="19"/>
      <c r="D448" s="19"/>
      <c r="O448" s="5"/>
      <c r="P448" s="5"/>
    </row>
    <row r="449" spans="2:16" ht="13.2" x14ac:dyDescent="0.25">
      <c r="B449" s="18"/>
      <c r="C449" s="19"/>
      <c r="D449" s="19"/>
      <c r="O449" s="5"/>
      <c r="P449" s="5"/>
    </row>
    <row r="450" spans="2:16" ht="13.2" x14ac:dyDescent="0.25">
      <c r="B450" s="18"/>
      <c r="C450" s="19"/>
      <c r="D450" s="19"/>
      <c r="O450" s="5"/>
      <c r="P450" s="5"/>
    </row>
    <row r="451" spans="2:16" ht="13.2" x14ac:dyDescent="0.25">
      <c r="B451" s="18"/>
      <c r="C451" s="19"/>
      <c r="D451" s="19"/>
      <c r="O451" s="5"/>
      <c r="P451" s="5"/>
    </row>
    <row r="452" spans="2:16" ht="13.2" x14ac:dyDescent="0.25">
      <c r="B452" s="18"/>
      <c r="C452" s="19"/>
      <c r="D452" s="19"/>
      <c r="O452" s="5"/>
      <c r="P452" s="5"/>
    </row>
    <row r="453" spans="2:16" ht="13.2" x14ac:dyDescent="0.25">
      <c r="B453" s="18"/>
      <c r="C453" s="19"/>
      <c r="D453" s="19"/>
      <c r="O453" s="5"/>
      <c r="P453" s="5"/>
    </row>
    <row r="454" spans="2:16" ht="13.2" x14ac:dyDescent="0.25">
      <c r="B454" s="18"/>
      <c r="C454" s="19"/>
      <c r="D454" s="19"/>
      <c r="O454" s="5"/>
      <c r="P454" s="5"/>
    </row>
    <row r="455" spans="2:16" ht="13.2" x14ac:dyDescent="0.25">
      <c r="B455" s="18"/>
      <c r="C455" s="19"/>
      <c r="D455" s="19"/>
      <c r="O455" s="5"/>
      <c r="P455" s="5"/>
    </row>
    <row r="456" spans="2:16" ht="13.2" x14ac:dyDescent="0.25">
      <c r="B456" s="18"/>
      <c r="C456" s="19"/>
      <c r="D456" s="19"/>
      <c r="O456" s="5"/>
      <c r="P456" s="5"/>
    </row>
    <row r="457" spans="2:16" ht="13.2" x14ac:dyDescent="0.25">
      <c r="B457" s="18"/>
      <c r="C457" s="19"/>
      <c r="D457" s="19"/>
      <c r="O457" s="5"/>
      <c r="P457" s="5"/>
    </row>
    <row r="458" spans="2:16" ht="13.2" x14ac:dyDescent="0.25">
      <c r="B458" s="18"/>
      <c r="C458" s="19"/>
      <c r="D458" s="19"/>
      <c r="O458" s="5"/>
      <c r="P458" s="5"/>
    </row>
    <row r="459" spans="2:16" ht="13.2" x14ac:dyDescent="0.25">
      <c r="B459" s="18"/>
      <c r="C459" s="19"/>
      <c r="D459" s="19"/>
      <c r="O459" s="5"/>
      <c r="P459" s="5"/>
    </row>
    <row r="460" spans="2:16" ht="13.2" x14ac:dyDescent="0.25">
      <c r="B460" s="18"/>
      <c r="C460" s="19"/>
      <c r="D460" s="19"/>
      <c r="O460" s="5"/>
      <c r="P460" s="5"/>
    </row>
    <row r="461" spans="2:16" ht="13.2" x14ac:dyDescent="0.25">
      <c r="B461" s="18"/>
      <c r="C461" s="19"/>
      <c r="D461" s="19"/>
      <c r="O461" s="5"/>
      <c r="P461" s="5"/>
    </row>
    <row r="462" spans="2:16" ht="13.2" x14ac:dyDescent="0.25">
      <c r="B462" s="18"/>
      <c r="C462" s="19"/>
      <c r="D462" s="19"/>
      <c r="O462" s="5"/>
      <c r="P462" s="5"/>
    </row>
    <row r="463" spans="2:16" ht="13.2" x14ac:dyDescent="0.25">
      <c r="B463" s="18"/>
      <c r="C463" s="19"/>
      <c r="D463" s="19"/>
      <c r="O463" s="5"/>
      <c r="P463" s="5"/>
    </row>
    <row r="464" spans="2:16" ht="13.2" x14ac:dyDescent="0.25">
      <c r="B464" s="18"/>
      <c r="C464" s="19"/>
      <c r="D464" s="19"/>
      <c r="O464" s="5"/>
      <c r="P464" s="5"/>
    </row>
    <row r="465" spans="2:16" ht="13.2" x14ac:dyDescent="0.25">
      <c r="B465" s="18"/>
      <c r="C465" s="19"/>
      <c r="D465" s="19"/>
      <c r="O465" s="5"/>
      <c r="P465" s="5"/>
    </row>
    <row r="466" spans="2:16" ht="13.2" x14ac:dyDescent="0.25">
      <c r="B466" s="18"/>
      <c r="C466" s="19"/>
      <c r="D466" s="19"/>
      <c r="O466" s="5"/>
      <c r="P466" s="5"/>
    </row>
    <row r="467" spans="2:16" ht="13.2" x14ac:dyDescent="0.25">
      <c r="B467" s="18"/>
      <c r="C467" s="19"/>
      <c r="D467" s="19"/>
      <c r="O467" s="5"/>
      <c r="P467" s="5"/>
    </row>
    <row r="468" spans="2:16" ht="13.2" x14ac:dyDescent="0.25">
      <c r="B468" s="18"/>
      <c r="C468" s="19"/>
      <c r="D468" s="19"/>
      <c r="O468" s="5"/>
      <c r="P468" s="5"/>
    </row>
    <row r="469" spans="2:16" ht="13.2" x14ac:dyDescent="0.25">
      <c r="B469" s="18"/>
      <c r="C469" s="19"/>
      <c r="D469" s="19"/>
      <c r="O469" s="5"/>
      <c r="P469" s="5"/>
    </row>
    <row r="470" spans="2:16" ht="13.2" x14ac:dyDescent="0.25">
      <c r="B470" s="18"/>
      <c r="C470" s="19"/>
      <c r="D470" s="19"/>
      <c r="O470" s="5"/>
      <c r="P470" s="5"/>
    </row>
    <row r="471" spans="2:16" ht="13.2" x14ac:dyDescent="0.25">
      <c r="B471" s="18"/>
      <c r="C471" s="19"/>
      <c r="D471" s="19"/>
      <c r="O471" s="5"/>
      <c r="P471" s="5"/>
    </row>
    <row r="472" spans="2:16" ht="13.2" x14ac:dyDescent="0.25">
      <c r="B472" s="18"/>
      <c r="C472" s="19"/>
      <c r="D472" s="19"/>
      <c r="O472" s="5"/>
      <c r="P472" s="5"/>
    </row>
    <row r="473" spans="2:16" ht="13.2" x14ac:dyDescent="0.25">
      <c r="B473" s="18"/>
      <c r="C473" s="19"/>
      <c r="D473" s="19"/>
      <c r="O473" s="5"/>
      <c r="P473" s="5"/>
    </row>
    <row r="474" spans="2:16" ht="13.2" x14ac:dyDescent="0.25">
      <c r="B474" s="18"/>
      <c r="C474" s="19"/>
      <c r="D474" s="19"/>
      <c r="O474" s="5"/>
      <c r="P474" s="5"/>
    </row>
    <row r="475" spans="2:16" ht="13.2" x14ac:dyDescent="0.25">
      <c r="B475" s="18"/>
      <c r="C475" s="19"/>
      <c r="D475" s="19"/>
      <c r="O475" s="5"/>
      <c r="P475" s="5"/>
    </row>
    <row r="476" spans="2:16" ht="13.2" x14ac:dyDescent="0.25">
      <c r="B476" s="18"/>
      <c r="C476" s="19"/>
      <c r="D476" s="19"/>
      <c r="O476" s="5"/>
      <c r="P476" s="5"/>
    </row>
    <row r="477" spans="2:16" ht="13.2" x14ac:dyDescent="0.25">
      <c r="B477" s="18"/>
      <c r="C477" s="19"/>
      <c r="D477" s="19"/>
      <c r="O477" s="5"/>
      <c r="P477" s="5"/>
    </row>
    <row r="478" spans="2:16" ht="13.2" x14ac:dyDescent="0.25">
      <c r="B478" s="18"/>
      <c r="C478" s="19"/>
      <c r="D478" s="19"/>
      <c r="O478" s="5"/>
      <c r="P478" s="5"/>
    </row>
    <row r="479" spans="2:16" ht="13.2" x14ac:dyDescent="0.25">
      <c r="B479" s="18"/>
      <c r="C479" s="19"/>
      <c r="D479" s="19"/>
      <c r="O479" s="5"/>
      <c r="P479" s="5"/>
    </row>
    <row r="480" spans="2:16" ht="13.2" x14ac:dyDescent="0.25">
      <c r="B480" s="18"/>
      <c r="C480" s="19"/>
      <c r="D480" s="19"/>
      <c r="O480" s="5"/>
      <c r="P480" s="5"/>
    </row>
    <row r="481" spans="2:16" ht="13.2" x14ac:dyDescent="0.25">
      <c r="B481" s="18"/>
      <c r="C481" s="19"/>
      <c r="D481" s="19"/>
      <c r="O481" s="5"/>
      <c r="P481" s="5"/>
    </row>
    <row r="482" spans="2:16" ht="13.2" x14ac:dyDescent="0.25">
      <c r="B482" s="18"/>
      <c r="C482" s="19"/>
      <c r="D482" s="19"/>
      <c r="O482" s="5"/>
      <c r="P482" s="5"/>
    </row>
    <row r="483" spans="2:16" ht="13.2" x14ac:dyDescent="0.25">
      <c r="B483" s="18"/>
      <c r="C483" s="19"/>
      <c r="D483" s="19"/>
      <c r="O483" s="5"/>
      <c r="P483" s="5"/>
    </row>
    <row r="484" spans="2:16" ht="13.2" x14ac:dyDescent="0.25">
      <c r="B484" s="18"/>
      <c r="C484" s="19"/>
      <c r="D484" s="19"/>
      <c r="O484" s="5"/>
      <c r="P484" s="5"/>
    </row>
    <row r="485" spans="2:16" ht="13.2" x14ac:dyDescent="0.25">
      <c r="B485" s="18"/>
      <c r="C485" s="19"/>
      <c r="D485" s="19"/>
      <c r="O485" s="5"/>
      <c r="P485" s="5"/>
    </row>
    <row r="486" spans="2:16" ht="13.2" x14ac:dyDescent="0.25">
      <c r="B486" s="18"/>
      <c r="C486" s="19"/>
      <c r="D486" s="19"/>
      <c r="O486" s="5"/>
      <c r="P486" s="5"/>
    </row>
    <row r="487" spans="2:16" ht="13.2" x14ac:dyDescent="0.25">
      <c r="B487" s="18"/>
      <c r="C487" s="19"/>
      <c r="D487" s="19"/>
      <c r="O487" s="5"/>
      <c r="P487" s="5"/>
    </row>
    <row r="488" spans="2:16" ht="13.2" x14ac:dyDescent="0.25">
      <c r="B488" s="18"/>
      <c r="C488" s="19"/>
      <c r="D488" s="19"/>
      <c r="O488" s="5"/>
      <c r="P488" s="5"/>
    </row>
    <row r="489" spans="2:16" ht="13.2" x14ac:dyDescent="0.25">
      <c r="B489" s="18"/>
      <c r="C489" s="19"/>
      <c r="D489" s="19"/>
      <c r="O489" s="5"/>
      <c r="P489" s="5"/>
    </row>
    <row r="490" spans="2:16" ht="13.2" x14ac:dyDescent="0.25">
      <c r="B490" s="18"/>
      <c r="C490" s="19"/>
      <c r="D490" s="19"/>
      <c r="O490" s="5"/>
      <c r="P490" s="5"/>
    </row>
    <row r="491" spans="2:16" ht="13.2" x14ac:dyDescent="0.25">
      <c r="B491" s="18"/>
      <c r="C491" s="19"/>
      <c r="D491" s="19"/>
      <c r="O491" s="5"/>
      <c r="P491" s="5"/>
    </row>
    <row r="492" spans="2:16" ht="13.2" x14ac:dyDescent="0.25">
      <c r="B492" s="18"/>
      <c r="C492" s="19"/>
      <c r="D492" s="19"/>
      <c r="O492" s="5"/>
      <c r="P492" s="5"/>
    </row>
    <row r="493" spans="2:16" ht="13.2" x14ac:dyDescent="0.25">
      <c r="B493" s="18"/>
      <c r="C493" s="19"/>
      <c r="D493" s="19"/>
      <c r="O493" s="5"/>
      <c r="P493" s="5"/>
    </row>
    <row r="494" spans="2:16" ht="13.2" x14ac:dyDescent="0.25">
      <c r="B494" s="18"/>
      <c r="C494" s="19"/>
      <c r="D494" s="19"/>
      <c r="O494" s="5"/>
      <c r="P494" s="5"/>
    </row>
    <row r="495" spans="2:16" ht="13.2" x14ac:dyDescent="0.25">
      <c r="B495" s="18"/>
      <c r="C495" s="19"/>
      <c r="D495" s="19"/>
      <c r="O495" s="5"/>
      <c r="P495" s="5"/>
    </row>
    <row r="496" spans="2:16" ht="13.2" x14ac:dyDescent="0.25">
      <c r="B496" s="18"/>
      <c r="C496" s="19"/>
      <c r="D496" s="19"/>
      <c r="O496" s="5"/>
      <c r="P496" s="5"/>
    </row>
    <row r="497" spans="2:16" ht="13.2" x14ac:dyDescent="0.25">
      <c r="B497" s="18"/>
      <c r="C497" s="19"/>
      <c r="D497" s="19"/>
      <c r="O497" s="5"/>
      <c r="P497" s="5"/>
    </row>
    <row r="498" spans="2:16" ht="13.2" x14ac:dyDescent="0.25">
      <c r="B498" s="18"/>
      <c r="C498" s="19"/>
      <c r="D498" s="19"/>
      <c r="O498" s="5"/>
      <c r="P498" s="5"/>
    </row>
    <row r="499" spans="2:16" ht="13.2" x14ac:dyDescent="0.25">
      <c r="B499" s="18"/>
      <c r="C499" s="19"/>
      <c r="D499" s="19"/>
      <c r="O499" s="5"/>
      <c r="P499" s="5"/>
    </row>
    <row r="500" spans="2:16" ht="13.2" x14ac:dyDescent="0.25">
      <c r="B500" s="18"/>
      <c r="C500" s="19"/>
      <c r="D500" s="19"/>
      <c r="O500" s="5"/>
      <c r="P500" s="5"/>
    </row>
    <row r="501" spans="2:16" ht="13.2" x14ac:dyDescent="0.25">
      <c r="B501" s="18"/>
      <c r="C501" s="19"/>
      <c r="D501" s="19"/>
      <c r="O501" s="5"/>
      <c r="P501" s="5"/>
    </row>
    <row r="502" spans="2:16" ht="13.2" x14ac:dyDescent="0.25">
      <c r="B502" s="18"/>
      <c r="C502" s="19"/>
      <c r="D502" s="19"/>
      <c r="O502" s="5"/>
      <c r="P502" s="5"/>
    </row>
    <row r="503" spans="2:16" ht="13.2" x14ac:dyDescent="0.25">
      <c r="B503" s="18"/>
      <c r="C503" s="19"/>
      <c r="D503" s="19"/>
      <c r="O503" s="5"/>
      <c r="P503" s="5"/>
    </row>
    <row r="504" spans="2:16" ht="13.2" x14ac:dyDescent="0.25">
      <c r="B504" s="18"/>
      <c r="C504" s="19"/>
      <c r="D504" s="19"/>
      <c r="O504" s="5"/>
      <c r="P504" s="5"/>
    </row>
    <row r="505" spans="2:16" ht="13.2" x14ac:dyDescent="0.25">
      <c r="B505" s="18"/>
      <c r="C505" s="19"/>
      <c r="D505" s="19"/>
      <c r="O505" s="5"/>
      <c r="P505" s="5"/>
    </row>
    <row r="506" spans="2:16" ht="13.2" x14ac:dyDescent="0.25">
      <c r="B506" s="18"/>
      <c r="C506" s="19"/>
      <c r="D506" s="19"/>
      <c r="O506" s="5"/>
      <c r="P506" s="5"/>
    </row>
    <row r="507" spans="2:16" ht="13.2" x14ac:dyDescent="0.25">
      <c r="B507" s="18"/>
      <c r="C507" s="19"/>
      <c r="D507" s="19"/>
      <c r="O507" s="5"/>
      <c r="P507" s="5"/>
    </row>
    <row r="508" spans="2:16" ht="13.2" x14ac:dyDescent="0.25">
      <c r="B508" s="18"/>
      <c r="C508" s="19"/>
      <c r="D508" s="19"/>
      <c r="O508" s="5"/>
      <c r="P508" s="5"/>
    </row>
    <row r="509" spans="2:16" ht="13.2" x14ac:dyDescent="0.25">
      <c r="B509" s="18"/>
      <c r="C509" s="19"/>
      <c r="D509" s="19"/>
      <c r="O509" s="5"/>
      <c r="P509" s="5"/>
    </row>
    <row r="510" spans="2:16" ht="13.2" x14ac:dyDescent="0.25">
      <c r="B510" s="18"/>
      <c r="C510" s="19"/>
      <c r="D510" s="19"/>
      <c r="O510" s="5"/>
      <c r="P510" s="5"/>
    </row>
    <row r="511" spans="2:16" ht="13.2" x14ac:dyDescent="0.25">
      <c r="B511" s="18"/>
      <c r="C511" s="19"/>
      <c r="D511" s="19"/>
      <c r="O511" s="5"/>
      <c r="P511" s="5"/>
    </row>
    <row r="512" spans="2:16" ht="13.2" x14ac:dyDescent="0.25">
      <c r="B512" s="18"/>
      <c r="C512" s="19"/>
      <c r="D512" s="19"/>
      <c r="O512" s="5"/>
      <c r="P512" s="5"/>
    </row>
    <row r="513" spans="2:16" ht="13.2" x14ac:dyDescent="0.25">
      <c r="B513" s="18"/>
      <c r="C513" s="19"/>
      <c r="D513" s="19"/>
      <c r="O513" s="5"/>
      <c r="P513" s="5"/>
    </row>
    <row r="514" spans="2:16" ht="13.2" x14ac:dyDescent="0.25">
      <c r="B514" s="18"/>
      <c r="C514" s="19"/>
      <c r="D514" s="19"/>
      <c r="O514" s="5"/>
      <c r="P514" s="5"/>
    </row>
    <row r="515" spans="2:16" ht="13.2" x14ac:dyDescent="0.25">
      <c r="B515" s="18"/>
      <c r="C515" s="19"/>
      <c r="D515" s="19"/>
      <c r="O515" s="5"/>
      <c r="P515" s="5"/>
    </row>
    <row r="516" spans="2:16" ht="13.2" x14ac:dyDescent="0.25">
      <c r="B516" s="18"/>
      <c r="C516" s="19"/>
      <c r="D516" s="19"/>
      <c r="O516" s="5"/>
      <c r="P516" s="5"/>
    </row>
    <row r="517" spans="2:16" ht="13.2" x14ac:dyDescent="0.25">
      <c r="B517" s="18"/>
      <c r="C517" s="19"/>
      <c r="D517" s="19"/>
      <c r="O517" s="5"/>
      <c r="P517" s="5"/>
    </row>
    <row r="518" spans="2:16" ht="13.2" x14ac:dyDescent="0.25">
      <c r="B518" s="18"/>
      <c r="C518" s="19"/>
      <c r="D518" s="19"/>
      <c r="O518" s="5"/>
      <c r="P518" s="5"/>
    </row>
    <row r="519" spans="2:16" ht="13.2" x14ac:dyDescent="0.25">
      <c r="B519" s="18"/>
      <c r="C519" s="19"/>
      <c r="D519" s="19"/>
      <c r="O519" s="5"/>
      <c r="P519" s="5"/>
    </row>
    <row r="520" spans="2:16" ht="13.2" x14ac:dyDescent="0.25">
      <c r="B520" s="18"/>
      <c r="C520" s="19"/>
      <c r="D520" s="19"/>
      <c r="O520" s="5"/>
      <c r="P520" s="5"/>
    </row>
    <row r="521" spans="2:16" ht="13.2" x14ac:dyDescent="0.25">
      <c r="B521" s="18"/>
      <c r="C521" s="19"/>
      <c r="D521" s="19"/>
      <c r="O521" s="5"/>
      <c r="P521" s="5"/>
    </row>
    <row r="522" spans="2:16" ht="13.2" x14ac:dyDescent="0.25">
      <c r="B522" s="18"/>
      <c r="C522" s="19"/>
      <c r="D522" s="19"/>
      <c r="O522" s="5"/>
      <c r="P522" s="5"/>
    </row>
    <row r="523" spans="2:16" ht="13.2" x14ac:dyDescent="0.25">
      <c r="B523" s="18"/>
      <c r="C523" s="19"/>
      <c r="D523" s="19"/>
      <c r="O523" s="5"/>
      <c r="P523" s="5"/>
    </row>
    <row r="524" spans="2:16" ht="13.2" x14ac:dyDescent="0.25">
      <c r="B524" s="18"/>
      <c r="C524" s="19"/>
      <c r="D524" s="19"/>
      <c r="O524" s="5"/>
      <c r="P524" s="5"/>
    </row>
    <row r="525" spans="2:16" ht="13.2" x14ac:dyDescent="0.25">
      <c r="B525" s="18"/>
      <c r="C525" s="19"/>
      <c r="D525" s="19"/>
      <c r="O525" s="5"/>
      <c r="P525" s="5"/>
    </row>
    <row r="526" spans="2:16" ht="13.2" x14ac:dyDescent="0.25">
      <c r="B526" s="18"/>
      <c r="C526" s="19"/>
      <c r="D526" s="19"/>
      <c r="O526" s="5"/>
      <c r="P526" s="5"/>
    </row>
    <row r="527" spans="2:16" ht="13.2" x14ac:dyDescent="0.25">
      <c r="B527" s="18"/>
      <c r="C527" s="19"/>
      <c r="D527" s="19"/>
      <c r="O527" s="5"/>
      <c r="P527" s="5"/>
    </row>
    <row r="528" spans="2:16" ht="13.2" x14ac:dyDescent="0.25">
      <c r="B528" s="18"/>
      <c r="C528" s="19"/>
      <c r="D528" s="19"/>
      <c r="O528" s="5"/>
      <c r="P528" s="5"/>
    </row>
    <row r="529" spans="2:16" ht="13.2" x14ac:dyDescent="0.25">
      <c r="B529" s="18"/>
      <c r="C529" s="19"/>
      <c r="D529" s="19"/>
      <c r="O529" s="5"/>
      <c r="P529" s="5"/>
    </row>
    <row r="530" spans="2:16" ht="13.2" x14ac:dyDescent="0.25">
      <c r="B530" s="18"/>
      <c r="C530" s="19"/>
      <c r="D530" s="19"/>
      <c r="O530" s="5"/>
      <c r="P530" s="5"/>
    </row>
    <row r="531" spans="2:16" ht="13.2" x14ac:dyDescent="0.25">
      <c r="B531" s="18"/>
      <c r="C531" s="19"/>
      <c r="D531" s="19"/>
      <c r="O531" s="5"/>
      <c r="P531" s="5"/>
    </row>
    <row r="532" spans="2:16" ht="13.2" x14ac:dyDescent="0.25">
      <c r="B532" s="18"/>
      <c r="C532" s="19"/>
      <c r="D532" s="19"/>
      <c r="O532" s="5"/>
      <c r="P532" s="5"/>
    </row>
    <row r="533" spans="2:16" ht="13.2" x14ac:dyDescent="0.25">
      <c r="B533" s="18"/>
      <c r="C533" s="19"/>
      <c r="D533" s="19"/>
      <c r="O533" s="5"/>
      <c r="P533" s="5"/>
    </row>
    <row r="534" spans="2:16" ht="13.2" x14ac:dyDescent="0.25">
      <c r="B534" s="18"/>
      <c r="C534" s="19"/>
      <c r="D534" s="19"/>
      <c r="O534" s="5"/>
      <c r="P534" s="5"/>
    </row>
    <row r="535" spans="2:16" ht="13.2" x14ac:dyDescent="0.25">
      <c r="B535" s="18"/>
      <c r="C535" s="19"/>
      <c r="D535" s="19"/>
      <c r="O535" s="5"/>
      <c r="P535" s="5"/>
    </row>
    <row r="536" spans="2:16" ht="13.2" x14ac:dyDescent="0.25">
      <c r="B536" s="18"/>
      <c r="C536" s="19"/>
      <c r="D536" s="19"/>
      <c r="O536" s="5"/>
      <c r="P536" s="5"/>
    </row>
    <row r="537" spans="2:16" ht="13.2" x14ac:dyDescent="0.25">
      <c r="B537" s="18"/>
      <c r="C537" s="19"/>
      <c r="D537" s="19"/>
      <c r="O537" s="5"/>
      <c r="P537" s="5"/>
    </row>
    <row r="538" spans="2:16" ht="13.2" x14ac:dyDescent="0.25">
      <c r="B538" s="18"/>
      <c r="C538" s="19"/>
      <c r="D538" s="19"/>
      <c r="O538" s="5"/>
      <c r="P538" s="5"/>
    </row>
    <row r="539" spans="2:16" ht="13.2" x14ac:dyDescent="0.25">
      <c r="B539" s="18"/>
      <c r="C539" s="19"/>
      <c r="D539" s="19"/>
      <c r="O539" s="5"/>
      <c r="P539" s="5"/>
    </row>
    <row r="540" spans="2:16" ht="13.2" x14ac:dyDescent="0.25">
      <c r="B540" s="18"/>
      <c r="C540" s="19"/>
      <c r="D540" s="19"/>
      <c r="O540" s="5"/>
      <c r="P540" s="5"/>
    </row>
    <row r="541" spans="2:16" ht="13.2" x14ac:dyDescent="0.25">
      <c r="B541" s="18"/>
      <c r="C541" s="19"/>
      <c r="D541" s="19"/>
      <c r="O541" s="5"/>
      <c r="P541" s="5"/>
    </row>
    <row r="542" spans="2:16" ht="13.2" x14ac:dyDescent="0.25">
      <c r="B542" s="18"/>
      <c r="C542" s="19"/>
      <c r="D542" s="19"/>
      <c r="O542" s="5"/>
      <c r="P542" s="5"/>
    </row>
    <row r="543" spans="2:16" ht="13.2" x14ac:dyDescent="0.25">
      <c r="B543" s="18"/>
      <c r="C543" s="19"/>
      <c r="D543" s="19"/>
      <c r="O543" s="5"/>
      <c r="P543" s="5"/>
    </row>
    <row r="544" spans="2:16" ht="13.2" x14ac:dyDescent="0.25">
      <c r="B544" s="18"/>
      <c r="C544" s="19"/>
      <c r="D544" s="19"/>
      <c r="O544" s="5"/>
      <c r="P544" s="5"/>
    </row>
    <row r="545" spans="2:16" ht="13.2" x14ac:dyDescent="0.25">
      <c r="B545" s="18"/>
      <c r="C545" s="19"/>
      <c r="D545" s="19"/>
      <c r="O545" s="5"/>
      <c r="P545" s="5"/>
    </row>
    <row r="546" spans="2:16" ht="13.2" x14ac:dyDescent="0.25">
      <c r="B546" s="18"/>
      <c r="C546" s="19"/>
      <c r="D546" s="19"/>
      <c r="O546" s="5"/>
      <c r="P546" s="5"/>
    </row>
    <row r="547" spans="2:16" ht="13.2" x14ac:dyDescent="0.25">
      <c r="B547" s="18"/>
      <c r="C547" s="19"/>
      <c r="D547" s="19"/>
      <c r="O547" s="5"/>
      <c r="P547" s="5"/>
    </row>
    <row r="548" spans="2:16" ht="13.2" x14ac:dyDescent="0.25">
      <c r="B548" s="18"/>
      <c r="C548" s="19"/>
      <c r="D548" s="19"/>
      <c r="O548" s="5"/>
      <c r="P548" s="5"/>
    </row>
    <row r="549" spans="2:16" ht="13.2" x14ac:dyDescent="0.25">
      <c r="B549" s="18"/>
      <c r="C549" s="19"/>
      <c r="D549" s="19"/>
      <c r="O549" s="5"/>
      <c r="P549" s="5"/>
    </row>
    <row r="550" spans="2:16" ht="13.2" x14ac:dyDescent="0.25">
      <c r="B550" s="18"/>
      <c r="C550" s="19"/>
      <c r="D550" s="19"/>
      <c r="O550" s="5"/>
      <c r="P550" s="5"/>
    </row>
    <row r="551" spans="2:16" ht="13.2" x14ac:dyDescent="0.25">
      <c r="B551" s="18"/>
      <c r="C551" s="19"/>
      <c r="D551" s="19"/>
      <c r="O551" s="5"/>
      <c r="P551" s="5"/>
    </row>
    <row r="552" spans="2:16" ht="13.2" x14ac:dyDescent="0.25">
      <c r="B552" s="18"/>
      <c r="C552" s="19"/>
      <c r="D552" s="19"/>
      <c r="O552" s="5"/>
      <c r="P552" s="5"/>
    </row>
    <row r="553" spans="2:16" ht="13.2" x14ac:dyDescent="0.25">
      <c r="B553" s="18"/>
      <c r="C553" s="19"/>
      <c r="D553" s="19"/>
      <c r="O553" s="5"/>
      <c r="P553" s="5"/>
    </row>
    <row r="554" spans="2:16" ht="13.2" x14ac:dyDescent="0.25">
      <c r="B554" s="18"/>
      <c r="C554" s="19"/>
      <c r="D554" s="19"/>
      <c r="O554" s="5"/>
      <c r="P554" s="5"/>
    </row>
    <row r="555" spans="2:16" ht="13.2" x14ac:dyDescent="0.25">
      <c r="B555" s="18"/>
      <c r="C555" s="19"/>
      <c r="D555" s="19"/>
      <c r="O555" s="5"/>
      <c r="P555" s="5"/>
    </row>
    <row r="556" spans="2:16" ht="13.2" x14ac:dyDescent="0.25">
      <c r="B556" s="18"/>
      <c r="C556" s="19"/>
      <c r="D556" s="19"/>
      <c r="O556" s="5"/>
      <c r="P556" s="5"/>
    </row>
    <row r="557" spans="2:16" ht="13.2" x14ac:dyDescent="0.25">
      <c r="B557" s="18"/>
      <c r="C557" s="19"/>
      <c r="D557" s="19"/>
      <c r="O557" s="5"/>
      <c r="P557" s="5"/>
    </row>
    <row r="558" spans="2:16" ht="13.2" x14ac:dyDescent="0.25">
      <c r="B558" s="18"/>
      <c r="C558" s="19"/>
      <c r="D558" s="19"/>
      <c r="O558" s="5"/>
      <c r="P558" s="5"/>
    </row>
    <row r="559" spans="2:16" ht="13.2" x14ac:dyDescent="0.25">
      <c r="B559" s="18"/>
      <c r="C559" s="19"/>
      <c r="D559" s="19"/>
      <c r="O559" s="5"/>
      <c r="P559" s="5"/>
    </row>
    <row r="560" spans="2:16" ht="13.2" x14ac:dyDescent="0.25">
      <c r="B560" s="18"/>
      <c r="C560" s="19"/>
      <c r="D560" s="19"/>
      <c r="O560" s="5"/>
      <c r="P560" s="5"/>
    </row>
    <row r="561" spans="2:16" ht="13.2" x14ac:dyDescent="0.25">
      <c r="B561" s="18"/>
      <c r="C561" s="19"/>
      <c r="D561" s="19"/>
      <c r="O561" s="5"/>
      <c r="P561" s="5"/>
    </row>
    <row r="562" spans="2:16" ht="13.2" x14ac:dyDescent="0.25">
      <c r="B562" s="18"/>
      <c r="C562" s="19"/>
      <c r="D562" s="19"/>
      <c r="O562" s="5"/>
      <c r="P562" s="5"/>
    </row>
    <row r="563" spans="2:16" ht="13.2" x14ac:dyDescent="0.25">
      <c r="B563" s="18"/>
      <c r="C563" s="19"/>
      <c r="D563" s="19"/>
      <c r="O563" s="5"/>
      <c r="P563" s="5"/>
    </row>
    <row r="564" spans="2:16" ht="13.2" x14ac:dyDescent="0.25">
      <c r="B564" s="18"/>
      <c r="C564" s="19"/>
      <c r="D564" s="19"/>
      <c r="O564" s="5"/>
      <c r="P564" s="5"/>
    </row>
    <row r="565" spans="2:16" ht="13.2" x14ac:dyDescent="0.25">
      <c r="B565" s="18"/>
      <c r="C565" s="19"/>
      <c r="D565" s="19"/>
      <c r="O565" s="5"/>
      <c r="P565" s="5"/>
    </row>
    <row r="566" spans="2:16" ht="13.2" x14ac:dyDescent="0.25">
      <c r="B566" s="18"/>
      <c r="C566" s="19"/>
      <c r="D566" s="19"/>
      <c r="O566" s="5"/>
      <c r="P566" s="5"/>
    </row>
    <row r="567" spans="2:16" ht="13.2" x14ac:dyDescent="0.25">
      <c r="B567" s="18"/>
      <c r="C567" s="19"/>
      <c r="D567" s="19"/>
      <c r="O567" s="5"/>
      <c r="P567" s="5"/>
    </row>
    <row r="568" spans="2:16" ht="13.2" x14ac:dyDescent="0.25">
      <c r="B568" s="18"/>
      <c r="C568" s="19"/>
      <c r="D568" s="19"/>
      <c r="O568" s="5"/>
      <c r="P568" s="5"/>
    </row>
    <row r="569" spans="2:16" ht="13.2" x14ac:dyDescent="0.25">
      <c r="B569" s="18"/>
      <c r="C569" s="19"/>
      <c r="D569" s="19"/>
      <c r="O569" s="5"/>
      <c r="P569" s="5"/>
    </row>
    <row r="570" spans="2:16" ht="13.2" x14ac:dyDescent="0.25">
      <c r="B570" s="18"/>
      <c r="C570" s="19"/>
      <c r="D570" s="19"/>
      <c r="O570" s="5"/>
      <c r="P570" s="5"/>
    </row>
    <row r="571" spans="2:16" ht="13.2" x14ac:dyDescent="0.25">
      <c r="B571" s="18"/>
      <c r="C571" s="19"/>
      <c r="D571" s="19"/>
      <c r="O571" s="5"/>
      <c r="P571" s="5"/>
    </row>
    <row r="572" spans="2:16" ht="13.2" x14ac:dyDescent="0.25">
      <c r="B572" s="18"/>
      <c r="C572" s="19"/>
      <c r="D572" s="19"/>
      <c r="O572" s="5"/>
      <c r="P572" s="5"/>
    </row>
    <row r="573" spans="2:16" ht="13.2" x14ac:dyDescent="0.25">
      <c r="B573" s="18"/>
      <c r="C573" s="19"/>
      <c r="D573" s="19"/>
      <c r="O573" s="5"/>
      <c r="P573" s="5"/>
    </row>
    <row r="574" spans="2:16" ht="13.2" x14ac:dyDescent="0.25">
      <c r="B574" s="18"/>
      <c r="C574" s="19"/>
      <c r="D574" s="19"/>
      <c r="O574" s="5"/>
      <c r="P574" s="5"/>
    </row>
    <row r="575" spans="2:16" ht="13.2" x14ac:dyDescent="0.25">
      <c r="B575" s="18"/>
      <c r="C575" s="19"/>
      <c r="D575" s="19"/>
      <c r="O575" s="5"/>
      <c r="P575" s="5"/>
    </row>
    <row r="576" spans="2:16" ht="13.2" x14ac:dyDescent="0.25">
      <c r="B576" s="18"/>
      <c r="C576" s="19"/>
      <c r="D576" s="19"/>
      <c r="O576" s="5"/>
      <c r="P576" s="5"/>
    </row>
    <row r="577" spans="2:16" ht="13.2" x14ac:dyDescent="0.25">
      <c r="B577" s="18"/>
      <c r="C577" s="19"/>
      <c r="D577" s="19"/>
      <c r="O577" s="5"/>
      <c r="P577" s="5"/>
    </row>
    <row r="578" spans="2:16" ht="13.2" x14ac:dyDescent="0.25">
      <c r="B578" s="18"/>
      <c r="C578" s="19"/>
      <c r="D578" s="19"/>
      <c r="O578" s="5"/>
      <c r="P578" s="5"/>
    </row>
    <row r="579" spans="2:16" ht="13.2" x14ac:dyDescent="0.25">
      <c r="B579" s="18"/>
      <c r="C579" s="19"/>
      <c r="D579" s="19"/>
      <c r="O579" s="5"/>
      <c r="P579" s="5"/>
    </row>
    <row r="580" spans="2:16" ht="13.2" x14ac:dyDescent="0.25">
      <c r="B580" s="18"/>
      <c r="C580" s="19"/>
      <c r="D580" s="19"/>
      <c r="O580" s="5"/>
      <c r="P580" s="5"/>
    </row>
    <row r="581" spans="2:16" ht="13.2" x14ac:dyDescent="0.25">
      <c r="B581" s="18"/>
      <c r="C581" s="19"/>
      <c r="D581" s="19"/>
      <c r="O581" s="5"/>
      <c r="P581" s="5"/>
    </row>
    <row r="582" spans="2:16" ht="13.2" x14ac:dyDescent="0.25">
      <c r="B582" s="18"/>
      <c r="C582" s="19"/>
      <c r="D582" s="19"/>
      <c r="O582" s="5"/>
      <c r="P582" s="5"/>
    </row>
    <row r="583" spans="2:16" ht="13.2" x14ac:dyDescent="0.25">
      <c r="B583" s="18"/>
      <c r="C583" s="19"/>
      <c r="D583" s="19"/>
      <c r="O583" s="5"/>
      <c r="P583" s="5"/>
    </row>
    <row r="584" spans="2:16" ht="13.2" x14ac:dyDescent="0.25">
      <c r="B584" s="18"/>
      <c r="C584" s="19"/>
      <c r="D584" s="19"/>
      <c r="O584" s="5"/>
      <c r="P584" s="5"/>
    </row>
    <row r="585" spans="2:16" ht="13.2" x14ac:dyDescent="0.25">
      <c r="B585" s="18"/>
      <c r="C585" s="19"/>
      <c r="D585" s="19"/>
      <c r="O585" s="5"/>
      <c r="P585" s="5"/>
    </row>
    <row r="586" spans="2:16" ht="13.2" x14ac:dyDescent="0.25">
      <c r="B586" s="18"/>
      <c r="C586" s="19"/>
      <c r="D586" s="19"/>
      <c r="O586" s="5"/>
      <c r="P586" s="5"/>
    </row>
    <row r="587" spans="2:16" ht="13.2" x14ac:dyDescent="0.25">
      <c r="B587" s="18"/>
      <c r="C587" s="19"/>
      <c r="D587" s="19"/>
      <c r="O587" s="5"/>
      <c r="P587" s="5"/>
    </row>
    <row r="588" spans="2:16" ht="13.2" x14ac:dyDescent="0.25">
      <c r="B588" s="18"/>
      <c r="C588" s="19"/>
      <c r="D588" s="19"/>
      <c r="O588" s="5"/>
      <c r="P588" s="5"/>
    </row>
    <row r="589" spans="2:16" ht="13.2" x14ac:dyDescent="0.25">
      <c r="B589" s="18"/>
      <c r="C589" s="19"/>
      <c r="D589" s="19"/>
      <c r="O589" s="5"/>
      <c r="P589" s="5"/>
    </row>
    <row r="590" spans="2:16" ht="13.2" x14ac:dyDescent="0.25">
      <c r="B590" s="18"/>
      <c r="C590" s="19"/>
      <c r="D590" s="19"/>
      <c r="O590" s="5"/>
      <c r="P590" s="5"/>
    </row>
    <row r="591" spans="2:16" ht="13.2" x14ac:dyDescent="0.25">
      <c r="B591" s="18"/>
      <c r="C591" s="19"/>
      <c r="D591" s="19"/>
      <c r="O591" s="5"/>
      <c r="P591" s="5"/>
    </row>
    <row r="592" spans="2:16" ht="13.2" x14ac:dyDescent="0.25">
      <c r="B592" s="18"/>
      <c r="C592" s="19"/>
      <c r="D592" s="19"/>
      <c r="O592" s="5"/>
      <c r="P592" s="5"/>
    </row>
    <row r="593" spans="2:16" ht="13.2" x14ac:dyDescent="0.25">
      <c r="B593" s="18"/>
      <c r="C593" s="19"/>
      <c r="D593" s="19"/>
      <c r="O593" s="5"/>
      <c r="P593" s="5"/>
    </row>
    <row r="594" spans="2:16" ht="13.2" x14ac:dyDescent="0.25">
      <c r="B594" s="18"/>
      <c r="C594" s="19"/>
      <c r="D594" s="19"/>
      <c r="O594" s="5"/>
      <c r="P594" s="5"/>
    </row>
    <row r="595" spans="2:16" ht="13.2" x14ac:dyDescent="0.25">
      <c r="B595" s="18"/>
      <c r="C595" s="19"/>
      <c r="D595" s="19"/>
      <c r="O595" s="5"/>
      <c r="P595" s="5"/>
    </row>
    <row r="596" spans="2:16" ht="13.2" x14ac:dyDescent="0.25">
      <c r="B596" s="18"/>
      <c r="C596" s="19"/>
      <c r="D596" s="19"/>
      <c r="O596" s="5"/>
      <c r="P596" s="5"/>
    </row>
    <row r="597" spans="2:16" ht="13.2" x14ac:dyDescent="0.25">
      <c r="B597" s="18"/>
      <c r="C597" s="19"/>
      <c r="D597" s="19"/>
      <c r="O597" s="5"/>
      <c r="P597" s="5"/>
    </row>
    <row r="598" spans="2:16" ht="13.2" x14ac:dyDescent="0.25">
      <c r="B598" s="18"/>
      <c r="C598" s="19"/>
      <c r="D598" s="19"/>
      <c r="O598" s="5"/>
      <c r="P598" s="5"/>
    </row>
    <row r="599" spans="2:16" ht="13.2" x14ac:dyDescent="0.25">
      <c r="B599" s="18"/>
      <c r="C599" s="19"/>
      <c r="D599" s="19"/>
      <c r="O599" s="5"/>
      <c r="P599" s="5"/>
    </row>
    <row r="600" spans="2:16" ht="13.2" x14ac:dyDescent="0.25">
      <c r="B600" s="18"/>
      <c r="C600" s="19"/>
      <c r="D600" s="19"/>
      <c r="O600" s="5"/>
      <c r="P600" s="5"/>
    </row>
    <row r="601" spans="2:16" ht="13.2" x14ac:dyDescent="0.25">
      <c r="B601" s="18"/>
      <c r="C601" s="19"/>
      <c r="D601" s="19"/>
      <c r="O601" s="5"/>
      <c r="P601" s="5"/>
    </row>
    <row r="602" spans="2:16" ht="13.2" x14ac:dyDescent="0.25">
      <c r="B602" s="18"/>
      <c r="C602" s="19"/>
      <c r="D602" s="19"/>
      <c r="O602" s="5"/>
      <c r="P602" s="5"/>
    </row>
    <row r="603" spans="2:16" ht="13.2" x14ac:dyDescent="0.25">
      <c r="B603" s="18"/>
      <c r="C603" s="19"/>
      <c r="D603" s="19"/>
      <c r="O603" s="5"/>
      <c r="P603" s="5"/>
    </row>
    <row r="604" spans="2:16" ht="13.2" x14ac:dyDescent="0.25">
      <c r="B604" s="18"/>
      <c r="C604" s="19"/>
      <c r="D604" s="19"/>
      <c r="O604" s="5"/>
      <c r="P604" s="5"/>
    </row>
    <row r="605" spans="2:16" ht="13.2" x14ac:dyDescent="0.25">
      <c r="B605" s="18"/>
      <c r="C605" s="19"/>
      <c r="D605" s="19"/>
      <c r="O605" s="5"/>
      <c r="P605" s="5"/>
    </row>
    <row r="606" spans="2:16" ht="13.2" x14ac:dyDescent="0.25">
      <c r="B606" s="18"/>
      <c r="C606" s="19"/>
      <c r="D606" s="19"/>
      <c r="O606" s="5"/>
      <c r="P606" s="5"/>
    </row>
    <row r="607" spans="2:16" ht="13.2" x14ac:dyDescent="0.25">
      <c r="B607" s="18"/>
      <c r="C607" s="19"/>
      <c r="D607" s="19"/>
      <c r="O607" s="5"/>
      <c r="P607" s="5"/>
    </row>
    <row r="608" spans="2:16" ht="13.2" x14ac:dyDescent="0.25">
      <c r="B608" s="18"/>
      <c r="C608" s="19"/>
      <c r="D608" s="19"/>
      <c r="O608" s="5"/>
      <c r="P608" s="5"/>
    </row>
    <row r="609" spans="2:16" ht="13.2" x14ac:dyDescent="0.25">
      <c r="B609" s="18"/>
      <c r="C609" s="19"/>
      <c r="D609" s="19"/>
      <c r="O609" s="5"/>
      <c r="P609" s="5"/>
    </row>
    <row r="610" spans="2:16" ht="13.2" x14ac:dyDescent="0.25">
      <c r="B610" s="18"/>
      <c r="C610" s="19"/>
      <c r="D610" s="19"/>
      <c r="O610" s="5"/>
      <c r="P610" s="5"/>
    </row>
    <row r="611" spans="2:16" ht="13.2" x14ac:dyDescent="0.25">
      <c r="B611" s="18"/>
      <c r="C611" s="19"/>
      <c r="D611" s="19"/>
      <c r="O611" s="5"/>
      <c r="P611" s="5"/>
    </row>
    <row r="612" spans="2:16" ht="13.2" x14ac:dyDescent="0.25">
      <c r="B612" s="18"/>
      <c r="C612" s="19"/>
      <c r="D612" s="19"/>
      <c r="O612" s="5"/>
      <c r="P612" s="5"/>
    </row>
    <row r="613" spans="2:16" ht="13.2" x14ac:dyDescent="0.25">
      <c r="B613" s="18"/>
      <c r="C613" s="19"/>
      <c r="D613" s="19"/>
      <c r="O613" s="5"/>
      <c r="P613" s="5"/>
    </row>
    <row r="614" spans="2:16" ht="13.2" x14ac:dyDescent="0.25">
      <c r="B614" s="18"/>
      <c r="C614" s="19"/>
      <c r="D614" s="19"/>
      <c r="O614" s="5"/>
      <c r="P614" s="5"/>
    </row>
    <row r="615" spans="2:16" ht="13.2" x14ac:dyDescent="0.25">
      <c r="B615" s="18"/>
      <c r="C615" s="19"/>
      <c r="D615" s="19"/>
      <c r="O615" s="5"/>
      <c r="P615" s="5"/>
    </row>
    <row r="616" spans="2:16" ht="13.2" x14ac:dyDescent="0.25">
      <c r="B616" s="18"/>
      <c r="C616" s="19"/>
      <c r="D616" s="19"/>
      <c r="O616" s="5"/>
      <c r="P616" s="5"/>
    </row>
    <row r="617" spans="2:16" ht="13.2" x14ac:dyDescent="0.25">
      <c r="B617" s="18"/>
      <c r="C617" s="19"/>
      <c r="D617" s="19"/>
      <c r="O617" s="5"/>
      <c r="P617" s="5"/>
    </row>
    <row r="618" spans="2:16" ht="13.2" x14ac:dyDescent="0.25">
      <c r="B618" s="18"/>
      <c r="C618" s="19"/>
      <c r="D618" s="19"/>
      <c r="O618" s="5"/>
      <c r="P618" s="5"/>
    </row>
    <row r="619" spans="2:16" ht="13.2" x14ac:dyDescent="0.25">
      <c r="B619" s="18"/>
      <c r="C619" s="19"/>
      <c r="D619" s="19"/>
      <c r="O619" s="5"/>
      <c r="P619" s="5"/>
    </row>
    <row r="620" spans="2:16" ht="13.2" x14ac:dyDescent="0.25">
      <c r="B620" s="18"/>
      <c r="C620" s="19"/>
      <c r="D620" s="19"/>
      <c r="O620" s="5"/>
      <c r="P620" s="5"/>
    </row>
    <row r="621" spans="2:16" ht="13.2" x14ac:dyDescent="0.25">
      <c r="B621" s="18"/>
      <c r="C621" s="19"/>
      <c r="D621" s="19"/>
      <c r="O621" s="5"/>
      <c r="P621" s="5"/>
    </row>
    <row r="622" spans="2:16" ht="13.2" x14ac:dyDescent="0.25">
      <c r="B622" s="18"/>
      <c r="C622" s="19"/>
      <c r="D622" s="19"/>
      <c r="O622" s="5"/>
      <c r="P622" s="5"/>
    </row>
    <row r="623" spans="2:16" ht="13.2" x14ac:dyDescent="0.25">
      <c r="B623" s="18"/>
      <c r="C623" s="19"/>
      <c r="D623" s="19"/>
      <c r="O623" s="5"/>
      <c r="P623" s="5"/>
    </row>
    <row r="624" spans="2:16" ht="13.2" x14ac:dyDescent="0.25">
      <c r="B624" s="18"/>
      <c r="C624" s="19"/>
      <c r="D624" s="19"/>
      <c r="O624" s="5"/>
      <c r="P624" s="5"/>
    </row>
    <row r="625" spans="2:16" ht="13.2" x14ac:dyDescent="0.25">
      <c r="B625" s="18"/>
      <c r="C625" s="19"/>
      <c r="D625" s="19"/>
      <c r="O625" s="5"/>
      <c r="P625" s="5"/>
    </row>
    <row r="626" spans="2:16" ht="13.2" x14ac:dyDescent="0.25">
      <c r="B626" s="18"/>
      <c r="C626" s="19"/>
      <c r="D626" s="19"/>
      <c r="O626" s="5"/>
      <c r="P626" s="5"/>
    </row>
    <row r="627" spans="2:16" ht="13.2" x14ac:dyDescent="0.25">
      <c r="B627" s="18"/>
      <c r="C627" s="19"/>
      <c r="D627" s="19"/>
      <c r="O627" s="5"/>
      <c r="P627" s="5"/>
    </row>
    <row r="628" spans="2:16" ht="13.2" x14ac:dyDescent="0.25">
      <c r="B628" s="18"/>
      <c r="C628" s="19"/>
      <c r="D628" s="19"/>
      <c r="O628" s="5"/>
      <c r="P628" s="5"/>
    </row>
    <row r="629" spans="2:16" ht="13.2" x14ac:dyDescent="0.25">
      <c r="B629" s="18"/>
      <c r="C629" s="19"/>
      <c r="D629" s="19"/>
      <c r="O629" s="5"/>
      <c r="P629" s="5"/>
    </row>
    <row r="630" spans="2:16" ht="13.2" x14ac:dyDescent="0.25">
      <c r="B630" s="18"/>
      <c r="C630" s="19"/>
      <c r="D630" s="19"/>
      <c r="O630" s="5"/>
      <c r="P630" s="5"/>
    </row>
    <row r="631" spans="2:16" ht="13.2" x14ac:dyDescent="0.25">
      <c r="B631" s="18"/>
      <c r="C631" s="19"/>
      <c r="D631" s="19"/>
      <c r="O631" s="5"/>
      <c r="P631" s="5"/>
    </row>
    <row r="632" spans="2:16" ht="13.2" x14ac:dyDescent="0.25">
      <c r="B632" s="18"/>
      <c r="C632" s="19"/>
      <c r="D632" s="19"/>
      <c r="O632" s="5"/>
      <c r="P632" s="5"/>
    </row>
    <row r="633" spans="2:16" ht="13.2" x14ac:dyDescent="0.25">
      <c r="B633" s="18"/>
      <c r="C633" s="19"/>
      <c r="D633" s="19"/>
      <c r="O633" s="5"/>
      <c r="P633" s="5"/>
    </row>
    <row r="634" spans="2:16" ht="13.2" x14ac:dyDescent="0.25">
      <c r="B634" s="18"/>
      <c r="C634" s="19"/>
      <c r="D634" s="19"/>
      <c r="O634" s="5"/>
      <c r="P634" s="5"/>
    </row>
    <row r="635" spans="2:16" ht="13.2" x14ac:dyDescent="0.25">
      <c r="B635" s="18"/>
      <c r="C635" s="19"/>
      <c r="D635" s="19"/>
      <c r="O635" s="5"/>
      <c r="P635" s="5"/>
    </row>
    <row r="636" spans="2:16" ht="13.2" x14ac:dyDescent="0.25">
      <c r="B636" s="18"/>
      <c r="C636" s="19"/>
      <c r="D636" s="19"/>
      <c r="O636" s="5"/>
      <c r="P636" s="5"/>
    </row>
    <row r="637" spans="2:16" ht="13.2" x14ac:dyDescent="0.25">
      <c r="B637" s="18"/>
      <c r="C637" s="19"/>
      <c r="D637" s="19"/>
      <c r="O637" s="5"/>
      <c r="P637" s="5"/>
    </row>
    <row r="638" spans="2:16" ht="13.2" x14ac:dyDescent="0.25">
      <c r="B638" s="18"/>
      <c r="C638" s="19"/>
      <c r="D638" s="19"/>
      <c r="O638" s="5"/>
      <c r="P638" s="5"/>
    </row>
    <row r="639" spans="2:16" ht="13.2" x14ac:dyDescent="0.25">
      <c r="B639" s="18"/>
      <c r="C639" s="19"/>
      <c r="D639" s="19"/>
      <c r="O639" s="5"/>
      <c r="P639" s="5"/>
    </row>
    <row r="640" spans="2:16" ht="13.2" x14ac:dyDescent="0.25">
      <c r="B640" s="18"/>
      <c r="C640" s="19"/>
      <c r="D640" s="19"/>
      <c r="O640" s="5"/>
      <c r="P640" s="5"/>
    </row>
    <row r="641" spans="2:16" ht="13.2" x14ac:dyDescent="0.25">
      <c r="B641" s="18"/>
      <c r="C641" s="19"/>
      <c r="D641" s="19"/>
      <c r="O641" s="5"/>
      <c r="P641" s="5"/>
    </row>
    <row r="642" spans="2:16" ht="13.2" x14ac:dyDescent="0.25">
      <c r="B642" s="18"/>
      <c r="C642" s="19"/>
      <c r="D642" s="19"/>
      <c r="O642" s="5"/>
      <c r="P642" s="5"/>
    </row>
    <row r="643" spans="2:16" ht="13.2" x14ac:dyDescent="0.25">
      <c r="B643" s="18"/>
      <c r="C643" s="19"/>
      <c r="D643" s="19"/>
      <c r="O643" s="5"/>
      <c r="P643" s="5"/>
    </row>
    <row r="644" spans="2:16" ht="13.2" x14ac:dyDescent="0.25">
      <c r="B644" s="18"/>
      <c r="C644" s="19"/>
      <c r="D644" s="19"/>
      <c r="O644" s="5"/>
      <c r="P644" s="5"/>
    </row>
    <row r="645" spans="2:16" ht="13.2" x14ac:dyDescent="0.25">
      <c r="B645" s="18"/>
      <c r="C645" s="19"/>
      <c r="D645" s="19"/>
      <c r="O645" s="5"/>
      <c r="P645" s="5"/>
    </row>
    <row r="646" spans="2:16" ht="13.2" x14ac:dyDescent="0.25">
      <c r="B646" s="18"/>
      <c r="C646" s="19"/>
      <c r="D646" s="19"/>
      <c r="O646" s="5"/>
      <c r="P646" s="5"/>
    </row>
    <row r="647" spans="2:16" ht="13.2" x14ac:dyDescent="0.25">
      <c r="B647" s="18"/>
      <c r="C647" s="19"/>
      <c r="D647" s="19"/>
      <c r="O647" s="5"/>
      <c r="P647" s="5"/>
    </row>
    <row r="648" spans="2:16" ht="13.2" x14ac:dyDescent="0.25">
      <c r="B648" s="18"/>
      <c r="C648" s="19"/>
      <c r="D648" s="19"/>
      <c r="O648" s="5"/>
      <c r="P648" s="5"/>
    </row>
    <row r="649" spans="2:16" ht="13.2" x14ac:dyDescent="0.25">
      <c r="B649" s="18"/>
      <c r="C649" s="19"/>
      <c r="D649" s="19"/>
      <c r="O649" s="5"/>
      <c r="P649" s="5"/>
    </row>
    <row r="650" spans="2:16" ht="13.2" x14ac:dyDescent="0.25">
      <c r="B650" s="18"/>
      <c r="C650" s="19"/>
      <c r="D650" s="19"/>
      <c r="O650" s="5"/>
      <c r="P650" s="5"/>
    </row>
    <row r="651" spans="2:16" ht="13.2" x14ac:dyDescent="0.25">
      <c r="B651" s="18"/>
      <c r="C651" s="19"/>
      <c r="D651" s="19"/>
      <c r="O651" s="5"/>
      <c r="P651" s="5"/>
    </row>
    <row r="652" spans="2:16" ht="13.2" x14ac:dyDescent="0.25">
      <c r="B652" s="18"/>
      <c r="C652" s="19"/>
      <c r="D652" s="19"/>
      <c r="O652" s="5"/>
      <c r="P652" s="5"/>
    </row>
    <row r="653" spans="2:16" ht="13.2" x14ac:dyDescent="0.25">
      <c r="B653" s="18"/>
      <c r="C653" s="19"/>
      <c r="D653" s="19"/>
      <c r="O653" s="5"/>
      <c r="P653" s="5"/>
    </row>
    <row r="654" spans="2:16" ht="13.2" x14ac:dyDescent="0.25">
      <c r="B654" s="18"/>
      <c r="C654" s="19"/>
      <c r="D654" s="19"/>
      <c r="O654" s="5"/>
      <c r="P654" s="5"/>
    </row>
    <row r="655" spans="2:16" ht="13.2" x14ac:dyDescent="0.25">
      <c r="B655" s="18"/>
      <c r="C655" s="19"/>
      <c r="D655" s="19"/>
      <c r="O655" s="5"/>
      <c r="P655" s="5"/>
    </row>
    <row r="656" spans="2:16" ht="13.2" x14ac:dyDescent="0.25">
      <c r="B656" s="18"/>
      <c r="C656" s="19"/>
      <c r="D656" s="19"/>
      <c r="O656" s="5"/>
      <c r="P656" s="5"/>
    </row>
    <row r="657" spans="2:16" ht="13.2" x14ac:dyDescent="0.25">
      <c r="B657" s="18"/>
      <c r="C657" s="19"/>
      <c r="D657" s="19"/>
      <c r="O657" s="5"/>
      <c r="P657" s="5"/>
    </row>
    <row r="658" spans="2:16" ht="13.2" x14ac:dyDescent="0.25">
      <c r="B658" s="18"/>
      <c r="C658" s="19"/>
      <c r="D658" s="19"/>
      <c r="O658" s="5"/>
      <c r="P658" s="5"/>
    </row>
    <row r="659" spans="2:16" ht="13.2" x14ac:dyDescent="0.25">
      <c r="B659" s="18"/>
      <c r="C659" s="19"/>
      <c r="D659" s="19"/>
      <c r="O659" s="5"/>
      <c r="P659" s="5"/>
    </row>
    <row r="660" spans="2:16" ht="13.2" x14ac:dyDescent="0.25">
      <c r="B660" s="18"/>
      <c r="C660" s="19"/>
      <c r="D660" s="19"/>
      <c r="O660" s="5"/>
      <c r="P660" s="5"/>
    </row>
    <row r="661" spans="2:16" ht="13.2" x14ac:dyDescent="0.25">
      <c r="B661" s="18"/>
      <c r="C661" s="19"/>
      <c r="D661" s="19"/>
      <c r="O661" s="5"/>
      <c r="P661" s="5"/>
    </row>
    <row r="662" spans="2:16" ht="13.2" x14ac:dyDescent="0.25">
      <c r="B662" s="18"/>
      <c r="C662" s="19"/>
      <c r="D662" s="19"/>
      <c r="O662" s="5"/>
      <c r="P662" s="5"/>
    </row>
    <row r="663" spans="2:16" ht="13.2" x14ac:dyDescent="0.25">
      <c r="B663" s="18"/>
      <c r="C663" s="19"/>
      <c r="D663" s="19"/>
      <c r="O663" s="5"/>
      <c r="P663" s="5"/>
    </row>
    <row r="664" spans="2:16" ht="13.2" x14ac:dyDescent="0.25">
      <c r="B664" s="18"/>
      <c r="C664" s="19"/>
      <c r="D664" s="19"/>
      <c r="O664" s="5"/>
      <c r="P664" s="5"/>
    </row>
    <row r="665" spans="2:16" ht="13.2" x14ac:dyDescent="0.25">
      <c r="B665" s="18"/>
      <c r="C665" s="19"/>
      <c r="D665" s="19"/>
      <c r="O665" s="5"/>
      <c r="P665" s="5"/>
    </row>
    <row r="666" spans="2:16" ht="13.2" x14ac:dyDescent="0.25">
      <c r="B666" s="18"/>
      <c r="C666" s="19"/>
      <c r="D666" s="19"/>
      <c r="O666" s="5"/>
      <c r="P666" s="5"/>
    </row>
    <row r="667" spans="2:16" ht="13.2" x14ac:dyDescent="0.25">
      <c r="B667" s="18"/>
      <c r="C667" s="19"/>
      <c r="D667" s="19"/>
      <c r="O667" s="5"/>
      <c r="P667" s="5"/>
    </row>
    <row r="668" spans="2:16" ht="13.2" x14ac:dyDescent="0.25">
      <c r="B668" s="18"/>
      <c r="C668" s="19"/>
      <c r="D668" s="19"/>
      <c r="O668" s="5"/>
      <c r="P668" s="5"/>
    </row>
    <row r="669" spans="2:16" ht="13.2" x14ac:dyDescent="0.25">
      <c r="B669" s="18"/>
      <c r="C669" s="19"/>
      <c r="D669" s="19"/>
      <c r="O669" s="5"/>
      <c r="P669" s="5"/>
    </row>
    <row r="670" spans="2:16" ht="13.2" x14ac:dyDescent="0.25">
      <c r="B670" s="18"/>
      <c r="C670" s="19"/>
      <c r="D670" s="19"/>
      <c r="O670" s="5"/>
      <c r="P670" s="5"/>
    </row>
    <row r="671" spans="2:16" ht="13.2" x14ac:dyDescent="0.25">
      <c r="B671" s="18"/>
      <c r="C671" s="19"/>
      <c r="D671" s="19"/>
      <c r="O671" s="5"/>
      <c r="P671" s="5"/>
    </row>
    <row r="672" spans="2:16" ht="13.2" x14ac:dyDescent="0.25">
      <c r="B672" s="18"/>
      <c r="C672" s="19"/>
      <c r="D672" s="19"/>
      <c r="O672" s="5"/>
      <c r="P672" s="5"/>
    </row>
    <row r="673" spans="2:16" ht="13.2" x14ac:dyDescent="0.25">
      <c r="B673" s="18"/>
      <c r="C673" s="19"/>
      <c r="D673" s="19"/>
      <c r="O673" s="5"/>
      <c r="P673" s="5"/>
    </row>
    <row r="674" spans="2:16" ht="13.2" x14ac:dyDescent="0.25">
      <c r="B674" s="18"/>
      <c r="C674" s="19"/>
      <c r="D674" s="19"/>
      <c r="O674" s="5"/>
      <c r="P674" s="5"/>
    </row>
    <row r="675" spans="2:16" ht="13.2" x14ac:dyDescent="0.25">
      <c r="B675" s="18"/>
      <c r="C675" s="19"/>
      <c r="D675" s="19"/>
      <c r="O675" s="5"/>
      <c r="P675" s="5"/>
    </row>
    <row r="676" spans="2:16" ht="13.2" x14ac:dyDescent="0.25">
      <c r="B676" s="18"/>
      <c r="C676" s="19"/>
      <c r="D676" s="19"/>
      <c r="O676" s="5"/>
      <c r="P676" s="5"/>
    </row>
    <row r="677" spans="2:16" ht="13.2" x14ac:dyDescent="0.25">
      <c r="B677" s="18"/>
      <c r="C677" s="19"/>
      <c r="D677" s="19"/>
      <c r="O677" s="5"/>
      <c r="P677" s="5"/>
    </row>
    <row r="678" spans="2:16" ht="13.2" x14ac:dyDescent="0.25">
      <c r="B678" s="18"/>
      <c r="C678" s="19"/>
      <c r="D678" s="19"/>
      <c r="O678" s="5"/>
      <c r="P678" s="5"/>
    </row>
    <row r="679" spans="2:16" ht="13.2" x14ac:dyDescent="0.25">
      <c r="B679" s="18"/>
      <c r="C679" s="19"/>
      <c r="D679" s="19"/>
      <c r="O679" s="5"/>
      <c r="P679" s="5"/>
    </row>
    <row r="680" spans="2:16" ht="13.2" x14ac:dyDescent="0.25">
      <c r="B680" s="18"/>
      <c r="C680" s="19"/>
      <c r="D680" s="19"/>
      <c r="O680" s="5"/>
      <c r="P680" s="5"/>
    </row>
    <row r="681" spans="2:16" ht="13.2" x14ac:dyDescent="0.25">
      <c r="B681" s="18"/>
      <c r="C681" s="19"/>
      <c r="D681" s="19"/>
      <c r="O681" s="5"/>
      <c r="P681" s="5"/>
    </row>
    <row r="682" spans="2:16" ht="13.2" x14ac:dyDescent="0.25">
      <c r="B682" s="18"/>
      <c r="C682" s="19"/>
      <c r="D682" s="19"/>
      <c r="O682" s="5"/>
      <c r="P682" s="5"/>
    </row>
    <row r="683" spans="2:16" ht="13.2" x14ac:dyDescent="0.25">
      <c r="B683" s="18"/>
      <c r="C683" s="19"/>
      <c r="D683" s="19"/>
      <c r="O683" s="5"/>
      <c r="P683" s="5"/>
    </row>
    <row r="684" spans="2:16" ht="13.2" x14ac:dyDescent="0.25">
      <c r="B684" s="18"/>
      <c r="C684" s="19"/>
      <c r="D684" s="19"/>
      <c r="O684" s="5"/>
      <c r="P684" s="5"/>
    </row>
    <row r="685" spans="2:16" ht="13.2" x14ac:dyDescent="0.25">
      <c r="B685" s="18"/>
      <c r="C685" s="19"/>
      <c r="D685" s="19"/>
      <c r="O685" s="5"/>
      <c r="P685" s="5"/>
    </row>
    <row r="686" spans="2:16" ht="13.2" x14ac:dyDescent="0.25">
      <c r="B686" s="18"/>
      <c r="C686" s="19"/>
      <c r="D686" s="19"/>
      <c r="O686" s="5"/>
      <c r="P686" s="5"/>
    </row>
    <row r="687" spans="2:16" ht="13.2" x14ac:dyDescent="0.25">
      <c r="B687" s="18"/>
      <c r="C687" s="19"/>
      <c r="D687" s="19"/>
      <c r="O687" s="5"/>
      <c r="P687" s="5"/>
    </row>
    <row r="688" spans="2:16" ht="13.2" x14ac:dyDescent="0.25">
      <c r="B688" s="18"/>
      <c r="C688" s="19"/>
      <c r="D688" s="19"/>
      <c r="O688" s="5"/>
      <c r="P688" s="5"/>
    </row>
    <row r="689" spans="2:16" ht="13.2" x14ac:dyDescent="0.25">
      <c r="B689" s="18"/>
      <c r="C689" s="19"/>
      <c r="D689" s="19"/>
      <c r="O689" s="5"/>
      <c r="P689" s="5"/>
    </row>
    <row r="690" spans="2:16" ht="13.2" x14ac:dyDescent="0.25">
      <c r="B690" s="18"/>
      <c r="C690" s="19"/>
      <c r="D690" s="19"/>
      <c r="O690" s="5"/>
      <c r="P690" s="5"/>
    </row>
    <row r="691" spans="2:16" ht="13.2" x14ac:dyDescent="0.25">
      <c r="B691" s="18"/>
      <c r="C691" s="19"/>
      <c r="D691" s="19"/>
      <c r="O691" s="5"/>
      <c r="P691" s="5"/>
    </row>
    <row r="692" spans="2:16" ht="13.2" x14ac:dyDescent="0.25">
      <c r="B692" s="18"/>
      <c r="C692" s="19"/>
      <c r="D692" s="19"/>
      <c r="O692" s="5"/>
      <c r="P692" s="5"/>
    </row>
    <row r="693" spans="2:16" ht="13.2" x14ac:dyDescent="0.25">
      <c r="B693" s="18"/>
      <c r="C693" s="19"/>
      <c r="D693" s="19"/>
      <c r="O693" s="5"/>
      <c r="P693" s="5"/>
    </row>
    <row r="694" spans="2:16" ht="13.2" x14ac:dyDescent="0.25">
      <c r="B694" s="18"/>
      <c r="C694" s="19"/>
      <c r="D694" s="19"/>
      <c r="O694" s="5"/>
      <c r="P694" s="5"/>
    </row>
    <row r="695" spans="2:16" ht="13.2" x14ac:dyDescent="0.25">
      <c r="B695" s="18"/>
      <c r="C695" s="19"/>
      <c r="D695" s="19"/>
      <c r="O695" s="5"/>
      <c r="P695" s="5"/>
    </row>
    <row r="696" spans="2:16" ht="13.2" x14ac:dyDescent="0.25">
      <c r="B696" s="18"/>
      <c r="C696" s="19"/>
      <c r="D696" s="19"/>
      <c r="O696" s="5"/>
      <c r="P696" s="5"/>
    </row>
    <row r="697" spans="2:16" ht="13.2" x14ac:dyDescent="0.25">
      <c r="B697" s="18"/>
      <c r="C697" s="19"/>
      <c r="D697" s="19"/>
      <c r="O697" s="5"/>
      <c r="P697" s="5"/>
    </row>
    <row r="698" spans="2:16" ht="13.2" x14ac:dyDescent="0.25">
      <c r="B698" s="18"/>
      <c r="C698" s="19"/>
      <c r="D698" s="19"/>
      <c r="O698" s="5"/>
      <c r="P698" s="5"/>
    </row>
    <row r="699" spans="2:16" ht="13.2" x14ac:dyDescent="0.25">
      <c r="B699" s="18"/>
      <c r="C699" s="19"/>
      <c r="D699" s="19"/>
      <c r="O699" s="5"/>
      <c r="P699" s="5"/>
    </row>
    <row r="700" spans="2:16" ht="13.2" x14ac:dyDescent="0.25">
      <c r="B700" s="18"/>
      <c r="C700" s="19"/>
      <c r="D700" s="19"/>
      <c r="O700" s="5"/>
      <c r="P700" s="5"/>
    </row>
    <row r="701" spans="2:16" ht="13.2" x14ac:dyDescent="0.25">
      <c r="B701" s="18"/>
      <c r="C701" s="19"/>
      <c r="D701" s="19"/>
      <c r="O701" s="5"/>
      <c r="P701" s="5"/>
    </row>
    <row r="702" spans="2:16" ht="13.2" x14ac:dyDescent="0.25">
      <c r="B702" s="18"/>
      <c r="C702" s="19"/>
      <c r="D702" s="19"/>
      <c r="O702" s="5"/>
      <c r="P702" s="5"/>
    </row>
    <row r="703" spans="2:16" ht="13.2" x14ac:dyDescent="0.25">
      <c r="B703" s="18"/>
      <c r="C703" s="19"/>
      <c r="D703" s="19"/>
      <c r="O703" s="5"/>
      <c r="P703" s="5"/>
    </row>
    <row r="704" spans="2:16" ht="13.2" x14ac:dyDescent="0.25">
      <c r="B704" s="18"/>
      <c r="C704" s="19"/>
      <c r="D704" s="19"/>
      <c r="O704" s="5"/>
      <c r="P704" s="5"/>
    </row>
    <row r="705" spans="2:16" ht="13.2" x14ac:dyDescent="0.25">
      <c r="B705" s="18"/>
      <c r="C705" s="19"/>
      <c r="D705" s="19"/>
      <c r="O705" s="5"/>
      <c r="P705" s="5"/>
    </row>
    <row r="706" spans="2:16" ht="13.2" x14ac:dyDescent="0.25">
      <c r="B706" s="18"/>
      <c r="C706" s="19"/>
      <c r="D706" s="19"/>
      <c r="O706" s="5"/>
      <c r="P706" s="5"/>
    </row>
    <row r="707" spans="2:16" ht="13.2" x14ac:dyDescent="0.25">
      <c r="B707" s="18"/>
      <c r="C707" s="19"/>
      <c r="D707" s="19"/>
      <c r="O707" s="5"/>
      <c r="P707" s="5"/>
    </row>
    <row r="708" spans="2:16" ht="13.2" x14ac:dyDescent="0.25">
      <c r="B708" s="18"/>
      <c r="C708" s="19"/>
      <c r="D708" s="19"/>
      <c r="O708" s="5"/>
      <c r="P708" s="5"/>
    </row>
    <row r="709" spans="2:16" ht="13.2" x14ac:dyDescent="0.25">
      <c r="B709" s="18"/>
      <c r="C709" s="19"/>
      <c r="D709" s="19"/>
      <c r="O709" s="5"/>
      <c r="P709" s="5"/>
    </row>
    <row r="710" spans="2:16" ht="13.2" x14ac:dyDescent="0.25">
      <c r="B710" s="18"/>
      <c r="C710" s="19"/>
      <c r="D710" s="19"/>
      <c r="O710" s="5"/>
      <c r="P710" s="5"/>
    </row>
    <row r="711" spans="2:16" ht="13.2" x14ac:dyDescent="0.25">
      <c r="B711" s="18"/>
      <c r="C711" s="19"/>
      <c r="D711" s="19"/>
      <c r="O711" s="5"/>
      <c r="P711" s="5"/>
    </row>
    <row r="712" spans="2:16" ht="13.2" x14ac:dyDescent="0.25">
      <c r="B712" s="18"/>
      <c r="C712" s="19"/>
      <c r="D712" s="19"/>
      <c r="O712" s="5"/>
      <c r="P712" s="5"/>
    </row>
    <row r="713" spans="2:16" ht="13.2" x14ac:dyDescent="0.25">
      <c r="B713" s="18"/>
      <c r="C713" s="19"/>
      <c r="D713" s="19"/>
      <c r="O713" s="5"/>
      <c r="P713" s="5"/>
    </row>
    <row r="714" spans="2:16" ht="13.2" x14ac:dyDescent="0.25">
      <c r="B714" s="18"/>
      <c r="C714" s="19"/>
      <c r="D714" s="19"/>
      <c r="O714" s="5"/>
      <c r="P714" s="5"/>
    </row>
    <row r="715" spans="2:16" ht="13.2" x14ac:dyDescent="0.25">
      <c r="B715" s="18"/>
      <c r="C715" s="19"/>
      <c r="D715" s="19"/>
      <c r="O715" s="5"/>
      <c r="P715" s="5"/>
    </row>
    <row r="716" spans="2:16" ht="13.2" x14ac:dyDescent="0.25">
      <c r="B716" s="18"/>
      <c r="C716" s="19"/>
      <c r="D716" s="19"/>
      <c r="O716" s="5"/>
      <c r="P716" s="5"/>
    </row>
    <row r="717" spans="2:16" ht="13.2" x14ac:dyDescent="0.25">
      <c r="B717" s="18"/>
      <c r="C717" s="19"/>
      <c r="D717" s="19"/>
      <c r="O717" s="5"/>
      <c r="P717" s="5"/>
    </row>
    <row r="718" spans="2:16" ht="13.2" x14ac:dyDescent="0.25">
      <c r="B718" s="18"/>
      <c r="C718" s="19"/>
      <c r="D718" s="19"/>
      <c r="O718" s="5"/>
      <c r="P718" s="5"/>
    </row>
    <row r="719" spans="2:16" ht="13.2" x14ac:dyDescent="0.25">
      <c r="B719" s="18"/>
      <c r="C719" s="19"/>
      <c r="D719" s="19"/>
      <c r="O719" s="5"/>
      <c r="P719" s="5"/>
    </row>
    <row r="720" spans="2:16" ht="13.2" x14ac:dyDescent="0.25">
      <c r="B720" s="18"/>
      <c r="C720" s="19"/>
      <c r="D720" s="19"/>
      <c r="O720" s="5"/>
      <c r="P720" s="5"/>
    </row>
    <row r="721" spans="2:16" ht="13.2" x14ac:dyDescent="0.25">
      <c r="B721" s="18"/>
      <c r="C721" s="19"/>
      <c r="D721" s="19"/>
      <c r="O721" s="5"/>
      <c r="P721" s="5"/>
    </row>
    <row r="722" spans="2:16" ht="13.2" x14ac:dyDescent="0.25">
      <c r="B722" s="18"/>
      <c r="C722" s="19"/>
      <c r="D722" s="19"/>
      <c r="O722" s="5"/>
      <c r="P722" s="5"/>
    </row>
    <row r="723" spans="2:16" ht="13.2" x14ac:dyDescent="0.25">
      <c r="B723" s="18"/>
      <c r="C723" s="19"/>
      <c r="D723" s="19"/>
      <c r="O723" s="5"/>
      <c r="P723" s="5"/>
    </row>
    <row r="724" spans="2:16" ht="13.2" x14ac:dyDescent="0.25">
      <c r="B724" s="18"/>
      <c r="C724" s="19"/>
      <c r="D724" s="19"/>
      <c r="O724" s="5"/>
      <c r="P724" s="5"/>
    </row>
    <row r="725" spans="2:16" ht="13.2" x14ac:dyDescent="0.25">
      <c r="B725" s="18"/>
      <c r="C725" s="19"/>
      <c r="D725" s="19"/>
      <c r="O725" s="5"/>
      <c r="P725" s="5"/>
    </row>
    <row r="726" spans="2:16" ht="13.2" x14ac:dyDescent="0.25">
      <c r="B726" s="18"/>
      <c r="C726" s="19"/>
      <c r="D726" s="19"/>
      <c r="O726" s="5"/>
      <c r="P726" s="5"/>
    </row>
    <row r="727" spans="2:16" ht="13.2" x14ac:dyDescent="0.25">
      <c r="B727" s="18"/>
      <c r="C727" s="19"/>
      <c r="D727" s="19"/>
      <c r="O727" s="5"/>
      <c r="P727" s="5"/>
    </row>
    <row r="728" spans="2:16" ht="13.2" x14ac:dyDescent="0.25">
      <c r="B728" s="18"/>
      <c r="C728" s="19"/>
      <c r="D728" s="19"/>
      <c r="O728" s="5"/>
      <c r="P728" s="5"/>
    </row>
    <row r="729" spans="2:16" ht="13.2" x14ac:dyDescent="0.25">
      <c r="B729" s="18"/>
      <c r="C729" s="19"/>
      <c r="D729" s="19"/>
      <c r="O729" s="5"/>
      <c r="P729" s="5"/>
    </row>
    <row r="730" spans="2:16" ht="13.2" x14ac:dyDescent="0.25">
      <c r="B730" s="18"/>
      <c r="C730" s="19"/>
      <c r="D730" s="19"/>
      <c r="O730" s="5"/>
      <c r="P730" s="5"/>
    </row>
    <row r="731" spans="2:16" ht="13.2" x14ac:dyDescent="0.25">
      <c r="B731" s="18"/>
      <c r="C731" s="19"/>
      <c r="D731" s="19"/>
      <c r="O731" s="5"/>
      <c r="P731" s="5"/>
    </row>
    <row r="732" spans="2:16" ht="13.2" x14ac:dyDescent="0.25">
      <c r="B732" s="18"/>
      <c r="C732" s="19"/>
      <c r="D732" s="19"/>
      <c r="O732" s="5"/>
      <c r="P732" s="5"/>
    </row>
    <row r="733" spans="2:16" ht="13.2" x14ac:dyDescent="0.25">
      <c r="B733" s="18"/>
      <c r="C733" s="19"/>
      <c r="D733" s="19"/>
      <c r="O733" s="5"/>
      <c r="P733" s="5"/>
    </row>
    <row r="734" spans="2:16" ht="13.2" x14ac:dyDescent="0.25">
      <c r="B734" s="18"/>
      <c r="C734" s="19"/>
      <c r="D734" s="19"/>
      <c r="O734" s="5"/>
      <c r="P734" s="5"/>
    </row>
    <row r="735" spans="2:16" ht="13.2" x14ac:dyDescent="0.25">
      <c r="B735" s="18"/>
      <c r="C735" s="19"/>
      <c r="D735" s="19"/>
      <c r="O735" s="5"/>
      <c r="P735" s="5"/>
    </row>
    <row r="736" spans="2:16" ht="13.2" x14ac:dyDescent="0.25">
      <c r="B736" s="18"/>
      <c r="C736" s="19"/>
      <c r="D736" s="19"/>
      <c r="O736" s="5"/>
      <c r="P736" s="5"/>
    </row>
    <row r="737" spans="2:16" ht="13.2" x14ac:dyDescent="0.25">
      <c r="B737" s="18"/>
      <c r="C737" s="19"/>
      <c r="D737" s="19"/>
      <c r="O737" s="5"/>
      <c r="P737" s="5"/>
    </row>
    <row r="738" spans="2:16" ht="13.2" x14ac:dyDescent="0.25">
      <c r="B738" s="18"/>
      <c r="C738" s="19"/>
      <c r="D738" s="19"/>
      <c r="O738" s="5"/>
      <c r="P738" s="5"/>
    </row>
    <row r="739" spans="2:16" ht="13.2" x14ac:dyDescent="0.25">
      <c r="B739" s="18"/>
      <c r="C739" s="19"/>
      <c r="D739" s="19"/>
      <c r="O739" s="5"/>
      <c r="P739" s="5"/>
    </row>
    <row r="740" spans="2:16" ht="13.2" x14ac:dyDescent="0.25">
      <c r="B740" s="18"/>
      <c r="C740" s="19"/>
      <c r="D740" s="19"/>
      <c r="O740" s="5"/>
      <c r="P740" s="5"/>
    </row>
    <row r="741" spans="2:16" ht="13.2" x14ac:dyDescent="0.25">
      <c r="B741" s="18"/>
      <c r="C741" s="19"/>
      <c r="D741" s="19"/>
      <c r="O741" s="5"/>
      <c r="P741" s="5"/>
    </row>
    <row r="742" spans="2:16" ht="13.2" x14ac:dyDescent="0.25">
      <c r="B742" s="18"/>
      <c r="C742" s="19"/>
      <c r="D742" s="19"/>
      <c r="O742" s="5"/>
      <c r="P742" s="5"/>
    </row>
    <row r="743" spans="2:16" ht="13.2" x14ac:dyDescent="0.25">
      <c r="B743" s="18"/>
      <c r="C743" s="19"/>
      <c r="D743" s="19"/>
      <c r="O743" s="5"/>
      <c r="P743" s="5"/>
    </row>
    <row r="744" spans="2:16" ht="13.2" x14ac:dyDescent="0.25">
      <c r="B744" s="18"/>
      <c r="C744" s="19"/>
      <c r="D744" s="19"/>
      <c r="O744" s="5"/>
      <c r="P744" s="5"/>
    </row>
    <row r="745" spans="2:16" ht="13.2" x14ac:dyDescent="0.25">
      <c r="B745" s="18"/>
      <c r="C745" s="19"/>
      <c r="D745" s="19"/>
      <c r="O745" s="5"/>
      <c r="P745" s="5"/>
    </row>
    <row r="746" spans="2:16" ht="13.2" x14ac:dyDescent="0.25">
      <c r="B746" s="18"/>
      <c r="C746" s="19"/>
      <c r="D746" s="19"/>
      <c r="O746" s="5"/>
      <c r="P746" s="5"/>
    </row>
    <row r="747" spans="2:16" ht="13.2" x14ac:dyDescent="0.25">
      <c r="B747" s="18"/>
      <c r="C747" s="19"/>
      <c r="D747" s="19"/>
      <c r="O747" s="5"/>
      <c r="P747" s="5"/>
    </row>
    <row r="748" spans="2:16" ht="13.2" x14ac:dyDescent="0.25">
      <c r="B748" s="18"/>
      <c r="C748" s="19"/>
      <c r="D748" s="19"/>
      <c r="O748" s="5"/>
      <c r="P748" s="5"/>
    </row>
    <row r="749" spans="2:16" ht="13.2" x14ac:dyDescent="0.25">
      <c r="B749" s="18"/>
      <c r="C749" s="19"/>
      <c r="D749" s="19"/>
      <c r="O749" s="5"/>
      <c r="P749" s="5"/>
    </row>
    <row r="750" spans="2:16" ht="13.2" x14ac:dyDescent="0.25">
      <c r="B750" s="18"/>
      <c r="C750" s="19"/>
      <c r="D750" s="19"/>
      <c r="O750" s="5"/>
      <c r="P750" s="5"/>
    </row>
    <row r="751" spans="2:16" ht="13.2" x14ac:dyDescent="0.25">
      <c r="B751" s="18"/>
      <c r="C751" s="19"/>
      <c r="D751" s="19"/>
      <c r="O751" s="5"/>
      <c r="P751" s="5"/>
    </row>
    <row r="752" spans="2:16" ht="13.2" x14ac:dyDescent="0.25">
      <c r="B752" s="18"/>
      <c r="C752" s="19"/>
      <c r="D752" s="19"/>
      <c r="O752" s="5"/>
      <c r="P752" s="5"/>
    </row>
    <row r="753" spans="2:16" ht="13.2" x14ac:dyDescent="0.25">
      <c r="B753" s="18"/>
      <c r="C753" s="19"/>
      <c r="D753" s="19"/>
      <c r="O753" s="5"/>
      <c r="P753" s="5"/>
    </row>
    <row r="754" spans="2:16" ht="13.2" x14ac:dyDescent="0.25">
      <c r="B754" s="18"/>
      <c r="C754" s="19"/>
      <c r="D754" s="19"/>
      <c r="O754" s="5"/>
      <c r="P754" s="5"/>
    </row>
    <row r="755" spans="2:16" ht="13.2" x14ac:dyDescent="0.25">
      <c r="B755" s="18"/>
      <c r="C755" s="19"/>
      <c r="D755" s="19"/>
      <c r="O755" s="5"/>
      <c r="P755" s="5"/>
    </row>
    <row r="756" spans="2:16" ht="13.2" x14ac:dyDescent="0.25">
      <c r="B756" s="18"/>
      <c r="C756" s="19"/>
      <c r="D756" s="19"/>
      <c r="O756" s="5"/>
      <c r="P756" s="5"/>
    </row>
    <row r="757" spans="2:16" ht="13.2" x14ac:dyDescent="0.25">
      <c r="B757" s="18"/>
      <c r="C757" s="19"/>
      <c r="D757" s="19"/>
      <c r="O757" s="5"/>
      <c r="P757" s="5"/>
    </row>
    <row r="758" spans="2:16" ht="13.2" x14ac:dyDescent="0.25">
      <c r="B758" s="18"/>
      <c r="C758" s="19"/>
      <c r="D758" s="19"/>
      <c r="O758" s="5"/>
      <c r="P758" s="5"/>
    </row>
    <row r="759" spans="2:16" ht="13.2" x14ac:dyDescent="0.25">
      <c r="B759" s="18"/>
      <c r="C759" s="19"/>
      <c r="D759" s="19"/>
      <c r="O759" s="5"/>
      <c r="P759" s="5"/>
    </row>
    <row r="760" spans="2:16" ht="13.2" x14ac:dyDescent="0.25">
      <c r="B760" s="18"/>
      <c r="C760" s="19"/>
      <c r="D760" s="19"/>
      <c r="O760" s="5"/>
      <c r="P760" s="5"/>
    </row>
    <row r="761" spans="2:16" ht="13.2" x14ac:dyDescent="0.25">
      <c r="B761" s="18"/>
      <c r="C761" s="19"/>
      <c r="D761" s="19"/>
      <c r="O761" s="5"/>
      <c r="P761" s="5"/>
    </row>
    <row r="762" spans="2:16" ht="13.2" x14ac:dyDescent="0.25">
      <c r="B762" s="18"/>
      <c r="C762" s="19"/>
      <c r="D762" s="19"/>
      <c r="O762" s="5"/>
      <c r="P762" s="5"/>
    </row>
    <row r="763" spans="2:16" ht="13.2" x14ac:dyDescent="0.25">
      <c r="B763" s="18"/>
      <c r="C763" s="19"/>
      <c r="D763" s="19"/>
      <c r="O763" s="5"/>
      <c r="P763" s="5"/>
    </row>
    <row r="764" spans="2:16" ht="13.2" x14ac:dyDescent="0.25">
      <c r="B764" s="18"/>
      <c r="C764" s="19"/>
      <c r="D764" s="19"/>
      <c r="O764" s="5"/>
      <c r="P764" s="5"/>
    </row>
    <row r="765" spans="2:16" ht="13.2" x14ac:dyDescent="0.25">
      <c r="B765" s="18"/>
      <c r="C765" s="19"/>
      <c r="D765" s="19"/>
      <c r="O765" s="5"/>
      <c r="P765" s="5"/>
    </row>
    <row r="766" spans="2:16" ht="13.2" x14ac:dyDescent="0.25">
      <c r="B766" s="18"/>
      <c r="C766" s="19"/>
      <c r="D766" s="19"/>
      <c r="O766" s="5"/>
      <c r="P766" s="5"/>
    </row>
    <row r="767" spans="2:16" ht="13.2" x14ac:dyDescent="0.25">
      <c r="B767" s="18"/>
      <c r="C767" s="19"/>
      <c r="D767" s="19"/>
      <c r="O767" s="5"/>
      <c r="P767" s="5"/>
    </row>
    <row r="768" spans="2:16" ht="13.2" x14ac:dyDescent="0.25">
      <c r="B768" s="18"/>
      <c r="C768" s="19"/>
      <c r="D768" s="19"/>
      <c r="O768" s="5"/>
      <c r="P768" s="5"/>
    </row>
    <row r="769" spans="2:16" ht="13.2" x14ac:dyDescent="0.25">
      <c r="B769" s="18"/>
      <c r="C769" s="19"/>
      <c r="D769" s="19"/>
      <c r="O769" s="5"/>
      <c r="P769" s="5"/>
    </row>
    <row r="770" spans="2:16" ht="13.2" x14ac:dyDescent="0.25">
      <c r="B770" s="18"/>
      <c r="C770" s="19"/>
      <c r="D770" s="19"/>
      <c r="O770" s="5"/>
      <c r="P770" s="5"/>
    </row>
    <row r="771" spans="2:16" ht="13.2" x14ac:dyDescent="0.25">
      <c r="B771" s="18"/>
      <c r="C771" s="19"/>
      <c r="D771" s="19"/>
      <c r="O771" s="5"/>
      <c r="P771" s="5"/>
    </row>
    <row r="772" spans="2:16" ht="13.2" x14ac:dyDescent="0.25">
      <c r="B772" s="18"/>
      <c r="C772" s="19"/>
      <c r="D772" s="19"/>
      <c r="O772" s="5"/>
      <c r="P772" s="5"/>
    </row>
    <row r="773" spans="2:16" ht="13.2" x14ac:dyDescent="0.25">
      <c r="B773" s="18"/>
      <c r="C773" s="19"/>
      <c r="D773" s="19"/>
      <c r="O773" s="5"/>
      <c r="P773" s="5"/>
    </row>
    <row r="774" spans="2:16" ht="13.2" x14ac:dyDescent="0.25">
      <c r="B774" s="18"/>
      <c r="C774" s="19"/>
      <c r="D774" s="19"/>
      <c r="O774" s="5"/>
      <c r="P774" s="5"/>
    </row>
    <row r="775" spans="2:16" ht="13.2" x14ac:dyDescent="0.25">
      <c r="B775" s="18"/>
      <c r="C775" s="19"/>
      <c r="D775" s="19"/>
      <c r="O775" s="5"/>
      <c r="P775" s="5"/>
    </row>
    <row r="776" spans="2:16" ht="13.2" x14ac:dyDescent="0.25">
      <c r="B776" s="18"/>
      <c r="C776" s="19"/>
      <c r="D776" s="19"/>
      <c r="O776" s="5"/>
      <c r="P776" s="5"/>
    </row>
    <row r="777" spans="2:16" ht="13.2" x14ac:dyDescent="0.25">
      <c r="B777" s="18"/>
      <c r="C777" s="19"/>
      <c r="D777" s="19"/>
      <c r="O777" s="5"/>
      <c r="P777" s="5"/>
    </row>
    <row r="778" spans="2:16" ht="13.2" x14ac:dyDescent="0.25">
      <c r="B778" s="18"/>
      <c r="C778" s="19"/>
      <c r="D778" s="19"/>
      <c r="O778" s="5"/>
      <c r="P778" s="5"/>
    </row>
    <row r="779" spans="2:16" ht="13.2" x14ac:dyDescent="0.25">
      <c r="B779" s="18"/>
      <c r="C779" s="19"/>
      <c r="D779" s="19"/>
      <c r="O779" s="5"/>
      <c r="P779" s="5"/>
    </row>
    <row r="780" spans="2:16" ht="13.2" x14ac:dyDescent="0.25">
      <c r="B780" s="18"/>
      <c r="C780" s="19"/>
      <c r="D780" s="19"/>
      <c r="O780" s="5"/>
      <c r="P780" s="5"/>
    </row>
    <row r="781" spans="2:16" ht="13.2" x14ac:dyDescent="0.25">
      <c r="B781" s="18"/>
      <c r="C781" s="19"/>
      <c r="D781" s="19"/>
      <c r="O781" s="5"/>
      <c r="P781" s="5"/>
    </row>
    <row r="782" spans="2:16" ht="13.2" x14ac:dyDescent="0.25">
      <c r="B782" s="18"/>
      <c r="C782" s="19"/>
      <c r="D782" s="19"/>
      <c r="O782" s="5"/>
      <c r="P782" s="5"/>
    </row>
    <row r="783" spans="2:16" ht="13.2" x14ac:dyDescent="0.25">
      <c r="B783" s="18"/>
      <c r="C783" s="19"/>
      <c r="D783" s="19"/>
      <c r="O783" s="5"/>
      <c r="P783" s="5"/>
    </row>
    <row r="784" spans="2:16" ht="13.2" x14ac:dyDescent="0.25">
      <c r="B784" s="18"/>
      <c r="C784" s="19"/>
      <c r="D784" s="19"/>
      <c r="O784" s="5"/>
      <c r="P784" s="5"/>
    </row>
    <row r="785" spans="2:16" ht="13.2" x14ac:dyDescent="0.25">
      <c r="B785" s="18"/>
      <c r="C785" s="19"/>
      <c r="D785" s="19"/>
      <c r="O785" s="5"/>
      <c r="P785" s="5"/>
    </row>
    <row r="786" spans="2:16" ht="13.2" x14ac:dyDescent="0.25">
      <c r="B786" s="18"/>
      <c r="C786" s="19"/>
      <c r="D786" s="19"/>
      <c r="O786" s="5"/>
      <c r="P786" s="5"/>
    </row>
    <row r="787" spans="2:16" ht="13.2" x14ac:dyDescent="0.25">
      <c r="B787" s="18"/>
      <c r="C787" s="19"/>
      <c r="D787" s="19"/>
      <c r="O787" s="5"/>
      <c r="P787" s="5"/>
    </row>
    <row r="788" spans="2:16" ht="13.2" x14ac:dyDescent="0.25">
      <c r="B788" s="18"/>
      <c r="C788" s="19"/>
      <c r="D788" s="19"/>
      <c r="O788" s="5"/>
      <c r="P788" s="5"/>
    </row>
    <row r="789" spans="2:16" ht="13.2" x14ac:dyDescent="0.25">
      <c r="B789" s="18"/>
      <c r="C789" s="19"/>
      <c r="D789" s="19"/>
      <c r="O789" s="5"/>
      <c r="P789" s="5"/>
    </row>
    <row r="790" spans="2:16" ht="13.2" x14ac:dyDescent="0.25">
      <c r="B790" s="18"/>
      <c r="C790" s="19"/>
      <c r="D790" s="19"/>
      <c r="O790" s="5"/>
      <c r="P790" s="5"/>
    </row>
    <row r="791" spans="2:16" ht="13.2" x14ac:dyDescent="0.25">
      <c r="B791" s="18"/>
      <c r="C791" s="19"/>
      <c r="D791" s="19"/>
      <c r="O791" s="5"/>
      <c r="P791" s="5"/>
    </row>
    <row r="792" spans="2:16" ht="13.2" x14ac:dyDescent="0.25">
      <c r="B792" s="18"/>
      <c r="C792" s="19"/>
      <c r="D792" s="19"/>
      <c r="O792" s="5"/>
      <c r="P792" s="5"/>
    </row>
    <row r="793" spans="2:16" ht="13.2" x14ac:dyDescent="0.25">
      <c r="B793" s="18"/>
      <c r="C793" s="19"/>
      <c r="D793" s="19"/>
      <c r="O793" s="5"/>
      <c r="P793" s="5"/>
    </row>
    <row r="794" spans="2:16" ht="13.2" x14ac:dyDescent="0.25">
      <c r="B794" s="18"/>
      <c r="C794" s="19"/>
      <c r="D794" s="19"/>
      <c r="O794" s="5"/>
      <c r="P794" s="5"/>
    </row>
    <row r="795" spans="2:16" ht="13.2" x14ac:dyDescent="0.25">
      <c r="B795" s="18"/>
      <c r="C795" s="19"/>
      <c r="D795" s="19"/>
      <c r="O795" s="5"/>
      <c r="P795" s="5"/>
    </row>
    <row r="796" spans="2:16" ht="13.2" x14ac:dyDescent="0.25">
      <c r="B796" s="18"/>
      <c r="C796" s="19"/>
      <c r="D796" s="19"/>
      <c r="O796" s="5"/>
      <c r="P796" s="5"/>
    </row>
    <row r="797" spans="2:16" ht="13.2" x14ac:dyDescent="0.25">
      <c r="B797" s="18"/>
      <c r="C797" s="19"/>
      <c r="D797" s="19"/>
      <c r="O797" s="5"/>
      <c r="P797" s="5"/>
    </row>
    <row r="798" spans="2:16" ht="13.2" x14ac:dyDescent="0.25">
      <c r="B798" s="18"/>
      <c r="C798" s="19"/>
      <c r="D798" s="19"/>
      <c r="O798" s="5"/>
      <c r="P798" s="5"/>
    </row>
    <row r="799" spans="2:16" ht="13.2" x14ac:dyDescent="0.25">
      <c r="B799" s="18"/>
      <c r="C799" s="19"/>
      <c r="D799" s="19"/>
      <c r="O799" s="5"/>
      <c r="P799" s="5"/>
    </row>
    <row r="800" spans="2:16" ht="13.2" x14ac:dyDescent="0.25">
      <c r="B800" s="18"/>
      <c r="C800" s="19"/>
      <c r="D800" s="19"/>
      <c r="O800" s="5"/>
      <c r="P800" s="5"/>
    </row>
    <row r="801" spans="2:16" ht="13.2" x14ac:dyDescent="0.25">
      <c r="B801" s="18"/>
      <c r="C801" s="19"/>
      <c r="D801" s="19"/>
      <c r="O801" s="5"/>
      <c r="P801" s="5"/>
    </row>
    <row r="802" spans="2:16" ht="13.2" x14ac:dyDescent="0.25">
      <c r="B802" s="18"/>
      <c r="C802" s="19"/>
      <c r="D802" s="19"/>
      <c r="O802" s="5"/>
      <c r="P802" s="5"/>
    </row>
    <row r="803" spans="2:16" ht="13.2" x14ac:dyDescent="0.25">
      <c r="B803" s="18"/>
      <c r="C803" s="19"/>
      <c r="D803" s="19"/>
      <c r="O803" s="5"/>
      <c r="P803" s="5"/>
    </row>
    <row r="804" spans="2:16" ht="13.2" x14ac:dyDescent="0.25">
      <c r="B804" s="18"/>
      <c r="C804" s="19"/>
      <c r="D804" s="19"/>
      <c r="O804" s="5"/>
      <c r="P804" s="5"/>
    </row>
    <row r="805" spans="2:16" ht="13.2" x14ac:dyDescent="0.25">
      <c r="B805" s="18"/>
      <c r="C805" s="19"/>
      <c r="D805" s="19"/>
      <c r="O805" s="5"/>
      <c r="P805" s="5"/>
    </row>
    <row r="806" spans="2:16" ht="13.2" x14ac:dyDescent="0.25">
      <c r="B806" s="18"/>
      <c r="C806" s="19"/>
      <c r="D806" s="19"/>
      <c r="O806" s="5"/>
      <c r="P806" s="5"/>
    </row>
    <row r="807" spans="2:16" ht="13.2" x14ac:dyDescent="0.25">
      <c r="B807" s="18"/>
      <c r="C807" s="19"/>
      <c r="D807" s="19"/>
      <c r="O807" s="5"/>
      <c r="P807" s="5"/>
    </row>
    <row r="808" spans="2:16" ht="13.2" x14ac:dyDescent="0.25">
      <c r="B808" s="18"/>
      <c r="C808" s="19"/>
      <c r="D808" s="19"/>
      <c r="O808" s="5"/>
      <c r="P808" s="5"/>
    </row>
    <row r="809" spans="2:16" ht="13.2" x14ac:dyDescent="0.25">
      <c r="B809" s="18"/>
      <c r="C809" s="19"/>
      <c r="D809" s="19"/>
      <c r="O809" s="5"/>
      <c r="P809" s="5"/>
    </row>
    <row r="810" spans="2:16" ht="13.2" x14ac:dyDescent="0.25">
      <c r="B810" s="18"/>
      <c r="C810" s="19"/>
      <c r="D810" s="19"/>
      <c r="O810" s="5"/>
      <c r="P810" s="5"/>
    </row>
    <row r="811" spans="2:16" ht="13.2" x14ac:dyDescent="0.25">
      <c r="B811" s="18"/>
      <c r="C811" s="19"/>
      <c r="D811" s="19"/>
      <c r="O811" s="5"/>
      <c r="P811" s="5"/>
    </row>
    <row r="812" spans="2:16" ht="13.2" x14ac:dyDescent="0.25">
      <c r="B812" s="18"/>
      <c r="C812" s="19"/>
      <c r="D812" s="19"/>
      <c r="O812" s="5"/>
      <c r="P812" s="5"/>
    </row>
    <row r="813" spans="2:16" ht="13.2" x14ac:dyDescent="0.25">
      <c r="B813" s="18"/>
      <c r="C813" s="19"/>
      <c r="D813" s="19"/>
      <c r="O813" s="5"/>
      <c r="P813" s="5"/>
    </row>
    <row r="814" spans="2:16" ht="13.2" x14ac:dyDescent="0.25">
      <c r="B814" s="18"/>
      <c r="C814" s="19"/>
      <c r="D814" s="19"/>
      <c r="O814" s="5"/>
      <c r="P814" s="5"/>
    </row>
    <row r="815" spans="2:16" ht="13.2" x14ac:dyDescent="0.25">
      <c r="B815" s="18"/>
      <c r="C815" s="19"/>
      <c r="D815" s="19"/>
      <c r="O815" s="5"/>
      <c r="P815" s="5"/>
    </row>
    <row r="816" spans="2:16" ht="13.2" x14ac:dyDescent="0.25">
      <c r="B816" s="18"/>
      <c r="C816" s="19"/>
      <c r="D816" s="19"/>
      <c r="O816" s="5"/>
      <c r="P816" s="5"/>
    </row>
    <row r="817" spans="2:16" ht="13.2" x14ac:dyDescent="0.25">
      <c r="B817" s="18"/>
      <c r="C817" s="19"/>
      <c r="D817" s="19"/>
      <c r="O817" s="5"/>
      <c r="P817" s="5"/>
    </row>
    <row r="818" spans="2:16" ht="13.2" x14ac:dyDescent="0.25">
      <c r="B818" s="18"/>
      <c r="C818" s="19"/>
      <c r="D818" s="19"/>
      <c r="O818" s="5"/>
      <c r="P818" s="5"/>
    </row>
    <row r="819" spans="2:16" ht="13.2" x14ac:dyDescent="0.25">
      <c r="B819" s="18"/>
      <c r="C819" s="19"/>
      <c r="D819" s="19"/>
      <c r="O819" s="5"/>
      <c r="P819" s="5"/>
    </row>
    <row r="820" spans="2:16" ht="13.2" x14ac:dyDescent="0.25">
      <c r="B820" s="18"/>
      <c r="C820" s="19"/>
      <c r="D820" s="19"/>
      <c r="O820" s="5"/>
      <c r="P820" s="5"/>
    </row>
    <row r="821" spans="2:16" ht="13.2" x14ac:dyDescent="0.25">
      <c r="B821" s="18"/>
      <c r="C821" s="19"/>
      <c r="D821" s="19"/>
      <c r="O821" s="5"/>
      <c r="P821" s="5"/>
    </row>
    <row r="822" spans="2:16" ht="13.2" x14ac:dyDescent="0.25">
      <c r="B822" s="18"/>
      <c r="C822" s="19"/>
      <c r="D822" s="19"/>
      <c r="O822" s="5"/>
      <c r="P822" s="5"/>
    </row>
    <row r="823" spans="2:16" ht="13.2" x14ac:dyDescent="0.25">
      <c r="B823" s="18"/>
      <c r="C823" s="19"/>
      <c r="D823" s="19"/>
      <c r="O823" s="5"/>
      <c r="P823" s="5"/>
    </row>
    <row r="824" spans="2:16" ht="13.2" x14ac:dyDescent="0.25">
      <c r="B824" s="18"/>
      <c r="C824" s="19"/>
      <c r="D824" s="19"/>
      <c r="O824" s="5"/>
      <c r="P824" s="5"/>
    </row>
    <row r="825" spans="2:16" ht="13.2" x14ac:dyDescent="0.25">
      <c r="B825" s="18"/>
      <c r="C825" s="19"/>
      <c r="D825" s="19"/>
      <c r="O825" s="5"/>
      <c r="P825" s="5"/>
    </row>
    <row r="826" spans="2:16" ht="13.2" x14ac:dyDescent="0.25">
      <c r="B826" s="18"/>
      <c r="C826" s="19"/>
      <c r="D826" s="19"/>
      <c r="O826" s="5"/>
      <c r="P826" s="5"/>
    </row>
    <row r="827" spans="2:16" ht="13.2" x14ac:dyDescent="0.25">
      <c r="B827" s="18"/>
      <c r="C827" s="19"/>
      <c r="D827" s="19"/>
      <c r="O827" s="5"/>
      <c r="P827" s="5"/>
    </row>
    <row r="828" spans="2:16" ht="13.2" x14ac:dyDescent="0.25">
      <c r="B828" s="18"/>
      <c r="C828" s="19"/>
      <c r="D828" s="19"/>
      <c r="O828" s="5"/>
      <c r="P828" s="5"/>
    </row>
    <row r="829" spans="2:16" ht="13.2" x14ac:dyDescent="0.25">
      <c r="B829" s="18"/>
      <c r="C829" s="19"/>
      <c r="D829" s="19"/>
      <c r="O829" s="5"/>
      <c r="P829" s="5"/>
    </row>
    <row r="830" spans="2:16" ht="13.2" x14ac:dyDescent="0.25">
      <c r="B830" s="18"/>
      <c r="C830" s="19"/>
      <c r="D830" s="19"/>
      <c r="O830" s="5"/>
      <c r="P830" s="5"/>
    </row>
    <row r="831" spans="2:16" ht="13.2" x14ac:dyDescent="0.25">
      <c r="B831" s="18"/>
      <c r="C831" s="19"/>
      <c r="D831" s="19"/>
      <c r="O831" s="5"/>
      <c r="P831" s="5"/>
    </row>
    <row r="832" spans="2:16" ht="13.2" x14ac:dyDescent="0.25">
      <c r="B832" s="18"/>
      <c r="C832" s="19"/>
      <c r="D832" s="19"/>
      <c r="O832" s="5"/>
      <c r="P832" s="5"/>
    </row>
    <row r="833" spans="2:16" ht="13.2" x14ac:dyDescent="0.25">
      <c r="B833" s="18"/>
      <c r="C833" s="19"/>
      <c r="D833" s="19"/>
      <c r="O833" s="5"/>
      <c r="P833" s="5"/>
    </row>
    <row r="834" spans="2:16" ht="13.2" x14ac:dyDescent="0.25">
      <c r="B834" s="18"/>
      <c r="C834" s="19"/>
      <c r="D834" s="19"/>
      <c r="O834" s="5"/>
      <c r="P834" s="5"/>
    </row>
    <row r="835" spans="2:16" ht="13.2" x14ac:dyDescent="0.25">
      <c r="B835" s="18"/>
      <c r="C835" s="19"/>
      <c r="D835" s="19"/>
      <c r="O835" s="5"/>
      <c r="P835" s="5"/>
    </row>
    <row r="836" spans="2:16" ht="13.2" x14ac:dyDescent="0.25">
      <c r="B836" s="18"/>
      <c r="C836" s="19"/>
      <c r="D836" s="19"/>
      <c r="O836" s="5"/>
      <c r="P836" s="5"/>
    </row>
    <row r="837" spans="2:16" ht="13.2" x14ac:dyDescent="0.25">
      <c r="B837" s="18"/>
      <c r="C837" s="19"/>
      <c r="D837" s="19"/>
      <c r="O837" s="5"/>
      <c r="P837" s="5"/>
    </row>
    <row r="838" spans="2:16" ht="13.2" x14ac:dyDescent="0.25">
      <c r="B838" s="18"/>
      <c r="C838" s="19"/>
      <c r="D838" s="19"/>
      <c r="O838" s="5"/>
      <c r="P838" s="5"/>
    </row>
    <row r="839" spans="2:16" ht="13.2" x14ac:dyDescent="0.25">
      <c r="B839" s="18"/>
      <c r="C839" s="19"/>
      <c r="D839" s="19"/>
      <c r="O839" s="5"/>
      <c r="P839" s="5"/>
    </row>
    <row r="840" spans="2:16" ht="13.2" x14ac:dyDescent="0.25">
      <c r="B840" s="18"/>
      <c r="C840" s="19"/>
      <c r="D840" s="19"/>
      <c r="O840" s="5"/>
      <c r="P840" s="5"/>
    </row>
    <row r="841" spans="2:16" ht="13.2" x14ac:dyDescent="0.25">
      <c r="B841" s="18"/>
      <c r="C841" s="19"/>
      <c r="D841" s="19"/>
      <c r="O841" s="5"/>
      <c r="P841" s="5"/>
    </row>
    <row r="842" spans="2:16" ht="13.2" x14ac:dyDescent="0.25">
      <c r="B842" s="18"/>
      <c r="C842" s="19"/>
      <c r="D842" s="19"/>
      <c r="O842" s="5"/>
      <c r="P842" s="5"/>
    </row>
    <row r="843" spans="2:16" ht="13.2" x14ac:dyDescent="0.25">
      <c r="B843" s="18"/>
      <c r="C843" s="19"/>
      <c r="D843" s="19"/>
      <c r="O843" s="5"/>
      <c r="P843" s="5"/>
    </row>
    <row r="844" spans="2:16" ht="13.2" x14ac:dyDescent="0.25">
      <c r="B844" s="18"/>
      <c r="C844" s="19"/>
      <c r="D844" s="19"/>
      <c r="O844" s="5"/>
      <c r="P844" s="5"/>
    </row>
    <row r="845" spans="2:16" ht="13.2" x14ac:dyDescent="0.25">
      <c r="B845" s="18"/>
      <c r="C845" s="19"/>
      <c r="D845" s="19"/>
      <c r="O845" s="5"/>
      <c r="P845" s="5"/>
    </row>
    <row r="846" spans="2:16" ht="13.2" x14ac:dyDescent="0.25">
      <c r="B846" s="18"/>
      <c r="C846" s="19"/>
      <c r="D846" s="19"/>
      <c r="O846" s="5"/>
      <c r="P846" s="5"/>
    </row>
    <row r="847" spans="2:16" ht="13.2" x14ac:dyDescent="0.25">
      <c r="B847" s="18"/>
      <c r="C847" s="19"/>
      <c r="D847" s="19"/>
      <c r="O847" s="5"/>
      <c r="P847" s="5"/>
    </row>
    <row r="848" spans="2:16" ht="13.2" x14ac:dyDescent="0.25">
      <c r="B848" s="18"/>
      <c r="C848" s="19"/>
      <c r="D848" s="19"/>
      <c r="O848" s="5"/>
      <c r="P848" s="5"/>
    </row>
    <row r="849" spans="2:16" ht="13.2" x14ac:dyDescent="0.25">
      <c r="B849" s="18"/>
      <c r="C849" s="19"/>
      <c r="D849" s="19"/>
      <c r="O849" s="5"/>
      <c r="P849" s="5"/>
    </row>
    <row r="850" spans="2:16" ht="13.2" x14ac:dyDescent="0.25">
      <c r="B850" s="18"/>
      <c r="C850" s="19"/>
      <c r="D850" s="19"/>
      <c r="O850" s="5"/>
      <c r="P850" s="5"/>
    </row>
    <row r="851" spans="2:16" ht="13.2" x14ac:dyDescent="0.25">
      <c r="B851" s="18"/>
      <c r="C851" s="19"/>
      <c r="D851" s="19"/>
      <c r="O851" s="5"/>
      <c r="P851" s="5"/>
    </row>
    <row r="852" spans="2:16" ht="13.2" x14ac:dyDescent="0.25">
      <c r="B852" s="18"/>
      <c r="C852" s="19"/>
      <c r="D852" s="19"/>
      <c r="O852" s="5"/>
      <c r="P852" s="5"/>
    </row>
    <row r="853" spans="2:16" ht="13.2" x14ac:dyDescent="0.25">
      <c r="B853" s="18"/>
      <c r="C853" s="19"/>
      <c r="D853" s="19"/>
      <c r="O853" s="5"/>
      <c r="P853" s="5"/>
    </row>
    <row r="854" spans="2:16" ht="13.2" x14ac:dyDescent="0.25">
      <c r="B854" s="18"/>
      <c r="C854" s="19"/>
      <c r="D854" s="19"/>
      <c r="O854" s="5"/>
      <c r="P854" s="5"/>
    </row>
    <row r="855" spans="2:16" ht="13.2" x14ac:dyDescent="0.25">
      <c r="B855" s="18"/>
      <c r="C855" s="19"/>
      <c r="D855" s="19"/>
      <c r="O855" s="5"/>
      <c r="P855" s="5"/>
    </row>
    <row r="856" spans="2:16" ht="13.2" x14ac:dyDescent="0.25">
      <c r="B856" s="18"/>
      <c r="C856" s="19"/>
      <c r="D856" s="19"/>
      <c r="O856" s="5"/>
      <c r="P856" s="5"/>
    </row>
    <row r="857" spans="2:16" ht="13.2" x14ac:dyDescent="0.25">
      <c r="B857" s="18"/>
      <c r="C857" s="19"/>
      <c r="D857" s="19"/>
      <c r="O857" s="5"/>
      <c r="P857" s="5"/>
    </row>
    <row r="858" spans="2:16" ht="13.2" x14ac:dyDescent="0.25">
      <c r="B858" s="18"/>
      <c r="C858" s="19"/>
      <c r="D858" s="19"/>
      <c r="O858" s="5"/>
      <c r="P858" s="5"/>
    </row>
    <row r="859" spans="2:16" ht="13.2" x14ac:dyDescent="0.25">
      <c r="B859" s="18"/>
      <c r="C859" s="19"/>
      <c r="D859" s="19"/>
      <c r="O859" s="5"/>
      <c r="P859" s="5"/>
    </row>
    <row r="860" spans="2:16" ht="13.2" x14ac:dyDescent="0.25">
      <c r="B860" s="18"/>
      <c r="C860" s="19"/>
      <c r="D860" s="19"/>
      <c r="O860" s="5"/>
      <c r="P860" s="5"/>
    </row>
    <row r="861" spans="2:16" ht="13.2" x14ac:dyDescent="0.25">
      <c r="B861" s="18"/>
      <c r="C861" s="19"/>
      <c r="D861" s="19"/>
      <c r="O861" s="5"/>
      <c r="P861" s="5"/>
    </row>
    <row r="862" spans="2:16" ht="13.2" x14ac:dyDescent="0.25">
      <c r="B862" s="18"/>
      <c r="C862" s="19"/>
      <c r="D862" s="19"/>
      <c r="O862" s="5"/>
      <c r="P862" s="5"/>
    </row>
    <row r="863" spans="2:16" ht="13.2" x14ac:dyDescent="0.25">
      <c r="B863" s="18"/>
      <c r="C863" s="19"/>
      <c r="D863" s="19"/>
      <c r="O863" s="5"/>
      <c r="P863" s="5"/>
    </row>
    <row r="864" spans="2:16" ht="13.2" x14ac:dyDescent="0.25">
      <c r="B864" s="18"/>
      <c r="C864" s="19"/>
      <c r="D864" s="19"/>
      <c r="O864" s="5"/>
      <c r="P864" s="5"/>
    </row>
    <row r="865" spans="2:16" ht="13.2" x14ac:dyDescent="0.25">
      <c r="B865" s="18"/>
      <c r="C865" s="19"/>
      <c r="D865" s="19"/>
      <c r="O865" s="5"/>
      <c r="P865" s="5"/>
    </row>
    <row r="866" spans="2:16" ht="13.2" x14ac:dyDescent="0.25">
      <c r="B866" s="18"/>
      <c r="C866" s="19"/>
      <c r="D866" s="19"/>
      <c r="O866" s="5"/>
      <c r="P866" s="5"/>
    </row>
    <row r="867" spans="2:16" ht="13.2" x14ac:dyDescent="0.25">
      <c r="B867" s="18"/>
      <c r="C867" s="19"/>
      <c r="D867" s="19"/>
      <c r="O867" s="5"/>
      <c r="P867" s="5"/>
    </row>
    <row r="868" spans="2:16" ht="13.2" x14ac:dyDescent="0.25">
      <c r="B868" s="18"/>
      <c r="C868" s="19"/>
      <c r="D868" s="19"/>
      <c r="O868" s="5"/>
      <c r="P868" s="5"/>
    </row>
    <row r="869" spans="2:16" ht="13.2" x14ac:dyDescent="0.25">
      <c r="B869" s="18"/>
      <c r="C869" s="19"/>
      <c r="D869" s="19"/>
      <c r="O869" s="5"/>
      <c r="P869" s="5"/>
    </row>
    <row r="870" spans="2:16" ht="13.2" x14ac:dyDescent="0.25">
      <c r="B870" s="18"/>
      <c r="C870" s="19"/>
      <c r="D870" s="19"/>
      <c r="O870" s="5"/>
      <c r="P870" s="5"/>
    </row>
    <row r="871" spans="2:16" ht="13.2" x14ac:dyDescent="0.25">
      <c r="B871" s="18"/>
      <c r="C871" s="19"/>
      <c r="D871" s="19"/>
      <c r="O871" s="5"/>
      <c r="P871" s="5"/>
    </row>
    <row r="872" spans="2:16" ht="13.2" x14ac:dyDescent="0.25">
      <c r="B872" s="18"/>
      <c r="C872" s="19"/>
      <c r="D872" s="19"/>
      <c r="O872" s="5"/>
      <c r="P872" s="5"/>
    </row>
    <row r="873" spans="2:16" ht="13.2" x14ac:dyDescent="0.25">
      <c r="B873" s="18"/>
      <c r="C873" s="19"/>
      <c r="D873" s="19"/>
      <c r="O873" s="5"/>
      <c r="P873" s="5"/>
    </row>
    <row r="874" spans="2:16" ht="13.2" x14ac:dyDescent="0.25">
      <c r="B874" s="18"/>
      <c r="C874" s="19"/>
      <c r="D874" s="19"/>
      <c r="O874" s="5"/>
      <c r="P874" s="5"/>
    </row>
    <row r="875" spans="2:16" ht="13.2" x14ac:dyDescent="0.25">
      <c r="B875" s="18"/>
      <c r="C875" s="19"/>
      <c r="D875" s="19"/>
      <c r="O875" s="5"/>
      <c r="P875" s="5"/>
    </row>
    <row r="876" spans="2:16" ht="13.2" x14ac:dyDescent="0.25">
      <c r="B876" s="18"/>
      <c r="C876" s="19"/>
      <c r="D876" s="19"/>
      <c r="O876" s="5"/>
      <c r="P876" s="5"/>
    </row>
    <row r="877" spans="2:16" ht="13.2" x14ac:dyDescent="0.25">
      <c r="B877" s="18"/>
      <c r="C877" s="19"/>
      <c r="D877" s="19"/>
      <c r="O877" s="5"/>
      <c r="P877" s="5"/>
    </row>
    <row r="878" spans="2:16" ht="13.2" x14ac:dyDescent="0.25">
      <c r="B878" s="18"/>
      <c r="C878" s="19"/>
      <c r="D878" s="19"/>
      <c r="O878" s="5"/>
      <c r="P878" s="5"/>
    </row>
    <row r="879" spans="2:16" ht="13.2" x14ac:dyDescent="0.25">
      <c r="B879" s="18"/>
      <c r="C879" s="19"/>
      <c r="D879" s="19"/>
      <c r="O879" s="5"/>
      <c r="P879" s="5"/>
    </row>
    <row r="880" spans="2:16" ht="13.2" x14ac:dyDescent="0.25">
      <c r="B880" s="18"/>
      <c r="C880" s="19"/>
      <c r="D880" s="19"/>
      <c r="O880" s="5"/>
      <c r="P880" s="5"/>
    </row>
    <row r="881" spans="2:16" ht="13.2" x14ac:dyDescent="0.25">
      <c r="B881" s="18"/>
      <c r="C881" s="19"/>
      <c r="D881" s="19"/>
      <c r="O881" s="5"/>
      <c r="P881" s="5"/>
    </row>
    <row r="882" spans="2:16" ht="13.2" x14ac:dyDescent="0.25">
      <c r="B882" s="18"/>
      <c r="C882" s="19"/>
      <c r="D882" s="19"/>
      <c r="O882" s="5"/>
      <c r="P882" s="5"/>
    </row>
    <row r="883" spans="2:16" ht="13.2" x14ac:dyDescent="0.25">
      <c r="B883" s="18"/>
      <c r="C883" s="19"/>
      <c r="D883" s="19"/>
      <c r="O883" s="5"/>
      <c r="P883" s="5"/>
    </row>
    <row r="884" spans="2:16" ht="13.2" x14ac:dyDescent="0.25">
      <c r="B884" s="18"/>
      <c r="C884" s="19"/>
      <c r="D884" s="19"/>
      <c r="O884" s="5"/>
      <c r="P884" s="5"/>
    </row>
    <row r="885" spans="2:16" ht="13.2" x14ac:dyDescent="0.25">
      <c r="B885" s="18"/>
      <c r="C885" s="19"/>
      <c r="D885" s="19"/>
      <c r="O885" s="5"/>
      <c r="P885" s="5"/>
    </row>
    <row r="886" spans="2:16" ht="13.2" x14ac:dyDescent="0.25">
      <c r="B886" s="18"/>
      <c r="C886" s="19"/>
      <c r="D886" s="19"/>
      <c r="O886" s="5"/>
      <c r="P886" s="5"/>
    </row>
    <row r="887" spans="2:16" ht="13.2" x14ac:dyDescent="0.25">
      <c r="B887" s="18"/>
      <c r="C887" s="19"/>
      <c r="D887" s="19"/>
      <c r="O887" s="5"/>
      <c r="P887" s="5"/>
    </row>
    <row r="888" spans="2:16" ht="13.2" x14ac:dyDescent="0.25">
      <c r="B888" s="18"/>
      <c r="C888" s="19"/>
      <c r="D888" s="19"/>
      <c r="O888" s="5"/>
      <c r="P888" s="5"/>
    </row>
    <row r="889" spans="2:16" ht="13.2" x14ac:dyDescent="0.25">
      <c r="B889" s="18"/>
      <c r="C889" s="19"/>
      <c r="D889" s="19"/>
      <c r="O889" s="5"/>
      <c r="P889" s="5"/>
    </row>
    <row r="890" spans="2:16" ht="13.2" x14ac:dyDescent="0.25">
      <c r="B890" s="18"/>
      <c r="C890" s="19"/>
      <c r="D890" s="19"/>
      <c r="O890" s="5"/>
      <c r="P890" s="5"/>
    </row>
    <row r="891" spans="2:16" ht="13.2" x14ac:dyDescent="0.25">
      <c r="B891" s="18"/>
      <c r="C891" s="19"/>
      <c r="D891" s="19"/>
      <c r="O891" s="5"/>
      <c r="P891" s="5"/>
    </row>
    <row r="892" spans="2:16" ht="13.2" x14ac:dyDescent="0.25">
      <c r="B892" s="18"/>
      <c r="C892" s="19"/>
      <c r="D892" s="19"/>
      <c r="O892" s="5"/>
      <c r="P892" s="5"/>
    </row>
    <row r="893" spans="2:16" ht="13.2" x14ac:dyDescent="0.25">
      <c r="B893" s="18"/>
      <c r="C893" s="19"/>
      <c r="D893" s="19"/>
      <c r="O893" s="5"/>
      <c r="P893" s="5"/>
    </row>
    <row r="894" spans="2:16" ht="13.2" x14ac:dyDescent="0.25">
      <c r="B894" s="18"/>
      <c r="C894" s="19"/>
      <c r="D894" s="19"/>
      <c r="O894" s="5"/>
      <c r="P894" s="5"/>
    </row>
    <row r="895" spans="2:16" ht="13.2" x14ac:dyDescent="0.25">
      <c r="B895" s="18"/>
      <c r="C895" s="19"/>
      <c r="D895" s="19"/>
      <c r="O895" s="5"/>
      <c r="P895" s="5"/>
    </row>
    <row r="896" spans="2:16" ht="13.2" x14ac:dyDescent="0.25">
      <c r="B896" s="18"/>
      <c r="C896" s="19"/>
      <c r="D896" s="19"/>
      <c r="O896" s="5"/>
      <c r="P896" s="5"/>
    </row>
    <row r="897" spans="2:16" ht="13.2" x14ac:dyDescent="0.25">
      <c r="B897" s="18"/>
      <c r="C897" s="19"/>
      <c r="D897" s="19"/>
      <c r="O897" s="5"/>
      <c r="P897" s="5"/>
    </row>
    <row r="898" spans="2:16" ht="13.2" x14ac:dyDescent="0.25">
      <c r="B898" s="18"/>
      <c r="C898" s="19"/>
      <c r="D898" s="19"/>
      <c r="O898" s="5"/>
      <c r="P898" s="5"/>
    </row>
    <row r="899" spans="2:16" ht="13.2" x14ac:dyDescent="0.25">
      <c r="B899" s="18"/>
      <c r="C899" s="19"/>
      <c r="D899" s="19"/>
      <c r="O899" s="5"/>
      <c r="P899" s="5"/>
    </row>
    <row r="900" spans="2:16" ht="13.2" x14ac:dyDescent="0.25">
      <c r="B900" s="18"/>
      <c r="C900" s="19"/>
      <c r="D900" s="19"/>
      <c r="O900" s="5"/>
      <c r="P900" s="5"/>
    </row>
    <row r="901" spans="2:16" ht="13.2" x14ac:dyDescent="0.25">
      <c r="B901" s="18"/>
      <c r="C901" s="19"/>
      <c r="D901" s="19"/>
      <c r="O901" s="5"/>
      <c r="P901" s="5"/>
    </row>
    <row r="902" spans="2:16" ht="13.2" x14ac:dyDescent="0.25">
      <c r="B902" s="18"/>
      <c r="C902" s="19"/>
      <c r="D902" s="19"/>
      <c r="O902" s="5"/>
      <c r="P902" s="5"/>
    </row>
    <row r="903" spans="2:16" ht="13.2" x14ac:dyDescent="0.25">
      <c r="B903" s="18"/>
      <c r="C903" s="19"/>
      <c r="D903" s="19"/>
      <c r="O903" s="5"/>
      <c r="P903" s="5"/>
    </row>
    <row r="904" spans="2:16" ht="13.2" x14ac:dyDescent="0.25">
      <c r="B904" s="18"/>
      <c r="C904" s="19"/>
      <c r="D904" s="19"/>
      <c r="O904" s="5"/>
      <c r="P904" s="5"/>
    </row>
    <row r="905" spans="2:16" ht="13.2" x14ac:dyDescent="0.25">
      <c r="B905" s="18"/>
      <c r="C905" s="19"/>
      <c r="D905" s="19"/>
      <c r="O905" s="5"/>
      <c r="P905" s="5"/>
    </row>
    <row r="906" spans="2:16" ht="13.2" x14ac:dyDescent="0.25">
      <c r="B906" s="18"/>
      <c r="C906" s="19"/>
      <c r="D906" s="19"/>
      <c r="O906" s="5"/>
      <c r="P906" s="5"/>
    </row>
    <row r="907" spans="2:16" ht="13.2" x14ac:dyDescent="0.25">
      <c r="B907" s="18"/>
      <c r="C907" s="19"/>
      <c r="D907" s="19"/>
      <c r="O907" s="5"/>
      <c r="P907" s="5"/>
    </row>
    <row r="908" spans="2:16" ht="13.2" x14ac:dyDescent="0.25">
      <c r="B908" s="18"/>
      <c r="C908" s="19"/>
      <c r="D908" s="19"/>
      <c r="O908" s="5"/>
      <c r="P908" s="5"/>
    </row>
    <row r="909" spans="2:16" ht="13.2" x14ac:dyDescent="0.25">
      <c r="B909" s="18"/>
      <c r="C909" s="19"/>
      <c r="D909" s="19"/>
      <c r="O909" s="5"/>
      <c r="P909" s="5"/>
    </row>
    <row r="910" spans="2:16" ht="13.2" x14ac:dyDescent="0.25">
      <c r="B910" s="18"/>
      <c r="C910" s="19"/>
      <c r="D910" s="19"/>
      <c r="O910" s="5"/>
      <c r="P910" s="5"/>
    </row>
    <row r="911" spans="2:16" ht="13.2" x14ac:dyDescent="0.25">
      <c r="B911" s="18"/>
      <c r="C911" s="19"/>
      <c r="D911" s="19"/>
      <c r="O911" s="5"/>
      <c r="P911" s="5"/>
    </row>
    <row r="912" spans="2:16" ht="13.2" x14ac:dyDescent="0.25">
      <c r="B912" s="18"/>
      <c r="C912" s="19"/>
      <c r="D912" s="19"/>
      <c r="O912" s="5"/>
      <c r="P912" s="5"/>
    </row>
    <row r="913" spans="2:16" ht="13.2" x14ac:dyDescent="0.25">
      <c r="B913" s="18"/>
      <c r="C913" s="19"/>
      <c r="D913" s="19"/>
      <c r="O913" s="5"/>
      <c r="P913" s="5"/>
    </row>
    <row r="914" spans="2:16" ht="13.2" x14ac:dyDescent="0.25">
      <c r="B914" s="18"/>
      <c r="C914" s="19"/>
      <c r="D914" s="19"/>
      <c r="O914" s="5"/>
      <c r="P914" s="5"/>
    </row>
    <row r="915" spans="2:16" ht="13.2" x14ac:dyDescent="0.25">
      <c r="B915" s="18"/>
      <c r="C915" s="19"/>
      <c r="D915" s="19"/>
      <c r="O915" s="5"/>
      <c r="P915" s="5"/>
    </row>
    <row r="916" spans="2:16" ht="13.2" x14ac:dyDescent="0.25">
      <c r="B916" s="18"/>
      <c r="C916" s="19"/>
      <c r="D916" s="19"/>
      <c r="O916" s="5"/>
      <c r="P916" s="5"/>
    </row>
    <row r="917" spans="2:16" ht="13.2" x14ac:dyDescent="0.25">
      <c r="B917" s="18"/>
      <c r="C917" s="19"/>
      <c r="D917" s="19"/>
      <c r="O917" s="5"/>
      <c r="P917" s="5"/>
    </row>
    <row r="918" spans="2:16" ht="13.2" x14ac:dyDescent="0.25">
      <c r="B918" s="18"/>
      <c r="C918" s="19"/>
      <c r="D918" s="19"/>
      <c r="O918" s="5"/>
      <c r="P918" s="5"/>
    </row>
    <row r="919" spans="2:16" ht="13.2" x14ac:dyDescent="0.25">
      <c r="B919" s="18"/>
      <c r="C919" s="19"/>
      <c r="D919" s="19"/>
      <c r="O919" s="5"/>
      <c r="P919" s="5"/>
    </row>
    <row r="920" spans="2:16" ht="13.2" x14ac:dyDescent="0.25">
      <c r="B920" s="18"/>
      <c r="C920" s="19"/>
      <c r="D920" s="19"/>
      <c r="O920" s="5"/>
      <c r="P920" s="5"/>
    </row>
    <row r="921" spans="2:16" ht="13.2" x14ac:dyDescent="0.25">
      <c r="B921" s="18"/>
      <c r="C921" s="19"/>
      <c r="D921" s="19"/>
      <c r="O921" s="5"/>
      <c r="P921" s="5"/>
    </row>
    <row r="922" spans="2:16" ht="13.2" x14ac:dyDescent="0.25">
      <c r="B922" s="18"/>
      <c r="C922" s="19"/>
      <c r="D922" s="19"/>
      <c r="O922" s="5"/>
      <c r="P922" s="5"/>
    </row>
    <row r="923" spans="2:16" ht="13.2" x14ac:dyDescent="0.25">
      <c r="B923" s="18"/>
      <c r="C923" s="19"/>
      <c r="D923" s="19"/>
      <c r="O923" s="5"/>
      <c r="P923" s="5"/>
    </row>
    <row r="924" spans="2:16" ht="13.2" x14ac:dyDescent="0.25">
      <c r="B924" s="18"/>
      <c r="C924" s="19"/>
      <c r="D924" s="19"/>
      <c r="O924" s="5"/>
      <c r="P924" s="5"/>
    </row>
    <row r="925" spans="2:16" ht="13.2" x14ac:dyDescent="0.25">
      <c r="B925" s="18"/>
      <c r="C925" s="19"/>
      <c r="D925" s="19"/>
      <c r="O925" s="5"/>
      <c r="P925" s="5"/>
    </row>
    <row r="926" spans="2:16" ht="13.2" x14ac:dyDescent="0.25">
      <c r="B926" s="18"/>
      <c r="C926" s="19"/>
      <c r="D926" s="19"/>
      <c r="O926" s="5"/>
      <c r="P926" s="5"/>
    </row>
    <row r="927" spans="2:16" ht="13.2" x14ac:dyDescent="0.25">
      <c r="B927" s="18"/>
      <c r="C927" s="19"/>
      <c r="D927" s="19"/>
      <c r="O927" s="5"/>
      <c r="P927" s="5"/>
    </row>
    <row r="928" spans="2:16" ht="13.2" x14ac:dyDescent="0.25">
      <c r="B928" s="18"/>
      <c r="C928" s="19"/>
      <c r="D928" s="19"/>
      <c r="O928" s="5"/>
      <c r="P928" s="5"/>
    </row>
    <row r="929" spans="2:16" ht="13.2" x14ac:dyDescent="0.25">
      <c r="B929" s="18"/>
      <c r="C929" s="19"/>
      <c r="D929" s="19"/>
      <c r="O929" s="5"/>
      <c r="P929" s="5"/>
    </row>
    <row r="930" spans="2:16" ht="13.2" x14ac:dyDescent="0.25">
      <c r="B930" s="18"/>
      <c r="C930" s="19"/>
      <c r="D930" s="19"/>
      <c r="O930" s="5"/>
      <c r="P930" s="5"/>
    </row>
    <row r="931" spans="2:16" ht="13.2" x14ac:dyDescent="0.25">
      <c r="B931" s="18"/>
      <c r="C931" s="19"/>
      <c r="D931" s="19"/>
      <c r="O931" s="5"/>
      <c r="P931" s="5"/>
    </row>
    <row r="932" spans="2:16" ht="13.2" x14ac:dyDescent="0.25">
      <c r="B932" s="18"/>
      <c r="C932" s="19"/>
      <c r="D932" s="19"/>
      <c r="O932" s="5"/>
      <c r="P932" s="5"/>
    </row>
    <row r="933" spans="2:16" ht="13.2" x14ac:dyDescent="0.25">
      <c r="B933" s="18"/>
      <c r="C933" s="19"/>
      <c r="D933" s="19"/>
      <c r="O933" s="5"/>
      <c r="P933" s="5"/>
    </row>
    <row r="934" spans="2:16" ht="13.2" x14ac:dyDescent="0.25">
      <c r="B934" s="18"/>
      <c r="C934" s="19"/>
      <c r="D934" s="19"/>
      <c r="O934" s="5"/>
      <c r="P934" s="5"/>
    </row>
    <row r="935" spans="2:16" ht="13.2" x14ac:dyDescent="0.25">
      <c r="B935" s="18"/>
      <c r="C935" s="19"/>
      <c r="D935" s="19"/>
      <c r="O935" s="5"/>
      <c r="P935" s="5"/>
    </row>
    <row r="936" spans="2:16" ht="13.2" x14ac:dyDescent="0.25">
      <c r="B936" s="18"/>
      <c r="C936" s="19"/>
      <c r="D936" s="19"/>
      <c r="O936" s="5"/>
      <c r="P936" s="5"/>
    </row>
    <row r="937" spans="2:16" ht="13.2" x14ac:dyDescent="0.25">
      <c r="B937" s="18"/>
      <c r="C937" s="19"/>
      <c r="D937" s="19"/>
      <c r="O937" s="5"/>
      <c r="P937" s="5"/>
    </row>
    <row r="938" spans="2:16" ht="13.2" x14ac:dyDescent="0.25">
      <c r="B938" s="18"/>
      <c r="C938" s="19"/>
      <c r="D938" s="19"/>
      <c r="O938" s="5"/>
      <c r="P938" s="5"/>
    </row>
    <row r="939" spans="2:16" ht="13.2" x14ac:dyDescent="0.25">
      <c r="B939" s="18"/>
      <c r="C939" s="19"/>
      <c r="D939" s="19"/>
      <c r="O939" s="5"/>
      <c r="P939" s="5"/>
    </row>
    <row r="940" spans="2:16" ht="13.2" x14ac:dyDescent="0.25">
      <c r="B940" s="18"/>
      <c r="C940" s="19"/>
      <c r="D940" s="19"/>
      <c r="O940" s="5"/>
      <c r="P940" s="5"/>
    </row>
    <row r="941" spans="2:16" ht="13.2" x14ac:dyDescent="0.25">
      <c r="B941" s="18"/>
      <c r="C941" s="19"/>
      <c r="D941" s="19"/>
      <c r="O941" s="5"/>
      <c r="P941" s="5"/>
    </row>
    <row r="942" spans="2:16" ht="13.2" x14ac:dyDescent="0.25">
      <c r="B942" s="18"/>
      <c r="C942" s="19"/>
      <c r="D942" s="19"/>
      <c r="O942" s="5"/>
      <c r="P942" s="5"/>
    </row>
    <row r="943" spans="2:16" ht="13.2" x14ac:dyDescent="0.25">
      <c r="B943" s="18"/>
      <c r="C943" s="19"/>
      <c r="D943" s="19"/>
      <c r="O943" s="5"/>
      <c r="P943" s="5"/>
    </row>
    <row r="944" spans="2:16" ht="13.2" x14ac:dyDescent="0.25">
      <c r="B944" s="18"/>
      <c r="C944" s="19"/>
      <c r="D944" s="19"/>
      <c r="O944" s="5"/>
      <c r="P944" s="5"/>
    </row>
    <row r="945" spans="2:16" ht="13.2" x14ac:dyDescent="0.25">
      <c r="B945" s="18"/>
      <c r="C945" s="19"/>
      <c r="D945" s="19"/>
      <c r="O945" s="5"/>
      <c r="P945" s="5"/>
    </row>
    <row r="946" spans="2:16" ht="13.2" x14ac:dyDescent="0.25">
      <c r="B946" s="18"/>
      <c r="C946" s="19"/>
      <c r="D946" s="19"/>
      <c r="O946" s="5"/>
      <c r="P946" s="5"/>
    </row>
    <row r="947" spans="2:16" ht="13.2" x14ac:dyDescent="0.25">
      <c r="B947" s="18"/>
      <c r="C947" s="19"/>
      <c r="D947" s="19"/>
      <c r="O947" s="5"/>
      <c r="P947" s="5"/>
    </row>
    <row r="948" spans="2:16" ht="13.2" x14ac:dyDescent="0.25">
      <c r="B948" s="18"/>
      <c r="C948" s="19"/>
      <c r="D948" s="19"/>
      <c r="O948" s="5"/>
      <c r="P948" s="5"/>
    </row>
    <row r="949" spans="2:16" ht="13.2" x14ac:dyDescent="0.25">
      <c r="B949" s="18"/>
      <c r="C949" s="19"/>
      <c r="D949" s="19"/>
      <c r="O949" s="5"/>
      <c r="P949" s="5"/>
    </row>
    <row r="950" spans="2:16" ht="13.2" x14ac:dyDescent="0.25">
      <c r="B950" s="18"/>
      <c r="C950" s="19"/>
      <c r="D950" s="19"/>
      <c r="O950" s="5"/>
      <c r="P950" s="5"/>
    </row>
    <row r="951" spans="2:16" ht="13.2" x14ac:dyDescent="0.25">
      <c r="B951" s="18"/>
      <c r="C951" s="19"/>
      <c r="D951" s="19"/>
      <c r="O951" s="5"/>
      <c r="P951" s="5"/>
    </row>
    <row r="952" spans="2:16" ht="13.2" x14ac:dyDescent="0.25">
      <c r="B952" s="18"/>
      <c r="C952" s="19"/>
      <c r="D952" s="19"/>
      <c r="O952" s="5"/>
      <c r="P952" s="5"/>
    </row>
    <row r="953" spans="2:16" ht="13.2" x14ac:dyDescent="0.25">
      <c r="B953" s="18"/>
      <c r="C953" s="19"/>
      <c r="D953" s="19"/>
      <c r="O953" s="5"/>
      <c r="P953" s="5"/>
    </row>
    <row r="954" spans="2:16" ht="13.2" x14ac:dyDescent="0.25">
      <c r="B954" s="18"/>
      <c r="C954" s="19"/>
      <c r="D954" s="19"/>
      <c r="O954" s="5"/>
      <c r="P954" s="5"/>
    </row>
    <row r="955" spans="2:16" ht="13.2" x14ac:dyDescent="0.25">
      <c r="B955" s="18"/>
      <c r="C955" s="19"/>
      <c r="D955" s="19"/>
      <c r="O955" s="5"/>
      <c r="P955" s="5"/>
    </row>
    <row r="956" spans="2:16" ht="13.2" x14ac:dyDescent="0.25">
      <c r="B956" s="18"/>
      <c r="C956" s="19"/>
      <c r="D956" s="19"/>
      <c r="O956" s="5"/>
      <c r="P956" s="5"/>
    </row>
    <row r="957" spans="2:16" ht="13.2" x14ac:dyDescent="0.25">
      <c r="B957" s="18"/>
      <c r="C957" s="19"/>
      <c r="D957" s="19"/>
      <c r="O957" s="5"/>
      <c r="P957" s="5"/>
    </row>
    <row r="958" spans="2:16" ht="13.2" x14ac:dyDescent="0.25">
      <c r="B958" s="18"/>
      <c r="C958" s="19"/>
      <c r="D958" s="19"/>
      <c r="O958" s="5"/>
      <c r="P958" s="5"/>
    </row>
    <row r="959" spans="2:16" ht="13.2" x14ac:dyDescent="0.25">
      <c r="B959" s="18"/>
      <c r="C959" s="19"/>
      <c r="D959" s="19"/>
      <c r="O959" s="5"/>
      <c r="P959" s="5"/>
    </row>
    <row r="960" spans="2:16" ht="13.2" x14ac:dyDescent="0.25">
      <c r="B960" s="18"/>
      <c r="C960" s="19"/>
      <c r="D960" s="19"/>
      <c r="O960" s="5"/>
      <c r="P960" s="5"/>
    </row>
    <row r="961" spans="2:16" ht="13.2" x14ac:dyDescent="0.25">
      <c r="B961" s="18"/>
      <c r="C961" s="19"/>
      <c r="D961" s="19"/>
      <c r="O961" s="5"/>
      <c r="P961" s="5"/>
    </row>
    <row r="962" spans="2:16" ht="13.2" x14ac:dyDescent="0.25">
      <c r="B962" s="18"/>
      <c r="C962" s="19"/>
      <c r="D962" s="19"/>
      <c r="O962" s="5"/>
      <c r="P962" s="5"/>
    </row>
    <row r="963" spans="2:16" ht="13.2" x14ac:dyDescent="0.25">
      <c r="B963" s="18"/>
      <c r="C963" s="19"/>
      <c r="D963" s="19"/>
      <c r="O963" s="5"/>
      <c r="P963" s="5"/>
    </row>
    <row r="964" spans="2:16" ht="13.2" x14ac:dyDescent="0.25">
      <c r="B964" s="18"/>
      <c r="C964" s="19"/>
      <c r="D964" s="19"/>
      <c r="O964" s="5"/>
      <c r="P964" s="5"/>
    </row>
    <row r="965" spans="2:16" ht="13.2" x14ac:dyDescent="0.25">
      <c r="B965" s="18"/>
      <c r="C965" s="19"/>
      <c r="D965" s="19"/>
      <c r="O965" s="5"/>
      <c r="P965" s="5"/>
    </row>
    <row r="966" spans="2:16" ht="13.2" x14ac:dyDescent="0.25">
      <c r="B966" s="18"/>
      <c r="C966" s="19"/>
      <c r="D966" s="19"/>
      <c r="O966" s="5"/>
      <c r="P966" s="5"/>
    </row>
    <row r="967" spans="2:16" ht="13.2" x14ac:dyDescent="0.25">
      <c r="B967" s="18"/>
      <c r="C967" s="19"/>
      <c r="D967" s="19"/>
      <c r="O967" s="5"/>
      <c r="P967" s="5"/>
    </row>
    <row r="968" spans="2:16" ht="13.2" x14ac:dyDescent="0.25">
      <c r="B968" s="18"/>
      <c r="C968" s="19"/>
      <c r="D968" s="19"/>
      <c r="O968" s="5"/>
      <c r="P968" s="5"/>
    </row>
    <row r="969" spans="2:16" ht="13.2" x14ac:dyDescent="0.25">
      <c r="B969" s="18"/>
      <c r="C969" s="19"/>
      <c r="D969" s="19"/>
      <c r="O969" s="5"/>
      <c r="P969" s="5"/>
    </row>
    <row r="970" spans="2:16" ht="13.2" x14ac:dyDescent="0.25">
      <c r="B970" s="18"/>
      <c r="C970" s="19"/>
      <c r="D970" s="19"/>
      <c r="O970" s="5"/>
      <c r="P970" s="5"/>
    </row>
    <row r="971" spans="2:16" ht="13.2" x14ac:dyDescent="0.25">
      <c r="B971" s="18"/>
      <c r="C971" s="19"/>
      <c r="D971" s="19"/>
      <c r="O971" s="5"/>
      <c r="P971" s="5"/>
    </row>
    <row r="972" spans="2:16" ht="13.2" x14ac:dyDescent="0.25">
      <c r="B972" s="18"/>
      <c r="C972" s="19"/>
      <c r="D972" s="19"/>
      <c r="O972" s="5"/>
      <c r="P972" s="5"/>
    </row>
    <row r="973" spans="2:16" ht="13.2" x14ac:dyDescent="0.25">
      <c r="B973" s="18"/>
      <c r="C973" s="19"/>
      <c r="D973" s="19"/>
      <c r="O973" s="5"/>
      <c r="P973" s="5"/>
    </row>
    <row r="974" spans="2:16" ht="13.2" x14ac:dyDescent="0.25">
      <c r="B974" s="18"/>
      <c r="C974" s="19"/>
      <c r="D974" s="19"/>
      <c r="O974" s="5"/>
      <c r="P974" s="5"/>
    </row>
    <row r="975" spans="2:16" ht="13.2" x14ac:dyDescent="0.25">
      <c r="B975" s="18"/>
      <c r="C975" s="19"/>
      <c r="D975" s="19"/>
      <c r="O975" s="5"/>
      <c r="P975" s="5"/>
    </row>
    <row r="976" spans="2:16" ht="13.2" x14ac:dyDescent="0.25">
      <c r="B976" s="18"/>
      <c r="C976" s="19"/>
      <c r="D976" s="19"/>
      <c r="O976" s="5"/>
      <c r="P976" s="5"/>
    </row>
    <row r="977" spans="2:16" ht="13.2" x14ac:dyDescent="0.25">
      <c r="B977" s="18"/>
      <c r="C977" s="19"/>
      <c r="D977" s="19"/>
      <c r="O977" s="5"/>
      <c r="P977" s="5"/>
    </row>
    <row r="978" spans="2:16" ht="13.2" x14ac:dyDescent="0.25">
      <c r="B978" s="18"/>
      <c r="C978" s="19"/>
      <c r="D978" s="19"/>
      <c r="O978" s="5"/>
      <c r="P978" s="5"/>
    </row>
    <row r="979" spans="2:16" ht="13.2" x14ac:dyDescent="0.25">
      <c r="B979" s="18"/>
      <c r="C979" s="19"/>
      <c r="D979" s="19"/>
      <c r="O979" s="5"/>
      <c r="P979" s="5"/>
    </row>
    <row r="980" spans="2:16" ht="13.2" x14ac:dyDescent="0.25">
      <c r="B980" s="18"/>
      <c r="C980" s="19"/>
      <c r="D980" s="19"/>
      <c r="O980" s="5"/>
      <c r="P980" s="5"/>
    </row>
    <row r="981" spans="2:16" ht="13.2" x14ac:dyDescent="0.25">
      <c r="B981" s="18"/>
      <c r="C981" s="19"/>
      <c r="D981" s="19"/>
      <c r="O981" s="5"/>
      <c r="P981" s="5"/>
    </row>
    <row r="982" spans="2:16" ht="13.2" x14ac:dyDescent="0.25">
      <c r="B982" s="18"/>
      <c r="C982" s="19"/>
      <c r="D982" s="19"/>
      <c r="O982" s="5"/>
      <c r="P982" s="5"/>
    </row>
    <row r="983" spans="2:16" ht="13.2" x14ac:dyDescent="0.25">
      <c r="B983" s="18"/>
      <c r="C983" s="19"/>
      <c r="D983" s="19"/>
      <c r="O983" s="5"/>
      <c r="P983" s="5"/>
    </row>
    <row r="984" spans="2:16" ht="13.2" x14ac:dyDescent="0.25">
      <c r="B984" s="18"/>
      <c r="C984" s="19"/>
      <c r="D984" s="19"/>
      <c r="O984" s="5"/>
      <c r="P984" s="5"/>
    </row>
    <row r="985" spans="2:16" ht="13.2" x14ac:dyDescent="0.25">
      <c r="B985" s="18"/>
      <c r="C985" s="19"/>
      <c r="D985" s="19"/>
      <c r="O985" s="5"/>
      <c r="P985" s="5"/>
    </row>
    <row r="986" spans="2:16" ht="13.2" x14ac:dyDescent="0.25">
      <c r="B986" s="18"/>
      <c r="C986" s="19"/>
      <c r="D986" s="19"/>
      <c r="O986" s="5"/>
      <c r="P986" s="5"/>
    </row>
    <row r="987" spans="2:16" ht="13.2" x14ac:dyDescent="0.25">
      <c r="B987" s="18"/>
      <c r="C987" s="19"/>
      <c r="D987" s="19"/>
      <c r="O987" s="5"/>
      <c r="P987" s="5"/>
    </row>
    <row r="988" spans="2:16" ht="13.2" x14ac:dyDescent="0.25">
      <c r="B988" s="18"/>
      <c r="C988" s="19"/>
      <c r="D988" s="19"/>
      <c r="O988" s="5"/>
      <c r="P988" s="5"/>
    </row>
    <row r="989" spans="2:16" ht="13.2" x14ac:dyDescent="0.25">
      <c r="B989" s="18"/>
      <c r="C989" s="19"/>
      <c r="D989" s="19"/>
      <c r="O989" s="5"/>
      <c r="P989" s="5"/>
    </row>
    <row r="990" spans="2:16" ht="13.2" x14ac:dyDescent="0.25">
      <c r="B990" s="18"/>
      <c r="C990" s="19"/>
      <c r="D990" s="19"/>
      <c r="O990" s="5"/>
      <c r="P990" s="5"/>
    </row>
    <row r="991" spans="2:16" ht="13.2" x14ac:dyDescent="0.25">
      <c r="B991" s="18"/>
      <c r="C991" s="19"/>
      <c r="D991" s="19"/>
      <c r="O991" s="5"/>
      <c r="P991" s="5"/>
    </row>
    <row r="992" spans="2:16" ht="13.2" x14ac:dyDescent="0.25">
      <c r="B992" s="18"/>
      <c r="C992" s="19"/>
      <c r="D992" s="19"/>
      <c r="O992" s="5"/>
      <c r="P992" s="5"/>
    </row>
    <row r="993" spans="2:16" ht="13.2" x14ac:dyDescent="0.25">
      <c r="B993" s="18"/>
      <c r="C993" s="19"/>
      <c r="D993" s="19"/>
      <c r="O993" s="5"/>
      <c r="P993" s="5"/>
    </row>
    <row r="994" spans="2:16" ht="13.2" x14ac:dyDescent="0.25">
      <c r="B994" s="18"/>
      <c r="C994" s="19"/>
      <c r="D994" s="19"/>
      <c r="O994" s="5"/>
      <c r="P994" s="5"/>
    </row>
    <row r="995" spans="2:16" ht="13.2" x14ac:dyDescent="0.25">
      <c r="B995" s="18"/>
      <c r="C995" s="19"/>
      <c r="D995" s="19"/>
      <c r="O995" s="5"/>
      <c r="P995" s="5"/>
    </row>
    <row r="996" spans="2:16" ht="13.2" x14ac:dyDescent="0.25">
      <c r="B996" s="18"/>
      <c r="C996" s="19"/>
      <c r="D996" s="19"/>
      <c r="O996" s="5"/>
      <c r="P996" s="5"/>
    </row>
    <row r="997" spans="2:16" ht="13.2" x14ac:dyDescent="0.25">
      <c r="B997" s="18"/>
      <c r="C997" s="19"/>
      <c r="D997" s="19"/>
      <c r="O997" s="5"/>
      <c r="P997" s="5"/>
    </row>
    <row r="998" spans="2:16" ht="13.2" x14ac:dyDescent="0.25">
      <c r="B998" s="18"/>
      <c r="C998" s="19"/>
      <c r="D998" s="19"/>
      <c r="O998" s="5"/>
      <c r="P998" s="5"/>
    </row>
    <row r="999" spans="2:16" ht="13.2" x14ac:dyDescent="0.25">
      <c r="B999" s="18"/>
      <c r="C999" s="19"/>
      <c r="D999" s="19"/>
      <c r="O999" s="5"/>
      <c r="P999" s="5"/>
    </row>
    <row r="1000" spans="2:16" ht="13.2" x14ac:dyDescent="0.25">
      <c r="B1000" s="18"/>
      <c r="C1000" s="19"/>
      <c r="D1000" s="19"/>
      <c r="O1000" s="5"/>
      <c r="P1000" s="5"/>
    </row>
    <row r="1001" spans="2:16" ht="13.2" x14ac:dyDescent="0.25">
      <c r="B1001" s="18"/>
      <c r="C1001" s="19"/>
      <c r="D1001" s="19"/>
      <c r="O1001" s="5"/>
      <c r="P1001" s="5"/>
    </row>
    <row r="1002" spans="2:16" ht="13.2" x14ac:dyDescent="0.25">
      <c r="B1002" s="18"/>
      <c r="C1002" s="19"/>
      <c r="D1002" s="19"/>
      <c r="O1002" s="5"/>
      <c r="P1002" s="5"/>
    </row>
    <row r="1003" spans="2:16" ht="13.2" x14ac:dyDescent="0.25">
      <c r="B1003" s="18"/>
      <c r="C1003" s="19"/>
      <c r="D1003" s="19"/>
      <c r="O1003" s="5"/>
      <c r="P1003" s="5"/>
    </row>
    <row r="1004" spans="2:16" ht="13.2" x14ac:dyDescent="0.25">
      <c r="B1004" s="18"/>
      <c r="C1004" s="19"/>
      <c r="D1004" s="19"/>
      <c r="O1004" s="5"/>
      <c r="P1004" s="5"/>
    </row>
    <row r="1005" spans="2:16" ht="13.2" x14ac:dyDescent="0.25">
      <c r="B1005" s="18"/>
      <c r="C1005" s="19"/>
      <c r="D1005" s="19"/>
      <c r="O1005" s="5"/>
      <c r="P1005" s="5"/>
    </row>
    <row r="1006" spans="2:16" ht="13.2" x14ac:dyDescent="0.25">
      <c r="B1006" s="18"/>
      <c r="C1006" s="19"/>
      <c r="D1006" s="19"/>
      <c r="O1006" s="5"/>
      <c r="P1006" s="5"/>
    </row>
    <row r="1007" spans="2:16" ht="13.2" x14ac:dyDescent="0.25">
      <c r="B1007" s="18"/>
      <c r="C1007" s="19"/>
      <c r="D1007" s="19"/>
      <c r="O1007" s="5"/>
      <c r="P1007" s="5"/>
    </row>
    <row r="1008" spans="2:16" ht="13.2" x14ac:dyDescent="0.25">
      <c r="B1008" s="18"/>
      <c r="C1008" s="19"/>
      <c r="D1008" s="19"/>
      <c r="O1008" s="5"/>
      <c r="P1008" s="5"/>
    </row>
    <row r="1009" spans="2:16" ht="13.2" x14ac:dyDescent="0.25">
      <c r="B1009" s="18"/>
      <c r="C1009" s="19"/>
      <c r="D1009" s="19"/>
      <c r="O1009" s="5"/>
      <c r="P1009" s="5"/>
    </row>
    <row r="1010" spans="2:16" ht="13.2" x14ac:dyDescent="0.25">
      <c r="B1010" s="18"/>
      <c r="C1010" s="19"/>
      <c r="D1010" s="19"/>
      <c r="O1010" s="5"/>
      <c r="P1010" s="5"/>
    </row>
    <row r="1011" spans="2:16" ht="13.2" x14ac:dyDescent="0.25">
      <c r="B1011" s="18"/>
      <c r="C1011" s="19"/>
      <c r="D1011" s="19"/>
      <c r="O1011" s="5"/>
      <c r="P1011" s="5"/>
    </row>
    <row r="1012" spans="2:16" ht="13.2" x14ac:dyDescent="0.25">
      <c r="B1012" s="18"/>
      <c r="C1012" s="19"/>
      <c r="D1012" s="19"/>
      <c r="O1012" s="5"/>
      <c r="P1012" s="5"/>
    </row>
    <row r="1013" spans="2:16" ht="13.2" x14ac:dyDescent="0.25">
      <c r="B1013" s="18"/>
      <c r="C1013" s="19"/>
      <c r="D1013" s="19"/>
      <c r="O1013" s="5"/>
      <c r="P1013" s="5"/>
    </row>
    <row r="1014" spans="2:16" ht="13.2" x14ac:dyDescent="0.25">
      <c r="B1014" s="18"/>
      <c r="C1014" s="19"/>
      <c r="D1014" s="19"/>
      <c r="O1014" s="5"/>
      <c r="P1014" s="5"/>
    </row>
    <row r="1015" spans="2:16" ht="13.2" x14ac:dyDescent="0.25">
      <c r="B1015" s="18"/>
      <c r="C1015" s="19"/>
      <c r="D1015" s="19"/>
      <c r="O1015" s="5"/>
      <c r="P1015" s="5"/>
    </row>
    <row r="1016" spans="2:16" ht="13.2" x14ac:dyDescent="0.25">
      <c r="B1016" s="18"/>
      <c r="C1016" s="19"/>
      <c r="D1016" s="19"/>
      <c r="O1016" s="5"/>
      <c r="P1016" s="5"/>
    </row>
    <row r="1017" spans="2:16" ht="13.2" x14ac:dyDescent="0.25">
      <c r="B1017" s="18"/>
      <c r="C1017" s="19"/>
      <c r="D1017" s="19"/>
      <c r="O1017" s="5"/>
      <c r="P1017" s="5"/>
    </row>
    <row r="1018" spans="2:16" ht="13.2" x14ac:dyDescent="0.25">
      <c r="B1018" s="18"/>
      <c r="C1018" s="19"/>
      <c r="D1018" s="19"/>
      <c r="O1018" s="5"/>
      <c r="P1018" s="5"/>
    </row>
    <row r="1019" spans="2:16" ht="13.2" x14ac:dyDescent="0.25">
      <c r="B1019" s="18"/>
      <c r="C1019" s="19"/>
      <c r="D1019" s="19"/>
      <c r="O1019" s="5"/>
      <c r="P1019" s="5"/>
    </row>
    <row r="1020" spans="2:16" ht="13.2" x14ac:dyDescent="0.25">
      <c r="B1020" s="18"/>
      <c r="C1020" s="19"/>
      <c r="D1020" s="19"/>
      <c r="O1020" s="5"/>
      <c r="P1020" s="5"/>
    </row>
    <row r="1021" spans="2:16" ht="13.2" x14ac:dyDescent="0.25">
      <c r="B1021" s="18"/>
      <c r="C1021" s="19"/>
      <c r="D1021" s="19"/>
      <c r="O1021" s="5"/>
      <c r="P1021" s="5"/>
    </row>
    <row r="1022" spans="2:16" ht="13.2" x14ac:dyDescent="0.25">
      <c r="B1022" s="18"/>
      <c r="C1022" s="19"/>
      <c r="D1022" s="19"/>
      <c r="O1022" s="5"/>
      <c r="P1022" s="5"/>
    </row>
    <row r="1023" spans="2:16" ht="13.2" x14ac:dyDescent="0.25">
      <c r="B1023" s="18"/>
      <c r="C1023" s="19"/>
      <c r="D1023" s="19"/>
      <c r="O1023" s="5"/>
      <c r="P1023" s="5"/>
    </row>
    <row r="1024" spans="2:16" ht="13.2" x14ac:dyDescent="0.25">
      <c r="B1024" s="18"/>
      <c r="C1024" s="19"/>
      <c r="D1024" s="19"/>
      <c r="O1024" s="5"/>
      <c r="P1024" s="5"/>
    </row>
    <row r="1025" spans="2:16" ht="13.2" x14ac:dyDescent="0.25">
      <c r="B1025" s="18"/>
      <c r="C1025" s="19"/>
      <c r="D1025" s="19"/>
      <c r="O1025" s="5"/>
      <c r="P1025" s="5"/>
    </row>
    <row r="1026" spans="2:16" ht="13.2" x14ac:dyDescent="0.25">
      <c r="B1026" s="18"/>
      <c r="C1026" s="19"/>
      <c r="D1026" s="19"/>
      <c r="O1026" s="5"/>
      <c r="P1026" s="5"/>
    </row>
    <row r="1027" spans="2:16" ht="13.2" x14ac:dyDescent="0.25">
      <c r="B1027" s="18"/>
      <c r="C1027" s="19"/>
      <c r="D1027" s="19"/>
      <c r="O1027" s="5"/>
      <c r="P1027" s="5"/>
    </row>
    <row r="1028" spans="2:16" ht="13.2" x14ac:dyDescent="0.25">
      <c r="B1028" s="18"/>
      <c r="C1028" s="19"/>
      <c r="D1028" s="19"/>
      <c r="O1028" s="5"/>
      <c r="P1028" s="5"/>
    </row>
    <row r="1029" spans="2:16" ht="13.2" x14ac:dyDescent="0.25">
      <c r="B1029" s="18"/>
      <c r="C1029" s="19"/>
      <c r="D1029" s="19"/>
      <c r="O1029" s="5"/>
      <c r="P1029" s="5"/>
    </row>
    <row r="1030" spans="2:16" ht="13.2" x14ac:dyDescent="0.25">
      <c r="B1030" s="18"/>
      <c r="C1030" s="19"/>
      <c r="D1030" s="19"/>
      <c r="O1030" s="5"/>
      <c r="P1030" s="5"/>
    </row>
    <row r="1031" spans="2:16" ht="13.2" x14ac:dyDescent="0.25">
      <c r="B1031" s="18"/>
      <c r="C1031" s="19"/>
      <c r="D1031" s="19"/>
      <c r="O1031" s="5"/>
      <c r="P1031" s="5"/>
    </row>
    <row r="1032" spans="2:16" ht="13.2" x14ac:dyDescent="0.25">
      <c r="B1032" s="18"/>
      <c r="C1032" s="19"/>
      <c r="D1032" s="19"/>
      <c r="O1032" s="5"/>
      <c r="P1032" s="5"/>
    </row>
    <row r="1033" spans="2:16" ht="13.2" x14ac:dyDescent="0.25">
      <c r="B1033" s="18"/>
      <c r="C1033" s="19"/>
      <c r="D1033" s="19"/>
      <c r="O1033" s="5"/>
      <c r="P1033" s="5"/>
    </row>
    <row r="1034" spans="2:16" ht="13.2" x14ac:dyDescent="0.25">
      <c r="B1034" s="18"/>
      <c r="C1034" s="19"/>
      <c r="D1034" s="19"/>
      <c r="O1034" s="5"/>
      <c r="P1034" s="5"/>
    </row>
    <row r="1035" spans="2:16" ht="13.2" x14ac:dyDescent="0.25">
      <c r="B1035" s="18"/>
      <c r="C1035" s="19"/>
      <c r="D1035" s="19"/>
      <c r="O1035" s="5"/>
      <c r="P1035" s="5"/>
    </row>
    <row r="1036" spans="2:16" ht="13.2" x14ac:dyDescent="0.25">
      <c r="B1036" s="18"/>
      <c r="C1036" s="19"/>
      <c r="D1036" s="19"/>
      <c r="O1036" s="5"/>
      <c r="P1036" s="5"/>
    </row>
    <row r="1037" spans="2:16" ht="13.2" x14ac:dyDescent="0.25">
      <c r="B1037" s="18"/>
      <c r="C1037" s="19"/>
      <c r="D1037" s="19"/>
      <c r="O1037" s="5"/>
      <c r="P1037" s="5"/>
    </row>
    <row r="1038" spans="2:16" ht="13.2" x14ac:dyDescent="0.25">
      <c r="B1038" s="18"/>
      <c r="C1038" s="19"/>
      <c r="D1038" s="19"/>
      <c r="O1038" s="5"/>
      <c r="P1038" s="5"/>
    </row>
    <row r="1039" spans="2:16" ht="13.2" x14ac:dyDescent="0.25">
      <c r="B1039" s="18"/>
      <c r="C1039" s="19"/>
      <c r="D1039" s="19"/>
      <c r="O1039" s="5"/>
      <c r="P1039" s="5"/>
    </row>
    <row r="1040" spans="2:16" ht="13.2" x14ac:dyDescent="0.25">
      <c r="B1040" s="18"/>
      <c r="C1040" s="19"/>
      <c r="D1040" s="19"/>
      <c r="O1040" s="5"/>
      <c r="P1040" s="5"/>
    </row>
    <row r="1041" spans="2:16" ht="13.2" x14ac:dyDescent="0.25">
      <c r="B1041" s="18"/>
      <c r="C1041" s="19"/>
      <c r="D1041" s="19"/>
      <c r="O1041" s="5"/>
      <c r="P1041" s="5"/>
    </row>
    <row r="1042" spans="2:16" ht="13.2" x14ac:dyDescent="0.25">
      <c r="B1042" s="18"/>
      <c r="C1042" s="19"/>
      <c r="D1042" s="19"/>
      <c r="O1042" s="5"/>
      <c r="P1042" s="5"/>
    </row>
    <row r="1043" spans="2:16" ht="13.2" x14ac:dyDescent="0.25">
      <c r="B1043" s="18"/>
      <c r="C1043" s="19"/>
      <c r="D1043" s="19"/>
      <c r="O1043" s="5"/>
      <c r="P1043" s="5"/>
    </row>
    <row r="1044" spans="2:16" ht="13.2" x14ac:dyDescent="0.25">
      <c r="B1044" s="18"/>
      <c r="C1044" s="19"/>
      <c r="D1044" s="19"/>
      <c r="O1044" s="5"/>
      <c r="P1044" s="5"/>
    </row>
    <row r="1045" spans="2:16" ht="13.2" x14ac:dyDescent="0.25">
      <c r="B1045" s="18"/>
      <c r="C1045" s="19"/>
      <c r="D1045" s="19"/>
      <c r="O1045" s="5"/>
      <c r="P1045" s="5"/>
    </row>
    <row r="1046" spans="2:16" ht="13.2" x14ac:dyDescent="0.25">
      <c r="B1046" s="18"/>
      <c r="C1046" s="19"/>
      <c r="D1046" s="19"/>
      <c r="O1046" s="5"/>
      <c r="P1046" s="5"/>
    </row>
    <row r="1047" spans="2:16" ht="13.2" x14ac:dyDescent="0.25">
      <c r="B1047" s="18"/>
      <c r="C1047" s="19"/>
      <c r="D1047" s="19"/>
      <c r="O1047" s="5"/>
      <c r="P1047" s="5"/>
    </row>
    <row r="1048" spans="2:16" ht="13.2" x14ac:dyDescent="0.25">
      <c r="B1048" s="18"/>
      <c r="C1048" s="19"/>
      <c r="D1048" s="19"/>
      <c r="O1048" s="5"/>
      <c r="P1048" s="5"/>
    </row>
    <row r="1049" spans="2:16" ht="13.2" x14ac:dyDescent="0.25">
      <c r="B1049" s="18"/>
      <c r="C1049" s="19"/>
      <c r="D1049" s="19"/>
      <c r="O1049" s="5"/>
      <c r="P1049" s="5"/>
    </row>
    <row r="1050" spans="2:16" ht="13.2" x14ac:dyDescent="0.25">
      <c r="B1050" s="18"/>
      <c r="C1050" s="19"/>
      <c r="D1050" s="19"/>
      <c r="O1050" s="5"/>
      <c r="P1050" s="5"/>
    </row>
    <row r="1051" spans="2:16" ht="13.2" x14ac:dyDescent="0.25">
      <c r="B1051" s="18"/>
      <c r="C1051" s="19"/>
      <c r="D1051" s="19"/>
      <c r="O1051" s="5"/>
      <c r="P1051" s="5"/>
    </row>
    <row r="1052" spans="2:16" ht="13.2" x14ac:dyDescent="0.25">
      <c r="B1052" s="18"/>
      <c r="C1052" s="19"/>
      <c r="D1052" s="19"/>
      <c r="O1052" s="5"/>
      <c r="P1052" s="5"/>
    </row>
    <row r="1053" spans="2:16" ht="13.2" x14ac:dyDescent="0.25">
      <c r="B1053" s="18"/>
      <c r="C1053" s="19"/>
      <c r="D1053" s="19"/>
      <c r="O1053" s="5"/>
      <c r="P1053" s="5"/>
    </row>
    <row r="1054" spans="2:16" ht="13.2" x14ac:dyDescent="0.25">
      <c r="B1054" s="18"/>
      <c r="C1054" s="19"/>
      <c r="D1054" s="19"/>
      <c r="O1054" s="5"/>
      <c r="P1054" s="5"/>
    </row>
    <row r="1055" spans="2:16" ht="13.2" x14ac:dyDescent="0.25">
      <c r="B1055" s="18"/>
      <c r="C1055" s="19"/>
      <c r="D1055" s="19"/>
      <c r="O1055" s="5"/>
      <c r="P1055" s="5"/>
    </row>
    <row r="1056" spans="2:16" ht="13.2" x14ac:dyDescent="0.25">
      <c r="B1056" s="18"/>
      <c r="C1056" s="19"/>
      <c r="D1056" s="19"/>
      <c r="O1056" s="5"/>
      <c r="P1056" s="5"/>
    </row>
    <row r="1057" spans="2:16" ht="13.2" x14ac:dyDescent="0.25">
      <c r="B1057" s="18"/>
      <c r="C1057" s="19"/>
      <c r="D1057" s="19"/>
      <c r="O1057" s="5"/>
      <c r="P1057" s="5"/>
    </row>
    <row r="1058" spans="2:16" ht="13.2" x14ac:dyDescent="0.25">
      <c r="B1058" s="18"/>
      <c r="C1058" s="19"/>
      <c r="D1058" s="19"/>
      <c r="O1058" s="5"/>
      <c r="P1058" s="5"/>
    </row>
    <row r="1059" spans="2:16" ht="13.2" x14ac:dyDescent="0.25">
      <c r="B1059" s="18"/>
      <c r="C1059" s="19"/>
      <c r="D1059" s="19"/>
      <c r="O1059" s="5"/>
      <c r="P1059" s="5"/>
    </row>
    <row r="1060" spans="2:16" ht="13.2" x14ac:dyDescent="0.25">
      <c r="B1060" s="18"/>
      <c r="C1060" s="19"/>
      <c r="D1060" s="19"/>
      <c r="O1060" s="5"/>
      <c r="P1060" s="5"/>
    </row>
    <row r="1061" spans="2:16" ht="13.2" x14ac:dyDescent="0.25">
      <c r="B1061" s="18"/>
      <c r="C1061" s="19"/>
      <c r="D1061" s="19"/>
      <c r="O1061" s="5"/>
      <c r="P1061" s="5"/>
    </row>
    <row r="1062" spans="2:16" ht="13.2" x14ac:dyDescent="0.25">
      <c r="B1062" s="18"/>
      <c r="C1062" s="19"/>
      <c r="D1062" s="19"/>
      <c r="O1062" s="5"/>
      <c r="P1062" s="5"/>
    </row>
    <row r="1063" spans="2:16" ht="13.2" x14ac:dyDescent="0.25">
      <c r="B1063" s="18"/>
      <c r="C1063" s="19"/>
      <c r="D1063" s="19"/>
      <c r="O1063" s="5"/>
      <c r="P1063" s="5"/>
    </row>
    <row r="1064" spans="2:16" ht="13.2" x14ac:dyDescent="0.25">
      <c r="B1064" s="18"/>
      <c r="C1064" s="19"/>
      <c r="D1064" s="19"/>
      <c r="O1064" s="5"/>
      <c r="P1064" s="5"/>
    </row>
    <row r="1065" spans="2:16" ht="13.2" x14ac:dyDescent="0.25">
      <c r="B1065" s="18"/>
      <c r="C1065" s="19"/>
      <c r="D1065" s="19"/>
      <c r="O1065" s="5"/>
      <c r="P1065" s="5"/>
    </row>
    <row r="1066" spans="2:16" ht="13.2" x14ac:dyDescent="0.25">
      <c r="B1066" s="18"/>
      <c r="C1066" s="19"/>
      <c r="D1066" s="19"/>
      <c r="O1066" s="5"/>
      <c r="P1066" s="5"/>
    </row>
    <row r="1067" spans="2:16" ht="13.2" x14ac:dyDescent="0.25">
      <c r="B1067" s="18"/>
      <c r="C1067" s="19"/>
      <c r="D1067" s="19"/>
      <c r="O1067" s="5"/>
      <c r="P1067" s="5"/>
    </row>
    <row r="1068" spans="2:16" ht="13.2" x14ac:dyDescent="0.25">
      <c r="B1068" s="18"/>
      <c r="C1068" s="19"/>
      <c r="D1068" s="19"/>
      <c r="O1068" s="5"/>
      <c r="P1068" s="5"/>
    </row>
    <row r="1069" spans="2:16" ht="13.2" x14ac:dyDescent="0.25">
      <c r="B1069" s="18"/>
      <c r="C1069" s="19"/>
      <c r="D1069" s="19"/>
      <c r="O1069" s="5"/>
      <c r="P1069" s="5"/>
    </row>
    <row r="1070" spans="2:16" ht="13.2" x14ac:dyDescent="0.25">
      <c r="B1070" s="18"/>
      <c r="C1070" s="19"/>
      <c r="D1070" s="19"/>
      <c r="O1070" s="5"/>
      <c r="P1070" s="5"/>
    </row>
    <row r="1071" spans="2:16" ht="13.2" x14ac:dyDescent="0.25">
      <c r="B1071" s="18"/>
      <c r="C1071" s="19"/>
      <c r="D1071" s="19"/>
      <c r="O1071" s="5"/>
      <c r="P1071" s="5"/>
    </row>
    <row r="1072" spans="2:16" ht="13.2" x14ac:dyDescent="0.25">
      <c r="B1072" s="18"/>
      <c r="C1072" s="19"/>
      <c r="D1072" s="19"/>
      <c r="O1072" s="5"/>
      <c r="P1072" s="5"/>
    </row>
    <row r="1073" spans="2:16" ht="13.2" x14ac:dyDescent="0.25">
      <c r="B1073" s="18"/>
      <c r="C1073" s="19"/>
      <c r="D1073" s="19"/>
      <c r="O1073" s="5"/>
      <c r="P1073" s="5"/>
    </row>
    <row r="1074" spans="2:16" ht="13.2" x14ac:dyDescent="0.25">
      <c r="B1074" s="18"/>
      <c r="C1074" s="19"/>
      <c r="D1074" s="19"/>
      <c r="O1074" s="5"/>
      <c r="P1074" s="5"/>
    </row>
    <row r="1075" spans="2:16" ht="13.2" x14ac:dyDescent="0.25">
      <c r="B1075" s="18"/>
      <c r="C1075" s="19"/>
      <c r="D1075" s="19"/>
      <c r="O1075" s="5"/>
      <c r="P1075" s="5"/>
    </row>
    <row r="1076" spans="2:16" ht="13.2" x14ac:dyDescent="0.25">
      <c r="B1076" s="18"/>
      <c r="C1076" s="19"/>
      <c r="D1076" s="19"/>
      <c r="O1076" s="5"/>
      <c r="P1076" s="5"/>
    </row>
    <row r="1077" spans="2:16" ht="13.2" x14ac:dyDescent="0.25">
      <c r="B1077" s="18"/>
      <c r="C1077" s="19"/>
      <c r="D1077" s="19"/>
      <c r="O1077" s="5"/>
      <c r="P1077" s="5"/>
    </row>
    <row r="1078" spans="2:16" ht="13.2" x14ac:dyDescent="0.25">
      <c r="B1078" s="18"/>
      <c r="C1078" s="19"/>
      <c r="D1078" s="19"/>
      <c r="O1078" s="5"/>
      <c r="P1078" s="5"/>
    </row>
    <row r="1079" spans="2:16" ht="13.2" x14ac:dyDescent="0.25">
      <c r="B1079" s="18"/>
      <c r="C1079" s="19"/>
      <c r="D1079" s="19"/>
      <c r="O1079" s="5"/>
      <c r="P1079" s="5"/>
    </row>
    <row r="1080" spans="2:16" ht="13.2" x14ac:dyDescent="0.25">
      <c r="B1080" s="18"/>
      <c r="C1080" s="19"/>
      <c r="D1080" s="19"/>
      <c r="O1080" s="5"/>
      <c r="P1080" s="5"/>
    </row>
    <row r="1081" spans="2:16" ht="13.2" x14ac:dyDescent="0.25">
      <c r="B1081" s="18"/>
      <c r="C1081" s="19"/>
      <c r="D1081" s="19"/>
      <c r="O1081" s="5"/>
      <c r="P1081" s="5"/>
    </row>
    <row r="1082" spans="2:16" ht="13.2" x14ac:dyDescent="0.25">
      <c r="B1082" s="18"/>
      <c r="C1082" s="19"/>
      <c r="D1082" s="19"/>
      <c r="O1082" s="5"/>
      <c r="P1082" s="5"/>
    </row>
    <row r="1083" spans="2:16" ht="13.2" x14ac:dyDescent="0.25">
      <c r="B1083" s="18"/>
      <c r="C1083" s="19"/>
      <c r="D1083" s="19"/>
      <c r="O1083" s="5"/>
      <c r="P1083" s="5"/>
    </row>
    <row r="1084" spans="2:16" ht="13.2" x14ac:dyDescent="0.25">
      <c r="B1084" s="18"/>
      <c r="C1084" s="19"/>
      <c r="D1084" s="19"/>
      <c r="O1084" s="5"/>
      <c r="P1084" s="5"/>
    </row>
    <row r="1085" spans="2:16" ht="13.2" x14ac:dyDescent="0.25">
      <c r="B1085" s="18"/>
      <c r="C1085" s="19"/>
      <c r="D1085" s="19"/>
      <c r="O1085" s="5"/>
      <c r="P1085" s="5"/>
    </row>
    <row r="1086" spans="2:16" ht="13.2" x14ac:dyDescent="0.25">
      <c r="B1086" s="18"/>
      <c r="C1086" s="19"/>
      <c r="D1086" s="19"/>
      <c r="O1086" s="5"/>
      <c r="P1086" s="5"/>
    </row>
    <row r="1087" spans="2:16" ht="13.2" x14ac:dyDescent="0.25">
      <c r="B1087" s="18"/>
      <c r="C1087" s="19"/>
      <c r="D1087" s="19"/>
      <c r="O1087" s="5"/>
      <c r="P1087" s="5"/>
    </row>
    <row r="1088" spans="2:16" ht="13.2" x14ac:dyDescent="0.25">
      <c r="B1088" s="18"/>
      <c r="C1088" s="19"/>
      <c r="D1088" s="19"/>
      <c r="O1088" s="5"/>
      <c r="P1088" s="5"/>
    </row>
    <row r="1089" spans="2:16" ht="13.2" x14ac:dyDescent="0.25">
      <c r="B1089" s="18"/>
      <c r="C1089" s="19"/>
      <c r="D1089" s="19"/>
      <c r="O1089" s="5"/>
      <c r="P1089" s="5"/>
    </row>
    <row r="1090" spans="2:16" ht="13.2" x14ac:dyDescent="0.25">
      <c r="B1090" s="18"/>
      <c r="C1090" s="19"/>
      <c r="D1090" s="19"/>
      <c r="O1090" s="5"/>
      <c r="P1090" s="5"/>
    </row>
    <row r="1091" spans="2:16" ht="13.2" x14ac:dyDescent="0.25">
      <c r="B1091" s="18"/>
      <c r="C1091" s="19"/>
      <c r="D1091" s="19"/>
      <c r="O1091" s="5"/>
      <c r="P1091" s="5"/>
    </row>
    <row r="1092" spans="2:16" ht="13.2" x14ac:dyDescent="0.25">
      <c r="B1092" s="18"/>
      <c r="C1092" s="19"/>
      <c r="D1092" s="19"/>
      <c r="O1092" s="5"/>
      <c r="P1092" s="5"/>
    </row>
    <row r="1093" spans="2:16" ht="13.2" x14ac:dyDescent="0.25">
      <c r="B1093" s="18"/>
      <c r="C1093" s="19"/>
      <c r="D1093" s="19"/>
      <c r="O1093" s="5"/>
      <c r="P1093" s="5"/>
    </row>
    <row r="1094" spans="2:16" ht="13.2" x14ac:dyDescent="0.25">
      <c r="B1094" s="18"/>
      <c r="C1094" s="19"/>
      <c r="D1094" s="19"/>
      <c r="O1094" s="5"/>
      <c r="P1094" s="5"/>
    </row>
    <row r="1095" spans="2:16" ht="13.2" x14ac:dyDescent="0.25">
      <c r="B1095" s="18"/>
      <c r="C1095" s="19"/>
      <c r="D1095" s="19"/>
      <c r="O1095" s="5"/>
      <c r="P1095" s="5"/>
    </row>
    <row r="1096" spans="2:16" ht="13.2" x14ac:dyDescent="0.25">
      <c r="B1096" s="18"/>
      <c r="C1096" s="19"/>
      <c r="D1096" s="19"/>
      <c r="O1096" s="5"/>
      <c r="P1096" s="5"/>
    </row>
    <row r="1097" spans="2:16" ht="13.2" x14ac:dyDescent="0.25">
      <c r="B1097" s="18"/>
      <c r="C1097" s="19"/>
      <c r="D1097" s="19"/>
      <c r="O1097" s="5"/>
      <c r="P1097" s="5"/>
    </row>
    <row r="1098" spans="2:16" ht="13.2" x14ac:dyDescent="0.25">
      <c r="B1098" s="18"/>
      <c r="C1098" s="19"/>
      <c r="D1098" s="19"/>
      <c r="O1098" s="5"/>
      <c r="P1098" s="5"/>
    </row>
    <row r="1099" spans="2:16" ht="13.2" x14ac:dyDescent="0.25">
      <c r="B1099" s="18"/>
      <c r="C1099" s="19"/>
      <c r="D1099" s="19"/>
      <c r="O1099" s="5"/>
      <c r="P1099" s="5"/>
    </row>
    <row r="1100" spans="2:16" ht="13.2" x14ac:dyDescent="0.25">
      <c r="B1100" s="18"/>
      <c r="C1100" s="19"/>
      <c r="D1100" s="19"/>
      <c r="O1100" s="5"/>
      <c r="P1100" s="5"/>
    </row>
    <row r="1101" spans="2:16" ht="13.2" x14ac:dyDescent="0.25">
      <c r="B1101" s="18"/>
      <c r="C1101" s="19"/>
      <c r="D1101" s="19"/>
      <c r="O1101" s="5"/>
      <c r="P1101" s="5"/>
    </row>
    <row r="1102" spans="2:16" ht="13.2" x14ac:dyDescent="0.25">
      <c r="B1102" s="18"/>
      <c r="C1102" s="19"/>
      <c r="D1102" s="19"/>
      <c r="O1102" s="5"/>
      <c r="P1102" s="5"/>
    </row>
    <row r="1103" spans="2:16" ht="13.2" x14ac:dyDescent="0.25">
      <c r="B1103" s="18"/>
      <c r="C1103" s="19"/>
      <c r="D1103" s="19"/>
      <c r="O1103" s="5"/>
      <c r="P1103" s="5"/>
    </row>
    <row r="1104" spans="2:16" ht="13.2" x14ac:dyDescent="0.25">
      <c r="B1104" s="18"/>
      <c r="C1104" s="19"/>
      <c r="D1104" s="19"/>
      <c r="O1104" s="5"/>
      <c r="P1104" s="5"/>
    </row>
    <row r="1105" spans="2:16" ht="13.2" x14ac:dyDescent="0.25">
      <c r="B1105" s="18"/>
      <c r="C1105" s="19"/>
      <c r="D1105" s="19"/>
      <c r="O1105" s="5"/>
      <c r="P1105" s="5"/>
    </row>
    <row r="1106" spans="2:16" ht="13.2" x14ac:dyDescent="0.25">
      <c r="B1106" s="18"/>
      <c r="C1106" s="19"/>
      <c r="D1106" s="19"/>
      <c r="O1106" s="5"/>
      <c r="P1106" s="5"/>
    </row>
    <row r="1107" spans="2:16" ht="13.2" x14ac:dyDescent="0.25">
      <c r="B1107" s="18"/>
      <c r="C1107" s="19"/>
      <c r="D1107" s="19"/>
      <c r="O1107" s="5"/>
      <c r="P1107" s="5"/>
    </row>
    <row r="1108" spans="2:16" ht="13.2" x14ac:dyDescent="0.25">
      <c r="B1108" s="18"/>
      <c r="C1108" s="19"/>
      <c r="D1108" s="19"/>
      <c r="O1108" s="5"/>
      <c r="P1108" s="5"/>
    </row>
    <row r="1109" spans="2:16" ht="13.2" x14ac:dyDescent="0.25">
      <c r="B1109" s="18"/>
      <c r="C1109" s="19"/>
      <c r="D1109" s="19"/>
      <c r="O1109" s="5"/>
      <c r="P1109" s="5"/>
    </row>
    <row r="1110" spans="2:16" ht="13.2" x14ac:dyDescent="0.25">
      <c r="B1110" s="18"/>
      <c r="C1110" s="19"/>
      <c r="D1110" s="19"/>
      <c r="O1110" s="5"/>
      <c r="P1110" s="5"/>
    </row>
    <row r="1111" spans="2:16" ht="13.2" x14ac:dyDescent="0.25">
      <c r="B1111" s="18"/>
      <c r="C1111" s="19"/>
      <c r="D1111" s="19"/>
      <c r="O1111" s="5"/>
      <c r="P1111" s="5"/>
    </row>
    <row r="1112" spans="2:16" ht="13.2" x14ac:dyDescent="0.25">
      <c r="B1112" s="18"/>
      <c r="C1112" s="19"/>
      <c r="D1112" s="19"/>
      <c r="O1112" s="5"/>
      <c r="P1112" s="5"/>
    </row>
    <row r="1113" spans="2:16" ht="13.2" x14ac:dyDescent="0.25">
      <c r="B1113" s="18"/>
      <c r="C1113" s="19"/>
      <c r="D1113" s="19"/>
      <c r="O1113" s="5"/>
      <c r="P1113" s="5"/>
    </row>
    <row r="1114" spans="2:16" ht="13.2" x14ac:dyDescent="0.25">
      <c r="B1114" s="18"/>
      <c r="C1114" s="19"/>
      <c r="D1114" s="19"/>
      <c r="O1114" s="5"/>
      <c r="P1114" s="5"/>
    </row>
    <row r="1115" spans="2:16" ht="13.2" x14ac:dyDescent="0.25">
      <c r="B1115" s="18"/>
      <c r="C1115" s="19"/>
      <c r="D1115" s="19"/>
      <c r="O1115" s="5"/>
      <c r="P1115" s="5"/>
    </row>
    <row r="1116" spans="2:16" ht="13.2" x14ac:dyDescent="0.25">
      <c r="B1116" s="18"/>
      <c r="C1116" s="19"/>
      <c r="D1116" s="19"/>
      <c r="O1116" s="5"/>
      <c r="P1116" s="5"/>
    </row>
    <row r="1117" spans="2:16" ht="13.2" x14ac:dyDescent="0.25">
      <c r="B1117" s="18"/>
      <c r="C1117" s="19"/>
      <c r="D1117" s="19"/>
      <c r="O1117" s="5"/>
      <c r="P1117" s="5"/>
    </row>
    <row r="1118" spans="2:16" ht="13.2" x14ac:dyDescent="0.25">
      <c r="B1118" s="18"/>
      <c r="C1118" s="19"/>
      <c r="D1118" s="19"/>
      <c r="O1118" s="5"/>
      <c r="P1118" s="5"/>
    </row>
    <row r="1119" spans="2:16" ht="13.2" x14ac:dyDescent="0.25">
      <c r="B1119" s="18"/>
      <c r="C1119" s="19"/>
      <c r="D1119" s="19"/>
      <c r="O1119" s="5"/>
      <c r="P1119" s="5"/>
    </row>
    <row r="1120" spans="2:16" ht="13.2" x14ac:dyDescent="0.25">
      <c r="B1120" s="18"/>
      <c r="C1120" s="19"/>
      <c r="D1120" s="19"/>
      <c r="O1120" s="5"/>
      <c r="P1120" s="5"/>
    </row>
    <row r="1121" spans="2:16" ht="13.2" x14ac:dyDescent="0.25">
      <c r="B1121" s="18"/>
      <c r="C1121" s="19"/>
      <c r="D1121" s="19"/>
      <c r="O1121" s="5"/>
      <c r="P1121" s="5"/>
    </row>
    <row r="1122" spans="2:16" ht="13.2" x14ac:dyDescent="0.25">
      <c r="B1122" s="18"/>
      <c r="C1122" s="19"/>
      <c r="D1122" s="19"/>
      <c r="O1122" s="5"/>
      <c r="P1122" s="5"/>
    </row>
    <row r="1123" spans="2:16" ht="13.2" x14ac:dyDescent="0.25">
      <c r="B1123" s="18"/>
      <c r="C1123" s="19"/>
      <c r="D1123" s="19"/>
      <c r="O1123" s="5"/>
      <c r="P1123" s="5"/>
    </row>
    <row r="1124" spans="2:16" ht="13.2" x14ac:dyDescent="0.25">
      <c r="B1124" s="18"/>
      <c r="C1124" s="19"/>
      <c r="D1124" s="19"/>
      <c r="O1124" s="5"/>
      <c r="P1124" s="5"/>
    </row>
    <row r="1125" spans="2:16" ht="13.2" x14ac:dyDescent="0.25">
      <c r="B1125" s="18"/>
      <c r="C1125" s="19"/>
      <c r="D1125" s="19"/>
      <c r="O1125" s="5"/>
      <c r="P1125" s="5"/>
    </row>
    <row r="1126" spans="2:16" ht="13.2" x14ac:dyDescent="0.25">
      <c r="B1126" s="18"/>
      <c r="C1126" s="19"/>
      <c r="D1126" s="19"/>
      <c r="O1126" s="5"/>
      <c r="P1126" s="5"/>
    </row>
    <row r="1127" spans="2:16" ht="13.2" x14ac:dyDescent="0.25">
      <c r="B1127" s="18"/>
      <c r="C1127" s="19"/>
      <c r="D1127" s="19"/>
      <c r="O1127" s="5"/>
      <c r="P1127" s="5"/>
    </row>
    <row r="1128" spans="2:16" ht="13.2" x14ac:dyDescent="0.25">
      <c r="B1128" s="18"/>
      <c r="C1128" s="19"/>
      <c r="D1128" s="19"/>
      <c r="O1128" s="5"/>
      <c r="P1128" s="5"/>
    </row>
    <row r="1129" spans="2:16" ht="13.2" x14ac:dyDescent="0.25">
      <c r="B1129" s="18"/>
      <c r="C1129" s="19"/>
      <c r="D1129" s="19"/>
      <c r="O1129" s="5"/>
      <c r="P1129" s="5"/>
    </row>
    <row r="1130" spans="2:16" ht="13.2" x14ac:dyDescent="0.25">
      <c r="B1130" s="18"/>
      <c r="C1130" s="19"/>
      <c r="D1130" s="19"/>
      <c r="O1130" s="5"/>
      <c r="P1130" s="5"/>
    </row>
    <row r="1131" spans="2:16" ht="13.2" x14ac:dyDescent="0.25">
      <c r="B1131" s="18"/>
      <c r="C1131" s="19"/>
      <c r="D1131" s="19"/>
      <c r="O1131" s="5"/>
      <c r="P1131" s="5"/>
    </row>
    <row r="1132" spans="2:16" ht="13.2" x14ac:dyDescent="0.25">
      <c r="B1132" s="18"/>
      <c r="C1132" s="19"/>
      <c r="D1132" s="19"/>
      <c r="O1132" s="5"/>
      <c r="P1132" s="5"/>
    </row>
    <row r="1133" spans="2:16" ht="13.2" x14ac:dyDescent="0.25">
      <c r="B1133" s="18"/>
      <c r="C1133" s="19"/>
      <c r="D1133" s="19"/>
      <c r="O1133" s="5"/>
      <c r="P1133" s="5"/>
    </row>
    <row r="1134" spans="2:16" ht="13.2" x14ac:dyDescent="0.25">
      <c r="B1134" s="18"/>
      <c r="C1134" s="19"/>
      <c r="D1134" s="19"/>
      <c r="O1134" s="5"/>
      <c r="P1134" s="5"/>
    </row>
    <row r="1135" spans="2:16" ht="13.2" x14ac:dyDescent="0.25">
      <c r="B1135" s="18"/>
      <c r="C1135" s="19"/>
      <c r="D1135" s="19"/>
      <c r="O1135" s="5"/>
      <c r="P1135" s="5"/>
    </row>
    <row r="1136" spans="2:16" ht="13.2" x14ac:dyDescent="0.25">
      <c r="B1136" s="18"/>
      <c r="C1136" s="19"/>
      <c r="D1136" s="19"/>
      <c r="O1136" s="5"/>
      <c r="P1136" s="5"/>
    </row>
    <row r="1137" spans="2:16" ht="13.2" x14ac:dyDescent="0.25">
      <c r="B1137" s="18"/>
      <c r="C1137" s="19"/>
      <c r="D1137" s="19"/>
      <c r="O1137" s="5"/>
      <c r="P1137" s="5"/>
    </row>
    <row r="1138" spans="2:16" ht="13.2" x14ac:dyDescent="0.25">
      <c r="B1138" s="18"/>
      <c r="C1138" s="19"/>
      <c r="D1138" s="19"/>
      <c r="O1138" s="5"/>
      <c r="P1138" s="5"/>
    </row>
    <row r="1139" spans="2:16" ht="13.2" x14ac:dyDescent="0.25">
      <c r="B1139" s="18"/>
      <c r="C1139" s="19"/>
      <c r="D1139" s="19"/>
      <c r="O1139" s="5"/>
      <c r="P1139" s="5"/>
    </row>
    <row r="1140" spans="2:16" ht="13.2" x14ac:dyDescent="0.25">
      <c r="B1140" s="18"/>
      <c r="C1140" s="19"/>
      <c r="D1140" s="19"/>
      <c r="O1140" s="5"/>
      <c r="P1140" s="5"/>
    </row>
    <row r="1141" spans="2:16" ht="13.2" x14ac:dyDescent="0.25">
      <c r="B1141" s="18"/>
      <c r="C1141" s="19"/>
      <c r="D1141" s="19"/>
      <c r="O1141" s="5"/>
      <c r="P1141" s="5"/>
    </row>
    <row r="1142" spans="2:16" ht="13.2" x14ac:dyDescent="0.25">
      <c r="B1142" s="18"/>
      <c r="C1142" s="19"/>
      <c r="D1142" s="19"/>
      <c r="O1142" s="5"/>
      <c r="P1142" s="5"/>
    </row>
    <row r="1143" spans="2:16" ht="13.2" x14ac:dyDescent="0.25">
      <c r="B1143" s="18"/>
      <c r="C1143" s="19"/>
      <c r="D1143" s="19"/>
      <c r="O1143" s="5"/>
      <c r="P1143" s="5"/>
    </row>
    <row r="1144" spans="2:16" ht="13.2" x14ac:dyDescent="0.25">
      <c r="B1144" s="18"/>
      <c r="C1144" s="19"/>
      <c r="D1144" s="19"/>
      <c r="O1144" s="5"/>
      <c r="P1144" s="5"/>
    </row>
    <row r="1145" spans="2:16" ht="13.2" x14ac:dyDescent="0.25">
      <c r="B1145" s="18"/>
      <c r="C1145" s="19"/>
      <c r="D1145" s="19"/>
      <c r="O1145" s="5"/>
      <c r="P1145" s="5"/>
    </row>
    <row r="1146" spans="2:16" ht="13.2" x14ac:dyDescent="0.25">
      <c r="B1146" s="18"/>
      <c r="C1146" s="19"/>
      <c r="D1146" s="19"/>
      <c r="O1146" s="5"/>
      <c r="P1146" s="5"/>
    </row>
    <row r="1147" spans="2:16" ht="13.2" x14ac:dyDescent="0.25">
      <c r="B1147" s="18"/>
      <c r="C1147" s="19"/>
      <c r="D1147" s="19"/>
      <c r="O1147" s="5"/>
      <c r="P1147" s="5"/>
    </row>
    <row r="1148" spans="2:16" ht="13.2" x14ac:dyDescent="0.25">
      <c r="B1148" s="18"/>
      <c r="C1148" s="19"/>
      <c r="D1148" s="19"/>
      <c r="O1148" s="5"/>
      <c r="P1148" s="5"/>
    </row>
    <row r="1149" spans="2:16" ht="13.2" x14ac:dyDescent="0.25">
      <c r="B1149" s="18"/>
      <c r="C1149" s="19"/>
      <c r="D1149" s="19"/>
      <c r="O1149" s="5"/>
      <c r="P1149" s="5"/>
    </row>
    <row r="1150" spans="2:16" ht="13.2" x14ac:dyDescent="0.25">
      <c r="B1150" s="18"/>
      <c r="C1150" s="19"/>
      <c r="D1150" s="19"/>
      <c r="O1150" s="5"/>
      <c r="P1150" s="5"/>
    </row>
    <row r="1151" spans="2:16" ht="13.2" x14ac:dyDescent="0.25">
      <c r="B1151" s="18"/>
      <c r="C1151" s="19"/>
      <c r="D1151" s="19"/>
      <c r="O1151" s="5"/>
      <c r="P1151" s="5"/>
    </row>
    <row r="1152" spans="2:16" ht="13.2" x14ac:dyDescent="0.25">
      <c r="B1152" s="18"/>
      <c r="C1152" s="19"/>
      <c r="D1152" s="19"/>
      <c r="O1152" s="5"/>
      <c r="P1152" s="5"/>
    </row>
    <row r="1153" spans="2:16" ht="13.2" x14ac:dyDescent="0.25">
      <c r="B1153" s="18"/>
      <c r="C1153" s="19"/>
      <c r="D1153" s="19"/>
      <c r="O1153" s="5"/>
      <c r="P1153" s="5"/>
    </row>
    <row r="1154" spans="2:16" ht="13.2" x14ac:dyDescent="0.25">
      <c r="B1154" s="18"/>
      <c r="C1154" s="19"/>
      <c r="D1154" s="19"/>
      <c r="O1154" s="5"/>
      <c r="P1154" s="5"/>
    </row>
    <row r="1155" spans="2:16" ht="13.2" x14ac:dyDescent="0.25">
      <c r="B1155" s="18"/>
      <c r="C1155" s="19"/>
      <c r="D1155" s="19"/>
      <c r="O1155" s="5"/>
      <c r="P1155" s="5"/>
    </row>
    <row r="1156" spans="2:16" ht="13.2" x14ac:dyDescent="0.25">
      <c r="B1156" s="18"/>
      <c r="C1156" s="19"/>
      <c r="D1156" s="19"/>
      <c r="O1156" s="5"/>
      <c r="P1156" s="5"/>
    </row>
    <row r="1157" spans="2:16" ht="13.2" x14ac:dyDescent="0.25">
      <c r="B1157" s="18"/>
      <c r="C1157" s="19"/>
      <c r="D1157" s="19"/>
      <c r="O1157" s="5"/>
      <c r="P1157" s="5"/>
    </row>
    <row r="1158" spans="2:16" ht="13.2" x14ac:dyDescent="0.25">
      <c r="B1158" s="18"/>
      <c r="C1158" s="19"/>
      <c r="D1158" s="19"/>
      <c r="O1158" s="5"/>
      <c r="P1158" s="5"/>
    </row>
    <row r="1159" spans="2:16" ht="13.2" x14ac:dyDescent="0.25">
      <c r="B1159" s="18"/>
      <c r="C1159" s="19"/>
      <c r="D1159" s="19"/>
      <c r="O1159" s="5"/>
      <c r="P1159" s="5"/>
    </row>
    <row r="1160" spans="2:16" ht="13.2" x14ac:dyDescent="0.25">
      <c r="B1160" s="18"/>
      <c r="C1160" s="19"/>
      <c r="D1160" s="19"/>
      <c r="O1160" s="5"/>
      <c r="P1160" s="5"/>
    </row>
    <row r="1161" spans="2:16" ht="13.2" x14ac:dyDescent="0.25">
      <c r="B1161" s="18"/>
      <c r="C1161" s="19"/>
      <c r="D1161" s="19"/>
      <c r="O1161" s="5"/>
      <c r="P1161" s="5"/>
    </row>
    <row r="1162" spans="2:16" ht="13.2" x14ac:dyDescent="0.25">
      <c r="B1162" s="18"/>
      <c r="C1162" s="19"/>
      <c r="D1162" s="19"/>
      <c r="O1162" s="5"/>
      <c r="P1162" s="5"/>
    </row>
    <row r="1163" spans="2:16" ht="13.2" x14ac:dyDescent="0.25">
      <c r="B1163" s="18"/>
      <c r="C1163" s="19"/>
      <c r="D1163" s="19"/>
      <c r="O1163" s="5"/>
      <c r="P1163" s="5"/>
    </row>
    <row r="1164" spans="2:16" ht="13.2" x14ac:dyDescent="0.25">
      <c r="B1164" s="18"/>
      <c r="C1164" s="19"/>
      <c r="D1164" s="19"/>
      <c r="O1164" s="5"/>
      <c r="P1164" s="5"/>
    </row>
    <row r="1165" spans="2:16" ht="13.2" x14ac:dyDescent="0.25">
      <c r="B1165" s="18"/>
      <c r="C1165" s="19"/>
      <c r="D1165" s="19"/>
      <c r="O1165" s="5"/>
      <c r="P1165" s="5"/>
    </row>
    <row r="1166" spans="2:16" ht="13.2" x14ac:dyDescent="0.25">
      <c r="B1166" s="18"/>
      <c r="C1166" s="19"/>
      <c r="D1166" s="19"/>
      <c r="O1166" s="5"/>
      <c r="P1166" s="5"/>
    </row>
    <row r="1167" spans="2:16" ht="13.2" x14ac:dyDescent="0.25">
      <c r="B1167" s="18"/>
      <c r="C1167" s="19"/>
      <c r="D1167" s="19"/>
      <c r="O1167" s="5"/>
      <c r="P1167" s="5"/>
    </row>
    <row r="1168" spans="2:16" ht="13.2" x14ac:dyDescent="0.25">
      <c r="B1168" s="18"/>
      <c r="C1168" s="19"/>
      <c r="D1168" s="19"/>
      <c r="O1168" s="5"/>
      <c r="P1168" s="5"/>
    </row>
    <row r="1169" spans="2:16" ht="13.2" x14ac:dyDescent="0.25">
      <c r="B1169" s="18"/>
      <c r="C1169" s="19"/>
      <c r="D1169" s="19"/>
      <c r="O1169" s="5"/>
      <c r="P1169" s="5"/>
    </row>
    <row r="1170" spans="2:16" ht="13.2" x14ac:dyDescent="0.25">
      <c r="B1170" s="18"/>
      <c r="C1170" s="19"/>
      <c r="D1170" s="19"/>
      <c r="O1170" s="5"/>
      <c r="P1170" s="5"/>
    </row>
    <row r="1171" spans="2:16" ht="13.2" x14ac:dyDescent="0.25">
      <c r="B1171" s="18"/>
      <c r="C1171" s="19"/>
      <c r="D1171" s="19"/>
      <c r="O1171" s="5"/>
      <c r="P1171" s="5"/>
    </row>
    <row r="1172" spans="2:16" ht="13.2" x14ac:dyDescent="0.25">
      <c r="B1172" s="18"/>
      <c r="C1172" s="19"/>
      <c r="D1172" s="19"/>
      <c r="O1172" s="5"/>
      <c r="P1172" s="5"/>
    </row>
    <row r="1173" spans="2:16" ht="13.2" x14ac:dyDescent="0.25">
      <c r="B1173" s="18"/>
      <c r="C1173" s="19"/>
      <c r="D1173" s="19"/>
      <c r="O1173" s="5"/>
      <c r="P1173" s="5"/>
    </row>
    <row r="1174" spans="2:16" ht="13.2" x14ac:dyDescent="0.25">
      <c r="B1174" s="18"/>
      <c r="C1174" s="19"/>
      <c r="D1174" s="19"/>
      <c r="O1174" s="5"/>
      <c r="P1174" s="5"/>
    </row>
    <row r="1175" spans="2:16" ht="13.2" x14ac:dyDescent="0.25">
      <c r="B1175" s="18"/>
      <c r="C1175" s="19"/>
      <c r="D1175" s="19"/>
      <c r="O1175" s="5"/>
      <c r="P1175" s="5"/>
    </row>
    <row r="1176" spans="2:16" ht="13.2" x14ac:dyDescent="0.25">
      <c r="B1176" s="18"/>
      <c r="C1176" s="19"/>
      <c r="D1176" s="19"/>
      <c r="O1176" s="5"/>
      <c r="P1176" s="5"/>
    </row>
    <row r="1177" spans="2:16" ht="13.2" x14ac:dyDescent="0.25">
      <c r="B1177" s="18"/>
      <c r="C1177" s="19"/>
      <c r="D1177" s="19"/>
      <c r="O1177" s="5"/>
      <c r="P1177" s="5"/>
    </row>
    <row r="1178" spans="2:16" ht="13.2" x14ac:dyDescent="0.25">
      <c r="B1178" s="18"/>
      <c r="C1178" s="19"/>
      <c r="D1178" s="19"/>
      <c r="O1178" s="5"/>
      <c r="P1178" s="5"/>
    </row>
    <row r="1179" spans="2:16" ht="13.2" x14ac:dyDescent="0.25">
      <c r="B1179" s="18"/>
      <c r="C1179" s="19"/>
      <c r="D1179" s="19"/>
      <c r="O1179" s="5"/>
      <c r="P1179" s="5"/>
    </row>
    <row r="1180" spans="2:16" ht="13.2" x14ac:dyDescent="0.25">
      <c r="B1180" s="18"/>
      <c r="C1180" s="19"/>
      <c r="D1180" s="19"/>
      <c r="O1180" s="5"/>
      <c r="P1180" s="5"/>
    </row>
    <row r="1181" spans="2:16" ht="13.2" x14ac:dyDescent="0.25">
      <c r="B1181" s="18"/>
      <c r="C1181" s="19"/>
      <c r="D1181" s="19"/>
      <c r="O1181" s="5"/>
      <c r="P1181" s="5"/>
    </row>
    <row r="1182" spans="2:16" ht="13.2" x14ac:dyDescent="0.25">
      <c r="B1182" s="18"/>
      <c r="C1182" s="19"/>
      <c r="D1182" s="19"/>
      <c r="O1182" s="5"/>
      <c r="P1182" s="5"/>
    </row>
    <row r="1183" spans="2:16" ht="13.2" x14ac:dyDescent="0.25">
      <c r="B1183" s="18"/>
      <c r="C1183" s="19"/>
      <c r="D1183" s="19"/>
      <c r="O1183" s="5"/>
      <c r="P1183" s="5"/>
    </row>
    <row r="1184" spans="2:16" ht="13.2" x14ac:dyDescent="0.25">
      <c r="B1184" s="18"/>
      <c r="C1184" s="19"/>
      <c r="D1184" s="19"/>
      <c r="O1184" s="5"/>
      <c r="P1184" s="5"/>
    </row>
    <row r="1185" spans="2:16" ht="13.2" x14ac:dyDescent="0.25">
      <c r="B1185" s="18"/>
      <c r="C1185" s="19"/>
      <c r="D1185" s="19"/>
      <c r="O1185" s="5"/>
      <c r="P1185" s="5"/>
    </row>
    <row r="1186" spans="2:16" ht="13.2" x14ac:dyDescent="0.25">
      <c r="B1186" s="18"/>
      <c r="C1186" s="19"/>
      <c r="D1186" s="19"/>
      <c r="O1186" s="5"/>
      <c r="P1186" s="5"/>
    </row>
    <row r="1187" spans="2:16" ht="13.2" x14ac:dyDescent="0.25">
      <c r="B1187" s="18"/>
      <c r="C1187" s="19"/>
      <c r="D1187" s="19"/>
      <c r="O1187" s="5"/>
      <c r="P1187" s="5"/>
    </row>
    <row r="1188" spans="2:16" ht="13.2" x14ac:dyDescent="0.25">
      <c r="B1188" s="18"/>
      <c r="C1188" s="19"/>
      <c r="D1188" s="19"/>
      <c r="O1188" s="5"/>
      <c r="P1188" s="5"/>
    </row>
    <row r="1189" spans="2:16" ht="13.2" x14ac:dyDescent="0.25">
      <c r="B1189" s="18"/>
      <c r="C1189" s="19"/>
      <c r="D1189" s="19"/>
      <c r="O1189" s="5"/>
      <c r="P1189" s="5"/>
    </row>
    <row r="1190" spans="2:16" ht="13.2" x14ac:dyDescent="0.25">
      <c r="B1190" s="18"/>
      <c r="C1190" s="19"/>
      <c r="D1190" s="19"/>
      <c r="O1190" s="5"/>
      <c r="P1190" s="5"/>
    </row>
    <row r="1191" spans="2:16" ht="13.2" x14ac:dyDescent="0.25">
      <c r="B1191" s="18"/>
      <c r="C1191" s="19"/>
      <c r="D1191" s="19"/>
      <c r="O1191" s="5"/>
      <c r="P1191" s="5"/>
    </row>
    <row r="1192" spans="2:16" ht="13.2" x14ac:dyDescent="0.25">
      <c r="B1192" s="18"/>
      <c r="C1192" s="19"/>
      <c r="D1192" s="19"/>
      <c r="O1192" s="5"/>
      <c r="P1192" s="5"/>
    </row>
    <row r="1193" spans="2:16" ht="13.2" x14ac:dyDescent="0.25">
      <c r="B1193" s="18"/>
      <c r="C1193" s="19"/>
      <c r="D1193" s="19"/>
      <c r="O1193" s="5"/>
      <c r="P1193" s="5"/>
    </row>
    <row r="1194" spans="2:16" ht="13.2" x14ac:dyDescent="0.25">
      <c r="B1194" s="18"/>
      <c r="C1194" s="19"/>
      <c r="D1194" s="19"/>
      <c r="O1194" s="5"/>
      <c r="P1194" s="5"/>
    </row>
    <row r="1195" spans="2:16" ht="13.2" x14ac:dyDescent="0.25">
      <c r="B1195" s="18"/>
      <c r="C1195" s="19"/>
      <c r="D1195" s="19"/>
      <c r="O1195" s="5"/>
      <c r="P1195" s="5"/>
    </row>
    <row r="1196" spans="2:16" ht="13.2" x14ac:dyDescent="0.25">
      <c r="B1196" s="18"/>
      <c r="C1196" s="19"/>
      <c r="D1196" s="19"/>
      <c r="O1196" s="5"/>
      <c r="P1196" s="5"/>
    </row>
    <row r="1197" spans="2:16" ht="13.2" x14ac:dyDescent="0.25">
      <c r="B1197" s="18"/>
      <c r="C1197" s="19"/>
      <c r="D1197" s="19"/>
      <c r="O1197" s="5"/>
      <c r="P1197" s="5"/>
    </row>
    <row r="1198" spans="2:16" ht="13.2" x14ac:dyDescent="0.25">
      <c r="B1198" s="18"/>
      <c r="C1198" s="19"/>
      <c r="D1198" s="19"/>
      <c r="O1198" s="5"/>
      <c r="P1198" s="5"/>
    </row>
    <row r="1199" spans="2:16" ht="13.2" x14ac:dyDescent="0.25">
      <c r="B1199" s="18"/>
      <c r="C1199" s="19"/>
      <c r="D1199" s="19"/>
      <c r="O1199" s="5"/>
      <c r="P1199" s="5"/>
    </row>
    <row r="1200" spans="2:16" ht="13.2" x14ac:dyDescent="0.25">
      <c r="B1200" s="18"/>
      <c r="C1200" s="19"/>
      <c r="D1200" s="19"/>
      <c r="O1200" s="5"/>
      <c r="P1200" s="5"/>
    </row>
    <row r="1201" spans="2:16" ht="13.2" x14ac:dyDescent="0.25">
      <c r="B1201" s="18"/>
      <c r="C1201" s="19"/>
      <c r="D1201" s="19"/>
      <c r="O1201" s="5"/>
      <c r="P1201" s="5"/>
    </row>
    <row r="1202" spans="2:16" ht="13.2" x14ac:dyDescent="0.25">
      <c r="B1202" s="18"/>
      <c r="C1202" s="19"/>
      <c r="D1202" s="19"/>
      <c r="O1202" s="5"/>
      <c r="P1202" s="5"/>
    </row>
    <row r="1203" spans="2:16" ht="13.2" x14ac:dyDescent="0.25">
      <c r="B1203" s="18"/>
      <c r="C1203" s="19"/>
      <c r="D1203" s="19"/>
      <c r="O1203" s="5"/>
      <c r="P1203" s="5"/>
    </row>
    <row r="1204" spans="2:16" ht="13.2" x14ac:dyDescent="0.25">
      <c r="B1204" s="18"/>
      <c r="C1204" s="19"/>
      <c r="D1204" s="19"/>
      <c r="O1204" s="5"/>
      <c r="P1204" s="5"/>
    </row>
    <row r="1205" spans="2:16" ht="13.2" x14ac:dyDescent="0.25">
      <c r="B1205" s="18"/>
      <c r="C1205" s="19"/>
      <c r="D1205" s="19"/>
      <c r="O1205" s="5"/>
      <c r="P1205" s="5"/>
    </row>
    <row r="1206" spans="2:16" ht="13.2" x14ac:dyDescent="0.25">
      <c r="B1206" s="18"/>
      <c r="C1206" s="19"/>
      <c r="D1206" s="19"/>
      <c r="O1206" s="5"/>
      <c r="P1206" s="5"/>
    </row>
    <row r="1207" spans="2:16" ht="13.2" x14ac:dyDescent="0.25">
      <c r="B1207" s="18"/>
      <c r="C1207" s="19"/>
      <c r="D1207" s="19"/>
      <c r="O1207" s="5"/>
      <c r="P1207" s="5"/>
    </row>
    <row r="1208" spans="2:16" ht="13.2" x14ac:dyDescent="0.25">
      <c r="B1208" s="18"/>
      <c r="C1208" s="19"/>
      <c r="D1208" s="19"/>
      <c r="O1208" s="5"/>
      <c r="P1208" s="5"/>
    </row>
    <row r="1209" spans="2:16" ht="13.2" x14ac:dyDescent="0.25">
      <c r="B1209" s="18"/>
      <c r="C1209" s="19"/>
      <c r="D1209" s="19"/>
      <c r="O1209" s="5"/>
      <c r="P1209" s="5"/>
    </row>
    <row r="1210" spans="2:16" ht="13.2" x14ac:dyDescent="0.25">
      <c r="B1210" s="18"/>
      <c r="C1210" s="19"/>
      <c r="D1210" s="19"/>
      <c r="O1210" s="5"/>
      <c r="P1210" s="5"/>
    </row>
    <row r="1211" spans="2:16" ht="13.2" x14ac:dyDescent="0.25">
      <c r="B1211" s="18"/>
      <c r="C1211" s="19"/>
      <c r="D1211" s="19"/>
      <c r="O1211" s="5"/>
      <c r="P1211" s="5"/>
    </row>
    <row r="1212" spans="2:16" ht="13.2" x14ac:dyDescent="0.25">
      <c r="B1212" s="18"/>
      <c r="C1212" s="19"/>
      <c r="D1212" s="19"/>
      <c r="O1212" s="5"/>
      <c r="P1212" s="5"/>
    </row>
    <row r="1213" spans="2:16" ht="13.2" x14ac:dyDescent="0.25">
      <c r="B1213" s="18"/>
      <c r="C1213" s="19"/>
      <c r="D1213" s="19"/>
      <c r="O1213" s="5"/>
      <c r="P1213" s="5"/>
    </row>
    <row r="1214" spans="2:16" ht="13.2" x14ac:dyDescent="0.25">
      <c r="B1214" s="18"/>
      <c r="C1214" s="19"/>
      <c r="D1214" s="19"/>
      <c r="O1214" s="5"/>
      <c r="P1214" s="5"/>
    </row>
    <row r="1215" spans="2:16" ht="13.2" x14ac:dyDescent="0.25">
      <c r="B1215" s="18"/>
      <c r="C1215" s="19"/>
      <c r="D1215" s="19"/>
      <c r="O1215" s="5"/>
      <c r="P1215" s="5"/>
    </row>
    <row r="1216" spans="2:16" ht="13.2" x14ac:dyDescent="0.25">
      <c r="B1216" s="18"/>
      <c r="C1216" s="19"/>
      <c r="D1216" s="19"/>
      <c r="O1216" s="5"/>
      <c r="P1216" s="5"/>
    </row>
    <row r="1217" spans="2:16" ht="13.2" x14ac:dyDescent="0.25">
      <c r="B1217" s="18"/>
      <c r="C1217" s="19"/>
      <c r="D1217" s="19"/>
      <c r="O1217" s="5"/>
      <c r="P1217" s="5"/>
    </row>
    <row r="1218" spans="2:16" ht="13.2" x14ac:dyDescent="0.25">
      <c r="B1218" s="18"/>
      <c r="C1218" s="19"/>
      <c r="D1218" s="19"/>
      <c r="O1218" s="5"/>
      <c r="P1218" s="5"/>
    </row>
    <row r="1219" spans="2:16" ht="13.2" x14ac:dyDescent="0.25">
      <c r="B1219" s="18"/>
      <c r="C1219" s="19"/>
      <c r="D1219" s="19"/>
      <c r="O1219" s="5"/>
      <c r="P1219" s="5"/>
    </row>
    <row r="1220" spans="2:16" ht="13.2" x14ac:dyDescent="0.25">
      <c r="B1220" s="18"/>
      <c r="C1220" s="19"/>
      <c r="D1220" s="19"/>
      <c r="O1220" s="5"/>
      <c r="P1220" s="5"/>
    </row>
    <row r="1221" spans="2:16" ht="13.2" x14ac:dyDescent="0.25">
      <c r="B1221" s="18"/>
      <c r="C1221" s="19"/>
      <c r="D1221" s="19"/>
      <c r="O1221" s="5"/>
      <c r="P1221" s="5"/>
    </row>
    <row r="1222" spans="2:16" ht="13.2" x14ac:dyDescent="0.25">
      <c r="B1222" s="18"/>
      <c r="C1222" s="19"/>
      <c r="D1222" s="19"/>
      <c r="O1222" s="5"/>
      <c r="P1222" s="5"/>
    </row>
    <row r="1223" spans="2:16" ht="13.2" x14ac:dyDescent="0.25">
      <c r="B1223" s="18"/>
      <c r="C1223" s="19"/>
      <c r="D1223" s="19"/>
      <c r="O1223" s="5"/>
      <c r="P1223" s="5"/>
    </row>
    <row r="1224" spans="2:16" ht="13.2" x14ac:dyDescent="0.25">
      <c r="B1224" s="18"/>
      <c r="C1224" s="19"/>
      <c r="D1224" s="19"/>
      <c r="O1224" s="5"/>
      <c r="P1224" s="5"/>
    </row>
    <row r="1225" spans="2:16" ht="13.2" x14ac:dyDescent="0.25">
      <c r="B1225" s="18"/>
      <c r="C1225" s="19"/>
      <c r="D1225" s="19"/>
      <c r="O1225" s="5"/>
      <c r="P1225" s="5"/>
    </row>
    <row r="1226" spans="2:16" ht="13.2" x14ac:dyDescent="0.25">
      <c r="B1226" s="18"/>
      <c r="C1226" s="19"/>
      <c r="D1226" s="19"/>
      <c r="O1226" s="5"/>
      <c r="P1226" s="5"/>
    </row>
    <row r="1227" spans="2:16" ht="13.2" x14ac:dyDescent="0.25">
      <c r="B1227" s="18"/>
      <c r="C1227" s="19"/>
      <c r="D1227" s="19"/>
      <c r="O1227" s="5"/>
      <c r="P1227" s="5"/>
    </row>
    <row r="1228" spans="2:16" ht="13.2" x14ac:dyDescent="0.25">
      <c r="B1228" s="18"/>
      <c r="C1228" s="19"/>
      <c r="D1228" s="19"/>
      <c r="O1228" s="5"/>
      <c r="P1228" s="5"/>
    </row>
    <row r="1229" spans="2:16" ht="13.2" x14ac:dyDescent="0.25">
      <c r="B1229" s="18"/>
      <c r="C1229" s="19"/>
      <c r="D1229" s="19"/>
      <c r="O1229" s="5"/>
      <c r="P1229" s="5"/>
    </row>
    <row r="1230" spans="2:16" ht="13.2" x14ac:dyDescent="0.25">
      <c r="B1230" s="18"/>
      <c r="C1230" s="19"/>
      <c r="D1230" s="19"/>
      <c r="O1230" s="5"/>
      <c r="P1230" s="5"/>
    </row>
    <row r="1231" spans="2:16" ht="13.2" x14ac:dyDescent="0.25">
      <c r="B1231" s="18"/>
      <c r="C1231" s="19"/>
      <c r="D1231" s="19"/>
      <c r="O1231" s="5"/>
      <c r="P1231" s="5"/>
    </row>
    <row r="1232" spans="2:16" ht="13.2" x14ac:dyDescent="0.25">
      <c r="B1232" s="18"/>
      <c r="C1232" s="19"/>
      <c r="D1232" s="19"/>
      <c r="O1232" s="5"/>
      <c r="P1232" s="5"/>
    </row>
    <row r="1233" spans="2:16" ht="13.2" x14ac:dyDescent="0.25">
      <c r="B1233" s="18"/>
      <c r="C1233" s="19"/>
      <c r="D1233" s="19"/>
      <c r="O1233" s="5"/>
      <c r="P1233" s="5"/>
    </row>
    <row r="1234" spans="2:16" ht="13.2" x14ac:dyDescent="0.25">
      <c r="B1234" s="18"/>
      <c r="C1234" s="19"/>
      <c r="D1234" s="19"/>
      <c r="O1234" s="5"/>
      <c r="P1234" s="5"/>
    </row>
    <row r="1235" spans="2:16" ht="13.2" x14ac:dyDescent="0.25">
      <c r="B1235" s="18"/>
      <c r="C1235" s="19"/>
      <c r="D1235" s="19"/>
      <c r="O1235" s="5"/>
      <c r="P1235" s="5"/>
    </row>
    <row r="1236" spans="2:16" ht="13.2" x14ac:dyDescent="0.25">
      <c r="B1236" s="18"/>
      <c r="C1236" s="19"/>
      <c r="D1236" s="19"/>
      <c r="O1236" s="5"/>
      <c r="P1236" s="5"/>
    </row>
    <row r="1237" spans="2:16" ht="13.2" x14ac:dyDescent="0.25">
      <c r="B1237" s="18"/>
      <c r="C1237" s="19"/>
      <c r="D1237" s="19"/>
      <c r="O1237" s="5"/>
      <c r="P1237" s="5"/>
    </row>
    <row r="1238" spans="2:16" ht="13.2" x14ac:dyDescent="0.25">
      <c r="B1238" s="18"/>
      <c r="C1238" s="19"/>
      <c r="D1238" s="19"/>
      <c r="O1238" s="5"/>
      <c r="P1238" s="5"/>
    </row>
    <row r="1239" spans="2:16" ht="13.2" x14ac:dyDescent="0.25">
      <c r="B1239" s="18"/>
      <c r="C1239" s="19"/>
      <c r="D1239" s="19"/>
      <c r="O1239" s="5"/>
      <c r="P1239" s="5"/>
    </row>
    <row r="1240" spans="2:16" ht="13.2" x14ac:dyDescent="0.25">
      <c r="B1240" s="18"/>
      <c r="C1240" s="19"/>
      <c r="D1240" s="19"/>
      <c r="O1240" s="5"/>
      <c r="P1240" s="5"/>
    </row>
    <row r="1241" spans="2:16" ht="13.2" x14ac:dyDescent="0.25">
      <c r="B1241" s="18"/>
      <c r="C1241" s="19"/>
      <c r="D1241" s="19"/>
      <c r="O1241" s="5"/>
      <c r="P1241" s="5"/>
    </row>
    <row r="1242" spans="2:16" ht="13.2" x14ac:dyDescent="0.25">
      <c r="B1242" s="18"/>
      <c r="C1242" s="19"/>
      <c r="D1242" s="19"/>
      <c r="O1242" s="5"/>
      <c r="P1242" s="5"/>
    </row>
    <row r="1243" spans="2:16" ht="13.2" x14ac:dyDescent="0.25">
      <c r="B1243" s="18"/>
      <c r="C1243" s="19"/>
      <c r="D1243" s="19"/>
      <c r="O1243" s="5"/>
      <c r="P1243" s="5"/>
    </row>
    <row r="1244" spans="2:16" ht="13.2" x14ac:dyDescent="0.25">
      <c r="B1244" s="18"/>
      <c r="C1244" s="19"/>
      <c r="D1244" s="19"/>
      <c r="O1244" s="5"/>
      <c r="P1244" s="5"/>
    </row>
    <row r="1245" spans="2:16" ht="13.2" x14ac:dyDescent="0.25">
      <c r="B1245" s="18"/>
      <c r="C1245" s="19"/>
      <c r="D1245" s="19"/>
      <c r="O1245" s="5"/>
      <c r="P1245" s="5"/>
    </row>
    <row r="1246" spans="2:16" ht="13.2" x14ac:dyDescent="0.25">
      <c r="B1246" s="18"/>
      <c r="C1246" s="19"/>
      <c r="D1246" s="19"/>
      <c r="O1246" s="5"/>
      <c r="P1246" s="5"/>
    </row>
    <row r="1247" spans="2:16" ht="13.2" x14ac:dyDescent="0.25">
      <c r="B1247" s="18"/>
      <c r="C1247" s="19"/>
      <c r="D1247" s="19"/>
      <c r="O1247" s="5"/>
      <c r="P1247" s="5"/>
    </row>
    <row r="1248" spans="2:16" ht="13.2" x14ac:dyDescent="0.25">
      <c r="B1248" s="18"/>
      <c r="C1248" s="19"/>
      <c r="D1248" s="19"/>
      <c r="O1248" s="5"/>
      <c r="P1248" s="5"/>
    </row>
    <row r="1249" spans="2:16" ht="13.2" x14ac:dyDescent="0.25">
      <c r="B1249" s="18"/>
      <c r="C1249" s="19"/>
      <c r="D1249" s="19"/>
      <c r="O1249" s="5"/>
      <c r="P1249" s="5"/>
    </row>
    <row r="1250" spans="2:16" ht="13.2" x14ac:dyDescent="0.25">
      <c r="B1250" s="18"/>
      <c r="C1250" s="19"/>
      <c r="D1250" s="19"/>
      <c r="O1250" s="5"/>
      <c r="P1250" s="5"/>
    </row>
    <row r="1251" spans="2:16" ht="13.2" x14ac:dyDescent="0.25">
      <c r="B1251" s="18"/>
      <c r="C1251" s="19"/>
      <c r="D1251" s="19"/>
      <c r="O1251" s="5"/>
      <c r="P1251" s="5"/>
    </row>
    <row r="1252" spans="2:16" ht="13.2" x14ac:dyDescent="0.25">
      <c r="B1252" s="18"/>
      <c r="C1252" s="19"/>
      <c r="D1252" s="19"/>
      <c r="O1252" s="5"/>
      <c r="P1252" s="5"/>
    </row>
    <row r="1253" spans="2:16" ht="13.2" x14ac:dyDescent="0.25">
      <c r="B1253" s="18"/>
      <c r="C1253" s="19"/>
      <c r="D1253" s="19"/>
      <c r="O1253" s="5"/>
      <c r="P1253" s="5"/>
    </row>
    <row r="1254" spans="2:16" ht="13.2" x14ac:dyDescent="0.25">
      <c r="B1254" s="18"/>
      <c r="C1254" s="19"/>
      <c r="D1254" s="19"/>
      <c r="O1254" s="5"/>
      <c r="P1254" s="5"/>
    </row>
    <row r="1255" spans="2:16" ht="13.2" x14ac:dyDescent="0.25">
      <c r="B1255" s="18"/>
      <c r="C1255" s="19"/>
      <c r="D1255" s="19"/>
      <c r="O1255" s="5"/>
      <c r="P1255" s="5"/>
    </row>
    <row r="1256" spans="2:16" ht="13.2" x14ac:dyDescent="0.25">
      <c r="B1256" s="18"/>
      <c r="C1256" s="19"/>
      <c r="D1256" s="19"/>
      <c r="O1256" s="5"/>
      <c r="P1256" s="5"/>
    </row>
    <row r="1257" spans="2:16" ht="13.2" x14ac:dyDescent="0.25">
      <c r="B1257" s="18"/>
      <c r="C1257" s="19"/>
      <c r="D1257" s="19"/>
      <c r="O1257" s="5"/>
      <c r="P1257" s="5"/>
    </row>
    <row r="1258" spans="2:16" ht="13.2" x14ac:dyDescent="0.25">
      <c r="B1258" s="18"/>
      <c r="C1258" s="19"/>
      <c r="D1258" s="19"/>
      <c r="O1258" s="5"/>
      <c r="P1258" s="5"/>
    </row>
    <row r="1259" spans="2:16" ht="13.2" x14ac:dyDescent="0.25">
      <c r="B1259" s="18"/>
      <c r="C1259" s="19"/>
      <c r="D1259" s="19"/>
      <c r="O1259" s="5"/>
      <c r="P1259" s="5"/>
    </row>
    <row r="1260" spans="2:16" ht="13.2" x14ac:dyDescent="0.25">
      <c r="B1260" s="18"/>
      <c r="C1260" s="19"/>
      <c r="D1260" s="19"/>
      <c r="O1260" s="5"/>
      <c r="P1260" s="5"/>
    </row>
    <row r="1261" spans="2:16" ht="13.2" x14ac:dyDescent="0.25">
      <c r="B1261" s="18"/>
      <c r="C1261" s="19"/>
      <c r="D1261" s="19"/>
      <c r="O1261" s="5"/>
      <c r="P1261" s="5"/>
    </row>
    <row r="1262" spans="2:16" ht="13.2" x14ac:dyDescent="0.25">
      <c r="B1262" s="18"/>
      <c r="C1262" s="19"/>
      <c r="D1262" s="19"/>
      <c r="O1262" s="5"/>
      <c r="P1262" s="5"/>
    </row>
    <row r="1263" spans="2:16" ht="13.2" x14ac:dyDescent="0.25">
      <c r="B1263" s="18"/>
      <c r="C1263" s="19"/>
      <c r="D1263" s="19"/>
      <c r="O1263" s="5"/>
      <c r="P1263" s="5"/>
    </row>
    <row r="1264" spans="2:16" ht="13.2" x14ac:dyDescent="0.25">
      <c r="B1264" s="18"/>
      <c r="C1264" s="19"/>
      <c r="D1264" s="19"/>
      <c r="O1264" s="5"/>
      <c r="P1264" s="5"/>
    </row>
    <row r="1265" spans="2:16" ht="13.2" x14ac:dyDescent="0.25">
      <c r="B1265" s="18"/>
      <c r="C1265" s="19"/>
      <c r="D1265" s="19"/>
      <c r="O1265" s="5"/>
      <c r="P1265" s="5"/>
    </row>
    <row r="1266" spans="2:16" ht="13.2" x14ac:dyDescent="0.25">
      <c r="B1266" s="18"/>
      <c r="C1266" s="19"/>
      <c r="D1266" s="19"/>
      <c r="O1266" s="5"/>
      <c r="P1266" s="5"/>
    </row>
    <row r="1267" spans="2:16" ht="13.2" x14ac:dyDescent="0.25">
      <c r="B1267" s="18"/>
      <c r="C1267" s="19"/>
      <c r="D1267" s="19"/>
      <c r="O1267" s="5"/>
      <c r="P1267" s="5"/>
    </row>
    <row r="1268" spans="2:16" ht="13.2" x14ac:dyDescent="0.25">
      <c r="B1268" s="18"/>
      <c r="C1268" s="19"/>
      <c r="D1268" s="19"/>
      <c r="O1268" s="5"/>
      <c r="P1268" s="5"/>
    </row>
    <row r="1269" spans="2:16" ht="13.2" x14ac:dyDescent="0.25">
      <c r="B1269" s="18"/>
      <c r="C1269" s="19"/>
      <c r="D1269" s="19"/>
      <c r="O1269" s="5"/>
      <c r="P1269" s="5"/>
    </row>
    <row r="1270" spans="2:16" ht="13.2" x14ac:dyDescent="0.25">
      <c r="B1270" s="18"/>
      <c r="C1270" s="19"/>
      <c r="D1270" s="19"/>
      <c r="O1270" s="5"/>
      <c r="P1270" s="5"/>
    </row>
    <row r="1271" spans="2:16" ht="13.2" x14ac:dyDescent="0.25">
      <c r="B1271" s="18"/>
      <c r="C1271" s="19"/>
      <c r="D1271" s="19"/>
      <c r="O1271" s="5"/>
      <c r="P1271" s="5"/>
    </row>
    <row r="1272" spans="2:16" ht="13.2" x14ac:dyDescent="0.25">
      <c r="B1272" s="18"/>
      <c r="C1272" s="19"/>
      <c r="D1272" s="19"/>
      <c r="O1272" s="5"/>
      <c r="P1272" s="5"/>
    </row>
    <row r="1273" spans="2:16" ht="13.2" x14ac:dyDescent="0.25">
      <c r="B1273" s="18"/>
      <c r="C1273" s="19"/>
      <c r="D1273" s="19"/>
      <c r="O1273" s="5"/>
      <c r="P1273" s="5"/>
    </row>
    <row r="1274" spans="2:16" ht="13.2" x14ac:dyDescent="0.25">
      <c r="B1274" s="18"/>
      <c r="C1274" s="19"/>
      <c r="D1274" s="19"/>
      <c r="O1274" s="5"/>
      <c r="P1274" s="5"/>
    </row>
    <row r="1275" spans="2:16" ht="13.2" x14ac:dyDescent="0.25">
      <c r="B1275" s="18"/>
      <c r="C1275" s="19"/>
      <c r="D1275" s="19"/>
      <c r="O1275" s="5"/>
      <c r="P1275" s="5"/>
    </row>
    <row r="1276" spans="2:16" ht="13.2" x14ac:dyDescent="0.25">
      <c r="B1276" s="18"/>
      <c r="C1276" s="19"/>
      <c r="D1276" s="19"/>
      <c r="O1276" s="5"/>
      <c r="P1276" s="5"/>
    </row>
    <row r="1277" spans="2:16" ht="13.2" x14ac:dyDescent="0.25">
      <c r="B1277" s="18"/>
      <c r="C1277" s="19"/>
      <c r="D1277" s="19"/>
      <c r="O1277" s="5"/>
      <c r="P1277" s="5"/>
    </row>
    <row r="1278" spans="2:16" ht="13.2" x14ac:dyDescent="0.25">
      <c r="B1278" s="18"/>
      <c r="C1278" s="19"/>
      <c r="D1278" s="19"/>
      <c r="O1278" s="5"/>
      <c r="P1278" s="5"/>
    </row>
    <row r="1279" spans="2:16" ht="13.2" x14ac:dyDescent="0.25">
      <c r="B1279" s="18"/>
      <c r="C1279" s="19"/>
      <c r="D1279" s="19"/>
      <c r="O1279" s="5"/>
      <c r="P1279" s="5"/>
    </row>
    <row r="1280" spans="2:16" ht="13.2" x14ac:dyDescent="0.25">
      <c r="B1280" s="18"/>
      <c r="C1280" s="19"/>
      <c r="D1280" s="19"/>
      <c r="O1280" s="5"/>
      <c r="P1280" s="5"/>
    </row>
    <row r="1281" spans="2:16" ht="13.2" x14ac:dyDescent="0.25">
      <c r="B1281" s="18"/>
      <c r="C1281" s="19"/>
      <c r="D1281" s="19"/>
      <c r="O1281" s="5"/>
      <c r="P1281" s="5"/>
    </row>
    <row r="1282" spans="2:16" ht="13.2" x14ac:dyDescent="0.25">
      <c r="B1282" s="18"/>
      <c r="C1282" s="19"/>
      <c r="D1282" s="19"/>
      <c r="O1282" s="5"/>
      <c r="P1282" s="5"/>
    </row>
    <row r="1283" spans="2:16" ht="13.2" x14ac:dyDescent="0.25">
      <c r="B1283" s="18"/>
      <c r="C1283" s="19"/>
      <c r="D1283" s="19"/>
      <c r="O1283" s="5"/>
      <c r="P1283" s="5"/>
    </row>
    <row r="1284" spans="2:16" ht="13.2" x14ac:dyDescent="0.25">
      <c r="B1284" s="18"/>
      <c r="C1284" s="19"/>
      <c r="D1284" s="19"/>
      <c r="O1284" s="5"/>
      <c r="P1284" s="5"/>
    </row>
    <row r="1285" spans="2:16" ht="13.2" x14ac:dyDescent="0.25">
      <c r="B1285" s="18"/>
      <c r="C1285" s="19"/>
      <c r="D1285" s="19"/>
      <c r="O1285" s="5"/>
      <c r="P1285" s="5"/>
    </row>
    <row r="1286" spans="2:16" ht="13.2" x14ac:dyDescent="0.25">
      <c r="B1286" s="18"/>
      <c r="C1286" s="19"/>
      <c r="D1286" s="19"/>
      <c r="O1286" s="5"/>
      <c r="P1286" s="5"/>
    </row>
    <row r="1287" spans="2:16" ht="13.2" x14ac:dyDescent="0.25">
      <c r="B1287" s="18"/>
      <c r="C1287" s="19"/>
      <c r="D1287" s="19"/>
      <c r="O1287" s="5"/>
      <c r="P1287" s="5"/>
    </row>
    <row r="1288" spans="2:16" ht="13.2" x14ac:dyDescent="0.25">
      <c r="B1288" s="18"/>
      <c r="C1288" s="19"/>
      <c r="D1288" s="19"/>
      <c r="O1288" s="5"/>
      <c r="P1288" s="5"/>
    </row>
    <row r="1289" spans="2:16" ht="13.2" x14ac:dyDescent="0.25">
      <c r="B1289" s="18"/>
      <c r="C1289" s="19"/>
      <c r="D1289" s="19"/>
      <c r="O1289" s="5"/>
      <c r="P1289" s="5"/>
    </row>
    <row r="1290" spans="2:16" ht="13.2" x14ac:dyDescent="0.25">
      <c r="B1290" s="18"/>
      <c r="C1290" s="19"/>
      <c r="D1290" s="19"/>
      <c r="O1290" s="5"/>
      <c r="P1290" s="5"/>
    </row>
    <row r="1291" spans="2:16" ht="13.2" x14ac:dyDescent="0.25">
      <c r="B1291" s="18"/>
      <c r="C1291" s="19"/>
      <c r="D1291" s="19"/>
      <c r="O1291" s="5"/>
      <c r="P1291" s="5"/>
    </row>
    <row r="1292" spans="2:16" ht="13.2" x14ac:dyDescent="0.25">
      <c r="B1292" s="18"/>
      <c r="C1292" s="19"/>
      <c r="D1292" s="19"/>
      <c r="O1292" s="5"/>
      <c r="P1292" s="5"/>
    </row>
    <row r="1293" spans="2:16" ht="13.2" x14ac:dyDescent="0.25">
      <c r="B1293" s="18"/>
      <c r="C1293" s="19"/>
      <c r="D1293" s="19"/>
      <c r="O1293" s="5"/>
      <c r="P1293" s="5"/>
    </row>
    <row r="1294" spans="2:16" ht="13.2" x14ac:dyDescent="0.25">
      <c r="B1294" s="18"/>
      <c r="C1294" s="19"/>
      <c r="D1294" s="19"/>
      <c r="O1294" s="5"/>
      <c r="P1294" s="5"/>
    </row>
    <row r="1295" spans="2:16" ht="13.2" x14ac:dyDescent="0.25">
      <c r="B1295" s="18"/>
      <c r="C1295" s="19"/>
      <c r="D1295" s="19"/>
      <c r="O1295" s="5"/>
      <c r="P1295" s="5"/>
    </row>
    <row r="1296" spans="2:16" ht="13.2" x14ac:dyDescent="0.25">
      <c r="B1296" s="18"/>
      <c r="C1296" s="19"/>
      <c r="D1296" s="19"/>
      <c r="O1296" s="5"/>
      <c r="P1296" s="5"/>
    </row>
    <row r="1297" spans="2:16" ht="13.2" x14ac:dyDescent="0.25">
      <c r="B1297" s="18"/>
      <c r="C1297" s="19"/>
      <c r="D1297" s="19"/>
      <c r="O1297" s="5"/>
      <c r="P1297" s="5"/>
    </row>
    <row r="1298" spans="2:16" ht="13.2" x14ac:dyDescent="0.25">
      <c r="B1298" s="18"/>
      <c r="C1298" s="19"/>
      <c r="D1298" s="19"/>
      <c r="O1298" s="5"/>
      <c r="P1298" s="5"/>
    </row>
    <row r="1299" spans="2:16" ht="13.2" x14ac:dyDescent="0.25">
      <c r="B1299" s="18"/>
      <c r="C1299" s="19"/>
      <c r="D1299" s="19"/>
      <c r="O1299" s="5"/>
      <c r="P1299" s="5"/>
    </row>
    <row r="1300" spans="2:16" ht="13.2" x14ac:dyDescent="0.25">
      <c r="B1300" s="18"/>
      <c r="C1300" s="19"/>
      <c r="D1300" s="19"/>
      <c r="O1300" s="5"/>
      <c r="P1300" s="5"/>
    </row>
    <row r="1301" spans="2:16" ht="13.2" x14ac:dyDescent="0.25">
      <c r="B1301" s="18"/>
      <c r="C1301" s="19"/>
      <c r="D1301" s="19"/>
      <c r="O1301" s="5"/>
      <c r="P1301" s="5"/>
    </row>
    <row r="1302" spans="2:16" ht="13.2" x14ac:dyDescent="0.25">
      <c r="B1302" s="18"/>
      <c r="C1302" s="19"/>
      <c r="D1302" s="19"/>
      <c r="O1302" s="5"/>
      <c r="P1302" s="5"/>
    </row>
    <row r="1303" spans="2:16" ht="13.2" x14ac:dyDescent="0.25">
      <c r="B1303" s="18"/>
      <c r="C1303" s="19"/>
      <c r="D1303" s="19"/>
      <c r="O1303" s="5"/>
      <c r="P1303" s="5"/>
    </row>
    <row r="1304" spans="2:16" ht="13.2" x14ac:dyDescent="0.25">
      <c r="B1304" s="18"/>
      <c r="C1304" s="19"/>
      <c r="D1304" s="19"/>
      <c r="O1304" s="5"/>
      <c r="P1304" s="5"/>
    </row>
    <row r="1305" spans="2:16" ht="13.2" x14ac:dyDescent="0.25">
      <c r="B1305" s="18"/>
      <c r="C1305" s="19"/>
      <c r="D1305" s="19"/>
      <c r="O1305" s="5"/>
      <c r="P1305" s="5"/>
    </row>
    <row r="1306" spans="2:16" ht="13.2" x14ac:dyDescent="0.25">
      <c r="B1306" s="18"/>
      <c r="C1306" s="19"/>
      <c r="D1306" s="19"/>
      <c r="O1306" s="5"/>
      <c r="P1306" s="5"/>
    </row>
    <row r="1307" spans="2:16" ht="13.2" x14ac:dyDescent="0.25">
      <c r="B1307" s="18"/>
      <c r="C1307" s="19"/>
      <c r="D1307" s="19"/>
      <c r="O1307" s="5"/>
      <c r="P1307" s="5"/>
    </row>
    <row r="1308" spans="2:16" ht="13.2" x14ac:dyDescent="0.25">
      <c r="B1308" s="18"/>
      <c r="C1308" s="19"/>
      <c r="D1308" s="19"/>
      <c r="O1308" s="5"/>
      <c r="P1308" s="5"/>
    </row>
    <row r="1309" spans="2:16" ht="13.2" x14ac:dyDescent="0.25">
      <c r="B1309" s="18"/>
      <c r="C1309" s="19"/>
      <c r="D1309" s="19"/>
      <c r="O1309" s="5"/>
      <c r="P1309" s="5"/>
    </row>
    <row r="1310" spans="2:16" ht="13.2" x14ac:dyDescent="0.25">
      <c r="B1310" s="18"/>
      <c r="C1310" s="19"/>
      <c r="D1310" s="19"/>
      <c r="O1310" s="5"/>
      <c r="P1310" s="5"/>
    </row>
    <row r="1311" spans="2:16" ht="13.2" x14ac:dyDescent="0.25">
      <c r="B1311" s="18"/>
      <c r="C1311" s="19"/>
      <c r="D1311" s="19"/>
      <c r="O1311" s="5"/>
      <c r="P1311" s="5"/>
    </row>
    <row r="1312" spans="2:16" ht="13.2" x14ac:dyDescent="0.25">
      <c r="B1312" s="18"/>
      <c r="C1312" s="19"/>
      <c r="D1312" s="19"/>
      <c r="O1312" s="5"/>
      <c r="P1312" s="5"/>
    </row>
    <row r="1313" spans="2:16" ht="13.2" x14ac:dyDescent="0.25">
      <c r="B1313" s="18"/>
      <c r="C1313" s="19"/>
      <c r="D1313" s="19"/>
      <c r="O1313" s="5"/>
      <c r="P1313" s="5"/>
    </row>
    <row r="1314" spans="2:16" ht="13.2" x14ac:dyDescent="0.25">
      <c r="B1314" s="18"/>
      <c r="C1314" s="19"/>
      <c r="D1314" s="19"/>
      <c r="O1314" s="5"/>
      <c r="P1314" s="5"/>
    </row>
    <row r="1315" spans="2:16" ht="13.2" x14ac:dyDescent="0.25">
      <c r="B1315" s="18"/>
      <c r="C1315" s="19"/>
      <c r="D1315" s="19"/>
      <c r="O1315" s="5"/>
      <c r="P1315" s="5"/>
    </row>
    <row r="1316" spans="2:16" ht="13.2" x14ac:dyDescent="0.25">
      <c r="B1316" s="18"/>
      <c r="C1316" s="19"/>
      <c r="D1316" s="19"/>
      <c r="O1316" s="5"/>
      <c r="P1316" s="5"/>
    </row>
    <row r="1317" spans="2:16" ht="13.2" x14ac:dyDescent="0.25">
      <c r="B1317" s="18"/>
      <c r="C1317" s="19"/>
      <c r="D1317" s="19"/>
      <c r="O1317" s="5"/>
      <c r="P1317" s="5"/>
    </row>
    <row r="1318" spans="2:16" ht="13.2" x14ac:dyDescent="0.25">
      <c r="B1318" s="18"/>
      <c r="C1318" s="19"/>
      <c r="D1318" s="19"/>
      <c r="O1318" s="5"/>
      <c r="P1318" s="5"/>
    </row>
    <row r="1319" spans="2:16" ht="13.2" x14ac:dyDescent="0.25">
      <c r="B1319" s="18"/>
      <c r="C1319" s="19"/>
      <c r="D1319" s="19"/>
      <c r="O1319" s="5"/>
      <c r="P1319" s="5"/>
    </row>
    <row r="1320" spans="2:16" ht="13.2" x14ac:dyDescent="0.25">
      <c r="B1320" s="18"/>
      <c r="C1320" s="19"/>
      <c r="D1320" s="19"/>
      <c r="O1320" s="5"/>
      <c r="P1320" s="5"/>
    </row>
    <row r="1321" spans="2:16" ht="13.2" x14ac:dyDescent="0.25">
      <c r="B1321" s="18"/>
      <c r="C1321" s="19"/>
      <c r="D1321" s="19"/>
      <c r="O1321" s="5"/>
      <c r="P1321" s="5"/>
    </row>
    <row r="1322" spans="2:16" ht="13.2" x14ac:dyDescent="0.25">
      <c r="B1322" s="18"/>
      <c r="C1322" s="19"/>
      <c r="D1322" s="19"/>
      <c r="O1322" s="5"/>
      <c r="P1322" s="5"/>
    </row>
    <row r="1323" spans="2:16" ht="13.2" x14ac:dyDescent="0.25">
      <c r="B1323" s="18"/>
      <c r="C1323" s="19"/>
      <c r="D1323" s="19"/>
      <c r="O1323" s="5"/>
      <c r="P1323" s="5"/>
    </row>
    <row r="1324" spans="2:16" ht="13.2" x14ac:dyDescent="0.25">
      <c r="B1324" s="18"/>
      <c r="C1324" s="19"/>
      <c r="D1324" s="19"/>
      <c r="O1324" s="5"/>
      <c r="P1324" s="5"/>
    </row>
    <row r="1325" spans="2:16" ht="13.2" x14ac:dyDescent="0.25">
      <c r="B1325" s="18"/>
      <c r="C1325" s="19"/>
      <c r="D1325" s="19"/>
      <c r="O1325" s="5"/>
      <c r="P1325" s="5"/>
    </row>
    <row r="1326" spans="2:16" ht="13.2" x14ac:dyDescent="0.25">
      <c r="B1326" s="18"/>
      <c r="C1326" s="19"/>
      <c r="D1326" s="19"/>
      <c r="O1326" s="5"/>
      <c r="P1326" s="5"/>
    </row>
    <row r="1327" spans="2:16" ht="13.2" x14ac:dyDescent="0.25">
      <c r="B1327" s="18"/>
      <c r="C1327" s="19"/>
      <c r="D1327" s="19"/>
      <c r="O1327" s="5"/>
      <c r="P1327" s="5"/>
    </row>
    <row r="1328" spans="2:16" ht="13.2" x14ac:dyDescent="0.25">
      <c r="B1328" s="18"/>
      <c r="C1328" s="19"/>
      <c r="D1328" s="19"/>
      <c r="O1328" s="5"/>
      <c r="P1328" s="5"/>
    </row>
    <row r="1329" spans="2:16" ht="13.2" x14ac:dyDescent="0.25">
      <c r="B1329" s="18"/>
      <c r="C1329" s="19"/>
      <c r="D1329" s="19"/>
      <c r="O1329" s="5"/>
      <c r="P1329" s="5"/>
    </row>
    <row r="1330" spans="2:16" ht="13.2" x14ac:dyDescent="0.25">
      <c r="B1330" s="18"/>
      <c r="C1330" s="19"/>
      <c r="D1330" s="19"/>
      <c r="O1330" s="5"/>
      <c r="P1330" s="5"/>
    </row>
    <row r="1331" spans="2:16" ht="13.2" x14ac:dyDescent="0.25">
      <c r="B1331" s="18"/>
      <c r="C1331" s="19"/>
      <c r="D1331" s="19"/>
      <c r="O1331" s="5"/>
      <c r="P1331" s="5"/>
    </row>
    <row r="1332" spans="2:16" ht="13.2" x14ac:dyDescent="0.25">
      <c r="B1332" s="18"/>
      <c r="C1332" s="19"/>
      <c r="D1332" s="19"/>
      <c r="O1332" s="5"/>
      <c r="P1332" s="5"/>
    </row>
    <row r="1333" spans="2:16" ht="13.2" x14ac:dyDescent="0.25">
      <c r="B1333" s="18"/>
      <c r="C1333" s="19"/>
      <c r="D1333" s="19"/>
      <c r="O1333" s="5"/>
      <c r="P1333" s="5"/>
    </row>
    <row r="1334" spans="2:16" ht="13.2" x14ac:dyDescent="0.25">
      <c r="B1334" s="18"/>
      <c r="C1334" s="19"/>
      <c r="D1334" s="19"/>
      <c r="O1334" s="5"/>
      <c r="P1334" s="5"/>
    </row>
    <row r="1335" spans="2:16" ht="13.2" x14ac:dyDescent="0.25">
      <c r="B1335" s="18"/>
      <c r="C1335" s="19"/>
      <c r="D1335" s="19"/>
      <c r="O1335" s="5"/>
      <c r="P1335" s="5"/>
    </row>
    <row r="1336" spans="2:16" ht="13.2" x14ac:dyDescent="0.25">
      <c r="B1336" s="18"/>
      <c r="C1336" s="19"/>
      <c r="D1336" s="19"/>
      <c r="O1336" s="5"/>
      <c r="P1336" s="5"/>
    </row>
    <row r="1337" spans="2:16" ht="13.2" x14ac:dyDescent="0.25">
      <c r="B1337" s="18"/>
      <c r="C1337" s="19"/>
      <c r="D1337" s="19"/>
      <c r="O1337" s="5"/>
      <c r="P1337" s="5"/>
    </row>
    <row r="1338" spans="2:16" ht="13.2" x14ac:dyDescent="0.25">
      <c r="B1338" s="18"/>
      <c r="C1338" s="19"/>
      <c r="D1338" s="19"/>
      <c r="O1338" s="5"/>
      <c r="P1338" s="5"/>
    </row>
    <row r="1339" spans="2:16" ht="13.2" x14ac:dyDescent="0.25">
      <c r="B1339" s="18"/>
      <c r="C1339" s="19"/>
      <c r="D1339" s="19"/>
      <c r="O1339" s="5"/>
      <c r="P1339" s="5"/>
    </row>
    <row r="1340" spans="2:16" ht="13.2" x14ac:dyDescent="0.25">
      <c r="B1340" s="18"/>
      <c r="C1340" s="19"/>
      <c r="D1340" s="19"/>
      <c r="O1340" s="5"/>
      <c r="P1340" s="5"/>
    </row>
    <row r="1341" spans="2:16" ht="13.2" x14ac:dyDescent="0.25">
      <c r="B1341" s="18"/>
      <c r="C1341" s="19"/>
      <c r="D1341" s="19"/>
      <c r="O1341" s="5"/>
      <c r="P1341" s="5"/>
    </row>
    <row r="1342" spans="2:16" ht="13.2" x14ac:dyDescent="0.25">
      <c r="B1342" s="18"/>
      <c r="C1342" s="19"/>
      <c r="D1342" s="19"/>
      <c r="O1342" s="5"/>
      <c r="P1342" s="5"/>
    </row>
    <row r="1343" spans="2:16" ht="13.2" x14ac:dyDescent="0.25">
      <c r="B1343" s="18"/>
      <c r="C1343" s="19"/>
      <c r="D1343" s="19"/>
      <c r="O1343" s="5"/>
      <c r="P1343" s="5"/>
    </row>
    <row r="1344" spans="2:16" ht="13.2" x14ac:dyDescent="0.25">
      <c r="B1344" s="18"/>
      <c r="C1344" s="19"/>
      <c r="D1344" s="19"/>
      <c r="O1344" s="5"/>
      <c r="P1344" s="5"/>
    </row>
    <row r="1345" spans="2:16" ht="13.2" x14ac:dyDescent="0.25">
      <c r="B1345" s="18"/>
      <c r="C1345" s="19"/>
      <c r="D1345" s="19"/>
      <c r="O1345" s="5"/>
      <c r="P1345" s="5"/>
    </row>
    <row r="1346" spans="2:16" ht="13.2" x14ac:dyDescent="0.25">
      <c r="B1346" s="18"/>
      <c r="C1346" s="19"/>
      <c r="D1346" s="19"/>
      <c r="O1346" s="5"/>
      <c r="P1346" s="5"/>
    </row>
    <row r="1347" spans="2:16" ht="13.2" x14ac:dyDescent="0.25">
      <c r="B1347" s="18"/>
      <c r="C1347" s="19"/>
      <c r="D1347" s="19"/>
      <c r="O1347" s="5"/>
      <c r="P1347" s="5"/>
    </row>
    <row r="1348" spans="2:16" ht="13.2" x14ac:dyDescent="0.25">
      <c r="B1348" s="18"/>
      <c r="C1348" s="19"/>
      <c r="D1348" s="19"/>
      <c r="O1348" s="5"/>
      <c r="P1348" s="5"/>
    </row>
    <row r="1349" spans="2:16" ht="13.2" x14ac:dyDescent="0.25">
      <c r="B1349" s="18"/>
      <c r="C1349" s="19"/>
      <c r="D1349" s="19"/>
      <c r="O1349" s="5"/>
      <c r="P1349" s="5"/>
    </row>
    <row r="1350" spans="2:16" ht="13.2" x14ac:dyDescent="0.25">
      <c r="B1350" s="18"/>
      <c r="C1350" s="19"/>
      <c r="D1350" s="19"/>
      <c r="O1350" s="5"/>
      <c r="P1350" s="5"/>
    </row>
    <row r="1351" spans="2:16" ht="13.2" x14ac:dyDescent="0.25">
      <c r="B1351" s="18"/>
      <c r="C1351" s="19"/>
      <c r="D1351" s="19"/>
      <c r="O1351" s="5"/>
      <c r="P1351" s="5"/>
    </row>
    <row r="1352" spans="2:16" ht="13.2" x14ac:dyDescent="0.25">
      <c r="B1352" s="18"/>
      <c r="C1352" s="19"/>
      <c r="D1352" s="19"/>
      <c r="O1352" s="5"/>
      <c r="P1352" s="5"/>
    </row>
    <row r="1353" spans="2:16" ht="13.2" x14ac:dyDescent="0.25">
      <c r="B1353" s="18"/>
      <c r="C1353" s="19"/>
      <c r="D1353" s="19"/>
      <c r="O1353" s="5"/>
      <c r="P1353" s="5"/>
    </row>
    <row r="1354" spans="2:16" ht="13.2" x14ac:dyDescent="0.25">
      <c r="B1354" s="18"/>
      <c r="C1354" s="19"/>
      <c r="D1354" s="19"/>
      <c r="O1354" s="5"/>
      <c r="P1354" s="5"/>
    </row>
    <row r="1355" spans="2:16" ht="13.2" x14ac:dyDescent="0.25">
      <c r="B1355" s="18"/>
      <c r="C1355" s="19"/>
      <c r="D1355" s="19"/>
      <c r="O1355" s="5"/>
      <c r="P1355" s="5"/>
    </row>
    <row r="1356" spans="2:16" ht="13.2" x14ac:dyDescent="0.25">
      <c r="B1356" s="18"/>
      <c r="C1356" s="19"/>
      <c r="D1356" s="19"/>
      <c r="O1356" s="5"/>
      <c r="P1356" s="5"/>
    </row>
    <row r="1357" spans="2:16" ht="13.2" x14ac:dyDescent="0.25">
      <c r="B1357" s="18"/>
      <c r="C1357" s="19"/>
      <c r="D1357" s="19"/>
      <c r="O1357" s="5"/>
      <c r="P1357" s="5"/>
    </row>
    <row r="1358" spans="2:16" ht="13.2" x14ac:dyDescent="0.25">
      <c r="B1358" s="18"/>
      <c r="C1358" s="19"/>
      <c r="D1358" s="19"/>
      <c r="O1358" s="5"/>
      <c r="P1358" s="5"/>
    </row>
    <row r="1359" spans="2:16" ht="13.2" x14ac:dyDescent="0.25">
      <c r="B1359" s="18"/>
      <c r="C1359" s="19"/>
      <c r="D1359" s="19"/>
      <c r="O1359" s="5"/>
      <c r="P1359" s="5"/>
    </row>
    <row r="1360" spans="2:16" ht="13.2" x14ac:dyDescent="0.25">
      <c r="B1360" s="18"/>
      <c r="C1360" s="19"/>
      <c r="D1360" s="19"/>
      <c r="O1360" s="5"/>
      <c r="P1360" s="5"/>
    </row>
    <row r="1361" spans="2:16" ht="13.2" x14ac:dyDescent="0.25">
      <c r="B1361" s="18"/>
      <c r="C1361" s="19"/>
      <c r="D1361" s="19"/>
      <c r="O1361" s="5"/>
      <c r="P1361" s="5"/>
    </row>
    <row r="1362" spans="2:16" ht="13.2" x14ac:dyDescent="0.25">
      <c r="B1362" s="18"/>
      <c r="C1362" s="19"/>
      <c r="D1362" s="19"/>
      <c r="O1362" s="5"/>
      <c r="P1362" s="5"/>
    </row>
    <row r="1363" spans="2:16" ht="13.2" x14ac:dyDescent="0.25">
      <c r="B1363" s="18"/>
      <c r="C1363" s="19"/>
      <c r="D1363" s="19"/>
      <c r="O1363" s="5"/>
      <c r="P1363" s="5"/>
    </row>
    <row r="1364" spans="2:16" ht="13.2" x14ac:dyDescent="0.25">
      <c r="B1364" s="18"/>
      <c r="C1364" s="19"/>
      <c r="D1364" s="19"/>
      <c r="O1364" s="5"/>
      <c r="P1364" s="5"/>
    </row>
    <row r="1365" spans="2:16" ht="13.2" x14ac:dyDescent="0.25">
      <c r="B1365" s="18"/>
      <c r="C1365" s="19"/>
      <c r="D1365" s="19"/>
      <c r="O1365" s="5"/>
      <c r="P1365" s="5"/>
    </row>
    <row r="1366" spans="2:16" ht="13.2" x14ac:dyDescent="0.25">
      <c r="B1366" s="18"/>
      <c r="C1366" s="19"/>
      <c r="D1366" s="19"/>
      <c r="O1366" s="5"/>
      <c r="P1366" s="5"/>
    </row>
    <row r="1367" spans="2:16" ht="13.2" x14ac:dyDescent="0.25">
      <c r="B1367" s="18"/>
      <c r="C1367" s="19"/>
      <c r="D1367" s="19"/>
      <c r="O1367" s="5"/>
      <c r="P1367" s="5"/>
    </row>
    <row r="1368" spans="2:16" ht="13.2" x14ac:dyDescent="0.25">
      <c r="B1368" s="18"/>
      <c r="C1368" s="19"/>
      <c r="D1368" s="19"/>
      <c r="O1368" s="5"/>
      <c r="P1368" s="5"/>
    </row>
    <row r="1369" spans="2:16" ht="13.2" x14ac:dyDescent="0.25">
      <c r="B1369" s="18"/>
      <c r="C1369" s="19"/>
      <c r="D1369" s="19"/>
      <c r="O1369" s="5"/>
      <c r="P1369" s="5"/>
    </row>
    <row r="1370" spans="2:16" ht="13.2" x14ac:dyDescent="0.25">
      <c r="B1370" s="18"/>
      <c r="C1370" s="19"/>
      <c r="D1370" s="19"/>
      <c r="O1370" s="5"/>
      <c r="P1370" s="5"/>
    </row>
    <row r="1371" spans="2:16" ht="13.2" x14ac:dyDescent="0.25">
      <c r="B1371" s="18"/>
      <c r="C1371" s="19"/>
      <c r="D1371" s="19"/>
      <c r="O1371" s="5"/>
      <c r="P1371" s="5"/>
    </row>
    <row r="1372" spans="2:16" ht="13.2" x14ac:dyDescent="0.25">
      <c r="B1372" s="18"/>
      <c r="C1372" s="19"/>
      <c r="D1372" s="19"/>
      <c r="O1372" s="5"/>
      <c r="P1372" s="5"/>
    </row>
    <row r="1373" spans="2:16" ht="13.2" x14ac:dyDescent="0.25">
      <c r="B1373" s="18"/>
      <c r="C1373" s="19"/>
      <c r="D1373" s="19"/>
      <c r="O1373" s="5"/>
      <c r="P1373" s="5"/>
    </row>
    <row r="1374" spans="2:16" ht="13.2" x14ac:dyDescent="0.25">
      <c r="B1374" s="18"/>
      <c r="C1374" s="19"/>
      <c r="D1374" s="19"/>
      <c r="O1374" s="5"/>
      <c r="P1374" s="5"/>
    </row>
    <row r="1375" spans="2:16" ht="13.2" x14ac:dyDescent="0.25">
      <c r="B1375" s="18"/>
      <c r="C1375" s="19"/>
      <c r="D1375" s="19"/>
      <c r="O1375" s="5"/>
      <c r="P1375" s="5"/>
    </row>
    <row r="1376" spans="2:16" ht="13.2" x14ac:dyDescent="0.25">
      <c r="B1376" s="18"/>
      <c r="C1376" s="19"/>
      <c r="D1376" s="19"/>
      <c r="O1376" s="5"/>
      <c r="P1376" s="5"/>
    </row>
    <row r="1377" spans="2:16" ht="13.2" x14ac:dyDescent="0.25">
      <c r="B1377" s="18"/>
      <c r="C1377" s="19"/>
      <c r="D1377" s="19"/>
      <c r="O1377" s="5"/>
      <c r="P1377" s="5"/>
    </row>
    <row r="1378" spans="2:16" ht="13.2" x14ac:dyDescent="0.25">
      <c r="B1378" s="18"/>
      <c r="C1378" s="19"/>
      <c r="D1378" s="19"/>
      <c r="O1378" s="5"/>
      <c r="P1378" s="5"/>
    </row>
    <row r="1379" spans="2:16" ht="13.2" x14ac:dyDescent="0.25">
      <c r="B1379" s="18"/>
      <c r="C1379" s="19"/>
      <c r="D1379" s="19"/>
      <c r="O1379" s="5"/>
      <c r="P1379" s="5"/>
    </row>
    <row r="1380" spans="2:16" ht="13.2" x14ac:dyDescent="0.25">
      <c r="B1380" s="18"/>
      <c r="C1380" s="19"/>
      <c r="D1380" s="19"/>
      <c r="O1380" s="5"/>
      <c r="P1380" s="5"/>
    </row>
    <row r="1381" spans="2:16" ht="13.2" x14ac:dyDescent="0.25">
      <c r="B1381" s="18"/>
      <c r="C1381" s="19"/>
      <c r="D1381" s="19"/>
      <c r="O1381" s="5"/>
      <c r="P1381" s="5"/>
    </row>
    <row r="1382" spans="2:16" ht="13.2" x14ac:dyDescent="0.25">
      <c r="B1382" s="18"/>
      <c r="C1382" s="19"/>
      <c r="D1382" s="19"/>
      <c r="O1382" s="5"/>
      <c r="P1382" s="5"/>
    </row>
    <row r="1383" spans="2:16" ht="13.2" x14ac:dyDescent="0.25">
      <c r="B1383" s="18"/>
      <c r="C1383" s="19"/>
      <c r="D1383" s="19"/>
      <c r="O1383" s="5"/>
      <c r="P1383" s="5"/>
    </row>
    <row r="1384" spans="2:16" ht="13.2" x14ac:dyDescent="0.25">
      <c r="B1384" s="18"/>
      <c r="C1384" s="19"/>
      <c r="D1384" s="19"/>
      <c r="O1384" s="5"/>
      <c r="P1384" s="5"/>
    </row>
    <row r="1385" spans="2:16" ht="13.2" x14ac:dyDescent="0.25">
      <c r="B1385" s="18"/>
      <c r="C1385" s="19"/>
      <c r="D1385" s="19"/>
      <c r="O1385" s="5"/>
      <c r="P1385" s="5"/>
    </row>
    <row r="1386" spans="2:16" ht="13.2" x14ac:dyDescent="0.25">
      <c r="B1386" s="18"/>
      <c r="C1386" s="19"/>
      <c r="D1386" s="19"/>
      <c r="O1386" s="5"/>
      <c r="P1386" s="5"/>
    </row>
    <row r="1387" spans="2:16" ht="13.2" x14ac:dyDescent="0.25">
      <c r="B1387" s="18"/>
      <c r="C1387" s="19"/>
      <c r="D1387" s="19"/>
      <c r="O1387" s="5"/>
      <c r="P1387" s="5"/>
    </row>
    <row r="1388" spans="2:16" ht="13.2" x14ac:dyDescent="0.25">
      <c r="B1388" s="18"/>
      <c r="C1388" s="19"/>
      <c r="D1388" s="19"/>
      <c r="O1388" s="5"/>
      <c r="P1388" s="5"/>
    </row>
    <row r="1389" spans="2:16" ht="13.2" x14ac:dyDescent="0.25">
      <c r="B1389" s="18"/>
      <c r="C1389" s="19"/>
      <c r="D1389" s="19"/>
      <c r="O1389" s="5"/>
      <c r="P1389" s="5"/>
    </row>
    <row r="1390" spans="2:16" ht="13.2" x14ac:dyDescent="0.25">
      <c r="B1390" s="18"/>
      <c r="C1390" s="19"/>
      <c r="D1390" s="19"/>
      <c r="O1390" s="5"/>
      <c r="P1390" s="5"/>
    </row>
    <row r="1391" spans="2:16" ht="13.2" x14ac:dyDescent="0.25">
      <c r="B1391" s="18"/>
      <c r="C1391" s="19"/>
      <c r="D1391" s="19"/>
      <c r="O1391" s="5"/>
      <c r="P1391" s="5"/>
    </row>
    <row r="1392" spans="2:16" ht="13.2" x14ac:dyDescent="0.25">
      <c r="B1392" s="18"/>
      <c r="C1392" s="19"/>
      <c r="D1392" s="19"/>
      <c r="O1392" s="5"/>
      <c r="P1392" s="5"/>
    </row>
    <row r="1393" spans="2:16" ht="13.2" x14ac:dyDescent="0.25">
      <c r="B1393" s="18"/>
      <c r="C1393" s="19"/>
      <c r="D1393" s="19"/>
      <c r="O1393" s="5"/>
      <c r="P1393" s="5"/>
    </row>
    <row r="1394" spans="2:16" ht="13.2" x14ac:dyDescent="0.25">
      <c r="B1394" s="18"/>
      <c r="C1394" s="19"/>
      <c r="D1394" s="19"/>
      <c r="O1394" s="5"/>
      <c r="P1394" s="5"/>
    </row>
    <row r="1395" spans="2:16" ht="13.2" x14ac:dyDescent="0.25">
      <c r="B1395" s="18"/>
      <c r="C1395" s="19"/>
      <c r="D1395" s="19"/>
      <c r="O1395" s="5"/>
      <c r="P1395" s="5"/>
    </row>
    <row r="1396" spans="2:16" ht="13.2" x14ac:dyDescent="0.25">
      <c r="B1396" s="18"/>
      <c r="C1396" s="19"/>
      <c r="D1396" s="19"/>
      <c r="O1396" s="5"/>
      <c r="P1396" s="5"/>
    </row>
    <row r="1397" spans="2:16" ht="13.2" x14ac:dyDescent="0.25">
      <c r="B1397" s="18"/>
      <c r="C1397" s="19"/>
      <c r="D1397" s="19"/>
      <c r="O1397" s="5"/>
      <c r="P1397" s="5"/>
    </row>
    <row r="1398" spans="2:16" ht="13.2" x14ac:dyDescent="0.25">
      <c r="B1398" s="18"/>
      <c r="C1398" s="19"/>
      <c r="D1398" s="19"/>
      <c r="O1398" s="5"/>
      <c r="P1398" s="5"/>
    </row>
    <row r="1399" spans="2:16" ht="13.2" x14ac:dyDescent="0.25">
      <c r="B1399" s="18"/>
      <c r="C1399" s="19"/>
      <c r="D1399" s="19"/>
      <c r="O1399" s="5"/>
      <c r="P1399" s="5"/>
    </row>
    <row r="1400" spans="2:16" ht="13.2" x14ac:dyDescent="0.25">
      <c r="B1400" s="18"/>
      <c r="C1400" s="19"/>
      <c r="D1400" s="19"/>
      <c r="O1400" s="5"/>
      <c r="P1400" s="5"/>
    </row>
    <row r="1401" spans="2:16" ht="13.2" x14ac:dyDescent="0.25">
      <c r="B1401" s="18"/>
      <c r="C1401" s="19"/>
      <c r="D1401" s="19"/>
      <c r="O1401" s="5"/>
      <c r="P1401" s="5"/>
    </row>
    <row r="1402" spans="2:16" ht="13.2" x14ac:dyDescent="0.25">
      <c r="B1402" s="18"/>
      <c r="C1402" s="19"/>
      <c r="D1402" s="19"/>
      <c r="O1402" s="5"/>
      <c r="P1402" s="5"/>
    </row>
    <row r="1403" spans="2:16" ht="13.2" x14ac:dyDescent="0.25">
      <c r="B1403" s="18"/>
      <c r="C1403" s="19"/>
      <c r="D1403" s="19"/>
      <c r="O1403" s="5"/>
      <c r="P1403" s="5"/>
    </row>
    <row r="1404" spans="2:16" ht="13.2" x14ac:dyDescent="0.25">
      <c r="B1404" s="18"/>
      <c r="C1404" s="19"/>
      <c r="D1404" s="19"/>
      <c r="O1404" s="5"/>
      <c r="P1404" s="5"/>
    </row>
    <row r="1405" spans="2:16" ht="13.2" x14ac:dyDescent="0.25">
      <c r="B1405" s="18"/>
      <c r="C1405" s="19"/>
      <c r="D1405" s="19"/>
      <c r="O1405" s="5"/>
      <c r="P1405" s="5"/>
    </row>
    <row r="1406" spans="2:16" ht="13.2" x14ac:dyDescent="0.25">
      <c r="B1406" s="18"/>
      <c r="C1406" s="19"/>
      <c r="D1406" s="19"/>
      <c r="O1406" s="5"/>
      <c r="P1406" s="5"/>
    </row>
    <row r="1407" spans="2:16" ht="13.2" x14ac:dyDescent="0.25">
      <c r="B1407" s="18"/>
      <c r="C1407" s="19"/>
      <c r="D1407" s="19"/>
      <c r="O1407" s="5"/>
      <c r="P1407" s="5"/>
    </row>
    <row r="1408" spans="2:16" ht="13.2" x14ac:dyDescent="0.25">
      <c r="B1408" s="18"/>
      <c r="C1408" s="19"/>
      <c r="D1408" s="19"/>
      <c r="O1408" s="5"/>
      <c r="P1408" s="5"/>
    </row>
    <row r="1409" spans="2:16" ht="13.2" x14ac:dyDescent="0.25">
      <c r="B1409" s="18"/>
      <c r="C1409" s="19"/>
      <c r="D1409" s="19"/>
      <c r="O1409" s="5"/>
      <c r="P1409" s="5"/>
    </row>
    <row r="1410" spans="2:16" ht="13.2" x14ac:dyDescent="0.25">
      <c r="B1410" s="18"/>
      <c r="C1410" s="19"/>
      <c r="D1410" s="19"/>
      <c r="O1410" s="5"/>
      <c r="P1410" s="5"/>
    </row>
    <row r="1411" spans="2:16" ht="13.2" x14ac:dyDescent="0.25">
      <c r="B1411" s="18"/>
      <c r="C1411" s="19"/>
      <c r="D1411" s="19"/>
      <c r="O1411" s="5"/>
      <c r="P1411" s="5"/>
    </row>
    <row r="1412" spans="2:16" ht="13.2" x14ac:dyDescent="0.25">
      <c r="B1412" s="18"/>
      <c r="C1412" s="19"/>
      <c r="D1412" s="19"/>
      <c r="O1412" s="5"/>
      <c r="P1412" s="5"/>
    </row>
    <row r="1413" spans="2:16" ht="13.2" x14ac:dyDescent="0.25">
      <c r="B1413" s="18"/>
      <c r="C1413" s="19"/>
      <c r="D1413" s="19"/>
      <c r="O1413" s="5"/>
      <c r="P1413" s="5"/>
    </row>
    <row r="1414" spans="2:16" ht="13.2" x14ac:dyDescent="0.25">
      <c r="B1414" s="18"/>
      <c r="C1414" s="19"/>
      <c r="D1414" s="19"/>
      <c r="O1414" s="5"/>
      <c r="P1414" s="5"/>
    </row>
    <row r="1415" spans="2:16" ht="13.2" x14ac:dyDescent="0.25">
      <c r="B1415" s="18"/>
      <c r="C1415" s="19"/>
      <c r="D1415" s="19"/>
      <c r="O1415" s="5"/>
      <c r="P1415" s="5"/>
    </row>
    <row r="1416" spans="2:16" ht="13.2" x14ac:dyDescent="0.25">
      <c r="B1416" s="18"/>
      <c r="C1416" s="19"/>
      <c r="D1416" s="19"/>
      <c r="O1416" s="5"/>
      <c r="P1416" s="5"/>
    </row>
    <row r="1417" spans="2:16" ht="13.2" x14ac:dyDescent="0.25">
      <c r="B1417" s="18"/>
      <c r="C1417" s="19"/>
      <c r="D1417" s="19"/>
      <c r="O1417" s="5"/>
      <c r="P1417" s="5"/>
    </row>
    <row r="1418" spans="2:16" ht="13.2" x14ac:dyDescent="0.25">
      <c r="B1418" s="18"/>
      <c r="C1418" s="19"/>
      <c r="D1418" s="19"/>
      <c r="O1418" s="5"/>
      <c r="P1418" s="5"/>
    </row>
    <row r="1419" spans="2:16" ht="13.2" x14ac:dyDescent="0.25">
      <c r="B1419" s="18"/>
      <c r="C1419" s="19"/>
      <c r="D1419" s="19"/>
      <c r="O1419" s="5"/>
      <c r="P1419" s="5"/>
    </row>
    <row r="1420" spans="2:16" ht="13.2" x14ac:dyDescent="0.25">
      <c r="B1420" s="18"/>
      <c r="C1420" s="19"/>
      <c r="D1420" s="19"/>
      <c r="O1420" s="5"/>
      <c r="P1420" s="5"/>
    </row>
    <row r="1421" spans="2:16" ht="13.2" x14ac:dyDescent="0.25">
      <c r="B1421" s="18"/>
      <c r="C1421" s="19"/>
      <c r="D1421" s="19"/>
      <c r="O1421" s="5"/>
      <c r="P1421" s="5"/>
    </row>
    <row r="1422" spans="2:16" ht="13.2" x14ac:dyDescent="0.25">
      <c r="B1422" s="18"/>
      <c r="C1422" s="19"/>
      <c r="D1422" s="19"/>
      <c r="O1422" s="5"/>
      <c r="P1422" s="5"/>
    </row>
    <row r="1423" spans="2:16" ht="13.2" x14ac:dyDescent="0.25">
      <c r="B1423" s="18"/>
      <c r="C1423" s="19"/>
      <c r="D1423" s="19"/>
      <c r="O1423" s="5"/>
      <c r="P1423" s="5"/>
    </row>
    <row r="1424" spans="2:16" ht="13.2" x14ac:dyDescent="0.25">
      <c r="B1424" s="18"/>
      <c r="C1424" s="19"/>
      <c r="D1424" s="19"/>
      <c r="O1424" s="5"/>
      <c r="P1424" s="5"/>
    </row>
    <row r="1425" spans="2:16" ht="13.2" x14ac:dyDescent="0.25">
      <c r="B1425" s="18"/>
      <c r="C1425" s="19"/>
      <c r="D1425" s="19"/>
      <c r="O1425" s="5"/>
      <c r="P1425" s="5"/>
    </row>
    <row r="1426" spans="2:16" ht="13.2" x14ac:dyDescent="0.25">
      <c r="B1426" s="18"/>
      <c r="C1426" s="19"/>
      <c r="D1426" s="19"/>
      <c r="O1426" s="5"/>
      <c r="P1426" s="5"/>
    </row>
    <row r="1427" spans="2:16" ht="13.2" x14ac:dyDescent="0.25">
      <c r="B1427" s="18"/>
      <c r="C1427" s="19"/>
      <c r="D1427" s="19"/>
      <c r="O1427" s="5"/>
      <c r="P1427" s="5"/>
    </row>
    <row r="1428" spans="2:16" ht="13.2" x14ac:dyDescent="0.25">
      <c r="B1428" s="18"/>
      <c r="C1428" s="19"/>
      <c r="D1428" s="19"/>
      <c r="O1428" s="5"/>
      <c r="P1428" s="5"/>
    </row>
    <row r="1429" spans="2:16" ht="13.2" x14ac:dyDescent="0.25">
      <c r="B1429" s="18"/>
      <c r="C1429" s="19"/>
      <c r="D1429" s="19"/>
      <c r="O1429" s="5"/>
      <c r="P1429" s="5"/>
    </row>
    <row r="1430" spans="2:16" ht="13.2" x14ac:dyDescent="0.25">
      <c r="B1430" s="18"/>
      <c r="C1430" s="19"/>
      <c r="D1430" s="19"/>
      <c r="O1430" s="5"/>
      <c r="P1430" s="5"/>
    </row>
    <row r="1431" spans="2:16" ht="13.2" x14ac:dyDescent="0.25">
      <c r="B1431" s="18"/>
      <c r="C1431" s="19"/>
      <c r="D1431" s="19"/>
      <c r="O1431" s="5"/>
      <c r="P1431" s="5"/>
    </row>
    <row r="1432" spans="2:16" ht="13.2" x14ac:dyDescent="0.25">
      <c r="B1432" s="18"/>
      <c r="C1432" s="19"/>
      <c r="D1432" s="19"/>
      <c r="O1432" s="5"/>
      <c r="P1432" s="5"/>
    </row>
    <row r="1433" spans="2:16" ht="13.2" x14ac:dyDescent="0.25">
      <c r="B1433" s="18"/>
      <c r="C1433" s="19"/>
      <c r="D1433" s="19"/>
      <c r="O1433" s="5"/>
      <c r="P1433" s="5"/>
    </row>
    <row r="1434" spans="2:16" ht="13.2" x14ac:dyDescent="0.25">
      <c r="B1434" s="18"/>
      <c r="C1434" s="19"/>
      <c r="D1434" s="19"/>
      <c r="O1434" s="5"/>
      <c r="P1434" s="5"/>
    </row>
    <row r="1435" spans="2:16" ht="13.2" x14ac:dyDescent="0.25">
      <c r="B1435" s="18"/>
      <c r="C1435" s="19"/>
      <c r="D1435" s="19"/>
      <c r="O1435" s="5"/>
      <c r="P1435" s="5"/>
    </row>
    <row r="1436" spans="2:16" ht="13.2" x14ac:dyDescent="0.25">
      <c r="B1436" s="18"/>
      <c r="C1436" s="19"/>
      <c r="D1436" s="19"/>
      <c r="O1436" s="5"/>
      <c r="P1436" s="5"/>
    </row>
    <row r="1437" spans="2:16" ht="13.2" x14ac:dyDescent="0.25">
      <c r="B1437" s="18"/>
      <c r="C1437" s="19"/>
      <c r="D1437" s="19"/>
      <c r="O1437" s="5"/>
      <c r="P1437" s="5"/>
    </row>
    <row r="1438" spans="2:16" ht="13.2" x14ac:dyDescent="0.25">
      <c r="B1438" s="18"/>
      <c r="C1438" s="19"/>
      <c r="D1438" s="19"/>
      <c r="O1438" s="5"/>
      <c r="P1438" s="5"/>
    </row>
    <row r="1439" spans="2:16" ht="13.2" x14ac:dyDescent="0.25">
      <c r="B1439" s="18"/>
      <c r="C1439" s="19"/>
      <c r="D1439" s="19"/>
      <c r="O1439" s="5"/>
      <c r="P1439" s="5"/>
    </row>
    <row r="1440" spans="2:16" ht="13.2" x14ac:dyDescent="0.25">
      <c r="B1440" s="18"/>
      <c r="C1440" s="19"/>
      <c r="D1440" s="19"/>
      <c r="O1440" s="5"/>
      <c r="P1440" s="5"/>
    </row>
    <row r="1441" spans="2:16" ht="13.2" x14ac:dyDescent="0.25">
      <c r="B1441" s="18"/>
      <c r="C1441" s="19"/>
      <c r="D1441" s="19"/>
      <c r="O1441" s="5"/>
      <c r="P1441" s="5"/>
    </row>
    <row r="1442" spans="2:16" ht="13.2" x14ac:dyDescent="0.25">
      <c r="B1442" s="18"/>
      <c r="C1442" s="19"/>
      <c r="D1442" s="19"/>
      <c r="O1442" s="5"/>
      <c r="P1442" s="5"/>
    </row>
    <row r="1443" spans="2:16" ht="13.2" x14ac:dyDescent="0.25">
      <c r="B1443" s="18"/>
      <c r="C1443" s="19"/>
      <c r="D1443" s="19"/>
      <c r="O1443" s="5"/>
      <c r="P1443" s="5"/>
    </row>
    <row r="1444" spans="2:16" ht="13.2" x14ac:dyDescent="0.25">
      <c r="B1444" s="18"/>
      <c r="C1444" s="19"/>
      <c r="D1444" s="19"/>
      <c r="O1444" s="5"/>
      <c r="P1444" s="5"/>
    </row>
    <row r="1445" spans="2:16" ht="13.2" x14ac:dyDescent="0.25">
      <c r="B1445" s="18"/>
      <c r="C1445" s="19"/>
      <c r="D1445" s="19"/>
      <c r="O1445" s="5"/>
      <c r="P1445" s="5"/>
    </row>
    <row r="1446" spans="2:16" ht="13.2" x14ac:dyDescent="0.25">
      <c r="B1446" s="18"/>
      <c r="C1446" s="19"/>
      <c r="D1446" s="19"/>
      <c r="O1446" s="5"/>
      <c r="P1446" s="5"/>
    </row>
    <row r="1447" spans="2:16" ht="13.2" x14ac:dyDescent="0.25">
      <c r="B1447" s="18"/>
      <c r="C1447" s="19"/>
      <c r="D1447" s="19"/>
      <c r="O1447" s="5"/>
      <c r="P1447" s="5"/>
    </row>
    <row r="1448" spans="2:16" ht="13.2" x14ac:dyDescent="0.25">
      <c r="B1448" s="18"/>
      <c r="C1448" s="19"/>
      <c r="D1448" s="19"/>
      <c r="O1448" s="5"/>
      <c r="P1448" s="5"/>
    </row>
    <row r="1449" spans="2:16" ht="13.2" x14ac:dyDescent="0.25">
      <c r="B1449" s="18"/>
      <c r="C1449" s="19"/>
      <c r="D1449" s="19"/>
      <c r="O1449" s="5"/>
      <c r="P1449" s="5"/>
    </row>
    <row r="1450" spans="2:16" ht="13.2" x14ac:dyDescent="0.25">
      <c r="B1450" s="18"/>
      <c r="C1450" s="19"/>
      <c r="D1450" s="19"/>
      <c r="O1450" s="5"/>
      <c r="P1450" s="5"/>
    </row>
    <row r="1451" spans="2:16" ht="13.2" x14ac:dyDescent="0.25">
      <c r="B1451" s="18"/>
      <c r="C1451" s="19"/>
      <c r="D1451" s="19"/>
      <c r="O1451" s="5"/>
      <c r="P1451" s="5"/>
    </row>
    <row r="1452" spans="2:16" ht="13.2" x14ac:dyDescent="0.25">
      <c r="B1452" s="18"/>
      <c r="C1452" s="19"/>
      <c r="D1452" s="19"/>
      <c r="O1452" s="5"/>
      <c r="P1452" s="5"/>
    </row>
    <row r="1453" spans="2:16" ht="13.2" x14ac:dyDescent="0.25">
      <c r="B1453" s="18"/>
      <c r="C1453" s="19"/>
      <c r="D1453" s="19"/>
      <c r="O1453" s="5"/>
      <c r="P1453" s="5"/>
    </row>
    <row r="1454" spans="2:16" ht="13.2" x14ac:dyDescent="0.25">
      <c r="B1454" s="18"/>
      <c r="C1454" s="19"/>
      <c r="D1454" s="19"/>
      <c r="O1454" s="5"/>
      <c r="P1454" s="5"/>
    </row>
    <row r="1455" spans="2:16" ht="13.2" x14ac:dyDescent="0.25">
      <c r="B1455" s="18"/>
      <c r="C1455" s="19"/>
      <c r="D1455" s="19"/>
      <c r="O1455" s="5"/>
      <c r="P1455" s="5"/>
    </row>
    <row r="1456" spans="2:16" ht="13.2" x14ac:dyDescent="0.25">
      <c r="B1456" s="18"/>
      <c r="C1456" s="19"/>
      <c r="D1456" s="19"/>
      <c r="O1456" s="5"/>
      <c r="P1456" s="5"/>
    </row>
    <row r="1457" spans="2:16" ht="13.2" x14ac:dyDescent="0.25">
      <c r="B1457" s="18"/>
      <c r="C1457" s="19"/>
      <c r="D1457" s="19"/>
      <c r="O1457" s="5"/>
      <c r="P1457" s="5"/>
    </row>
    <row r="1458" spans="2:16" ht="13.2" x14ac:dyDescent="0.25">
      <c r="B1458" s="18"/>
      <c r="C1458" s="19"/>
      <c r="D1458" s="19"/>
      <c r="O1458" s="5"/>
      <c r="P1458" s="5"/>
    </row>
    <row r="1459" spans="2:16" ht="13.2" x14ac:dyDescent="0.25">
      <c r="B1459" s="18"/>
      <c r="C1459" s="19"/>
      <c r="D1459" s="19"/>
      <c r="O1459" s="5"/>
      <c r="P1459" s="5"/>
    </row>
    <row r="1460" spans="2:16" ht="13.2" x14ac:dyDescent="0.25">
      <c r="B1460" s="18"/>
      <c r="C1460" s="19"/>
      <c r="D1460" s="19"/>
      <c r="O1460" s="5"/>
      <c r="P1460" s="5"/>
    </row>
    <row r="1461" spans="2:16" ht="13.2" x14ac:dyDescent="0.25">
      <c r="B1461" s="18"/>
      <c r="C1461" s="19"/>
      <c r="D1461" s="19"/>
      <c r="O1461" s="5"/>
      <c r="P1461" s="5"/>
    </row>
    <row r="1462" spans="2:16" ht="13.2" x14ac:dyDescent="0.25">
      <c r="B1462" s="18"/>
      <c r="C1462" s="19"/>
      <c r="D1462" s="19"/>
      <c r="O1462" s="5"/>
      <c r="P1462" s="5"/>
    </row>
    <row r="1463" spans="2:16" ht="13.2" x14ac:dyDescent="0.25">
      <c r="B1463" s="18"/>
      <c r="C1463" s="19"/>
      <c r="D1463" s="19"/>
      <c r="O1463" s="5"/>
      <c r="P1463" s="5"/>
    </row>
    <row r="1464" spans="2:16" ht="13.2" x14ac:dyDescent="0.25">
      <c r="B1464" s="18"/>
      <c r="C1464" s="19"/>
      <c r="D1464" s="19"/>
      <c r="O1464" s="5"/>
      <c r="P1464" s="5"/>
    </row>
    <row r="1465" spans="2:16" ht="13.2" x14ac:dyDescent="0.25">
      <c r="B1465" s="18"/>
      <c r="C1465" s="19"/>
      <c r="D1465" s="19"/>
      <c r="O1465" s="5"/>
      <c r="P1465" s="5"/>
    </row>
    <row r="1466" spans="2:16" ht="13.2" x14ac:dyDescent="0.25">
      <c r="B1466" s="18"/>
      <c r="C1466" s="19"/>
      <c r="D1466" s="19"/>
      <c r="O1466" s="5"/>
      <c r="P1466" s="5"/>
    </row>
    <row r="1467" spans="2:16" ht="13.2" x14ac:dyDescent="0.25">
      <c r="B1467" s="18"/>
      <c r="C1467" s="19"/>
      <c r="D1467" s="19"/>
      <c r="O1467" s="5"/>
      <c r="P1467" s="5"/>
    </row>
    <row r="1468" spans="2:16" ht="13.2" x14ac:dyDescent="0.25">
      <c r="B1468" s="18"/>
      <c r="C1468" s="19"/>
      <c r="D1468" s="19"/>
      <c r="O1468" s="5"/>
      <c r="P1468" s="5"/>
    </row>
    <row r="1469" spans="2:16" ht="13.2" x14ac:dyDescent="0.25">
      <c r="B1469" s="18"/>
      <c r="C1469" s="19"/>
      <c r="D1469" s="19"/>
      <c r="O1469" s="5"/>
      <c r="P1469" s="5"/>
    </row>
    <row r="1470" spans="2:16" ht="13.2" x14ac:dyDescent="0.25">
      <c r="B1470" s="18"/>
      <c r="C1470" s="19"/>
      <c r="D1470" s="19"/>
      <c r="O1470" s="5"/>
      <c r="P1470" s="5"/>
    </row>
    <row r="1471" spans="2:16" ht="13.2" x14ac:dyDescent="0.25">
      <c r="B1471" s="18"/>
      <c r="C1471" s="19"/>
      <c r="D1471" s="19"/>
      <c r="O1471" s="5"/>
      <c r="P1471" s="5"/>
    </row>
    <row r="1472" spans="2:16" ht="13.2" x14ac:dyDescent="0.25">
      <c r="B1472" s="18"/>
      <c r="C1472" s="19"/>
      <c r="D1472" s="19"/>
      <c r="O1472" s="5"/>
      <c r="P1472" s="5"/>
    </row>
    <row r="1473" spans="2:16" ht="13.2" x14ac:dyDescent="0.25">
      <c r="B1473" s="18"/>
      <c r="C1473" s="19"/>
      <c r="D1473" s="19"/>
      <c r="O1473" s="5"/>
      <c r="P1473" s="5"/>
    </row>
    <row r="1474" spans="2:16" ht="13.2" x14ac:dyDescent="0.25">
      <c r="B1474" s="18"/>
      <c r="C1474" s="19"/>
      <c r="D1474" s="19"/>
      <c r="O1474" s="5"/>
      <c r="P1474" s="5"/>
    </row>
    <row r="1475" spans="2:16" ht="13.2" x14ac:dyDescent="0.25">
      <c r="B1475" s="18"/>
      <c r="C1475" s="19"/>
      <c r="D1475" s="19"/>
      <c r="O1475" s="5"/>
      <c r="P1475" s="5"/>
    </row>
    <row r="1476" spans="2:16" ht="13.2" x14ac:dyDescent="0.25">
      <c r="B1476" s="18"/>
      <c r="C1476" s="19"/>
      <c r="D1476" s="19"/>
      <c r="O1476" s="5"/>
      <c r="P1476" s="5"/>
    </row>
    <row r="1477" spans="2:16" ht="13.2" x14ac:dyDescent="0.25">
      <c r="B1477" s="18"/>
      <c r="C1477" s="19"/>
      <c r="D1477" s="19"/>
      <c r="O1477" s="5"/>
      <c r="P1477" s="5"/>
    </row>
    <row r="1478" spans="2:16" ht="13.2" x14ac:dyDescent="0.25">
      <c r="B1478" s="18"/>
      <c r="C1478" s="19"/>
      <c r="D1478" s="19"/>
      <c r="O1478" s="5"/>
      <c r="P1478" s="5"/>
    </row>
    <row r="1479" spans="2:16" ht="13.2" x14ac:dyDescent="0.25">
      <c r="B1479" s="18"/>
      <c r="C1479" s="19"/>
      <c r="D1479" s="19"/>
      <c r="O1479" s="5"/>
      <c r="P1479" s="5"/>
    </row>
    <row r="1480" spans="2:16" ht="13.2" x14ac:dyDescent="0.25">
      <c r="B1480" s="18"/>
      <c r="C1480" s="19"/>
      <c r="D1480" s="19"/>
      <c r="O1480" s="5"/>
      <c r="P1480" s="5"/>
    </row>
    <row r="1481" spans="2:16" ht="13.2" x14ac:dyDescent="0.25">
      <c r="B1481" s="18"/>
      <c r="C1481" s="19"/>
      <c r="D1481" s="19"/>
      <c r="O1481" s="5"/>
      <c r="P1481" s="5"/>
    </row>
    <row r="1482" spans="2:16" ht="13.2" x14ac:dyDescent="0.25">
      <c r="B1482" s="18"/>
      <c r="C1482" s="19"/>
      <c r="D1482" s="19"/>
      <c r="O1482" s="5"/>
      <c r="P1482" s="5"/>
    </row>
    <row r="1483" spans="2:16" ht="13.2" x14ac:dyDescent="0.25">
      <c r="B1483" s="18"/>
      <c r="C1483" s="19"/>
      <c r="D1483" s="19"/>
      <c r="O1483" s="5"/>
      <c r="P1483" s="5"/>
    </row>
    <row r="1484" spans="2:16" ht="13.2" x14ac:dyDescent="0.25">
      <c r="B1484" s="18"/>
      <c r="C1484" s="19"/>
      <c r="D1484" s="19"/>
      <c r="O1484" s="5"/>
      <c r="P1484" s="5"/>
    </row>
    <row r="1485" spans="2:16" ht="13.2" x14ac:dyDescent="0.25">
      <c r="B1485" s="18"/>
      <c r="C1485" s="19"/>
      <c r="D1485" s="19"/>
      <c r="O1485" s="5"/>
      <c r="P1485" s="5"/>
    </row>
    <row r="1486" spans="2:16" ht="13.2" x14ac:dyDescent="0.25">
      <c r="B1486" s="18"/>
      <c r="C1486" s="19"/>
      <c r="D1486" s="19"/>
      <c r="O1486" s="5"/>
      <c r="P1486" s="5"/>
    </row>
    <row r="1487" spans="2:16" ht="13.2" x14ac:dyDescent="0.25">
      <c r="B1487" s="18"/>
      <c r="C1487" s="19"/>
      <c r="D1487" s="19"/>
      <c r="O1487" s="5"/>
      <c r="P1487" s="5"/>
    </row>
    <row r="1488" spans="2:16" ht="13.2" x14ac:dyDescent="0.25">
      <c r="B1488" s="18"/>
      <c r="C1488" s="19"/>
      <c r="D1488" s="19"/>
      <c r="O1488" s="5"/>
      <c r="P1488" s="5"/>
    </row>
    <row r="1489" spans="2:16" ht="13.2" x14ac:dyDescent="0.25">
      <c r="B1489" s="18"/>
      <c r="C1489" s="19"/>
      <c r="D1489" s="19"/>
      <c r="O1489" s="5"/>
      <c r="P1489" s="5"/>
    </row>
    <row r="1490" spans="2:16" ht="13.2" x14ac:dyDescent="0.25">
      <c r="B1490" s="18"/>
      <c r="C1490" s="19"/>
      <c r="D1490" s="19"/>
      <c r="O1490" s="5"/>
      <c r="P1490" s="5"/>
    </row>
    <row r="1491" spans="2:16" ht="13.2" x14ac:dyDescent="0.25">
      <c r="B1491" s="18"/>
      <c r="C1491" s="19"/>
      <c r="D1491" s="19"/>
      <c r="O1491" s="5"/>
      <c r="P1491" s="5"/>
    </row>
    <row r="1492" spans="2:16" ht="13.2" x14ac:dyDescent="0.25">
      <c r="B1492" s="18"/>
      <c r="C1492" s="19"/>
      <c r="D1492" s="19"/>
      <c r="O1492" s="5"/>
      <c r="P1492" s="5"/>
    </row>
    <row r="1493" spans="2:16" ht="13.2" x14ac:dyDescent="0.25">
      <c r="B1493" s="18"/>
      <c r="C1493" s="19"/>
      <c r="D1493" s="19"/>
      <c r="O1493" s="5"/>
      <c r="P1493" s="5"/>
    </row>
    <row r="1494" spans="2:16" ht="13.2" x14ac:dyDescent="0.25">
      <c r="B1494" s="18"/>
      <c r="C1494" s="19"/>
      <c r="D1494" s="19"/>
      <c r="O1494" s="5"/>
      <c r="P1494" s="5"/>
    </row>
    <row r="1495" spans="2:16" ht="13.2" x14ac:dyDescent="0.25">
      <c r="B1495" s="18"/>
      <c r="C1495" s="19"/>
      <c r="D1495" s="19"/>
      <c r="O1495" s="5"/>
      <c r="P1495" s="5"/>
    </row>
    <row r="1496" spans="2:16" ht="13.2" x14ac:dyDescent="0.25">
      <c r="B1496" s="18"/>
      <c r="C1496" s="19"/>
      <c r="D1496" s="19"/>
      <c r="O1496" s="5"/>
      <c r="P1496" s="5"/>
    </row>
    <row r="1497" spans="2:16" ht="13.2" x14ac:dyDescent="0.25">
      <c r="B1497" s="18"/>
      <c r="C1497" s="19"/>
      <c r="D1497" s="19"/>
      <c r="O1497" s="5"/>
      <c r="P1497" s="5"/>
    </row>
    <row r="1498" spans="2:16" ht="13.2" x14ac:dyDescent="0.25">
      <c r="B1498" s="18"/>
      <c r="C1498" s="19"/>
      <c r="D1498" s="19"/>
      <c r="O1498" s="5"/>
      <c r="P1498" s="5"/>
    </row>
    <row r="1499" spans="2:16" ht="13.2" x14ac:dyDescent="0.25">
      <c r="B1499" s="18"/>
      <c r="C1499" s="19"/>
      <c r="D1499" s="19"/>
      <c r="O1499" s="5"/>
      <c r="P1499" s="5"/>
    </row>
    <row r="1500" spans="2:16" ht="13.2" x14ac:dyDescent="0.25">
      <c r="B1500" s="18"/>
      <c r="C1500" s="19"/>
      <c r="D1500" s="19"/>
      <c r="O1500" s="5"/>
      <c r="P1500" s="5"/>
    </row>
    <row r="1501" spans="2:16" ht="13.2" x14ac:dyDescent="0.25">
      <c r="B1501" s="18"/>
      <c r="C1501" s="19"/>
      <c r="D1501" s="19"/>
      <c r="O1501" s="5"/>
      <c r="P1501" s="5"/>
    </row>
    <row r="1502" spans="2:16" ht="13.2" x14ac:dyDescent="0.25">
      <c r="B1502" s="18"/>
      <c r="C1502" s="19"/>
      <c r="D1502" s="19"/>
      <c r="O1502" s="5"/>
      <c r="P1502" s="5"/>
    </row>
    <row r="1503" spans="2:16" ht="13.2" x14ac:dyDescent="0.25">
      <c r="B1503" s="18"/>
      <c r="C1503" s="19"/>
      <c r="D1503" s="19"/>
      <c r="O1503" s="5"/>
      <c r="P1503" s="5"/>
    </row>
    <row r="1504" spans="2:16" ht="13.2" x14ac:dyDescent="0.25">
      <c r="B1504" s="18"/>
      <c r="C1504" s="19"/>
      <c r="D1504" s="19"/>
      <c r="O1504" s="5"/>
      <c r="P1504" s="5"/>
    </row>
    <row r="1505" spans="2:16" ht="13.2" x14ac:dyDescent="0.25">
      <c r="B1505" s="18"/>
      <c r="C1505" s="19"/>
      <c r="D1505" s="19"/>
      <c r="O1505" s="5"/>
      <c r="P1505" s="5"/>
    </row>
    <row r="1506" spans="2:16" ht="13.2" x14ac:dyDescent="0.25">
      <c r="B1506" s="18"/>
      <c r="C1506" s="19"/>
      <c r="D1506" s="19"/>
      <c r="O1506" s="5"/>
      <c r="P1506" s="5"/>
    </row>
    <row r="1507" spans="2:16" ht="13.2" x14ac:dyDescent="0.25">
      <c r="B1507" s="18"/>
      <c r="C1507" s="19"/>
      <c r="D1507" s="19"/>
      <c r="O1507" s="5"/>
      <c r="P1507" s="5"/>
    </row>
    <row r="1508" spans="2:16" ht="13.2" x14ac:dyDescent="0.25">
      <c r="B1508" s="18"/>
      <c r="C1508" s="19"/>
      <c r="D1508" s="19"/>
      <c r="O1508" s="5"/>
      <c r="P1508" s="5"/>
    </row>
    <row r="1509" spans="2:16" ht="13.2" x14ac:dyDescent="0.25">
      <c r="B1509" s="18"/>
      <c r="C1509" s="19"/>
      <c r="D1509" s="19"/>
      <c r="O1509" s="5"/>
      <c r="P1509" s="5"/>
    </row>
    <row r="1510" spans="2:16" ht="13.2" x14ac:dyDescent="0.25">
      <c r="B1510" s="18"/>
      <c r="C1510" s="19"/>
      <c r="D1510" s="19"/>
      <c r="O1510" s="5"/>
      <c r="P1510" s="5"/>
    </row>
    <row r="1511" spans="2:16" ht="13.2" x14ac:dyDescent="0.25">
      <c r="B1511" s="18"/>
      <c r="C1511" s="19"/>
      <c r="D1511" s="19"/>
      <c r="O1511" s="5"/>
      <c r="P1511" s="5"/>
    </row>
    <row r="1512" spans="2:16" ht="13.2" x14ac:dyDescent="0.25">
      <c r="B1512" s="18"/>
      <c r="C1512" s="19"/>
      <c r="D1512" s="19"/>
      <c r="O1512" s="5"/>
      <c r="P1512" s="5"/>
    </row>
    <row r="1513" spans="2:16" ht="13.2" x14ac:dyDescent="0.25">
      <c r="B1513" s="18"/>
      <c r="C1513" s="19"/>
      <c r="D1513" s="19"/>
      <c r="O1513" s="5"/>
      <c r="P1513" s="5"/>
    </row>
    <row r="1514" spans="2:16" ht="13.2" x14ac:dyDescent="0.25">
      <c r="B1514" s="18"/>
      <c r="C1514" s="19"/>
      <c r="D1514" s="19"/>
      <c r="O1514" s="5"/>
      <c r="P1514" s="5"/>
    </row>
    <row r="1515" spans="2:16" ht="13.2" x14ac:dyDescent="0.25">
      <c r="B1515" s="18"/>
      <c r="C1515" s="19"/>
      <c r="D1515" s="19"/>
      <c r="O1515" s="5"/>
      <c r="P1515" s="5"/>
    </row>
    <row r="1516" spans="2:16" ht="13.2" x14ac:dyDescent="0.25">
      <c r="B1516" s="18"/>
      <c r="C1516" s="19"/>
      <c r="D1516" s="19"/>
      <c r="O1516" s="5"/>
      <c r="P1516" s="5"/>
    </row>
    <row r="1517" spans="2:16" ht="13.2" x14ac:dyDescent="0.25">
      <c r="B1517" s="18"/>
      <c r="C1517" s="19"/>
      <c r="D1517" s="19"/>
      <c r="O1517" s="5"/>
      <c r="P1517" s="5"/>
    </row>
    <row r="1518" spans="2:16" ht="13.2" x14ac:dyDescent="0.25">
      <c r="B1518" s="18"/>
      <c r="C1518" s="19"/>
      <c r="D1518" s="19"/>
      <c r="O1518" s="5"/>
      <c r="P1518" s="5"/>
    </row>
    <row r="1519" spans="2:16" ht="13.2" x14ac:dyDescent="0.25">
      <c r="B1519" s="18"/>
      <c r="C1519" s="19"/>
      <c r="D1519" s="19"/>
      <c r="O1519" s="5"/>
      <c r="P1519" s="5"/>
    </row>
    <row r="1520" spans="2:16" ht="13.2" x14ac:dyDescent="0.25">
      <c r="B1520" s="18"/>
      <c r="C1520" s="19"/>
      <c r="D1520" s="19"/>
      <c r="O1520" s="5"/>
      <c r="P1520" s="5"/>
    </row>
    <row r="1521" spans="2:16" ht="13.2" x14ac:dyDescent="0.25">
      <c r="B1521" s="18"/>
      <c r="C1521" s="19"/>
      <c r="D1521" s="19"/>
      <c r="O1521" s="5"/>
      <c r="P1521" s="5"/>
    </row>
    <row r="1522" spans="2:16" ht="13.2" x14ac:dyDescent="0.25">
      <c r="B1522" s="18"/>
      <c r="C1522" s="19"/>
      <c r="D1522" s="19"/>
      <c r="O1522" s="5"/>
      <c r="P1522" s="5"/>
    </row>
    <row r="1523" spans="2:16" ht="13.2" x14ac:dyDescent="0.25">
      <c r="B1523" s="18"/>
      <c r="C1523" s="19"/>
      <c r="D1523" s="19"/>
      <c r="O1523" s="5"/>
      <c r="P1523" s="5"/>
    </row>
    <row r="1524" spans="2:16" ht="13.2" x14ac:dyDescent="0.25">
      <c r="B1524" s="18"/>
      <c r="C1524" s="19"/>
      <c r="D1524" s="19"/>
      <c r="O1524" s="5"/>
      <c r="P1524" s="5"/>
    </row>
    <row r="1525" spans="2:16" ht="13.2" x14ac:dyDescent="0.25">
      <c r="B1525" s="18"/>
      <c r="C1525" s="19"/>
      <c r="D1525" s="19"/>
      <c r="O1525" s="5"/>
      <c r="P1525" s="5"/>
    </row>
    <row r="1526" spans="2:16" ht="13.2" x14ac:dyDescent="0.25">
      <c r="B1526" s="18"/>
      <c r="C1526" s="19"/>
      <c r="D1526" s="19"/>
      <c r="O1526" s="5"/>
      <c r="P1526" s="5"/>
    </row>
    <row r="1527" spans="2:16" ht="13.2" x14ac:dyDescent="0.25">
      <c r="B1527" s="18"/>
      <c r="C1527" s="19"/>
      <c r="D1527" s="19"/>
      <c r="O1527" s="5"/>
      <c r="P1527" s="5"/>
    </row>
    <row r="1528" spans="2:16" ht="13.2" x14ac:dyDescent="0.25">
      <c r="B1528" s="18"/>
      <c r="C1528" s="19"/>
      <c r="D1528" s="19"/>
      <c r="O1528" s="5"/>
      <c r="P1528" s="5"/>
    </row>
    <row r="1529" spans="2:16" ht="13.2" x14ac:dyDescent="0.25">
      <c r="B1529" s="18"/>
      <c r="C1529" s="19"/>
      <c r="D1529" s="19"/>
      <c r="O1529" s="5"/>
      <c r="P1529" s="5"/>
    </row>
    <row r="1530" spans="2:16" ht="13.2" x14ac:dyDescent="0.25">
      <c r="B1530" s="18"/>
      <c r="C1530" s="19"/>
      <c r="D1530" s="19"/>
      <c r="O1530" s="5"/>
      <c r="P1530" s="5"/>
    </row>
    <row r="1531" spans="2:16" ht="13.2" x14ac:dyDescent="0.25">
      <c r="B1531" s="18"/>
      <c r="C1531" s="19"/>
      <c r="D1531" s="19"/>
      <c r="O1531" s="5"/>
      <c r="P1531" s="5"/>
    </row>
    <row r="1532" spans="2:16" ht="13.2" x14ac:dyDescent="0.25">
      <c r="B1532" s="18"/>
      <c r="C1532" s="19"/>
      <c r="D1532" s="19"/>
      <c r="O1532" s="5"/>
      <c r="P1532" s="5"/>
    </row>
    <row r="1533" spans="2:16" ht="13.2" x14ac:dyDescent="0.25">
      <c r="B1533" s="18"/>
      <c r="C1533" s="19"/>
      <c r="D1533" s="19"/>
      <c r="O1533" s="5"/>
      <c r="P1533" s="5"/>
    </row>
    <row r="1534" spans="2:16" ht="13.2" x14ac:dyDescent="0.25">
      <c r="B1534" s="18"/>
      <c r="C1534" s="19"/>
      <c r="D1534" s="19"/>
      <c r="O1534" s="5"/>
      <c r="P1534" s="5"/>
    </row>
    <row r="1535" spans="2:16" ht="13.2" x14ac:dyDescent="0.25">
      <c r="B1535" s="18"/>
      <c r="C1535" s="19"/>
      <c r="D1535" s="19"/>
      <c r="O1535" s="5"/>
      <c r="P1535" s="5"/>
    </row>
    <row r="1536" spans="2:16" ht="13.2" x14ac:dyDescent="0.25">
      <c r="B1536" s="18"/>
      <c r="C1536" s="19"/>
      <c r="D1536" s="19"/>
      <c r="O1536" s="5"/>
      <c r="P1536" s="5"/>
    </row>
    <row r="1537" spans="2:16" ht="13.2" x14ac:dyDescent="0.25">
      <c r="B1537" s="18"/>
      <c r="C1537" s="19"/>
      <c r="D1537" s="19"/>
      <c r="O1537" s="5"/>
      <c r="P1537" s="5"/>
    </row>
    <row r="1538" spans="2:16" ht="13.2" x14ac:dyDescent="0.25">
      <c r="B1538" s="18"/>
      <c r="C1538" s="19"/>
      <c r="D1538" s="19"/>
      <c r="O1538" s="5"/>
      <c r="P1538" s="5"/>
    </row>
    <row r="1539" spans="2:16" ht="13.2" x14ac:dyDescent="0.25">
      <c r="B1539" s="18"/>
      <c r="C1539" s="19"/>
      <c r="D1539" s="19"/>
      <c r="O1539" s="5"/>
      <c r="P1539" s="5"/>
    </row>
    <row r="1540" spans="2:16" ht="13.2" x14ac:dyDescent="0.25">
      <c r="B1540" s="18"/>
      <c r="C1540" s="19"/>
      <c r="D1540" s="19"/>
      <c r="O1540" s="5"/>
      <c r="P1540" s="5"/>
    </row>
    <row r="1541" spans="2:16" ht="13.2" x14ac:dyDescent="0.25">
      <c r="B1541" s="18"/>
      <c r="C1541" s="19"/>
      <c r="D1541" s="19"/>
      <c r="O1541" s="5"/>
      <c r="P1541" s="5"/>
    </row>
    <row r="1542" spans="2:16" ht="13.2" x14ac:dyDescent="0.25">
      <c r="B1542" s="18"/>
      <c r="C1542" s="19"/>
      <c r="D1542" s="19"/>
      <c r="O1542" s="5"/>
      <c r="P1542" s="5"/>
    </row>
    <row r="1543" spans="2:16" ht="13.2" x14ac:dyDescent="0.25">
      <c r="B1543" s="18"/>
      <c r="C1543" s="19"/>
      <c r="D1543" s="19"/>
      <c r="O1543" s="5"/>
      <c r="P1543" s="5"/>
    </row>
    <row r="1544" spans="2:16" ht="13.2" x14ac:dyDescent="0.25">
      <c r="B1544" s="18"/>
      <c r="C1544" s="19"/>
      <c r="D1544" s="19"/>
      <c r="O1544" s="5"/>
      <c r="P1544" s="5"/>
    </row>
    <row r="1545" spans="2:16" ht="13.2" x14ac:dyDescent="0.25">
      <c r="B1545" s="18"/>
      <c r="C1545" s="19"/>
      <c r="D1545" s="19"/>
      <c r="O1545" s="5"/>
      <c r="P1545" s="5"/>
    </row>
    <row r="1546" spans="2:16" ht="13.2" x14ac:dyDescent="0.25">
      <c r="B1546" s="18"/>
      <c r="C1546" s="19"/>
      <c r="D1546" s="19"/>
      <c r="O1546" s="5"/>
      <c r="P1546" s="5"/>
    </row>
    <row r="1547" spans="2:16" ht="13.2" x14ac:dyDescent="0.25">
      <c r="B1547" s="18"/>
      <c r="C1547" s="19"/>
      <c r="D1547" s="19"/>
      <c r="O1547" s="5"/>
      <c r="P1547" s="5"/>
    </row>
    <row r="1548" spans="2:16" ht="13.2" x14ac:dyDescent="0.25">
      <c r="B1548" s="18"/>
      <c r="C1548" s="19"/>
      <c r="D1548" s="19"/>
      <c r="O1548" s="5"/>
      <c r="P1548" s="5"/>
    </row>
    <row r="1549" spans="2:16" ht="13.2" x14ac:dyDescent="0.25">
      <c r="B1549" s="18"/>
      <c r="C1549" s="19"/>
      <c r="D1549" s="19"/>
      <c r="O1549" s="5"/>
      <c r="P1549" s="5"/>
    </row>
    <row r="1550" spans="2:16" ht="13.2" x14ac:dyDescent="0.25">
      <c r="B1550" s="18"/>
      <c r="C1550" s="19"/>
      <c r="D1550" s="19"/>
      <c r="O1550" s="5"/>
      <c r="P1550" s="5"/>
    </row>
    <row r="1551" spans="2:16" ht="13.2" x14ac:dyDescent="0.25">
      <c r="B1551" s="18"/>
      <c r="C1551" s="19"/>
      <c r="D1551" s="19"/>
      <c r="O1551" s="5"/>
      <c r="P1551" s="5"/>
    </row>
    <row r="1552" spans="2:16" ht="13.2" x14ac:dyDescent="0.25">
      <c r="B1552" s="18"/>
      <c r="C1552" s="19"/>
      <c r="D1552" s="19"/>
      <c r="O1552" s="5"/>
      <c r="P1552" s="5"/>
    </row>
    <row r="1553" spans="2:16" ht="13.2" x14ac:dyDescent="0.25">
      <c r="B1553" s="18"/>
      <c r="C1553" s="19"/>
      <c r="D1553" s="19"/>
      <c r="O1553" s="5"/>
      <c r="P1553" s="5"/>
    </row>
    <row r="1554" spans="2:16" ht="13.2" x14ac:dyDescent="0.25">
      <c r="B1554" s="18"/>
      <c r="C1554" s="19"/>
      <c r="D1554" s="19"/>
      <c r="O1554" s="5"/>
      <c r="P1554" s="5"/>
    </row>
    <row r="1555" spans="2:16" ht="13.2" x14ac:dyDescent="0.25">
      <c r="B1555" s="18"/>
      <c r="C1555" s="19"/>
      <c r="D1555" s="19"/>
      <c r="O1555" s="5"/>
      <c r="P1555" s="5"/>
    </row>
    <row r="1556" spans="2:16" ht="13.2" x14ac:dyDescent="0.25">
      <c r="B1556" s="18"/>
      <c r="C1556" s="19"/>
      <c r="D1556" s="19"/>
      <c r="O1556" s="5"/>
      <c r="P1556" s="5"/>
    </row>
    <row r="1557" spans="2:16" ht="13.2" x14ac:dyDescent="0.25">
      <c r="B1557" s="18"/>
      <c r="C1557" s="19"/>
      <c r="D1557" s="19"/>
      <c r="O1557" s="5"/>
      <c r="P1557" s="5"/>
    </row>
    <row r="1558" spans="2:16" ht="13.2" x14ac:dyDescent="0.25">
      <c r="B1558" s="18"/>
      <c r="C1558" s="19"/>
      <c r="D1558" s="19"/>
      <c r="O1558" s="5"/>
      <c r="P1558" s="5"/>
    </row>
    <row r="1559" spans="2:16" ht="13.2" x14ac:dyDescent="0.25">
      <c r="B1559" s="18"/>
      <c r="C1559" s="19"/>
      <c r="D1559" s="19"/>
      <c r="O1559" s="5"/>
      <c r="P1559" s="5"/>
    </row>
    <row r="1560" spans="2:16" ht="13.2" x14ac:dyDescent="0.25">
      <c r="B1560" s="18"/>
      <c r="C1560" s="19"/>
      <c r="D1560" s="19"/>
      <c r="O1560" s="5"/>
      <c r="P1560" s="5"/>
    </row>
    <row r="1561" spans="2:16" ht="13.2" x14ac:dyDescent="0.25">
      <c r="B1561" s="18"/>
      <c r="C1561" s="19"/>
      <c r="D1561" s="19"/>
      <c r="O1561" s="5"/>
      <c r="P1561" s="5"/>
    </row>
    <row r="1562" spans="2:16" ht="13.2" x14ac:dyDescent="0.25">
      <c r="B1562" s="18"/>
      <c r="C1562" s="19"/>
      <c r="D1562" s="19"/>
      <c r="O1562" s="5"/>
      <c r="P1562" s="5"/>
    </row>
    <row r="1563" spans="2:16" ht="13.2" x14ac:dyDescent="0.25">
      <c r="B1563" s="18"/>
      <c r="C1563" s="19"/>
      <c r="D1563" s="19"/>
      <c r="O1563" s="5"/>
      <c r="P1563" s="5"/>
    </row>
    <row r="1564" spans="2:16" ht="13.2" x14ac:dyDescent="0.25">
      <c r="B1564" s="18"/>
      <c r="C1564" s="19"/>
      <c r="D1564" s="19"/>
      <c r="O1564" s="5"/>
      <c r="P1564" s="5"/>
    </row>
    <row r="1565" spans="2:16" ht="13.2" x14ac:dyDescent="0.25">
      <c r="B1565" s="18"/>
      <c r="C1565" s="19"/>
      <c r="D1565" s="19"/>
      <c r="O1565" s="5"/>
      <c r="P1565" s="5"/>
    </row>
    <row r="1566" spans="2:16" ht="13.2" x14ac:dyDescent="0.25">
      <c r="B1566" s="18"/>
      <c r="C1566" s="19"/>
      <c r="D1566" s="19"/>
      <c r="O1566" s="5"/>
      <c r="P1566" s="5"/>
    </row>
    <row r="1567" spans="2:16" ht="13.2" x14ac:dyDescent="0.25">
      <c r="B1567" s="18"/>
      <c r="C1567" s="19"/>
      <c r="D1567" s="19"/>
      <c r="O1567" s="5"/>
      <c r="P1567" s="5"/>
    </row>
    <row r="1568" spans="2:16" ht="13.2" x14ac:dyDescent="0.25">
      <c r="B1568" s="18"/>
      <c r="C1568" s="19"/>
      <c r="D1568" s="19"/>
      <c r="O1568" s="5"/>
      <c r="P1568" s="5"/>
    </row>
    <row r="1569" spans="2:16" ht="13.2" x14ac:dyDescent="0.25">
      <c r="B1569" s="18"/>
      <c r="C1569" s="19"/>
      <c r="D1569" s="19"/>
      <c r="O1569" s="5"/>
      <c r="P1569" s="5"/>
    </row>
    <row r="1570" spans="2:16" ht="13.2" x14ac:dyDescent="0.25">
      <c r="B1570" s="18"/>
      <c r="C1570" s="19"/>
      <c r="D1570" s="19"/>
      <c r="O1570" s="5"/>
      <c r="P1570" s="5"/>
    </row>
    <row r="1571" spans="2:16" ht="13.2" x14ac:dyDescent="0.25">
      <c r="B1571" s="18"/>
      <c r="C1571" s="19"/>
      <c r="D1571" s="19"/>
      <c r="O1571" s="5"/>
      <c r="P1571" s="5"/>
    </row>
    <row r="1572" spans="2:16" ht="13.2" x14ac:dyDescent="0.25">
      <c r="B1572" s="18"/>
      <c r="C1572" s="19"/>
      <c r="D1572" s="19"/>
      <c r="O1572" s="5"/>
      <c r="P1572" s="5"/>
    </row>
    <row r="1573" spans="2:16" ht="13.2" x14ac:dyDescent="0.25">
      <c r="B1573" s="18"/>
      <c r="C1573" s="19"/>
      <c r="D1573" s="19"/>
      <c r="O1573" s="5"/>
      <c r="P1573" s="5"/>
    </row>
    <row r="1574" spans="2:16" ht="13.2" x14ac:dyDescent="0.25">
      <c r="B1574" s="18"/>
      <c r="C1574" s="19"/>
      <c r="D1574" s="19"/>
      <c r="O1574" s="5"/>
      <c r="P1574" s="5"/>
    </row>
    <row r="1575" spans="2:16" ht="13.2" x14ac:dyDescent="0.25">
      <c r="B1575" s="18"/>
      <c r="C1575" s="19"/>
      <c r="D1575" s="19"/>
      <c r="O1575" s="5"/>
      <c r="P1575" s="5"/>
    </row>
    <row r="1576" spans="2:16" ht="13.2" x14ac:dyDescent="0.25">
      <c r="B1576" s="18"/>
      <c r="C1576" s="19"/>
      <c r="D1576" s="19"/>
      <c r="O1576" s="5"/>
      <c r="P1576" s="5"/>
    </row>
    <row r="1577" spans="2:16" ht="13.2" x14ac:dyDescent="0.25">
      <c r="B1577" s="18"/>
      <c r="C1577" s="19"/>
      <c r="D1577" s="19"/>
      <c r="O1577" s="5"/>
      <c r="P1577" s="5"/>
    </row>
    <row r="1578" spans="2:16" ht="13.2" x14ac:dyDescent="0.25">
      <c r="B1578" s="18"/>
      <c r="C1578" s="19"/>
      <c r="D1578" s="19"/>
      <c r="O1578" s="5"/>
      <c r="P1578" s="5"/>
    </row>
    <row r="1579" spans="2:16" ht="13.2" x14ac:dyDescent="0.25">
      <c r="B1579" s="18"/>
      <c r="C1579" s="19"/>
      <c r="D1579" s="19"/>
      <c r="O1579" s="5"/>
      <c r="P1579" s="5"/>
    </row>
    <row r="1580" spans="2:16" ht="13.2" x14ac:dyDescent="0.25">
      <c r="B1580" s="18"/>
      <c r="C1580" s="19"/>
      <c r="D1580" s="19"/>
      <c r="O1580" s="5"/>
      <c r="P1580" s="5"/>
    </row>
    <row r="1581" spans="2:16" ht="13.2" x14ac:dyDescent="0.25">
      <c r="B1581" s="18"/>
      <c r="C1581" s="19"/>
      <c r="D1581" s="19"/>
      <c r="O1581" s="5"/>
      <c r="P1581" s="5"/>
    </row>
    <row r="1582" spans="2:16" ht="13.2" x14ac:dyDescent="0.25">
      <c r="B1582" s="18"/>
      <c r="C1582" s="19"/>
      <c r="D1582" s="19"/>
      <c r="O1582" s="5"/>
      <c r="P1582" s="5"/>
    </row>
    <row r="1583" spans="2:16" ht="13.2" x14ac:dyDescent="0.25">
      <c r="B1583" s="18"/>
      <c r="C1583" s="19"/>
      <c r="D1583" s="19"/>
      <c r="O1583" s="5"/>
      <c r="P1583" s="5"/>
    </row>
    <row r="1584" spans="2:16" ht="13.2" x14ac:dyDescent="0.25">
      <c r="B1584" s="18"/>
      <c r="C1584" s="19"/>
      <c r="D1584" s="19"/>
      <c r="O1584" s="5"/>
      <c r="P1584" s="5"/>
    </row>
    <row r="1585" spans="2:16" ht="13.2" x14ac:dyDescent="0.25">
      <c r="B1585" s="18"/>
      <c r="C1585" s="19"/>
      <c r="D1585" s="19"/>
      <c r="O1585" s="5"/>
      <c r="P1585" s="5"/>
    </row>
    <row r="1586" spans="2:16" ht="13.2" x14ac:dyDescent="0.25">
      <c r="B1586" s="18"/>
      <c r="C1586" s="19"/>
      <c r="D1586" s="19"/>
      <c r="O1586" s="5"/>
      <c r="P1586" s="5"/>
    </row>
    <row r="1587" spans="2:16" ht="13.2" x14ac:dyDescent="0.25">
      <c r="B1587" s="18"/>
      <c r="C1587" s="19"/>
      <c r="D1587" s="19"/>
      <c r="O1587" s="5"/>
      <c r="P1587" s="5"/>
    </row>
    <row r="1588" spans="2:16" ht="13.2" x14ac:dyDescent="0.25">
      <c r="B1588" s="18"/>
      <c r="C1588" s="19"/>
      <c r="D1588" s="19"/>
      <c r="O1588" s="5"/>
      <c r="P1588" s="5"/>
    </row>
    <row r="1589" spans="2:16" ht="13.2" x14ac:dyDescent="0.25">
      <c r="B1589" s="18"/>
      <c r="C1589" s="19"/>
      <c r="D1589" s="19"/>
      <c r="O1589" s="5"/>
      <c r="P1589" s="5"/>
    </row>
    <row r="1590" spans="2:16" ht="13.2" x14ac:dyDescent="0.25">
      <c r="B1590" s="18"/>
      <c r="C1590" s="19"/>
      <c r="D1590" s="19"/>
      <c r="O1590" s="5"/>
      <c r="P1590" s="5"/>
    </row>
    <row r="1591" spans="2:16" ht="13.2" x14ac:dyDescent="0.25">
      <c r="B1591" s="18"/>
      <c r="C1591" s="19"/>
      <c r="D1591" s="19"/>
      <c r="O1591" s="5"/>
      <c r="P1591" s="5"/>
    </row>
    <row r="1592" spans="2:16" ht="13.2" x14ac:dyDescent="0.25">
      <c r="B1592" s="18"/>
      <c r="C1592" s="19"/>
      <c r="D1592" s="19"/>
      <c r="O1592" s="5"/>
      <c r="P1592" s="5"/>
    </row>
    <row r="1593" spans="2:16" ht="13.2" x14ac:dyDescent="0.25">
      <c r="B1593" s="18"/>
      <c r="C1593" s="19"/>
      <c r="D1593" s="19"/>
      <c r="O1593" s="5"/>
      <c r="P1593" s="5"/>
    </row>
    <row r="1594" spans="2:16" ht="13.2" x14ac:dyDescent="0.25">
      <c r="B1594" s="18"/>
      <c r="C1594" s="19"/>
      <c r="D1594" s="19"/>
      <c r="O1594" s="5"/>
      <c r="P1594" s="5"/>
    </row>
    <row r="1595" spans="2:16" ht="13.2" x14ac:dyDescent="0.25">
      <c r="B1595" s="18"/>
      <c r="C1595" s="19"/>
      <c r="D1595" s="19"/>
      <c r="O1595" s="5"/>
      <c r="P1595" s="5"/>
    </row>
    <row r="1596" spans="2:16" ht="13.2" x14ac:dyDescent="0.25">
      <c r="B1596" s="18"/>
      <c r="C1596" s="19"/>
      <c r="D1596" s="19"/>
      <c r="O1596" s="5"/>
      <c r="P1596" s="5"/>
    </row>
    <row r="1597" spans="2:16" ht="13.2" x14ac:dyDescent="0.25">
      <c r="B1597" s="18"/>
      <c r="C1597" s="19"/>
      <c r="D1597" s="19"/>
      <c r="O1597" s="5"/>
      <c r="P1597" s="5"/>
    </row>
    <row r="1598" spans="2:16" ht="13.2" x14ac:dyDescent="0.25">
      <c r="B1598" s="18"/>
      <c r="C1598" s="19"/>
      <c r="D1598" s="19"/>
      <c r="O1598" s="5"/>
      <c r="P1598" s="5"/>
    </row>
    <row r="1599" spans="2:16" ht="13.2" x14ac:dyDescent="0.25">
      <c r="B1599" s="18"/>
      <c r="C1599" s="19"/>
      <c r="D1599" s="19"/>
      <c r="O1599" s="5"/>
      <c r="P1599" s="5"/>
    </row>
    <row r="1600" spans="2:16" ht="13.2" x14ac:dyDescent="0.25">
      <c r="B1600" s="18"/>
      <c r="C1600" s="19"/>
      <c r="D1600" s="19"/>
      <c r="O1600" s="5"/>
      <c r="P1600" s="5"/>
    </row>
    <row r="1601" spans="2:16" ht="13.2" x14ac:dyDescent="0.25">
      <c r="B1601" s="18"/>
      <c r="C1601" s="19"/>
      <c r="D1601" s="19"/>
      <c r="O1601" s="5"/>
      <c r="P1601" s="5"/>
    </row>
    <row r="1602" spans="2:16" ht="13.2" x14ac:dyDescent="0.25">
      <c r="B1602" s="18"/>
      <c r="C1602" s="19"/>
      <c r="D1602" s="19"/>
      <c r="O1602" s="5"/>
      <c r="P1602" s="5"/>
    </row>
    <row r="1603" spans="2:16" ht="13.2" x14ac:dyDescent="0.25">
      <c r="B1603" s="18"/>
      <c r="C1603" s="19"/>
      <c r="D1603" s="19"/>
      <c r="O1603" s="5"/>
      <c r="P1603" s="5"/>
    </row>
    <row r="1604" spans="2:16" ht="13.2" x14ac:dyDescent="0.25">
      <c r="B1604" s="18"/>
      <c r="C1604" s="19"/>
      <c r="D1604" s="19"/>
      <c r="O1604" s="5"/>
      <c r="P1604" s="5"/>
    </row>
    <row r="1605" spans="2:16" ht="13.2" x14ac:dyDescent="0.25">
      <c r="B1605" s="18"/>
      <c r="C1605" s="19"/>
      <c r="D1605" s="19"/>
      <c r="O1605" s="5"/>
      <c r="P1605" s="5"/>
    </row>
    <row r="1606" spans="2:16" ht="13.2" x14ac:dyDescent="0.25">
      <c r="B1606" s="18"/>
      <c r="C1606" s="19"/>
      <c r="D1606" s="19"/>
      <c r="O1606" s="5"/>
      <c r="P1606" s="5"/>
    </row>
    <row r="1607" spans="2:16" ht="13.2" x14ac:dyDescent="0.25">
      <c r="B1607" s="18"/>
      <c r="C1607" s="19"/>
      <c r="D1607" s="19"/>
      <c r="O1607" s="5"/>
      <c r="P1607" s="5"/>
    </row>
    <row r="1608" spans="2:16" ht="13.2" x14ac:dyDescent="0.25">
      <c r="B1608" s="18"/>
      <c r="C1608" s="19"/>
      <c r="D1608" s="19"/>
      <c r="O1608" s="5"/>
      <c r="P1608" s="5"/>
    </row>
    <row r="1609" spans="2:16" ht="13.2" x14ac:dyDescent="0.25">
      <c r="B1609" s="18"/>
      <c r="C1609" s="19"/>
      <c r="D1609" s="19"/>
      <c r="O1609" s="5"/>
      <c r="P1609" s="5"/>
    </row>
    <row r="1610" spans="2:16" ht="13.2" x14ac:dyDescent="0.25">
      <c r="B1610" s="18"/>
      <c r="C1610" s="19"/>
      <c r="D1610" s="19"/>
      <c r="O1610" s="5"/>
      <c r="P1610" s="5"/>
    </row>
    <row r="1611" spans="2:16" ht="13.2" x14ac:dyDescent="0.25">
      <c r="B1611" s="18"/>
      <c r="C1611" s="19"/>
      <c r="D1611" s="19"/>
      <c r="O1611" s="5"/>
      <c r="P1611" s="5"/>
    </row>
    <row r="1612" spans="2:16" ht="13.2" x14ac:dyDescent="0.25">
      <c r="B1612" s="18"/>
      <c r="C1612" s="19"/>
      <c r="D1612" s="19"/>
      <c r="O1612" s="5"/>
      <c r="P1612" s="5"/>
    </row>
    <row r="1613" spans="2:16" ht="13.2" x14ac:dyDescent="0.25">
      <c r="B1613" s="18"/>
      <c r="C1613" s="19"/>
      <c r="D1613" s="19"/>
      <c r="O1613" s="5"/>
      <c r="P1613" s="5"/>
    </row>
    <row r="1614" spans="2:16" ht="13.2" x14ac:dyDescent="0.25">
      <c r="B1614" s="18"/>
      <c r="C1614" s="19"/>
      <c r="D1614" s="19"/>
      <c r="O1614" s="5"/>
      <c r="P1614" s="5"/>
    </row>
    <row r="1615" spans="2:16" ht="13.2" x14ac:dyDescent="0.25">
      <c r="B1615" s="18"/>
      <c r="C1615" s="19"/>
      <c r="D1615" s="19"/>
      <c r="O1615" s="5"/>
      <c r="P1615" s="5"/>
    </row>
    <row r="1616" spans="2:16" ht="13.2" x14ac:dyDescent="0.25">
      <c r="B1616" s="18"/>
      <c r="C1616" s="19"/>
      <c r="D1616" s="19"/>
      <c r="O1616" s="5"/>
      <c r="P1616" s="5"/>
    </row>
    <row r="1617" spans="2:16" ht="13.2" x14ac:dyDescent="0.25">
      <c r="B1617" s="18"/>
      <c r="C1617" s="19"/>
      <c r="D1617" s="19"/>
      <c r="O1617" s="5"/>
      <c r="P1617" s="5"/>
    </row>
    <row r="1618" spans="2:16" ht="13.2" x14ac:dyDescent="0.25">
      <c r="B1618" s="18"/>
      <c r="C1618" s="19"/>
      <c r="D1618" s="19"/>
      <c r="O1618" s="5"/>
      <c r="P1618" s="5"/>
    </row>
    <row r="1619" spans="2:16" ht="13.2" x14ac:dyDescent="0.25">
      <c r="B1619" s="18"/>
      <c r="C1619" s="19"/>
      <c r="D1619" s="19"/>
      <c r="O1619" s="5"/>
      <c r="P1619" s="5"/>
    </row>
    <row r="1620" spans="2:16" ht="13.2" x14ac:dyDescent="0.25">
      <c r="B1620" s="18"/>
      <c r="C1620" s="19"/>
      <c r="D1620" s="19"/>
      <c r="O1620" s="5"/>
      <c r="P1620" s="5"/>
    </row>
    <row r="1621" spans="2:16" ht="13.2" x14ac:dyDescent="0.25">
      <c r="B1621" s="18"/>
      <c r="C1621" s="19"/>
      <c r="D1621" s="19"/>
      <c r="O1621" s="5"/>
      <c r="P1621" s="5"/>
    </row>
    <row r="1622" spans="2:16" ht="13.2" x14ac:dyDescent="0.25">
      <c r="B1622" s="18"/>
      <c r="C1622" s="19"/>
      <c r="D1622" s="19"/>
      <c r="O1622" s="5"/>
      <c r="P1622" s="5"/>
    </row>
    <row r="1623" spans="2:16" ht="13.2" x14ac:dyDescent="0.25">
      <c r="B1623" s="18"/>
      <c r="C1623" s="19"/>
      <c r="D1623" s="19"/>
      <c r="O1623" s="5"/>
      <c r="P1623" s="5"/>
    </row>
    <row r="1624" spans="2:16" ht="13.2" x14ac:dyDescent="0.25">
      <c r="B1624" s="18"/>
      <c r="C1624" s="19"/>
      <c r="D1624" s="19"/>
      <c r="O1624" s="5"/>
      <c r="P1624" s="5"/>
    </row>
    <row r="1625" spans="2:16" ht="13.2" x14ac:dyDescent="0.25">
      <c r="B1625" s="18"/>
      <c r="C1625" s="19"/>
      <c r="D1625" s="19"/>
      <c r="O1625" s="5"/>
      <c r="P1625" s="5"/>
    </row>
    <row r="1626" spans="2:16" ht="13.2" x14ac:dyDescent="0.25">
      <c r="B1626" s="18"/>
      <c r="C1626" s="19"/>
      <c r="D1626" s="19"/>
      <c r="O1626" s="5"/>
      <c r="P1626" s="5"/>
    </row>
    <row r="1627" spans="2:16" ht="13.2" x14ac:dyDescent="0.25">
      <c r="B1627" s="18"/>
      <c r="C1627" s="19"/>
      <c r="D1627" s="19"/>
      <c r="O1627" s="5"/>
      <c r="P1627" s="5"/>
    </row>
    <row r="1628" spans="2:16" ht="13.2" x14ac:dyDescent="0.25">
      <c r="B1628" s="18"/>
      <c r="C1628" s="19"/>
      <c r="D1628" s="19"/>
      <c r="O1628" s="5"/>
      <c r="P1628" s="5"/>
    </row>
    <row r="1629" spans="2:16" ht="13.2" x14ac:dyDescent="0.25">
      <c r="B1629" s="18"/>
      <c r="C1629" s="19"/>
      <c r="D1629" s="19"/>
      <c r="O1629" s="5"/>
      <c r="P1629" s="5"/>
    </row>
    <row r="1630" spans="2:16" ht="13.2" x14ac:dyDescent="0.25">
      <c r="B1630" s="18"/>
      <c r="C1630" s="19"/>
      <c r="D1630" s="19"/>
      <c r="O1630" s="5"/>
      <c r="P1630" s="5"/>
    </row>
    <row r="1631" spans="2:16" ht="13.2" x14ac:dyDescent="0.25">
      <c r="B1631" s="18"/>
      <c r="C1631" s="19"/>
      <c r="D1631" s="19"/>
      <c r="O1631" s="5"/>
      <c r="P1631" s="5"/>
    </row>
    <row r="1632" spans="2:16" ht="13.2" x14ac:dyDescent="0.25">
      <c r="B1632" s="18"/>
      <c r="C1632" s="19"/>
      <c r="D1632" s="19"/>
      <c r="O1632" s="5"/>
      <c r="P1632" s="5"/>
    </row>
    <row r="1633" spans="2:16" ht="13.2" x14ac:dyDescent="0.25">
      <c r="B1633" s="18"/>
      <c r="C1633" s="19"/>
      <c r="D1633" s="19"/>
      <c r="O1633" s="5"/>
      <c r="P1633" s="5"/>
    </row>
    <row r="1634" spans="2:16" ht="13.2" x14ac:dyDescent="0.25">
      <c r="B1634" s="18"/>
      <c r="C1634" s="19"/>
      <c r="D1634" s="19"/>
      <c r="O1634" s="5"/>
      <c r="P1634" s="5"/>
    </row>
    <row r="1635" spans="2:16" ht="13.2" x14ac:dyDescent="0.25">
      <c r="B1635" s="18"/>
      <c r="C1635" s="19"/>
      <c r="D1635" s="19"/>
      <c r="O1635" s="5"/>
      <c r="P1635" s="5"/>
    </row>
    <row r="1636" spans="2:16" ht="13.2" x14ac:dyDescent="0.25">
      <c r="B1636" s="18"/>
      <c r="C1636" s="19"/>
      <c r="D1636" s="19"/>
      <c r="O1636" s="5"/>
      <c r="P1636" s="5"/>
    </row>
    <row r="1637" spans="2:16" ht="13.2" x14ac:dyDescent="0.25">
      <c r="B1637" s="18"/>
      <c r="C1637" s="19"/>
      <c r="D1637" s="19"/>
      <c r="O1637" s="5"/>
      <c r="P1637" s="5"/>
    </row>
    <row r="1638" spans="2:16" ht="13.2" x14ac:dyDescent="0.25">
      <c r="B1638" s="18"/>
      <c r="C1638" s="19"/>
      <c r="D1638" s="19"/>
      <c r="O1638" s="5"/>
      <c r="P1638" s="5"/>
    </row>
    <row r="1639" spans="2:16" ht="13.2" x14ac:dyDescent="0.25">
      <c r="B1639" s="18"/>
      <c r="C1639" s="19"/>
      <c r="D1639" s="19"/>
      <c r="O1639" s="5"/>
      <c r="P1639" s="5"/>
    </row>
    <row r="1640" spans="2:16" ht="13.2" x14ac:dyDescent="0.25">
      <c r="B1640" s="18"/>
      <c r="C1640" s="19"/>
      <c r="D1640" s="19"/>
      <c r="O1640" s="5"/>
      <c r="P1640" s="5"/>
    </row>
    <row r="1641" spans="2:16" ht="13.2" x14ac:dyDescent="0.25">
      <c r="B1641" s="18"/>
      <c r="C1641" s="19"/>
      <c r="D1641" s="19"/>
      <c r="O1641" s="5"/>
      <c r="P1641" s="5"/>
    </row>
    <row r="1642" spans="2:16" ht="13.2" x14ac:dyDescent="0.25">
      <c r="B1642" s="18"/>
      <c r="C1642" s="19"/>
      <c r="D1642" s="19"/>
      <c r="O1642" s="5"/>
      <c r="P1642" s="5"/>
    </row>
    <row r="1643" spans="2:16" ht="13.2" x14ac:dyDescent="0.25">
      <c r="B1643" s="18"/>
      <c r="C1643" s="19"/>
      <c r="D1643" s="19"/>
      <c r="O1643" s="5"/>
      <c r="P1643" s="5"/>
    </row>
    <row r="1644" spans="2:16" ht="13.2" x14ac:dyDescent="0.25">
      <c r="B1644" s="18"/>
      <c r="C1644" s="19"/>
      <c r="D1644" s="19"/>
      <c r="O1644" s="5"/>
      <c r="P1644" s="5"/>
    </row>
    <row r="1645" spans="2:16" ht="13.2" x14ac:dyDescent="0.25">
      <c r="B1645" s="18"/>
      <c r="C1645" s="19"/>
      <c r="D1645" s="19"/>
      <c r="O1645" s="5"/>
      <c r="P1645" s="5"/>
    </row>
    <row r="1646" spans="2:16" ht="13.2" x14ac:dyDescent="0.25">
      <c r="B1646" s="18"/>
      <c r="C1646" s="19"/>
      <c r="D1646" s="19"/>
      <c r="O1646" s="5"/>
      <c r="P1646" s="5"/>
    </row>
    <row r="1647" spans="2:16" ht="13.2" x14ac:dyDescent="0.25">
      <c r="B1647" s="18"/>
      <c r="C1647" s="19"/>
      <c r="D1647" s="19"/>
      <c r="O1647" s="5"/>
      <c r="P1647" s="5"/>
    </row>
    <row r="1648" spans="2:16" ht="13.2" x14ac:dyDescent="0.25">
      <c r="B1648" s="18"/>
      <c r="C1648" s="19"/>
      <c r="D1648" s="19"/>
      <c r="O1648" s="5"/>
      <c r="P1648" s="5"/>
    </row>
    <row r="1649" spans="2:16" ht="13.2" x14ac:dyDescent="0.25">
      <c r="B1649" s="18"/>
      <c r="C1649" s="19"/>
      <c r="D1649" s="19"/>
      <c r="O1649" s="5"/>
      <c r="P1649" s="5"/>
    </row>
    <row r="1650" spans="2:16" ht="13.2" x14ac:dyDescent="0.25">
      <c r="B1650" s="18"/>
      <c r="C1650" s="19"/>
      <c r="D1650" s="19"/>
      <c r="O1650" s="5"/>
      <c r="P1650" s="5"/>
    </row>
    <row r="1651" spans="2:16" ht="13.2" x14ac:dyDescent="0.25">
      <c r="B1651" s="18"/>
      <c r="C1651" s="19"/>
      <c r="D1651" s="19"/>
      <c r="O1651" s="5"/>
      <c r="P1651" s="5"/>
    </row>
    <row r="1652" spans="2:16" ht="13.2" x14ac:dyDescent="0.25">
      <c r="B1652" s="18"/>
      <c r="C1652" s="19"/>
      <c r="D1652" s="19"/>
      <c r="O1652" s="5"/>
      <c r="P1652" s="5"/>
    </row>
    <row r="1653" spans="2:16" ht="13.2" x14ac:dyDescent="0.25">
      <c r="B1653" s="18"/>
      <c r="C1653" s="19"/>
      <c r="D1653" s="19"/>
      <c r="O1653" s="5"/>
      <c r="P1653" s="5"/>
    </row>
    <row r="1654" spans="2:16" ht="13.2" x14ac:dyDescent="0.25">
      <c r="B1654" s="18"/>
      <c r="C1654" s="19"/>
      <c r="D1654" s="19"/>
      <c r="O1654" s="5"/>
      <c r="P1654" s="5"/>
    </row>
    <row r="1655" spans="2:16" ht="13.2" x14ac:dyDescent="0.25">
      <c r="B1655" s="18"/>
      <c r="C1655" s="19"/>
      <c r="D1655" s="19"/>
      <c r="O1655" s="5"/>
      <c r="P1655" s="5"/>
    </row>
    <row r="1656" spans="2:16" ht="13.2" x14ac:dyDescent="0.25">
      <c r="B1656" s="18"/>
      <c r="C1656" s="19"/>
      <c r="D1656" s="19"/>
      <c r="O1656" s="5"/>
      <c r="P1656" s="5"/>
    </row>
    <row r="1657" spans="2:16" ht="13.2" x14ac:dyDescent="0.25">
      <c r="B1657" s="18"/>
      <c r="C1657" s="19"/>
      <c r="D1657" s="19"/>
      <c r="O1657" s="5"/>
      <c r="P1657" s="5"/>
    </row>
    <row r="1658" spans="2:16" ht="13.2" x14ac:dyDescent="0.25">
      <c r="B1658" s="18"/>
      <c r="C1658" s="19"/>
      <c r="D1658" s="19"/>
      <c r="O1658" s="5"/>
      <c r="P1658" s="5"/>
    </row>
    <row r="1659" spans="2:16" ht="13.2" x14ac:dyDescent="0.25">
      <c r="B1659" s="18"/>
      <c r="C1659" s="19"/>
      <c r="D1659" s="19"/>
      <c r="O1659" s="5"/>
      <c r="P1659" s="5"/>
    </row>
    <row r="1660" spans="2:16" ht="13.2" x14ac:dyDescent="0.25">
      <c r="B1660" s="18"/>
      <c r="C1660" s="19"/>
      <c r="D1660" s="19"/>
      <c r="O1660" s="5"/>
      <c r="P1660" s="5"/>
    </row>
    <row r="1661" spans="2:16" ht="13.2" x14ac:dyDescent="0.25">
      <c r="B1661" s="18"/>
      <c r="C1661" s="19"/>
      <c r="D1661" s="19"/>
      <c r="O1661" s="5"/>
      <c r="P1661" s="5"/>
    </row>
    <row r="1662" spans="2:16" ht="13.2" x14ac:dyDescent="0.25">
      <c r="B1662" s="18"/>
      <c r="C1662" s="19"/>
      <c r="D1662" s="19"/>
      <c r="O1662" s="5"/>
      <c r="P1662" s="5"/>
    </row>
    <row r="1663" spans="2:16" ht="13.2" x14ac:dyDescent="0.25">
      <c r="B1663" s="18"/>
      <c r="C1663" s="19"/>
      <c r="D1663" s="19"/>
      <c r="O1663" s="5"/>
      <c r="P1663" s="5"/>
    </row>
    <row r="1664" spans="2:16" ht="13.2" x14ac:dyDescent="0.25">
      <c r="B1664" s="18"/>
      <c r="C1664" s="19"/>
      <c r="D1664" s="19"/>
      <c r="O1664" s="5"/>
      <c r="P1664" s="5"/>
    </row>
    <row r="1665" spans="2:16" ht="13.2" x14ac:dyDescent="0.25">
      <c r="B1665" s="18"/>
      <c r="C1665" s="19"/>
      <c r="D1665" s="19"/>
      <c r="O1665" s="5"/>
      <c r="P1665" s="5"/>
    </row>
    <row r="1666" spans="2:16" ht="13.2" x14ac:dyDescent="0.25">
      <c r="B1666" s="18"/>
      <c r="C1666" s="19"/>
      <c r="D1666" s="19"/>
      <c r="O1666" s="5"/>
      <c r="P1666" s="5"/>
    </row>
    <row r="1667" spans="2:16" ht="13.2" x14ac:dyDescent="0.25">
      <c r="B1667" s="18"/>
      <c r="C1667" s="19"/>
      <c r="D1667" s="19"/>
      <c r="O1667" s="5"/>
      <c r="P1667" s="5"/>
    </row>
    <row r="1668" spans="2:16" ht="13.2" x14ac:dyDescent="0.25">
      <c r="B1668" s="18"/>
      <c r="C1668" s="19"/>
      <c r="D1668" s="19"/>
      <c r="O1668" s="5"/>
      <c r="P1668" s="5"/>
    </row>
    <row r="1669" spans="2:16" ht="13.2" x14ac:dyDescent="0.25">
      <c r="B1669" s="18"/>
      <c r="C1669" s="19"/>
      <c r="D1669" s="19"/>
      <c r="O1669" s="5"/>
      <c r="P1669" s="5"/>
    </row>
    <row r="1670" spans="2:16" ht="13.2" x14ac:dyDescent="0.25">
      <c r="B1670" s="18"/>
      <c r="C1670" s="19"/>
      <c r="D1670" s="19"/>
      <c r="O1670" s="5"/>
      <c r="P1670" s="5"/>
    </row>
    <row r="1671" spans="2:16" ht="13.2" x14ac:dyDescent="0.25">
      <c r="B1671" s="18"/>
      <c r="C1671" s="19"/>
      <c r="D1671" s="19"/>
      <c r="O1671" s="5"/>
      <c r="P1671" s="5"/>
    </row>
    <row r="1672" spans="2:16" ht="13.2" x14ac:dyDescent="0.25">
      <c r="B1672" s="18"/>
      <c r="C1672" s="19"/>
      <c r="D1672" s="19"/>
      <c r="O1672" s="5"/>
      <c r="P1672" s="5"/>
    </row>
    <row r="1673" spans="2:16" ht="13.2" x14ac:dyDescent="0.25">
      <c r="B1673" s="18"/>
      <c r="C1673" s="19"/>
      <c r="D1673" s="19"/>
      <c r="O1673" s="5"/>
      <c r="P1673" s="5"/>
    </row>
    <row r="1674" spans="2:16" ht="13.2" x14ac:dyDescent="0.25">
      <c r="B1674" s="18"/>
      <c r="C1674" s="19"/>
      <c r="D1674" s="19"/>
      <c r="O1674" s="5"/>
      <c r="P1674" s="5"/>
    </row>
    <row r="1675" spans="2:16" ht="13.2" x14ac:dyDescent="0.25">
      <c r="B1675" s="18"/>
      <c r="C1675" s="19"/>
      <c r="D1675" s="19"/>
      <c r="O1675" s="5"/>
      <c r="P1675" s="5"/>
    </row>
    <row r="1676" spans="2:16" ht="13.2" x14ac:dyDescent="0.25">
      <c r="B1676" s="18"/>
      <c r="C1676" s="19"/>
      <c r="D1676" s="19"/>
      <c r="O1676" s="5"/>
      <c r="P1676" s="5"/>
    </row>
    <row r="1677" spans="2:16" ht="13.2" x14ac:dyDescent="0.25">
      <c r="B1677" s="18"/>
      <c r="C1677" s="19"/>
      <c r="D1677" s="19"/>
      <c r="O1677" s="5"/>
      <c r="P1677" s="5"/>
    </row>
    <row r="1678" spans="2:16" ht="13.2" x14ac:dyDescent="0.25">
      <c r="B1678" s="18"/>
      <c r="C1678" s="19"/>
      <c r="D1678" s="19"/>
      <c r="O1678" s="5"/>
      <c r="P1678" s="5"/>
    </row>
    <row r="1679" spans="2:16" ht="13.2" x14ac:dyDescent="0.25">
      <c r="B1679" s="18"/>
      <c r="C1679" s="19"/>
      <c r="D1679" s="19"/>
      <c r="O1679" s="5"/>
      <c r="P1679" s="5"/>
    </row>
    <row r="1680" spans="2:16" ht="13.2" x14ac:dyDescent="0.25">
      <c r="B1680" s="18"/>
      <c r="C1680" s="19"/>
      <c r="D1680" s="19"/>
      <c r="O1680" s="5"/>
      <c r="P1680" s="5"/>
    </row>
    <row r="1681" spans="2:16" ht="13.2" x14ac:dyDescent="0.25">
      <c r="B1681" s="18"/>
      <c r="C1681" s="19"/>
      <c r="D1681" s="19"/>
      <c r="O1681" s="5"/>
      <c r="P1681" s="5"/>
    </row>
    <row r="1682" spans="2:16" ht="13.2" x14ac:dyDescent="0.25">
      <c r="B1682" s="18"/>
      <c r="C1682" s="19"/>
      <c r="D1682" s="19"/>
      <c r="O1682" s="5"/>
      <c r="P1682" s="5"/>
    </row>
    <row r="1683" spans="2:16" ht="13.2" x14ac:dyDescent="0.25">
      <c r="B1683" s="18"/>
      <c r="C1683" s="19"/>
      <c r="D1683" s="19"/>
      <c r="O1683" s="5"/>
      <c r="P1683" s="5"/>
    </row>
    <row r="1684" spans="2:16" ht="13.2" x14ac:dyDescent="0.25">
      <c r="B1684" s="18"/>
      <c r="C1684" s="19"/>
      <c r="D1684" s="19"/>
      <c r="O1684" s="5"/>
      <c r="P1684" s="5"/>
    </row>
    <row r="1685" spans="2:16" ht="13.2" x14ac:dyDescent="0.25">
      <c r="B1685" s="18"/>
      <c r="C1685" s="19"/>
      <c r="D1685" s="19"/>
      <c r="O1685" s="5"/>
      <c r="P1685" s="5"/>
    </row>
    <row r="1686" spans="2:16" ht="13.2" x14ac:dyDescent="0.25">
      <c r="B1686" s="18"/>
      <c r="C1686" s="19"/>
      <c r="D1686" s="19"/>
      <c r="O1686" s="5"/>
      <c r="P1686" s="5"/>
    </row>
    <row r="1687" spans="2:16" ht="13.2" x14ac:dyDescent="0.25">
      <c r="B1687" s="18"/>
      <c r="C1687" s="19"/>
      <c r="D1687" s="19"/>
      <c r="O1687" s="5"/>
      <c r="P1687" s="5"/>
    </row>
    <row r="1688" spans="2:16" ht="13.2" x14ac:dyDescent="0.25">
      <c r="B1688" s="18"/>
      <c r="C1688" s="19"/>
      <c r="D1688" s="19"/>
      <c r="O1688" s="5"/>
      <c r="P1688" s="5"/>
    </row>
    <row r="1689" spans="2:16" ht="13.2" x14ac:dyDescent="0.25">
      <c r="B1689" s="18"/>
      <c r="C1689" s="19"/>
      <c r="D1689" s="19"/>
      <c r="O1689" s="5"/>
      <c r="P1689" s="5"/>
    </row>
    <row r="1690" spans="2:16" ht="13.2" x14ac:dyDescent="0.25">
      <c r="B1690" s="18"/>
      <c r="C1690" s="19"/>
      <c r="D1690" s="19"/>
      <c r="O1690" s="5"/>
      <c r="P1690" s="5"/>
    </row>
    <row r="1691" spans="2:16" ht="13.2" x14ac:dyDescent="0.25">
      <c r="B1691" s="18"/>
      <c r="C1691" s="19"/>
      <c r="D1691" s="19"/>
      <c r="O1691" s="5"/>
      <c r="P1691" s="5"/>
    </row>
    <row r="1692" spans="2:16" ht="13.2" x14ac:dyDescent="0.25">
      <c r="B1692" s="18"/>
      <c r="C1692" s="19"/>
      <c r="D1692" s="19"/>
      <c r="O1692" s="5"/>
      <c r="P1692" s="5"/>
    </row>
    <row r="1693" spans="2:16" ht="13.2" x14ac:dyDescent="0.25">
      <c r="B1693" s="18"/>
      <c r="C1693" s="19"/>
      <c r="D1693" s="19"/>
      <c r="O1693" s="5"/>
      <c r="P1693" s="5"/>
    </row>
    <row r="1694" spans="2:16" ht="13.2" x14ac:dyDescent="0.25">
      <c r="B1694" s="18"/>
      <c r="C1694" s="19"/>
      <c r="D1694" s="19"/>
      <c r="O1694" s="5"/>
      <c r="P1694" s="5"/>
    </row>
    <row r="1695" spans="2:16" ht="13.2" x14ac:dyDescent="0.25">
      <c r="B1695" s="18"/>
      <c r="C1695" s="19"/>
      <c r="D1695" s="19"/>
      <c r="O1695" s="5"/>
      <c r="P1695" s="5"/>
    </row>
    <row r="1696" spans="2:16" ht="13.2" x14ac:dyDescent="0.25">
      <c r="B1696" s="18"/>
      <c r="C1696" s="19"/>
      <c r="D1696" s="19"/>
      <c r="O1696" s="5"/>
      <c r="P1696" s="5"/>
    </row>
    <row r="1697" spans="2:16" ht="13.2" x14ac:dyDescent="0.25">
      <c r="B1697" s="18"/>
      <c r="C1697" s="19"/>
      <c r="D1697" s="19"/>
      <c r="O1697" s="5"/>
      <c r="P1697" s="5"/>
    </row>
    <row r="1698" spans="2:16" ht="13.2" x14ac:dyDescent="0.25">
      <c r="B1698" s="18"/>
      <c r="C1698" s="19"/>
      <c r="D1698" s="19"/>
      <c r="O1698" s="5"/>
      <c r="P1698" s="5"/>
    </row>
    <row r="1699" spans="2:16" ht="13.2" x14ac:dyDescent="0.25">
      <c r="B1699" s="18"/>
      <c r="C1699" s="19"/>
      <c r="D1699" s="19"/>
      <c r="O1699" s="5"/>
      <c r="P1699" s="5"/>
    </row>
    <row r="1700" spans="2:16" ht="13.2" x14ac:dyDescent="0.25">
      <c r="B1700" s="18"/>
      <c r="C1700" s="19"/>
      <c r="D1700" s="19"/>
      <c r="O1700" s="5"/>
      <c r="P1700" s="5"/>
    </row>
    <row r="1701" spans="2:16" ht="13.2" x14ac:dyDescent="0.25">
      <c r="B1701" s="18"/>
      <c r="C1701" s="19"/>
      <c r="D1701" s="19"/>
      <c r="O1701" s="5"/>
      <c r="P1701" s="5"/>
    </row>
    <row r="1702" spans="2:16" ht="13.2" x14ac:dyDescent="0.25">
      <c r="B1702" s="18"/>
      <c r="C1702" s="19"/>
      <c r="D1702" s="19"/>
      <c r="O1702" s="5"/>
      <c r="P1702" s="5"/>
    </row>
    <row r="1703" spans="2:16" ht="13.2" x14ac:dyDescent="0.25">
      <c r="B1703" s="18"/>
      <c r="C1703" s="19"/>
      <c r="D1703" s="19"/>
      <c r="O1703" s="5"/>
      <c r="P1703" s="5"/>
    </row>
    <row r="1704" spans="2:16" ht="13.2" x14ac:dyDescent="0.25">
      <c r="B1704" s="18"/>
      <c r="C1704" s="19"/>
      <c r="D1704" s="19"/>
      <c r="O1704" s="5"/>
      <c r="P1704" s="5"/>
    </row>
    <row r="1705" spans="2:16" ht="13.2" x14ac:dyDescent="0.25">
      <c r="B1705" s="18"/>
      <c r="C1705" s="19"/>
      <c r="D1705" s="19"/>
      <c r="O1705" s="5"/>
      <c r="P1705" s="5"/>
    </row>
    <row r="1706" spans="2:16" ht="13.2" x14ac:dyDescent="0.25">
      <c r="B1706" s="18"/>
      <c r="C1706" s="19"/>
      <c r="D1706" s="19"/>
      <c r="O1706" s="5"/>
      <c r="P1706" s="5"/>
    </row>
    <row r="1707" spans="2:16" ht="13.2" x14ac:dyDescent="0.25">
      <c r="B1707" s="18"/>
      <c r="C1707" s="19"/>
      <c r="D1707" s="19"/>
      <c r="O1707" s="5"/>
      <c r="P1707" s="5"/>
    </row>
    <row r="1708" spans="2:16" ht="13.2" x14ac:dyDescent="0.25">
      <c r="B1708" s="18"/>
      <c r="C1708" s="19"/>
      <c r="D1708" s="19"/>
      <c r="O1708" s="5"/>
      <c r="P1708" s="5"/>
    </row>
    <row r="1709" spans="2:16" ht="13.2" x14ac:dyDescent="0.25">
      <c r="B1709" s="18"/>
      <c r="C1709" s="19"/>
      <c r="D1709" s="19"/>
      <c r="O1709" s="5"/>
      <c r="P1709" s="5"/>
    </row>
    <row r="1710" spans="2:16" ht="13.2" x14ac:dyDescent="0.25">
      <c r="B1710" s="18"/>
      <c r="C1710" s="19"/>
      <c r="D1710" s="19"/>
      <c r="O1710" s="5"/>
      <c r="P1710" s="5"/>
    </row>
    <row r="1711" spans="2:16" ht="13.2" x14ac:dyDescent="0.25">
      <c r="B1711" s="18"/>
      <c r="C1711" s="19"/>
      <c r="D1711" s="19"/>
      <c r="O1711" s="5"/>
      <c r="P1711" s="5"/>
    </row>
    <row r="1712" spans="2:16" ht="13.2" x14ac:dyDescent="0.25">
      <c r="B1712" s="18"/>
      <c r="C1712" s="19"/>
      <c r="D1712" s="19"/>
      <c r="O1712" s="5"/>
      <c r="P1712" s="5"/>
    </row>
    <row r="1713" spans="2:16" ht="13.2" x14ac:dyDescent="0.25">
      <c r="B1713" s="18"/>
      <c r="C1713" s="19"/>
      <c r="D1713" s="19"/>
      <c r="O1713" s="5"/>
      <c r="P1713" s="5"/>
    </row>
    <row r="1714" spans="2:16" ht="13.2" x14ac:dyDescent="0.25">
      <c r="B1714" s="18"/>
      <c r="C1714" s="19"/>
      <c r="D1714" s="19"/>
      <c r="O1714" s="5"/>
      <c r="P1714" s="5"/>
    </row>
    <row r="1715" spans="2:16" ht="13.2" x14ac:dyDescent="0.25">
      <c r="B1715" s="18"/>
      <c r="C1715" s="19"/>
      <c r="D1715" s="19"/>
      <c r="O1715" s="5"/>
      <c r="P1715" s="5"/>
    </row>
    <row r="1716" spans="2:16" ht="13.2" x14ac:dyDescent="0.25">
      <c r="B1716" s="18"/>
      <c r="C1716" s="19"/>
      <c r="D1716" s="19"/>
      <c r="O1716" s="5"/>
      <c r="P1716" s="5"/>
    </row>
    <row r="1717" spans="2:16" ht="13.2" x14ac:dyDescent="0.25">
      <c r="B1717" s="18"/>
      <c r="C1717" s="19"/>
      <c r="D1717" s="19"/>
      <c r="O1717" s="5"/>
      <c r="P1717" s="5"/>
    </row>
    <row r="1718" spans="2:16" ht="13.2" x14ac:dyDescent="0.25">
      <c r="B1718" s="18"/>
      <c r="C1718" s="19"/>
      <c r="D1718" s="19"/>
      <c r="O1718" s="5"/>
      <c r="P1718" s="5"/>
    </row>
    <row r="1719" spans="2:16" ht="13.2" x14ac:dyDescent="0.25">
      <c r="B1719" s="18"/>
      <c r="C1719" s="19"/>
      <c r="D1719" s="19"/>
      <c r="O1719" s="5"/>
      <c r="P1719" s="5"/>
    </row>
    <row r="1720" spans="2:16" ht="13.2" x14ac:dyDescent="0.25">
      <c r="B1720" s="18"/>
      <c r="C1720" s="19"/>
      <c r="D1720" s="19"/>
      <c r="O1720" s="5"/>
      <c r="P1720" s="5"/>
    </row>
    <row r="1721" spans="2:16" ht="13.2" x14ac:dyDescent="0.25">
      <c r="B1721" s="18"/>
      <c r="C1721" s="19"/>
      <c r="D1721" s="19"/>
      <c r="O1721" s="5"/>
      <c r="P1721" s="5"/>
    </row>
    <row r="1722" spans="2:16" ht="13.2" x14ac:dyDescent="0.25">
      <c r="B1722" s="18"/>
      <c r="C1722" s="19"/>
      <c r="D1722" s="19"/>
      <c r="O1722" s="5"/>
      <c r="P1722" s="5"/>
    </row>
    <row r="1723" spans="2:16" ht="13.2" x14ac:dyDescent="0.25">
      <c r="B1723" s="18"/>
      <c r="C1723" s="19"/>
      <c r="D1723" s="19"/>
      <c r="O1723" s="5"/>
      <c r="P1723" s="5"/>
    </row>
    <row r="1724" spans="2:16" ht="13.2" x14ac:dyDescent="0.25">
      <c r="B1724" s="18"/>
      <c r="C1724" s="19"/>
      <c r="D1724" s="19"/>
      <c r="O1724" s="5"/>
      <c r="P1724" s="5"/>
    </row>
    <row r="1725" spans="2:16" ht="13.2" x14ac:dyDescent="0.25">
      <c r="B1725" s="18"/>
      <c r="C1725" s="19"/>
      <c r="D1725" s="19"/>
      <c r="O1725" s="5"/>
      <c r="P1725" s="5"/>
    </row>
    <row r="1726" spans="2:16" ht="13.2" x14ac:dyDescent="0.25">
      <c r="B1726" s="18"/>
      <c r="C1726" s="19"/>
      <c r="D1726" s="19"/>
      <c r="O1726" s="5"/>
      <c r="P1726" s="5"/>
    </row>
    <row r="1727" spans="2:16" ht="13.2" x14ac:dyDescent="0.25">
      <c r="B1727" s="18"/>
      <c r="C1727" s="19"/>
      <c r="D1727" s="19"/>
      <c r="O1727" s="5"/>
      <c r="P1727" s="5"/>
    </row>
    <row r="1728" spans="2:16" ht="13.2" x14ac:dyDescent="0.25">
      <c r="B1728" s="18"/>
      <c r="C1728" s="19"/>
      <c r="D1728" s="19"/>
      <c r="O1728" s="5"/>
      <c r="P1728" s="5"/>
    </row>
    <row r="1729" spans="2:16" ht="13.2" x14ac:dyDescent="0.25">
      <c r="B1729" s="18"/>
      <c r="C1729" s="19"/>
      <c r="D1729" s="19"/>
      <c r="O1729" s="5"/>
      <c r="P1729" s="5"/>
    </row>
    <row r="1730" spans="2:16" ht="13.2" x14ac:dyDescent="0.25">
      <c r="B1730" s="18"/>
      <c r="C1730" s="19"/>
      <c r="D1730" s="19"/>
      <c r="O1730" s="5"/>
      <c r="P1730" s="5"/>
    </row>
    <row r="1731" spans="2:16" ht="13.2" x14ac:dyDescent="0.25">
      <c r="B1731" s="18"/>
      <c r="C1731" s="19"/>
      <c r="D1731" s="19"/>
      <c r="O1731" s="5"/>
      <c r="P1731" s="5"/>
    </row>
    <row r="1732" spans="2:16" ht="13.2" x14ac:dyDescent="0.25">
      <c r="B1732" s="18"/>
      <c r="C1732" s="19"/>
      <c r="D1732" s="19"/>
      <c r="O1732" s="5"/>
      <c r="P1732" s="5"/>
    </row>
    <row r="1733" spans="2:16" ht="13.2" x14ac:dyDescent="0.25">
      <c r="B1733" s="18"/>
      <c r="C1733" s="19"/>
      <c r="D1733" s="19"/>
      <c r="O1733" s="5"/>
      <c r="P1733" s="5"/>
    </row>
    <row r="1734" spans="2:16" ht="13.2" x14ac:dyDescent="0.25">
      <c r="B1734" s="18"/>
      <c r="C1734" s="19"/>
      <c r="D1734" s="19"/>
      <c r="O1734" s="5"/>
      <c r="P1734" s="5"/>
    </row>
    <row r="1735" spans="2:16" ht="13.2" x14ac:dyDescent="0.25">
      <c r="B1735" s="18"/>
      <c r="C1735" s="19"/>
      <c r="D1735" s="19"/>
      <c r="O1735" s="5"/>
      <c r="P1735" s="5"/>
    </row>
    <row r="1736" spans="2:16" ht="13.2" x14ac:dyDescent="0.25">
      <c r="B1736" s="18"/>
      <c r="C1736" s="19"/>
      <c r="D1736" s="19"/>
      <c r="O1736" s="5"/>
      <c r="P1736" s="5"/>
    </row>
    <row r="1737" spans="2:16" ht="13.2" x14ac:dyDescent="0.25">
      <c r="B1737" s="18"/>
      <c r="C1737" s="19"/>
      <c r="D1737" s="19"/>
      <c r="O1737" s="5"/>
      <c r="P1737" s="5"/>
    </row>
    <row r="1738" spans="2:16" ht="13.2" x14ac:dyDescent="0.25">
      <c r="B1738" s="18"/>
      <c r="C1738" s="19"/>
      <c r="D1738" s="19"/>
      <c r="O1738" s="5"/>
      <c r="P1738" s="5"/>
    </row>
    <row r="1739" spans="2:16" ht="13.2" x14ac:dyDescent="0.25">
      <c r="B1739" s="18"/>
      <c r="C1739" s="19"/>
      <c r="D1739" s="19"/>
      <c r="O1739" s="5"/>
      <c r="P1739" s="5"/>
    </row>
    <row r="1740" spans="2:16" ht="13.2" x14ac:dyDescent="0.25">
      <c r="B1740" s="18"/>
      <c r="C1740" s="19"/>
      <c r="D1740" s="19"/>
      <c r="O1740" s="5"/>
      <c r="P1740" s="5"/>
    </row>
    <row r="1741" spans="2:16" ht="13.2" x14ac:dyDescent="0.25">
      <c r="B1741" s="18"/>
      <c r="C1741" s="19"/>
      <c r="D1741" s="19"/>
      <c r="O1741" s="5"/>
      <c r="P1741" s="5"/>
    </row>
    <row r="1742" spans="2:16" ht="13.2" x14ac:dyDescent="0.25">
      <c r="B1742" s="18"/>
      <c r="C1742" s="19"/>
      <c r="D1742" s="19"/>
      <c r="O1742" s="5"/>
      <c r="P1742" s="5"/>
    </row>
    <row r="1743" spans="2:16" ht="13.2" x14ac:dyDescent="0.25">
      <c r="B1743" s="18"/>
      <c r="C1743" s="19"/>
      <c r="D1743" s="19"/>
      <c r="O1743" s="5"/>
      <c r="P1743" s="5"/>
    </row>
    <row r="1744" spans="2:16" ht="13.2" x14ac:dyDescent="0.25">
      <c r="B1744" s="18"/>
      <c r="C1744" s="19"/>
      <c r="D1744" s="19"/>
      <c r="O1744" s="5"/>
      <c r="P1744" s="5"/>
    </row>
    <row r="1745" spans="2:16" ht="13.2" x14ac:dyDescent="0.25">
      <c r="B1745" s="18"/>
      <c r="C1745" s="19"/>
      <c r="D1745" s="19"/>
      <c r="O1745" s="5"/>
      <c r="P1745" s="5"/>
    </row>
    <row r="1746" spans="2:16" ht="13.2" x14ac:dyDescent="0.25">
      <c r="B1746" s="18"/>
      <c r="C1746" s="19"/>
      <c r="D1746" s="19"/>
      <c r="O1746" s="5"/>
      <c r="P1746" s="5"/>
    </row>
    <row r="1747" spans="2:16" ht="13.2" x14ac:dyDescent="0.25">
      <c r="B1747" s="18"/>
      <c r="C1747" s="19"/>
      <c r="D1747" s="19"/>
      <c r="O1747" s="5"/>
      <c r="P1747" s="5"/>
    </row>
    <row r="1748" spans="2:16" ht="13.2" x14ac:dyDescent="0.25">
      <c r="B1748" s="18"/>
      <c r="C1748" s="19"/>
      <c r="D1748" s="19"/>
      <c r="O1748" s="5"/>
      <c r="P1748" s="5"/>
    </row>
    <row r="1749" spans="2:16" ht="13.2" x14ac:dyDescent="0.25">
      <c r="B1749" s="18"/>
      <c r="C1749" s="19"/>
      <c r="D1749" s="19"/>
      <c r="O1749" s="5"/>
      <c r="P1749" s="5"/>
    </row>
    <row r="1750" spans="2:16" ht="13.2" x14ac:dyDescent="0.25">
      <c r="B1750" s="18"/>
      <c r="C1750" s="19"/>
      <c r="D1750" s="19"/>
      <c r="O1750" s="5"/>
      <c r="P1750" s="5"/>
    </row>
    <row r="1751" spans="2:16" ht="13.2" x14ac:dyDescent="0.25">
      <c r="B1751" s="18"/>
      <c r="C1751" s="19"/>
      <c r="D1751" s="19"/>
      <c r="O1751" s="5"/>
      <c r="P1751" s="5"/>
    </row>
    <row r="1752" spans="2:16" ht="13.2" x14ac:dyDescent="0.25">
      <c r="B1752" s="18"/>
      <c r="C1752" s="19"/>
      <c r="D1752" s="19"/>
      <c r="O1752" s="5"/>
      <c r="P1752" s="5"/>
    </row>
    <row r="1753" spans="2:16" ht="13.2" x14ac:dyDescent="0.25">
      <c r="B1753" s="18"/>
      <c r="C1753" s="19"/>
      <c r="D1753" s="19"/>
      <c r="O1753" s="5"/>
      <c r="P1753" s="5"/>
    </row>
    <row r="1754" spans="2:16" ht="13.2" x14ac:dyDescent="0.25">
      <c r="B1754" s="18"/>
      <c r="C1754" s="19"/>
      <c r="D1754" s="19"/>
      <c r="O1754" s="5"/>
      <c r="P1754" s="5"/>
    </row>
    <row r="1755" spans="2:16" ht="13.2" x14ac:dyDescent="0.25">
      <c r="B1755" s="18"/>
      <c r="C1755" s="19"/>
      <c r="D1755" s="19"/>
      <c r="O1755" s="5"/>
      <c r="P1755" s="5"/>
    </row>
    <row r="1756" spans="2:16" ht="13.2" x14ac:dyDescent="0.25">
      <c r="B1756" s="18"/>
      <c r="C1756" s="19"/>
      <c r="D1756" s="19"/>
      <c r="O1756" s="5"/>
      <c r="P1756" s="5"/>
    </row>
    <row r="1757" spans="2:16" ht="13.2" x14ac:dyDescent="0.25">
      <c r="B1757" s="18"/>
      <c r="C1757" s="19"/>
      <c r="D1757" s="19"/>
      <c r="O1757" s="5"/>
      <c r="P1757" s="5"/>
    </row>
    <row r="1758" spans="2:16" ht="13.2" x14ac:dyDescent="0.25">
      <c r="B1758" s="18"/>
      <c r="C1758" s="19"/>
      <c r="D1758" s="19"/>
      <c r="O1758" s="5"/>
      <c r="P1758" s="5"/>
    </row>
    <row r="1759" spans="2:16" ht="13.2" x14ac:dyDescent="0.25">
      <c r="B1759" s="18"/>
      <c r="C1759" s="19"/>
      <c r="D1759" s="19"/>
      <c r="O1759" s="5"/>
      <c r="P1759" s="5"/>
    </row>
    <row r="1760" spans="2:16" ht="13.2" x14ac:dyDescent="0.25">
      <c r="B1760" s="18"/>
      <c r="C1760" s="19"/>
      <c r="D1760" s="19"/>
      <c r="O1760" s="5"/>
      <c r="P1760" s="5"/>
    </row>
    <row r="1761" spans="2:16" ht="13.2" x14ac:dyDescent="0.25">
      <c r="B1761" s="18"/>
      <c r="C1761" s="19"/>
      <c r="D1761" s="19"/>
      <c r="O1761" s="5"/>
      <c r="P1761" s="5"/>
    </row>
    <row r="1762" spans="2:16" ht="13.2" x14ac:dyDescent="0.25">
      <c r="B1762" s="18"/>
      <c r="C1762" s="19"/>
      <c r="D1762" s="19"/>
      <c r="O1762" s="5"/>
      <c r="P1762" s="5"/>
    </row>
    <row r="1763" spans="2:16" ht="13.2" x14ac:dyDescent="0.25">
      <c r="B1763" s="18"/>
      <c r="C1763" s="19"/>
      <c r="D1763" s="19"/>
      <c r="O1763" s="5"/>
      <c r="P1763" s="5"/>
    </row>
    <row r="1764" spans="2:16" ht="13.2" x14ac:dyDescent="0.25">
      <c r="B1764" s="18"/>
      <c r="C1764" s="19"/>
      <c r="D1764" s="19"/>
      <c r="O1764" s="5"/>
      <c r="P1764" s="5"/>
    </row>
    <row r="1765" spans="2:16" ht="13.2" x14ac:dyDescent="0.25">
      <c r="B1765" s="18"/>
      <c r="C1765" s="19"/>
      <c r="D1765" s="19"/>
      <c r="O1765" s="5"/>
      <c r="P1765" s="5"/>
    </row>
    <row r="1766" spans="2:16" ht="13.2" x14ac:dyDescent="0.25">
      <c r="B1766" s="18"/>
      <c r="C1766" s="19"/>
      <c r="D1766" s="19"/>
      <c r="O1766" s="5"/>
      <c r="P1766" s="5"/>
    </row>
    <row r="1767" spans="2:16" ht="13.2" x14ac:dyDescent="0.25">
      <c r="B1767" s="18"/>
      <c r="C1767" s="19"/>
      <c r="D1767" s="19"/>
      <c r="O1767" s="5"/>
      <c r="P1767" s="5"/>
    </row>
    <row r="1768" spans="2:16" ht="13.2" x14ac:dyDescent="0.25">
      <c r="B1768" s="18"/>
      <c r="C1768" s="19"/>
      <c r="D1768" s="19"/>
      <c r="O1768" s="5"/>
      <c r="P1768" s="5"/>
    </row>
    <row r="1769" spans="2:16" ht="13.2" x14ac:dyDescent="0.25">
      <c r="B1769" s="18"/>
      <c r="C1769" s="19"/>
      <c r="D1769" s="19"/>
      <c r="O1769" s="5"/>
      <c r="P1769" s="5"/>
    </row>
    <row r="1770" spans="2:16" ht="13.2" x14ac:dyDescent="0.25">
      <c r="B1770" s="18"/>
      <c r="C1770" s="19"/>
      <c r="D1770" s="19"/>
      <c r="O1770" s="5"/>
      <c r="P1770" s="5"/>
    </row>
    <row r="1771" spans="2:16" ht="13.2" x14ac:dyDescent="0.25">
      <c r="B1771" s="18"/>
      <c r="C1771" s="19"/>
      <c r="D1771" s="19"/>
      <c r="O1771" s="5"/>
      <c r="P1771" s="5"/>
    </row>
    <row r="1772" spans="2:16" ht="13.2" x14ac:dyDescent="0.25">
      <c r="B1772" s="18"/>
      <c r="C1772" s="19"/>
      <c r="D1772" s="19"/>
      <c r="O1772" s="5"/>
      <c r="P1772" s="5"/>
    </row>
    <row r="1773" spans="2:16" ht="13.2" x14ac:dyDescent="0.25">
      <c r="B1773" s="18"/>
      <c r="C1773" s="19"/>
      <c r="D1773" s="19"/>
      <c r="O1773" s="5"/>
      <c r="P1773" s="5"/>
    </row>
    <row r="1774" spans="2:16" ht="13.2" x14ac:dyDescent="0.25">
      <c r="B1774" s="18"/>
      <c r="C1774" s="19"/>
      <c r="D1774" s="19"/>
      <c r="O1774" s="5"/>
      <c r="P1774" s="5"/>
    </row>
    <row r="1775" spans="2:16" ht="13.2" x14ac:dyDescent="0.25">
      <c r="B1775" s="18"/>
      <c r="C1775" s="19"/>
      <c r="D1775" s="19"/>
      <c r="O1775" s="5"/>
      <c r="P1775" s="5"/>
    </row>
    <row r="1776" spans="2:16" ht="13.2" x14ac:dyDescent="0.25">
      <c r="B1776" s="18"/>
      <c r="C1776" s="19"/>
      <c r="D1776" s="19"/>
      <c r="O1776" s="5"/>
      <c r="P1776" s="5"/>
    </row>
    <row r="1777" spans="2:16" ht="13.2" x14ac:dyDescent="0.25">
      <c r="B1777" s="18"/>
      <c r="C1777" s="19"/>
      <c r="D1777" s="19"/>
      <c r="O1777" s="5"/>
      <c r="P1777" s="5"/>
    </row>
    <row r="1778" spans="2:16" ht="13.2" x14ac:dyDescent="0.25">
      <c r="B1778" s="18"/>
      <c r="C1778" s="19"/>
      <c r="D1778" s="19"/>
      <c r="O1778" s="5"/>
      <c r="P1778" s="5"/>
    </row>
    <row r="1779" spans="2:16" ht="13.2" x14ac:dyDescent="0.25">
      <c r="B1779" s="18"/>
      <c r="C1779" s="19"/>
      <c r="D1779" s="19"/>
      <c r="O1779" s="5"/>
      <c r="P1779" s="5"/>
    </row>
    <row r="1780" spans="2:16" ht="13.2" x14ac:dyDescent="0.25">
      <c r="B1780" s="18"/>
      <c r="C1780" s="19"/>
      <c r="D1780" s="19"/>
      <c r="O1780" s="5"/>
      <c r="P1780" s="5"/>
    </row>
    <row r="1781" spans="2:16" ht="13.2" x14ac:dyDescent="0.25">
      <c r="B1781" s="18"/>
      <c r="C1781" s="19"/>
      <c r="D1781" s="19"/>
      <c r="O1781" s="5"/>
      <c r="P1781" s="5"/>
    </row>
    <row r="1782" spans="2:16" ht="13.2" x14ac:dyDescent="0.25">
      <c r="B1782" s="18"/>
      <c r="C1782" s="19"/>
      <c r="D1782" s="19"/>
      <c r="O1782" s="5"/>
      <c r="P1782" s="5"/>
    </row>
    <row r="1783" spans="2:16" ht="13.2" x14ac:dyDescent="0.25">
      <c r="B1783" s="18"/>
      <c r="C1783" s="19"/>
      <c r="D1783" s="19"/>
      <c r="O1783" s="5"/>
      <c r="P1783" s="5"/>
    </row>
    <row r="1784" spans="2:16" ht="13.2" x14ac:dyDescent="0.25">
      <c r="B1784" s="18"/>
      <c r="C1784" s="19"/>
      <c r="D1784" s="19"/>
      <c r="O1784" s="5"/>
      <c r="P1784" s="5"/>
    </row>
    <row r="1785" spans="2:16" ht="13.2" x14ac:dyDescent="0.25">
      <c r="B1785" s="18"/>
      <c r="C1785" s="19"/>
      <c r="D1785" s="19"/>
      <c r="O1785" s="5"/>
      <c r="P1785" s="5"/>
    </row>
    <row r="1786" spans="2:16" ht="13.2" x14ac:dyDescent="0.25">
      <c r="B1786" s="18"/>
      <c r="C1786" s="19"/>
      <c r="D1786" s="19"/>
      <c r="O1786" s="5"/>
      <c r="P1786" s="5"/>
    </row>
    <row r="1787" spans="2:16" ht="13.2" x14ac:dyDescent="0.25">
      <c r="B1787" s="18"/>
      <c r="C1787" s="19"/>
      <c r="D1787" s="19"/>
      <c r="O1787" s="5"/>
      <c r="P1787" s="5"/>
    </row>
    <row r="1788" spans="2:16" ht="13.2" x14ac:dyDescent="0.25">
      <c r="B1788" s="18"/>
      <c r="C1788" s="19"/>
      <c r="D1788" s="19"/>
      <c r="O1788" s="5"/>
      <c r="P1788" s="5"/>
    </row>
    <row r="1789" spans="2:16" ht="13.2" x14ac:dyDescent="0.25">
      <c r="B1789" s="18"/>
      <c r="C1789" s="19"/>
      <c r="D1789" s="19"/>
      <c r="O1789" s="5"/>
      <c r="P1789" s="5"/>
    </row>
    <row r="1790" spans="2:16" ht="13.2" x14ac:dyDescent="0.25">
      <c r="B1790" s="18"/>
      <c r="C1790" s="19"/>
      <c r="D1790" s="19"/>
      <c r="O1790" s="5"/>
      <c r="P1790" s="5"/>
    </row>
    <row r="1791" spans="2:16" ht="13.2" x14ac:dyDescent="0.25">
      <c r="B1791" s="18"/>
      <c r="C1791" s="19"/>
      <c r="D1791" s="19"/>
      <c r="O1791" s="5"/>
      <c r="P1791" s="5"/>
    </row>
    <row r="1792" spans="2:16" ht="13.2" x14ac:dyDescent="0.25">
      <c r="B1792" s="18"/>
      <c r="C1792" s="19"/>
      <c r="D1792" s="19"/>
      <c r="O1792" s="5"/>
      <c r="P1792" s="5"/>
    </row>
    <row r="1793" spans="2:16" ht="13.2" x14ac:dyDescent="0.25">
      <c r="B1793" s="18"/>
      <c r="C1793" s="19"/>
      <c r="D1793" s="19"/>
      <c r="O1793" s="5"/>
      <c r="P1793" s="5"/>
    </row>
    <row r="1794" spans="2:16" ht="13.2" x14ac:dyDescent="0.25">
      <c r="B1794" s="18"/>
      <c r="C1794" s="19"/>
      <c r="D1794" s="19"/>
      <c r="O1794" s="5"/>
      <c r="P1794" s="5"/>
    </row>
    <row r="1795" spans="2:16" ht="13.2" x14ac:dyDescent="0.25">
      <c r="B1795" s="18"/>
      <c r="C1795" s="19"/>
      <c r="D1795" s="19"/>
      <c r="O1795" s="5"/>
      <c r="P1795" s="5"/>
    </row>
    <row r="1796" spans="2:16" ht="13.2" x14ac:dyDescent="0.25">
      <c r="B1796" s="18"/>
      <c r="C1796" s="19"/>
      <c r="D1796" s="19"/>
      <c r="O1796" s="5"/>
      <c r="P1796" s="5"/>
    </row>
    <row r="1797" spans="2:16" ht="13.2" x14ac:dyDescent="0.25">
      <c r="B1797" s="18"/>
      <c r="C1797" s="19"/>
      <c r="D1797" s="19"/>
      <c r="O1797" s="5"/>
      <c r="P1797" s="5"/>
    </row>
    <row r="1798" spans="2:16" ht="13.2" x14ac:dyDescent="0.25">
      <c r="B1798" s="18"/>
      <c r="C1798" s="19"/>
      <c r="D1798" s="19"/>
      <c r="O1798" s="5"/>
      <c r="P1798" s="5"/>
    </row>
    <row r="1799" spans="2:16" ht="13.2" x14ac:dyDescent="0.25">
      <c r="B1799" s="18"/>
      <c r="C1799" s="19"/>
      <c r="D1799" s="19"/>
      <c r="O1799" s="5"/>
      <c r="P1799" s="5"/>
    </row>
    <row r="1800" spans="2:16" ht="13.2" x14ac:dyDescent="0.25">
      <c r="B1800" s="18"/>
      <c r="C1800" s="19"/>
      <c r="D1800" s="19"/>
      <c r="O1800" s="5"/>
      <c r="P1800" s="5"/>
    </row>
    <row r="1801" spans="2:16" ht="13.2" x14ac:dyDescent="0.25">
      <c r="B1801" s="18"/>
      <c r="C1801" s="19"/>
      <c r="D1801" s="19"/>
      <c r="O1801" s="5"/>
      <c r="P1801" s="5"/>
    </row>
    <row r="1802" spans="2:16" ht="13.2" x14ac:dyDescent="0.25">
      <c r="B1802" s="18"/>
      <c r="C1802" s="19"/>
      <c r="D1802" s="19"/>
      <c r="O1802" s="5"/>
      <c r="P1802" s="5"/>
    </row>
    <row r="1803" spans="2:16" ht="13.2" x14ac:dyDescent="0.25">
      <c r="B1803" s="18"/>
      <c r="C1803" s="19"/>
      <c r="D1803" s="19"/>
      <c r="O1803" s="5"/>
      <c r="P1803" s="5"/>
    </row>
    <row r="1804" spans="2:16" ht="13.2" x14ac:dyDescent="0.25">
      <c r="B1804" s="18"/>
      <c r="C1804" s="19"/>
      <c r="D1804" s="19"/>
      <c r="O1804" s="5"/>
      <c r="P1804" s="5"/>
    </row>
    <row r="1805" spans="2:16" ht="13.2" x14ac:dyDescent="0.25">
      <c r="B1805" s="18"/>
      <c r="C1805" s="19"/>
      <c r="D1805" s="19"/>
      <c r="O1805" s="5"/>
      <c r="P1805" s="5"/>
    </row>
    <row r="1806" spans="2:16" ht="13.2" x14ac:dyDescent="0.25">
      <c r="B1806" s="18"/>
      <c r="C1806" s="19"/>
      <c r="D1806" s="19"/>
      <c r="O1806" s="5"/>
      <c r="P1806" s="5"/>
    </row>
    <row r="1807" spans="2:16" ht="13.2" x14ac:dyDescent="0.25">
      <c r="B1807" s="18"/>
      <c r="C1807" s="19"/>
      <c r="D1807" s="19"/>
      <c r="O1807" s="5"/>
      <c r="P1807" s="5"/>
    </row>
    <row r="1808" spans="2:16" ht="13.2" x14ac:dyDescent="0.25">
      <c r="B1808" s="18"/>
      <c r="C1808" s="19"/>
      <c r="D1808" s="19"/>
      <c r="O1808" s="5"/>
      <c r="P1808" s="5"/>
    </row>
    <row r="1809" spans="2:16" ht="13.2" x14ac:dyDescent="0.25">
      <c r="B1809" s="18"/>
      <c r="C1809" s="19"/>
      <c r="D1809" s="19"/>
      <c r="O1809" s="5"/>
      <c r="P1809" s="5"/>
    </row>
    <row r="1810" spans="2:16" ht="13.2" x14ac:dyDescent="0.25">
      <c r="B1810" s="18"/>
      <c r="C1810" s="19"/>
      <c r="D1810" s="19"/>
      <c r="O1810" s="5"/>
      <c r="P1810" s="5"/>
    </row>
    <row r="1811" spans="2:16" ht="13.2" x14ac:dyDescent="0.25">
      <c r="B1811" s="18"/>
      <c r="C1811" s="19"/>
      <c r="D1811" s="19"/>
      <c r="O1811" s="5"/>
      <c r="P1811" s="5"/>
    </row>
    <row r="1812" spans="2:16" ht="13.2" x14ac:dyDescent="0.25">
      <c r="B1812" s="18"/>
      <c r="C1812" s="19"/>
      <c r="D1812" s="19"/>
      <c r="O1812" s="5"/>
      <c r="P1812" s="5"/>
    </row>
    <row r="1813" spans="2:16" ht="13.2" x14ac:dyDescent="0.25">
      <c r="B1813" s="18"/>
      <c r="C1813" s="19"/>
      <c r="D1813" s="19"/>
      <c r="O1813" s="5"/>
      <c r="P1813" s="5"/>
    </row>
    <row r="1814" spans="2:16" ht="13.2" x14ac:dyDescent="0.25">
      <c r="B1814" s="18"/>
      <c r="C1814" s="19"/>
      <c r="D1814" s="19"/>
      <c r="O1814" s="5"/>
      <c r="P1814" s="5"/>
    </row>
    <row r="1815" spans="2:16" ht="13.2" x14ac:dyDescent="0.25">
      <c r="B1815" s="18"/>
      <c r="C1815" s="19"/>
      <c r="D1815" s="19"/>
      <c r="O1815" s="5"/>
      <c r="P1815" s="5"/>
    </row>
    <row r="1816" spans="2:16" ht="13.2" x14ac:dyDescent="0.25">
      <c r="B1816" s="18"/>
      <c r="C1816" s="19"/>
      <c r="D1816" s="19"/>
      <c r="O1816" s="5"/>
      <c r="P1816" s="5"/>
    </row>
    <row r="1817" spans="2:16" ht="13.2" x14ac:dyDescent="0.25">
      <c r="B1817" s="18"/>
      <c r="C1817" s="19"/>
      <c r="D1817" s="19"/>
      <c r="O1817" s="5"/>
      <c r="P1817" s="5"/>
    </row>
    <row r="1818" spans="2:16" ht="13.2" x14ac:dyDescent="0.25">
      <c r="B1818" s="18"/>
      <c r="C1818" s="19"/>
      <c r="D1818" s="19"/>
      <c r="O1818" s="5"/>
      <c r="P1818" s="5"/>
    </row>
    <row r="1819" spans="2:16" ht="13.2" x14ac:dyDescent="0.25">
      <c r="B1819" s="18"/>
      <c r="C1819" s="19"/>
      <c r="D1819" s="19"/>
      <c r="O1819" s="5"/>
      <c r="P1819" s="5"/>
    </row>
    <row r="1820" spans="2:16" ht="13.2" x14ac:dyDescent="0.25">
      <c r="B1820" s="18"/>
      <c r="C1820" s="19"/>
      <c r="D1820" s="19"/>
      <c r="O1820" s="5"/>
      <c r="P1820" s="5"/>
    </row>
    <row r="1821" spans="2:16" ht="13.2" x14ac:dyDescent="0.25">
      <c r="B1821" s="18"/>
      <c r="C1821" s="19"/>
      <c r="D1821" s="19"/>
      <c r="O1821" s="5"/>
      <c r="P1821" s="5"/>
    </row>
    <row r="1822" spans="2:16" ht="13.2" x14ac:dyDescent="0.25">
      <c r="B1822" s="18"/>
      <c r="C1822" s="19"/>
      <c r="D1822" s="19"/>
      <c r="O1822" s="5"/>
      <c r="P1822" s="5"/>
    </row>
    <row r="1823" spans="2:16" ht="13.2" x14ac:dyDescent="0.25">
      <c r="B1823" s="18"/>
      <c r="C1823" s="19"/>
      <c r="D1823" s="19"/>
      <c r="O1823" s="5"/>
      <c r="P1823" s="5"/>
    </row>
    <row r="1824" spans="2:16" ht="13.2" x14ac:dyDescent="0.25">
      <c r="B1824" s="18"/>
      <c r="C1824" s="19"/>
      <c r="D1824" s="19"/>
      <c r="O1824" s="5"/>
      <c r="P1824" s="5"/>
    </row>
    <row r="1825" spans="2:16" ht="13.2" x14ac:dyDescent="0.25">
      <c r="B1825" s="18"/>
      <c r="C1825" s="19"/>
      <c r="D1825" s="19"/>
      <c r="O1825" s="5"/>
      <c r="P1825" s="5"/>
    </row>
    <row r="1826" spans="2:16" ht="13.2" x14ac:dyDescent="0.25">
      <c r="B1826" s="18"/>
      <c r="C1826" s="19"/>
      <c r="D1826" s="19"/>
      <c r="O1826" s="5"/>
      <c r="P1826" s="5"/>
    </row>
    <row r="1827" spans="2:16" ht="13.2" x14ac:dyDescent="0.25">
      <c r="B1827" s="18"/>
      <c r="C1827" s="19"/>
      <c r="D1827" s="19"/>
      <c r="O1827" s="5"/>
      <c r="P1827" s="5"/>
    </row>
    <row r="1828" spans="2:16" ht="13.2" x14ac:dyDescent="0.25">
      <c r="B1828" s="18"/>
      <c r="C1828" s="19"/>
      <c r="D1828" s="19"/>
      <c r="O1828" s="5"/>
      <c r="P1828" s="5"/>
    </row>
    <row r="1829" spans="2:16" ht="13.2" x14ac:dyDescent="0.25">
      <c r="B1829" s="18"/>
      <c r="C1829" s="19"/>
      <c r="D1829" s="19"/>
      <c r="O1829" s="5"/>
      <c r="P1829" s="5"/>
    </row>
    <row r="1830" spans="2:16" ht="13.2" x14ac:dyDescent="0.25">
      <c r="B1830" s="18"/>
      <c r="C1830" s="19"/>
      <c r="D1830" s="19"/>
      <c r="O1830" s="5"/>
      <c r="P1830" s="5"/>
    </row>
    <row r="1831" spans="2:16" ht="13.2" x14ac:dyDescent="0.25">
      <c r="B1831" s="18"/>
      <c r="C1831" s="19"/>
      <c r="D1831" s="19"/>
      <c r="O1831" s="5"/>
      <c r="P1831" s="5"/>
    </row>
    <row r="1832" spans="2:16" ht="13.2" x14ac:dyDescent="0.25">
      <c r="B1832" s="18"/>
      <c r="C1832" s="19"/>
      <c r="D1832" s="19"/>
      <c r="O1832" s="5"/>
      <c r="P1832" s="5"/>
    </row>
    <row r="1833" spans="2:16" ht="13.2" x14ac:dyDescent="0.25">
      <c r="B1833" s="18"/>
      <c r="C1833" s="19"/>
      <c r="D1833" s="19"/>
      <c r="O1833" s="5"/>
      <c r="P1833" s="5"/>
    </row>
    <row r="1834" spans="2:16" ht="13.2" x14ac:dyDescent="0.25">
      <c r="B1834" s="18"/>
      <c r="C1834" s="19"/>
      <c r="D1834" s="19"/>
      <c r="O1834" s="5"/>
      <c r="P1834" s="5"/>
    </row>
    <row r="1835" spans="2:16" ht="13.2" x14ac:dyDescent="0.25">
      <c r="B1835" s="18"/>
      <c r="C1835" s="19"/>
      <c r="D1835" s="19"/>
      <c r="O1835" s="5"/>
      <c r="P1835" s="5"/>
    </row>
    <row r="1836" spans="2:16" ht="13.2" x14ac:dyDescent="0.25">
      <c r="B1836" s="18"/>
      <c r="C1836" s="19"/>
      <c r="D1836" s="19"/>
      <c r="O1836" s="5"/>
      <c r="P1836" s="5"/>
    </row>
    <row r="1837" spans="2:16" ht="13.2" x14ac:dyDescent="0.25">
      <c r="B1837" s="18"/>
      <c r="C1837" s="19"/>
      <c r="D1837" s="19"/>
      <c r="O1837" s="5"/>
      <c r="P1837" s="5"/>
    </row>
    <row r="1838" spans="2:16" ht="13.2" x14ac:dyDescent="0.25">
      <c r="B1838" s="18"/>
      <c r="C1838" s="19"/>
      <c r="D1838" s="19"/>
      <c r="O1838" s="5"/>
      <c r="P1838" s="5"/>
    </row>
    <row r="1839" spans="2:16" ht="13.2" x14ac:dyDescent="0.25">
      <c r="B1839" s="18"/>
      <c r="C1839" s="19"/>
      <c r="D1839" s="19"/>
      <c r="O1839" s="5"/>
      <c r="P1839" s="5"/>
    </row>
    <row r="1840" spans="2:16" ht="13.2" x14ac:dyDescent="0.25">
      <c r="B1840" s="18"/>
      <c r="C1840" s="19"/>
      <c r="D1840" s="19"/>
      <c r="O1840" s="5"/>
      <c r="P1840" s="5"/>
    </row>
    <row r="1841" spans="2:16" ht="13.2" x14ac:dyDescent="0.25">
      <c r="B1841" s="18"/>
      <c r="C1841" s="19"/>
      <c r="D1841" s="19"/>
      <c r="O1841" s="5"/>
      <c r="P1841" s="5"/>
    </row>
    <row r="1842" spans="2:16" ht="13.2" x14ac:dyDescent="0.25">
      <c r="B1842" s="18"/>
      <c r="C1842" s="19"/>
      <c r="D1842" s="19"/>
      <c r="O1842" s="5"/>
      <c r="P1842" s="5"/>
    </row>
    <row r="1843" spans="2:16" ht="13.2" x14ac:dyDescent="0.25">
      <c r="B1843" s="18"/>
      <c r="C1843" s="19"/>
      <c r="D1843" s="19"/>
      <c r="O1843" s="5"/>
      <c r="P1843" s="5"/>
    </row>
    <row r="1844" spans="2:16" ht="13.2" x14ac:dyDescent="0.25">
      <c r="B1844" s="18"/>
      <c r="C1844" s="19"/>
      <c r="D1844" s="19"/>
      <c r="O1844" s="5"/>
      <c r="P1844" s="5"/>
    </row>
    <row r="1845" spans="2:16" ht="13.2" x14ac:dyDescent="0.25">
      <c r="B1845" s="18"/>
      <c r="C1845" s="19"/>
      <c r="D1845" s="19"/>
      <c r="O1845" s="5"/>
      <c r="P1845" s="5"/>
    </row>
    <row r="1846" spans="2:16" ht="13.2" x14ac:dyDescent="0.25">
      <c r="B1846" s="18"/>
      <c r="C1846" s="19"/>
      <c r="D1846" s="19"/>
      <c r="O1846" s="5"/>
      <c r="P1846" s="5"/>
    </row>
    <row r="1847" spans="2:16" ht="13.2" x14ac:dyDescent="0.25">
      <c r="B1847" s="18"/>
      <c r="C1847" s="19"/>
      <c r="D1847" s="19"/>
      <c r="O1847" s="5"/>
      <c r="P1847" s="5"/>
    </row>
    <row r="1848" spans="2:16" ht="13.2" x14ac:dyDescent="0.25">
      <c r="B1848" s="18"/>
      <c r="C1848" s="19"/>
      <c r="D1848" s="19"/>
      <c r="O1848" s="5"/>
      <c r="P1848" s="5"/>
    </row>
    <row r="1849" spans="2:16" ht="13.2" x14ac:dyDescent="0.25">
      <c r="B1849" s="18"/>
      <c r="C1849" s="19"/>
      <c r="D1849" s="19"/>
      <c r="O1849" s="5"/>
      <c r="P1849" s="5"/>
    </row>
    <row r="1850" spans="2:16" ht="13.2" x14ac:dyDescent="0.25">
      <c r="B1850" s="18"/>
      <c r="C1850" s="19"/>
      <c r="D1850" s="19"/>
      <c r="O1850" s="5"/>
      <c r="P1850" s="5"/>
    </row>
    <row r="1851" spans="2:16" ht="13.2" x14ac:dyDescent="0.25">
      <c r="B1851" s="18"/>
      <c r="C1851" s="19"/>
      <c r="D1851" s="19"/>
      <c r="O1851" s="5"/>
      <c r="P1851" s="5"/>
    </row>
    <row r="1852" spans="2:16" ht="13.2" x14ac:dyDescent="0.25">
      <c r="B1852" s="18"/>
      <c r="C1852" s="19"/>
      <c r="D1852" s="19"/>
      <c r="O1852" s="5"/>
      <c r="P1852" s="5"/>
    </row>
    <row r="1853" spans="2:16" ht="13.2" x14ac:dyDescent="0.25">
      <c r="B1853" s="18"/>
      <c r="C1853" s="19"/>
      <c r="D1853" s="19"/>
      <c r="O1853" s="5"/>
      <c r="P1853" s="5"/>
    </row>
    <row r="1854" spans="2:16" ht="13.2" x14ac:dyDescent="0.25">
      <c r="B1854" s="18"/>
      <c r="C1854" s="19"/>
      <c r="D1854" s="19"/>
      <c r="O1854" s="5"/>
      <c r="P1854" s="5"/>
    </row>
    <row r="1855" spans="2:16" ht="13.2" x14ac:dyDescent="0.25">
      <c r="B1855" s="18"/>
      <c r="C1855" s="19"/>
      <c r="D1855" s="19"/>
      <c r="O1855" s="5"/>
      <c r="P1855" s="5"/>
    </row>
    <row r="1856" spans="2:16" ht="13.2" x14ac:dyDescent="0.25">
      <c r="B1856" s="18"/>
      <c r="C1856" s="19"/>
      <c r="D1856" s="19"/>
      <c r="O1856" s="5"/>
      <c r="P1856" s="5"/>
    </row>
    <row r="1857" spans="2:16" ht="13.2" x14ac:dyDescent="0.25">
      <c r="B1857" s="18"/>
      <c r="C1857" s="19"/>
      <c r="D1857" s="19"/>
      <c r="O1857" s="5"/>
      <c r="P1857" s="5"/>
    </row>
    <row r="1858" spans="2:16" ht="13.2" x14ac:dyDescent="0.25">
      <c r="B1858" s="18"/>
      <c r="C1858" s="19"/>
      <c r="D1858" s="19"/>
      <c r="O1858" s="5"/>
      <c r="P1858" s="5"/>
    </row>
    <row r="1859" spans="2:16" ht="13.2" x14ac:dyDescent="0.25">
      <c r="B1859" s="18"/>
      <c r="C1859" s="19"/>
      <c r="D1859" s="19"/>
      <c r="O1859" s="5"/>
      <c r="P1859" s="5"/>
    </row>
    <row r="1860" spans="2:16" ht="13.2" x14ac:dyDescent="0.25">
      <c r="B1860" s="18"/>
      <c r="C1860" s="19"/>
      <c r="D1860" s="19"/>
      <c r="O1860" s="5"/>
      <c r="P1860" s="5"/>
    </row>
    <row r="1861" spans="2:16" ht="13.2" x14ac:dyDescent="0.25">
      <c r="B1861" s="18"/>
      <c r="C1861" s="19"/>
      <c r="D1861" s="19"/>
      <c r="O1861" s="5"/>
      <c r="P1861" s="5"/>
    </row>
    <row r="1862" spans="2:16" ht="13.2" x14ac:dyDescent="0.25">
      <c r="B1862" s="18"/>
      <c r="C1862" s="19"/>
      <c r="D1862" s="19"/>
      <c r="O1862" s="5"/>
      <c r="P1862" s="5"/>
    </row>
    <row r="1863" spans="2:16" ht="13.2" x14ac:dyDescent="0.25">
      <c r="B1863" s="18"/>
      <c r="C1863" s="19"/>
      <c r="D1863" s="19"/>
      <c r="O1863" s="5"/>
      <c r="P1863" s="5"/>
    </row>
    <row r="1864" spans="2:16" ht="13.2" x14ac:dyDescent="0.25">
      <c r="B1864" s="18"/>
      <c r="C1864" s="19"/>
      <c r="D1864" s="19"/>
      <c r="O1864" s="5"/>
      <c r="P1864" s="5"/>
    </row>
    <row r="1865" spans="2:16" ht="13.2" x14ac:dyDescent="0.25">
      <c r="B1865" s="18"/>
      <c r="C1865" s="19"/>
      <c r="D1865" s="19"/>
      <c r="O1865" s="5"/>
      <c r="P1865" s="5"/>
    </row>
    <row r="1866" spans="2:16" ht="13.2" x14ac:dyDescent="0.25">
      <c r="B1866" s="18"/>
      <c r="C1866" s="19"/>
      <c r="D1866" s="19"/>
      <c r="O1866" s="5"/>
      <c r="P1866" s="5"/>
    </row>
    <row r="1867" spans="2:16" ht="13.2" x14ac:dyDescent="0.25">
      <c r="B1867" s="18"/>
      <c r="C1867" s="19"/>
      <c r="D1867" s="19"/>
      <c r="O1867" s="5"/>
      <c r="P1867" s="5"/>
    </row>
    <row r="1868" spans="2:16" ht="13.2" x14ac:dyDescent="0.25">
      <c r="B1868" s="18"/>
      <c r="C1868" s="19"/>
      <c r="D1868" s="19"/>
      <c r="O1868" s="5"/>
      <c r="P1868" s="5"/>
    </row>
    <row r="1869" spans="2:16" ht="13.2" x14ac:dyDescent="0.25">
      <c r="B1869" s="18"/>
      <c r="C1869" s="19"/>
      <c r="D1869" s="19"/>
      <c r="O1869" s="5"/>
      <c r="P1869" s="5"/>
    </row>
    <row r="1870" spans="2:16" ht="13.2" x14ac:dyDescent="0.25">
      <c r="B1870" s="18"/>
      <c r="C1870" s="19"/>
      <c r="D1870" s="19"/>
      <c r="O1870" s="5"/>
      <c r="P1870" s="5"/>
    </row>
    <row r="1871" spans="2:16" ht="13.2" x14ac:dyDescent="0.25">
      <c r="B1871" s="18"/>
      <c r="C1871" s="19"/>
      <c r="D1871" s="19"/>
      <c r="O1871" s="5"/>
      <c r="P1871" s="5"/>
    </row>
    <row r="1872" spans="2:16" ht="13.2" x14ac:dyDescent="0.25">
      <c r="B1872" s="18"/>
      <c r="C1872" s="19"/>
      <c r="D1872" s="19"/>
      <c r="O1872" s="5"/>
      <c r="P1872" s="5"/>
    </row>
    <row r="1873" spans="2:16" ht="13.2" x14ac:dyDescent="0.25">
      <c r="B1873" s="18"/>
      <c r="C1873" s="19"/>
      <c r="D1873" s="19"/>
      <c r="O1873" s="5"/>
      <c r="P1873" s="5"/>
    </row>
    <row r="1874" spans="2:16" ht="13.2" x14ac:dyDescent="0.25">
      <c r="B1874" s="18"/>
      <c r="C1874" s="19"/>
      <c r="D1874" s="19"/>
      <c r="O1874" s="5"/>
      <c r="P1874" s="5"/>
    </row>
    <row r="1875" spans="2:16" ht="13.2" x14ac:dyDescent="0.25">
      <c r="B1875" s="18"/>
      <c r="C1875" s="19"/>
      <c r="D1875" s="19"/>
      <c r="O1875" s="5"/>
      <c r="P1875" s="5"/>
    </row>
    <row r="1876" spans="2:16" ht="13.2" x14ac:dyDescent="0.25">
      <c r="B1876" s="18"/>
      <c r="C1876" s="19"/>
      <c r="D1876" s="19"/>
      <c r="O1876" s="5"/>
      <c r="P1876" s="5"/>
    </row>
    <row r="1877" spans="2:16" ht="13.2" x14ac:dyDescent="0.25">
      <c r="B1877" s="18"/>
      <c r="C1877" s="19"/>
      <c r="D1877" s="19"/>
      <c r="O1877" s="5"/>
      <c r="P1877" s="5"/>
    </row>
    <row r="1878" spans="2:16" ht="13.2" x14ac:dyDescent="0.25">
      <c r="B1878" s="18"/>
      <c r="C1878" s="19"/>
      <c r="D1878" s="19"/>
      <c r="O1878" s="5"/>
      <c r="P1878" s="5"/>
    </row>
    <row r="1879" spans="2:16" ht="13.2" x14ac:dyDescent="0.25">
      <c r="B1879" s="18"/>
      <c r="C1879" s="19"/>
      <c r="D1879" s="19"/>
      <c r="O1879" s="5"/>
      <c r="P1879" s="5"/>
    </row>
    <row r="1880" spans="2:16" ht="13.2" x14ac:dyDescent="0.25">
      <c r="B1880" s="18"/>
      <c r="C1880" s="19"/>
      <c r="D1880" s="19"/>
      <c r="O1880" s="5"/>
      <c r="P1880" s="5"/>
    </row>
    <row r="1881" spans="2:16" ht="13.2" x14ac:dyDescent="0.25">
      <c r="B1881" s="18"/>
      <c r="C1881" s="19"/>
      <c r="D1881" s="19"/>
      <c r="O1881" s="5"/>
      <c r="P1881" s="5"/>
    </row>
    <row r="1882" spans="2:16" ht="13.2" x14ac:dyDescent="0.25">
      <c r="B1882" s="18"/>
      <c r="C1882" s="19"/>
      <c r="D1882" s="19"/>
      <c r="O1882" s="5"/>
      <c r="P1882" s="5"/>
    </row>
    <row r="1883" spans="2:16" ht="13.2" x14ac:dyDescent="0.25">
      <c r="B1883" s="18"/>
      <c r="C1883" s="19"/>
      <c r="D1883" s="19"/>
      <c r="O1883" s="5"/>
      <c r="P1883" s="5"/>
    </row>
    <row r="1884" spans="2:16" ht="13.2" x14ac:dyDescent="0.25">
      <c r="B1884" s="18"/>
      <c r="C1884" s="19"/>
      <c r="D1884" s="19"/>
      <c r="O1884" s="5"/>
      <c r="P1884" s="5"/>
    </row>
    <row r="1885" spans="2:16" ht="13.2" x14ac:dyDescent="0.25">
      <c r="B1885" s="18"/>
      <c r="C1885" s="19"/>
      <c r="D1885" s="19"/>
      <c r="O1885" s="5"/>
      <c r="P1885" s="5"/>
    </row>
    <row r="1886" spans="2:16" ht="13.2" x14ac:dyDescent="0.25">
      <c r="B1886" s="18"/>
      <c r="C1886" s="19"/>
      <c r="D1886" s="19"/>
      <c r="O1886" s="5"/>
      <c r="P1886" s="5"/>
    </row>
    <row r="1887" spans="2:16" ht="13.2" x14ac:dyDescent="0.25">
      <c r="B1887" s="18"/>
      <c r="C1887" s="19"/>
      <c r="D1887" s="19"/>
      <c r="O1887" s="5"/>
      <c r="P1887" s="5"/>
    </row>
    <row r="1888" spans="2:16" ht="13.2" x14ac:dyDescent="0.25">
      <c r="B1888" s="18"/>
      <c r="C1888" s="19"/>
      <c r="D1888" s="19"/>
      <c r="O1888" s="5"/>
      <c r="P1888" s="5"/>
    </row>
    <row r="1889" spans="2:16" ht="13.2" x14ac:dyDescent="0.25">
      <c r="B1889" s="18"/>
      <c r="C1889" s="19"/>
      <c r="D1889" s="19"/>
      <c r="O1889" s="5"/>
      <c r="P1889" s="5"/>
    </row>
    <row r="1890" spans="2:16" ht="13.2" x14ac:dyDescent="0.25">
      <c r="B1890" s="18"/>
      <c r="C1890" s="19"/>
      <c r="D1890" s="19"/>
      <c r="O1890" s="5"/>
      <c r="P1890" s="5"/>
    </row>
    <row r="1891" spans="2:16" ht="13.2" x14ac:dyDescent="0.25">
      <c r="B1891" s="18"/>
      <c r="C1891" s="19"/>
      <c r="D1891" s="19"/>
      <c r="O1891" s="5"/>
      <c r="P1891" s="5"/>
    </row>
    <row r="1892" spans="2:16" ht="13.2" x14ac:dyDescent="0.25">
      <c r="B1892" s="18"/>
      <c r="C1892" s="19"/>
      <c r="D1892" s="19"/>
      <c r="O1892" s="5"/>
      <c r="P1892" s="5"/>
    </row>
    <row r="1893" spans="2:16" ht="13.2" x14ac:dyDescent="0.25">
      <c r="B1893" s="18"/>
      <c r="C1893" s="19"/>
      <c r="D1893" s="19"/>
      <c r="O1893" s="5"/>
      <c r="P1893" s="5"/>
    </row>
    <row r="1894" spans="2:16" ht="13.2" x14ac:dyDescent="0.25">
      <c r="B1894" s="18"/>
      <c r="C1894" s="19"/>
      <c r="D1894" s="19"/>
      <c r="O1894" s="5"/>
      <c r="P1894" s="5"/>
    </row>
    <row r="1895" spans="2:16" ht="13.2" x14ac:dyDescent="0.25">
      <c r="B1895" s="18"/>
      <c r="C1895" s="19"/>
      <c r="D1895" s="19"/>
      <c r="O1895" s="5"/>
      <c r="P1895" s="5"/>
    </row>
    <row r="1896" spans="2:16" ht="13.2" x14ac:dyDescent="0.25">
      <c r="B1896" s="18"/>
      <c r="C1896" s="19"/>
      <c r="D1896" s="19"/>
      <c r="O1896" s="5"/>
      <c r="P1896" s="5"/>
    </row>
    <row r="1897" spans="2:16" ht="13.2" x14ac:dyDescent="0.25">
      <c r="B1897" s="18"/>
      <c r="C1897" s="19"/>
      <c r="D1897" s="19"/>
      <c r="O1897" s="5"/>
      <c r="P1897" s="5"/>
    </row>
    <row r="1898" spans="2:16" ht="13.2" x14ac:dyDescent="0.25">
      <c r="B1898" s="18"/>
      <c r="C1898" s="19"/>
      <c r="D1898" s="19"/>
      <c r="O1898" s="5"/>
      <c r="P1898" s="5"/>
    </row>
    <row r="1899" spans="2:16" ht="13.2" x14ac:dyDescent="0.25">
      <c r="B1899" s="18"/>
      <c r="C1899" s="19"/>
      <c r="D1899" s="19"/>
      <c r="O1899" s="5"/>
      <c r="P1899" s="5"/>
    </row>
    <row r="1900" spans="2:16" ht="13.2" x14ac:dyDescent="0.25">
      <c r="B1900" s="18"/>
      <c r="C1900" s="19"/>
      <c r="D1900" s="19"/>
      <c r="O1900" s="5"/>
      <c r="P1900" s="5"/>
    </row>
    <row r="1901" spans="2:16" ht="13.2" x14ac:dyDescent="0.25">
      <c r="B1901" s="18"/>
      <c r="C1901" s="19"/>
      <c r="D1901" s="19"/>
      <c r="O1901" s="5"/>
      <c r="P1901" s="5"/>
    </row>
    <row r="1902" spans="2:16" ht="13.2" x14ac:dyDescent="0.25">
      <c r="B1902" s="18"/>
      <c r="C1902" s="19"/>
      <c r="D1902" s="19"/>
      <c r="O1902" s="5"/>
      <c r="P1902" s="5"/>
    </row>
    <row r="1903" spans="2:16" ht="13.2" x14ac:dyDescent="0.25">
      <c r="B1903" s="18"/>
      <c r="C1903" s="19"/>
      <c r="D1903" s="19"/>
      <c r="O1903" s="5"/>
      <c r="P1903" s="5"/>
    </row>
    <row r="1904" spans="2:16" ht="13.2" x14ac:dyDescent="0.25">
      <c r="B1904" s="18"/>
      <c r="C1904" s="19"/>
      <c r="D1904" s="19"/>
      <c r="O1904" s="5"/>
      <c r="P1904" s="5"/>
    </row>
    <row r="1905" spans="2:16" ht="13.2" x14ac:dyDescent="0.25">
      <c r="B1905" s="18"/>
      <c r="C1905" s="19"/>
      <c r="D1905" s="19"/>
      <c r="O1905" s="5"/>
      <c r="P1905" s="5"/>
    </row>
    <row r="1906" spans="2:16" ht="13.2" x14ac:dyDescent="0.25">
      <c r="B1906" s="18"/>
      <c r="C1906" s="19"/>
      <c r="D1906" s="19"/>
      <c r="O1906" s="5"/>
      <c r="P1906" s="5"/>
    </row>
    <row r="1907" spans="2:16" ht="13.2" x14ac:dyDescent="0.25">
      <c r="B1907" s="18"/>
      <c r="C1907" s="19"/>
      <c r="D1907" s="19"/>
      <c r="O1907" s="5"/>
      <c r="P1907" s="5"/>
    </row>
    <row r="1908" spans="2:16" ht="13.2" x14ac:dyDescent="0.25">
      <c r="B1908" s="18"/>
      <c r="C1908" s="19"/>
      <c r="D1908" s="19"/>
      <c r="O1908" s="5"/>
      <c r="P1908" s="5"/>
    </row>
    <row r="1909" spans="2:16" ht="13.2" x14ac:dyDescent="0.25">
      <c r="B1909" s="18"/>
      <c r="C1909" s="19"/>
      <c r="D1909" s="19"/>
      <c r="O1909" s="5"/>
      <c r="P1909" s="5"/>
    </row>
    <row r="1910" spans="2:16" ht="13.2" x14ac:dyDescent="0.25">
      <c r="B1910" s="18"/>
      <c r="C1910" s="19"/>
      <c r="D1910" s="19"/>
      <c r="O1910" s="5"/>
      <c r="P1910" s="5"/>
    </row>
    <row r="1911" spans="2:16" ht="13.2" x14ac:dyDescent="0.25">
      <c r="B1911" s="18"/>
      <c r="C1911" s="19"/>
      <c r="D1911" s="19"/>
      <c r="O1911" s="5"/>
      <c r="P1911" s="5"/>
    </row>
    <row r="1912" spans="2:16" ht="13.2" x14ac:dyDescent="0.25">
      <c r="B1912" s="18"/>
      <c r="C1912" s="19"/>
      <c r="D1912" s="19"/>
      <c r="O1912" s="5"/>
      <c r="P1912" s="5"/>
    </row>
    <row r="1913" spans="2:16" ht="13.2" x14ac:dyDescent="0.25">
      <c r="B1913" s="18"/>
      <c r="C1913" s="19"/>
      <c r="D1913" s="19"/>
      <c r="O1913" s="5"/>
      <c r="P1913" s="5"/>
    </row>
    <row r="1914" spans="2:16" ht="13.2" x14ac:dyDescent="0.25">
      <c r="B1914" s="18"/>
      <c r="C1914" s="19"/>
      <c r="D1914" s="19"/>
      <c r="O1914" s="5"/>
      <c r="P1914" s="5"/>
    </row>
    <row r="1915" spans="2:16" ht="13.2" x14ac:dyDescent="0.25">
      <c r="B1915" s="18"/>
      <c r="C1915" s="19"/>
      <c r="D1915" s="19"/>
      <c r="O1915" s="5"/>
      <c r="P1915" s="5"/>
    </row>
    <row r="1916" spans="2:16" ht="13.2" x14ac:dyDescent="0.25">
      <c r="B1916" s="18"/>
      <c r="C1916" s="19"/>
      <c r="D1916" s="19"/>
      <c r="O1916" s="5"/>
      <c r="P1916" s="5"/>
    </row>
    <row r="1917" spans="2:16" ht="13.2" x14ac:dyDescent="0.25">
      <c r="B1917" s="18"/>
      <c r="C1917" s="19"/>
      <c r="D1917" s="19"/>
      <c r="O1917" s="5"/>
      <c r="P1917" s="5"/>
    </row>
    <row r="1918" spans="2:16" ht="13.2" x14ac:dyDescent="0.25">
      <c r="B1918" s="18"/>
      <c r="C1918" s="19"/>
      <c r="D1918" s="19"/>
      <c r="O1918" s="5"/>
      <c r="P1918" s="5"/>
    </row>
    <row r="1919" spans="2:16" ht="13.2" x14ac:dyDescent="0.25">
      <c r="B1919" s="18"/>
      <c r="C1919" s="19"/>
      <c r="D1919" s="19"/>
      <c r="O1919" s="5"/>
      <c r="P1919" s="5"/>
    </row>
    <row r="1920" spans="2:16" ht="13.2" x14ac:dyDescent="0.25">
      <c r="B1920" s="18"/>
      <c r="C1920" s="19"/>
      <c r="D1920" s="19"/>
      <c r="O1920" s="5"/>
      <c r="P1920" s="5"/>
    </row>
    <row r="1921" spans="2:16" ht="13.2" x14ac:dyDescent="0.25">
      <c r="B1921" s="18"/>
      <c r="C1921" s="19"/>
      <c r="D1921" s="19"/>
      <c r="O1921" s="5"/>
      <c r="P1921" s="5"/>
    </row>
    <row r="1922" spans="2:16" ht="13.2" x14ac:dyDescent="0.25">
      <c r="B1922" s="18"/>
      <c r="C1922" s="19"/>
      <c r="D1922" s="19"/>
      <c r="O1922" s="5"/>
      <c r="P1922" s="5"/>
    </row>
    <row r="1923" spans="2:16" ht="13.2" x14ac:dyDescent="0.25">
      <c r="B1923" s="18"/>
      <c r="C1923" s="19"/>
      <c r="D1923" s="19"/>
      <c r="O1923" s="5"/>
      <c r="P1923" s="5"/>
    </row>
    <row r="1924" spans="2:16" ht="13.2" x14ac:dyDescent="0.25">
      <c r="B1924" s="18"/>
      <c r="C1924" s="19"/>
      <c r="D1924" s="19"/>
      <c r="O1924" s="5"/>
      <c r="P1924" s="5"/>
    </row>
    <row r="1925" spans="2:16" ht="13.2" x14ac:dyDescent="0.25">
      <c r="B1925" s="18"/>
      <c r="C1925" s="19"/>
      <c r="D1925" s="19"/>
      <c r="O1925" s="5"/>
      <c r="P1925" s="5"/>
    </row>
    <row r="1926" spans="2:16" ht="13.2" x14ac:dyDescent="0.25">
      <c r="B1926" s="18"/>
      <c r="C1926" s="19"/>
      <c r="D1926" s="19"/>
      <c r="O1926" s="5"/>
      <c r="P1926" s="5"/>
    </row>
    <row r="1927" spans="2:16" ht="13.2" x14ac:dyDescent="0.25">
      <c r="B1927" s="18"/>
      <c r="C1927" s="19"/>
      <c r="D1927" s="19"/>
      <c r="O1927" s="5"/>
      <c r="P1927" s="5"/>
    </row>
    <row r="1928" spans="2:16" ht="13.2" x14ac:dyDescent="0.25">
      <c r="B1928" s="18"/>
      <c r="C1928" s="19"/>
      <c r="D1928" s="19"/>
      <c r="O1928" s="5"/>
      <c r="P1928" s="5"/>
    </row>
    <row r="1929" spans="2:16" ht="13.2" x14ac:dyDescent="0.25">
      <c r="B1929" s="18"/>
      <c r="C1929" s="19"/>
      <c r="D1929" s="19"/>
      <c r="O1929" s="5"/>
      <c r="P1929" s="5"/>
    </row>
    <row r="1930" spans="2:16" ht="13.2" x14ac:dyDescent="0.25">
      <c r="B1930" s="18"/>
      <c r="C1930" s="19"/>
      <c r="D1930" s="19"/>
      <c r="O1930" s="5"/>
      <c r="P1930" s="5"/>
    </row>
    <row r="1931" spans="2:16" ht="13.2" x14ac:dyDescent="0.25">
      <c r="B1931" s="18"/>
      <c r="C1931" s="19"/>
      <c r="D1931" s="19"/>
      <c r="O1931" s="5"/>
      <c r="P1931" s="5"/>
    </row>
    <row r="1932" spans="2:16" ht="13.2" x14ac:dyDescent="0.25">
      <c r="B1932" s="18"/>
      <c r="C1932" s="19"/>
      <c r="D1932" s="19"/>
      <c r="O1932" s="5"/>
      <c r="P1932" s="5"/>
    </row>
    <row r="1933" spans="2:16" ht="13.2" x14ac:dyDescent="0.25">
      <c r="B1933" s="18"/>
      <c r="C1933" s="19"/>
      <c r="D1933" s="19"/>
      <c r="O1933" s="5"/>
      <c r="P1933" s="5"/>
    </row>
    <row r="1934" spans="2:16" ht="13.2" x14ac:dyDescent="0.25">
      <c r="B1934" s="18"/>
      <c r="C1934" s="19"/>
      <c r="D1934" s="19"/>
      <c r="O1934" s="5"/>
      <c r="P1934" s="5"/>
    </row>
    <row r="1935" spans="2:16" ht="13.2" x14ac:dyDescent="0.25">
      <c r="B1935" s="18"/>
      <c r="C1935" s="19"/>
      <c r="D1935" s="19"/>
      <c r="O1935" s="5"/>
      <c r="P1935" s="5"/>
    </row>
    <row r="1936" spans="2:16" ht="13.2" x14ac:dyDescent="0.25">
      <c r="B1936" s="18"/>
      <c r="C1936" s="19"/>
      <c r="D1936" s="19"/>
      <c r="O1936" s="5"/>
      <c r="P1936" s="5"/>
    </row>
    <row r="1937" spans="2:16" ht="13.2" x14ac:dyDescent="0.25">
      <c r="B1937" s="18"/>
      <c r="C1937" s="19"/>
      <c r="D1937" s="19"/>
      <c r="O1937" s="5"/>
      <c r="P1937" s="5"/>
    </row>
    <row r="1938" spans="2:16" ht="13.2" x14ac:dyDescent="0.25">
      <c r="B1938" s="18"/>
      <c r="C1938" s="19"/>
      <c r="D1938" s="19"/>
      <c r="O1938" s="5"/>
      <c r="P1938" s="5"/>
    </row>
    <row r="1939" spans="2:16" ht="13.2" x14ac:dyDescent="0.25">
      <c r="B1939" s="18"/>
      <c r="C1939" s="19"/>
      <c r="D1939" s="19"/>
      <c r="O1939" s="5"/>
      <c r="P1939" s="5"/>
    </row>
    <row r="1940" spans="2:16" ht="13.2" x14ac:dyDescent="0.25">
      <c r="B1940" s="18"/>
      <c r="C1940" s="19"/>
      <c r="D1940" s="19"/>
      <c r="O1940" s="5"/>
      <c r="P1940" s="5"/>
    </row>
    <row r="1941" spans="2:16" ht="13.2" x14ac:dyDescent="0.25">
      <c r="B1941" s="18"/>
      <c r="C1941" s="19"/>
      <c r="D1941" s="19"/>
      <c r="O1941" s="5"/>
      <c r="P1941" s="5"/>
    </row>
    <row r="1942" spans="2:16" ht="13.2" x14ac:dyDescent="0.25">
      <c r="B1942" s="18"/>
      <c r="C1942" s="19"/>
      <c r="D1942" s="19"/>
      <c r="O1942" s="5"/>
      <c r="P1942" s="5"/>
    </row>
    <row r="1943" spans="2:16" ht="13.2" x14ac:dyDescent="0.25">
      <c r="B1943" s="18"/>
      <c r="C1943" s="19"/>
      <c r="D1943" s="19"/>
      <c r="O1943" s="5"/>
      <c r="P1943" s="5"/>
    </row>
    <row r="1944" spans="2:16" ht="13.2" x14ac:dyDescent="0.25">
      <c r="B1944" s="18"/>
      <c r="C1944" s="19"/>
      <c r="D1944" s="19"/>
      <c r="O1944" s="5"/>
      <c r="P1944" s="5"/>
    </row>
    <row r="1945" spans="2:16" ht="13.2" x14ac:dyDescent="0.25">
      <c r="B1945" s="18"/>
      <c r="C1945" s="19"/>
      <c r="D1945" s="19"/>
      <c r="O1945" s="5"/>
      <c r="P1945" s="5"/>
    </row>
    <row r="1946" spans="2:16" ht="13.2" x14ac:dyDescent="0.25">
      <c r="B1946" s="18"/>
      <c r="C1946" s="19"/>
      <c r="D1946" s="19"/>
      <c r="O1946" s="5"/>
      <c r="P1946" s="5"/>
    </row>
    <row r="1947" spans="2:16" ht="13.2" x14ac:dyDescent="0.25">
      <c r="B1947" s="18"/>
      <c r="C1947" s="19"/>
      <c r="D1947" s="19"/>
      <c r="O1947" s="5"/>
      <c r="P1947" s="5"/>
    </row>
    <row r="1948" spans="2:16" ht="13.2" x14ac:dyDescent="0.25">
      <c r="B1948" s="18"/>
      <c r="C1948" s="19"/>
      <c r="D1948" s="19"/>
      <c r="O1948" s="5"/>
      <c r="P1948" s="5"/>
    </row>
    <row r="1949" spans="2:16" ht="13.2" x14ac:dyDescent="0.25">
      <c r="B1949" s="18"/>
      <c r="C1949" s="19"/>
      <c r="D1949" s="19"/>
      <c r="O1949" s="5"/>
      <c r="P1949" s="5"/>
    </row>
    <row r="1950" spans="2:16" ht="13.2" x14ac:dyDescent="0.25">
      <c r="B1950" s="18"/>
      <c r="C1950" s="19"/>
      <c r="D1950" s="19"/>
      <c r="O1950" s="5"/>
      <c r="P1950" s="5"/>
    </row>
    <row r="1951" spans="2:16" ht="13.2" x14ac:dyDescent="0.25">
      <c r="B1951" s="18"/>
      <c r="C1951" s="19"/>
      <c r="D1951" s="19"/>
      <c r="O1951" s="5"/>
      <c r="P1951" s="5"/>
    </row>
    <row r="1952" spans="2:16" ht="13.2" x14ac:dyDescent="0.25">
      <c r="B1952" s="18"/>
      <c r="C1952" s="19"/>
      <c r="D1952" s="19"/>
      <c r="O1952" s="5"/>
      <c r="P1952" s="5"/>
    </row>
    <row r="1953" spans="2:16" ht="13.2" x14ac:dyDescent="0.25">
      <c r="B1953" s="18"/>
      <c r="C1953" s="19"/>
      <c r="D1953" s="19"/>
      <c r="O1953" s="5"/>
      <c r="P1953" s="5"/>
    </row>
    <row r="1954" spans="2:16" ht="13.2" x14ac:dyDescent="0.25">
      <c r="B1954" s="18"/>
      <c r="C1954" s="19"/>
      <c r="D1954" s="19"/>
      <c r="O1954" s="5"/>
      <c r="P1954" s="5"/>
    </row>
    <row r="1955" spans="2:16" ht="13.2" x14ac:dyDescent="0.25">
      <c r="B1955" s="18"/>
      <c r="C1955" s="19"/>
      <c r="D1955" s="19"/>
      <c r="O1955" s="5"/>
      <c r="P1955" s="5"/>
    </row>
    <row r="1956" spans="2:16" ht="13.2" x14ac:dyDescent="0.25">
      <c r="B1956" s="18"/>
      <c r="C1956" s="19"/>
      <c r="D1956" s="19"/>
      <c r="O1956" s="5"/>
      <c r="P1956" s="5"/>
    </row>
    <row r="1957" spans="2:16" ht="13.2" x14ac:dyDescent="0.25">
      <c r="B1957" s="18"/>
      <c r="C1957" s="19"/>
      <c r="D1957" s="19"/>
      <c r="O1957" s="5"/>
      <c r="P1957" s="5"/>
    </row>
    <row r="1958" spans="2:16" ht="13.2" x14ac:dyDescent="0.25">
      <c r="B1958" s="18"/>
      <c r="C1958" s="19"/>
      <c r="D1958" s="19"/>
      <c r="O1958" s="5"/>
      <c r="P1958" s="5"/>
    </row>
    <row r="1959" spans="2:16" ht="13.2" x14ac:dyDescent="0.25">
      <c r="B1959" s="18"/>
      <c r="C1959" s="19"/>
      <c r="D1959" s="19"/>
      <c r="O1959" s="5"/>
      <c r="P1959" s="5"/>
    </row>
    <row r="1960" spans="2:16" ht="13.2" x14ac:dyDescent="0.25">
      <c r="B1960" s="18"/>
      <c r="C1960" s="19"/>
      <c r="D1960" s="19"/>
      <c r="O1960" s="5"/>
      <c r="P1960" s="5"/>
    </row>
    <row r="1961" spans="2:16" ht="13.2" x14ac:dyDescent="0.25">
      <c r="B1961" s="18"/>
      <c r="C1961" s="19"/>
      <c r="D1961" s="19"/>
      <c r="O1961" s="5"/>
      <c r="P1961" s="5"/>
    </row>
    <row r="1962" spans="2:16" ht="13.2" x14ac:dyDescent="0.25">
      <c r="B1962" s="18"/>
      <c r="C1962" s="19"/>
      <c r="D1962" s="19"/>
      <c r="O1962" s="5"/>
      <c r="P1962" s="5"/>
    </row>
    <row r="1963" spans="2:16" ht="13.2" x14ac:dyDescent="0.25">
      <c r="B1963" s="18"/>
      <c r="C1963" s="19"/>
      <c r="D1963" s="19"/>
      <c r="O1963" s="5"/>
      <c r="P1963" s="5"/>
    </row>
    <row r="1964" spans="2:16" ht="13.2" x14ac:dyDescent="0.25">
      <c r="B1964" s="18"/>
      <c r="C1964" s="19"/>
      <c r="D1964" s="19"/>
      <c r="O1964" s="5"/>
      <c r="P1964" s="5"/>
    </row>
    <row r="1965" spans="2:16" ht="13.2" x14ac:dyDescent="0.25">
      <c r="B1965" s="18"/>
      <c r="C1965" s="19"/>
      <c r="D1965" s="19"/>
      <c r="O1965" s="5"/>
      <c r="P1965" s="5"/>
    </row>
    <row r="1966" spans="2:16" ht="13.2" x14ac:dyDescent="0.25">
      <c r="B1966" s="18"/>
      <c r="C1966" s="19"/>
      <c r="D1966" s="19"/>
      <c r="O1966" s="5"/>
      <c r="P1966" s="5"/>
    </row>
    <row r="1967" spans="2:16" ht="13.2" x14ac:dyDescent="0.25">
      <c r="B1967" s="18"/>
      <c r="C1967" s="19"/>
      <c r="D1967" s="19"/>
      <c r="O1967" s="5"/>
      <c r="P1967" s="5"/>
    </row>
    <row r="1968" spans="2:16" ht="13.2" x14ac:dyDescent="0.25">
      <c r="B1968" s="18"/>
      <c r="C1968" s="19"/>
      <c r="D1968" s="19"/>
      <c r="O1968" s="5"/>
      <c r="P1968" s="5"/>
    </row>
    <row r="1969" spans="2:16" ht="13.2" x14ac:dyDescent="0.25">
      <c r="B1969" s="18"/>
      <c r="C1969" s="19"/>
      <c r="D1969" s="19"/>
      <c r="O1969" s="5"/>
      <c r="P1969" s="5"/>
    </row>
    <row r="1970" spans="2:16" ht="13.2" x14ac:dyDescent="0.25">
      <c r="B1970" s="18"/>
      <c r="C1970" s="19"/>
      <c r="D1970" s="19"/>
      <c r="O1970" s="5"/>
      <c r="P1970" s="5"/>
    </row>
    <row r="1971" spans="2:16" ht="13.2" x14ac:dyDescent="0.25">
      <c r="B1971" s="18"/>
      <c r="C1971" s="19"/>
      <c r="D1971" s="19"/>
      <c r="O1971" s="5"/>
      <c r="P1971" s="5"/>
    </row>
    <row r="1972" spans="2:16" ht="13.2" x14ac:dyDescent="0.25">
      <c r="B1972" s="18"/>
      <c r="C1972" s="19"/>
      <c r="D1972" s="19"/>
      <c r="O1972" s="5"/>
      <c r="P1972" s="5"/>
    </row>
    <row r="1973" spans="2:16" ht="13.2" x14ac:dyDescent="0.25">
      <c r="B1973" s="18"/>
      <c r="C1973" s="19"/>
      <c r="D1973" s="19"/>
      <c r="O1973" s="5"/>
      <c r="P1973" s="5"/>
    </row>
    <row r="1974" spans="2:16" ht="13.2" x14ac:dyDescent="0.25">
      <c r="B1974" s="18"/>
      <c r="C1974" s="19"/>
      <c r="D1974" s="19"/>
      <c r="O1974" s="5"/>
      <c r="P1974" s="5"/>
    </row>
    <row r="1975" spans="2:16" ht="13.2" x14ac:dyDescent="0.25">
      <c r="B1975" s="18"/>
      <c r="C1975" s="19"/>
      <c r="D1975" s="19"/>
      <c r="O1975" s="5"/>
      <c r="P1975" s="5"/>
    </row>
    <row r="1976" spans="2:16" ht="13.2" x14ac:dyDescent="0.25">
      <c r="B1976" s="18"/>
      <c r="C1976" s="19"/>
      <c r="D1976" s="19"/>
      <c r="O1976" s="5"/>
      <c r="P1976" s="5"/>
    </row>
    <row r="1977" spans="2:16" ht="13.2" x14ac:dyDescent="0.25">
      <c r="B1977" s="18"/>
      <c r="C1977" s="19"/>
      <c r="D1977" s="19"/>
      <c r="O1977" s="5"/>
      <c r="P1977" s="5"/>
    </row>
    <row r="1978" spans="2:16" ht="13.2" x14ac:dyDescent="0.25">
      <c r="B1978" s="18"/>
      <c r="C1978" s="19"/>
      <c r="D1978" s="19"/>
      <c r="O1978" s="5"/>
      <c r="P1978" s="5"/>
    </row>
    <row r="1979" spans="2:16" ht="13.2" x14ac:dyDescent="0.25">
      <c r="B1979" s="18"/>
      <c r="C1979" s="19"/>
      <c r="D1979" s="19"/>
      <c r="O1979" s="5"/>
      <c r="P1979" s="5"/>
    </row>
    <row r="1980" spans="2:16" ht="13.2" x14ac:dyDescent="0.25">
      <c r="B1980" s="18"/>
      <c r="C1980" s="19"/>
      <c r="D1980" s="19"/>
      <c r="O1980" s="5"/>
      <c r="P1980" s="5"/>
    </row>
    <row r="1981" spans="2:16" ht="13.2" x14ac:dyDescent="0.25">
      <c r="B1981" s="18"/>
      <c r="C1981" s="19"/>
      <c r="D1981" s="19"/>
      <c r="O1981" s="5"/>
      <c r="P1981" s="5"/>
    </row>
    <row r="1982" spans="2:16" ht="13.2" x14ac:dyDescent="0.25">
      <c r="B1982" s="18"/>
      <c r="C1982" s="19"/>
      <c r="D1982" s="19"/>
      <c r="O1982" s="5"/>
      <c r="P1982" s="5"/>
    </row>
    <row r="1983" spans="2:16" ht="13.2" x14ac:dyDescent="0.25">
      <c r="B1983" s="18"/>
      <c r="C1983" s="19"/>
      <c r="D1983" s="19"/>
      <c r="O1983" s="5"/>
      <c r="P1983" s="5"/>
    </row>
    <row r="1984" spans="2:16" ht="13.2" x14ac:dyDescent="0.25">
      <c r="B1984" s="18"/>
      <c r="C1984" s="19"/>
      <c r="D1984" s="19"/>
      <c r="O1984" s="5"/>
      <c r="P1984" s="5"/>
    </row>
    <row r="1985" spans="2:16" ht="13.2" x14ac:dyDescent="0.25">
      <c r="B1985" s="18"/>
      <c r="C1985" s="19"/>
      <c r="D1985" s="19"/>
      <c r="O1985" s="5"/>
      <c r="P1985" s="5"/>
    </row>
    <row r="1986" spans="2:16" ht="13.2" x14ac:dyDescent="0.25">
      <c r="B1986" s="18"/>
      <c r="C1986" s="19"/>
      <c r="D1986" s="19"/>
      <c r="O1986" s="5"/>
      <c r="P1986" s="5"/>
    </row>
    <row r="1987" spans="2:16" ht="13.2" x14ac:dyDescent="0.25">
      <c r="B1987" s="18"/>
      <c r="C1987" s="19"/>
      <c r="D1987" s="19"/>
      <c r="O1987" s="5"/>
      <c r="P1987" s="5"/>
    </row>
    <row r="1988" spans="2:16" ht="13.2" x14ac:dyDescent="0.25">
      <c r="B1988" s="18"/>
      <c r="C1988" s="19"/>
      <c r="D1988" s="19"/>
      <c r="O1988" s="5"/>
      <c r="P1988" s="5"/>
    </row>
    <row r="1989" spans="2:16" ht="13.2" x14ac:dyDescent="0.25">
      <c r="B1989" s="18"/>
      <c r="C1989" s="19"/>
      <c r="D1989" s="19"/>
      <c r="O1989" s="5"/>
      <c r="P1989" s="5"/>
    </row>
    <row r="1990" spans="2:16" ht="13.2" x14ac:dyDescent="0.25">
      <c r="B1990" s="18"/>
      <c r="C1990" s="19"/>
      <c r="D1990" s="19"/>
      <c r="O1990" s="5"/>
      <c r="P1990" s="5"/>
    </row>
    <row r="1991" spans="2:16" ht="13.2" x14ac:dyDescent="0.25">
      <c r="B1991" s="18"/>
      <c r="C1991" s="19"/>
      <c r="D1991" s="19"/>
      <c r="O1991" s="5"/>
      <c r="P1991" s="5"/>
    </row>
    <row r="1992" spans="2:16" ht="13.2" x14ac:dyDescent="0.25">
      <c r="B1992" s="18"/>
      <c r="C1992" s="19"/>
      <c r="D1992" s="19"/>
      <c r="O1992" s="5"/>
      <c r="P1992" s="5"/>
    </row>
    <row r="1993" spans="2:16" ht="13.2" x14ac:dyDescent="0.25">
      <c r="B1993" s="18"/>
      <c r="C1993" s="19"/>
      <c r="D1993" s="19"/>
      <c r="O1993" s="5"/>
      <c r="P1993" s="5"/>
    </row>
    <row r="1994" spans="2:16" ht="13.2" x14ac:dyDescent="0.25">
      <c r="B1994" s="18"/>
      <c r="C1994" s="19"/>
      <c r="D1994" s="19"/>
      <c r="O1994" s="5"/>
      <c r="P1994" s="5"/>
    </row>
    <row r="1995" spans="2:16" ht="13.2" x14ac:dyDescent="0.25">
      <c r="B1995" s="18"/>
      <c r="C1995" s="19"/>
      <c r="D1995" s="19"/>
      <c r="O1995" s="5"/>
      <c r="P1995" s="5"/>
    </row>
    <row r="1996" spans="2:16" ht="13.2" x14ac:dyDescent="0.25">
      <c r="B1996" s="18"/>
      <c r="C1996" s="19"/>
      <c r="D1996" s="19"/>
      <c r="O1996" s="5"/>
      <c r="P1996" s="5"/>
    </row>
    <row r="1997" spans="2:16" ht="13.2" x14ac:dyDescent="0.25">
      <c r="B1997" s="18"/>
      <c r="C1997" s="19"/>
      <c r="D1997" s="19"/>
      <c r="O1997" s="5"/>
      <c r="P1997" s="5"/>
    </row>
    <row r="1998" spans="2:16" ht="13.2" x14ac:dyDescent="0.25">
      <c r="B1998" s="18"/>
      <c r="C1998" s="19"/>
      <c r="D1998" s="19"/>
      <c r="O1998" s="5"/>
      <c r="P1998" s="5"/>
    </row>
    <row r="1999" spans="2:16" ht="13.2" x14ac:dyDescent="0.25">
      <c r="B1999" s="18"/>
      <c r="C1999" s="19"/>
      <c r="D1999" s="19"/>
      <c r="O1999" s="5"/>
      <c r="P1999" s="5"/>
    </row>
    <row r="2000" spans="2:16" ht="13.2" x14ac:dyDescent="0.25">
      <c r="B2000" s="18"/>
      <c r="C2000" s="19"/>
      <c r="D2000" s="19"/>
      <c r="O2000" s="5"/>
      <c r="P2000" s="5"/>
    </row>
    <row r="2001" spans="2:16" ht="13.2" x14ac:dyDescent="0.25">
      <c r="B2001" s="18"/>
      <c r="C2001" s="19"/>
      <c r="D2001" s="19"/>
      <c r="O2001" s="5"/>
      <c r="P2001" s="5"/>
    </row>
    <row r="2002" spans="2:16" ht="13.2" x14ac:dyDescent="0.25">
      <c r="B2002" s="18"/>
      <c r="C2002" s="19"/>
      <c r="D2002" s="19"/>
      <c r="O2002" s="5"/>
      <c r="P2002" s="5"/>
    </row>
    <row r="2003" spans="2:16" ht="13.2" x14ac:dyDescent="0.25">
      <c r="B2003" s="18"/>
      <c r="C2003" s="19"/>
      <c r="D2003" s="19"/>
      <c r="O2003" s="5"/>
      <c r="P2003" s="5"/>
    </row>
    <row r="2004" spans="2:16" ht="13.2" x14ac:dyDescent="0.25">
      <c r="B2004" s="18"/>
      <c r="C2004" s="19"/>
      <c r="D2004" s="19"/>
      <c r="O2004" s="5"/>
      <c r="P2004" s="5"/>
    </row>
    <row r="2005" spans="2:16" ht="13.2" x14ac:dyDescent="0.25">
      <c r="B2005" s="18"/>
      <c r="C2005" s="19"/>
      <c r="D2005" s="19"/>
      <c r="O2005" s="5"/>
      <c r="P2005" s="5"/>
    </row>
    <row r="2006" spans="2:16" ht="13.2" x14ac:dyDescent="0.25">
      <c r="B2006" s="18"/>
      <c r="C2006" s="19"/>
      <c r="D2006" s="19"/>
      <c r="O2006" s="5"/>
      <c r="P2006" s="5"/>
    </row>
    <row r="2007" spans="2:16" ht="13.2" x14ac:dyDescent="0.25">
      <c r="B2007" s="18"/>
      <c r="C2007" s="19"/>
      <c r="D2007" s="19"/>
      <c r="O2007" s="5"/>
      <c r="P2007" s="5"/>
    </row>
    <row r="2008" spans="2:16" ht="13.2" x14ac:dyDescent="0.25">
      <c r="B2008" s="18"/>
      <c r="C2008" s="19"/>
      <c r="D2008" s="19"/>
      <c r="O2008" s="5"/>
      <c r="P2008" s="5"/>
    </row>
    <row r="2009" spans="2:16" ht="13.2" x14ac:dyDescent="0.25">
      <c r="B2009" s="18"/>
      <c r="C2009" s="19"/>
      <c r="D2009" s="19"/>
      <c r="O2009" s="5"/>
      <c r="P2009" s="5"/>
    </row>
    <row r="2010" spans="2:16" ht="13.2" x14ac:dyDescent="0.25">
      <c r="B2010" s="18"/>
      <c r="C2010" s="19"/>
      <c r="D2010" s="19"/>
      <c r="O2010" s="5"/>
      <c r="P2010" s="5"/>
    </row>
    <row r="2011" spans="2:16" ht="13.2" x14ac:dyDescent="0.25">
      <c r="B2011" s="18"/>
      <c r="C2011" s="19"/>
      <c r="D2011" s="19"/>
      <c r="O2011" s="5"/>
      <c r="P2011" s="5"/>
    </row>
    <row r="2012" spans="2:16" ht="13.2" x14ac:dyDescent="0.25">
      <c r="B2012" s="18"/>
      <c r="C2012" s="19"/>
      <c r="D2012" s="19"/>
      <c r="O2012" s="5"/>
      <c r="P2012" s="5"/>
    </row>
    <row r="2013" spans="2:16" ht="13.2" x14ac:dyDescent="0.25">
      <c r="B2013" s="18"/>
      <c r="C2013" s="19"/>
      <c r="D2013" s="19"/>
      <c r="O2013" s="5"/>
      <c r="P2013" s="5"/>
    </row>
    <row r="2014" spans="2:16" ht="13.2" x14ac:dyDescent="0.25">
      <c r="B2014" s="18"/>
      <c r="C2014" s="19"/>
      <c r="D2014" s="19"/>
      <c r="O2014" s="5"/>
      <c r="P2014" s="5"/>
    </row>
    <row r="2015" spans="2:16" ht="13.2" x14ac:dyDescent="0.25">
      <c r="B2015" s="18"/>
      <c r="C2015" s="19"/>
      <c r="D2015" s="19"/>
      <c r="O2015" s="5"/>
      <c r="P2015" s="5"/>
    </row>
    <row r="2016" spans="2:16" ht="13.2" x14ac:dyDescent="0.25">
      <c r="B2016" s="18"/>
      <c r="C2016" s="19"/>
      <c r="D2016" s="19"/>
      <c r="O2016" s="5"/>
      <c r="P2016" s="5"/>
    </row>
    <row r="2017" spans="2:16" ht="13.2" x14ac:dyDescent="0.25">
      <c r="B2017" s="18"/>
      <c r="C2017" s="19"/>
      <c r="D2017" s="19"/>
      <c r="O2017" s="5"/>
      <c r="P2017" s="5"/>
    </row>
    <row r="2018" spans="2:16" ht="13.2" x14ac:dyDescent="0.25">
      <c r="B2018" s="18"/>
      <c r="C2018" s="19"/>
      <c r="D2018" s="19"/>
      <c r="O2018" s="5"/>
      <c r="P2018" s="5"/>
    </row>
    <row r="2019" spans="2:16" ht="13.2" x14ac:dyDescent="0.25">
      <c r="B2019" s="18"/>
      <c r="C2019" s="19"/>
      <c r="D2019" s="19"/>
      <c r="O2019" s="5"/>
      <c r="P2019" s="5"/>
    </row>
    <row r="2020" spans="2:16" ht="13.2" x14ac:dyDescent="0.25">
      <c r="B2020" s="18"/>
      <c r="C2020" s="19"/>
      <c r="D2020" s="19"/>
      <c r="O2020" s="5"/>
      <c r="P2020" s="5"/>
    </row>
    <row r="2021" spans="2:16" ht="13.2" x14ac:dyDescent="0.25">
      <c r="B2021" s="18"/>
      <c r="C2021" s="19"/>
      <c r="D2021" s="19"/>
      <c r="O2021" s="5"/>
      <c r="P2021" s="5"/>
    </row>
    <row r="2022" spans="2:16" ht="13.2" x14ac:dyDescent="0.25">
      <c r="B2022" s="18"/>
      <c r="C2022" s="19"/>
      <c r="D2022" s="19"/>
      <c r="O2022" s="5"/>
      <c r="P2022" s="5"/>
    </row>
    <row r="2023" spans="2:16" ht="13.2" x14ac:dyDescent="0.25">
      <c r="B2023" s="18"/>
      <c r="C2023" s="19"/>
      <c r="D2023" s="19"/>
      <c r="O2023" s="5"/>
      <c r="P2023" s="5"/>
    </row>
    <row r="2024" spans="2:16" ht="13.2" x14ac:dyDescent="0.25">
      <c r="B2024" s="18"/>
      <c r="C2024" s="19"/>
      <c r="D2024" s="19"/>
      <c r="O2024" s="5"/>
      <c r="P2024" s="5"/>
    </row>
    <row r="2025" spans="2:16" ht="13.2" x14ac:dyDescent="0.25">
      <c r="B2025" s="18"/>
      <c r="C2025" s="19"/>
      <c r="D2025" s="19"/>
      <c r="O2025" s="5"/>
      <c r="P2025" s="5"/>
    </row>
    <row r="2026" spans="2:16" ht="13.2" x14ac:dyDescent="0.25">
      <c r="B2026" s="18"/>
      <c r="C2026" s="19"/>
      <c r="D2026" s="19"/>
      <c r="O2026" s="5"/>
      <c r="P2026" s="5"/>
    </row>
    <row r="2027" spans="2:16" ht="13.2" x14ac:dyDescent="0.25">
      <c r="B2027" s="18"/>
      <c r="C2027" s="19"/>
      <c r="D2027" s="19"/>
      <c r="O2027" s="5"/>
      <c r="P2027" s="5"/>
    </row>
    <row r="2028" spans="2:16" ht="13.2" x14ac:dyDescent="0.25">
      <c r="B2028" s="18"/>
      <c r="C2028" s="19"/>
      <c r="D2028" s="19"/>
      <c r="O2028" s="5"/>
      <c r="P2028" s="5"/>
    </row>
    <row r="2029" spans="2:16" ht="13.2" x14ac:dyDescent="0.25">
      <c r="B2029" s="18"/>
      <c r="C2029" s="19"/>
      <c r="D2029" s="19"/>
      <c r="O2029" s="5"/>
      <c r="P2029" s="5"/>
    </row>
    <row r="2030" spans="2:16" ht="13.2" x14ac:dyDescent="0.25">
      <c r="B2030" s="18"/>
      <c r="C2030" s="19"/>
      <c r="D2030" s="19"/>
      <c r="O2030" s="5"/>
      <c r="P2030" s="5"/>
    </row>
    <row r="2031" spans="2:16" ht="13.2" x14ac:dyDescent="0.25">
      <c r="B2031" s="18"/>
      <c r="C2031" s="19"/>
      <c r="D2031" s="19"/>
      <c r="O2031" s="5"/>
      <c r="P2031" s="5"/>
    </row>
    <row r="2032" spans="2:16" ht="13.2" x14ac:dyDescent="0.25">
      <c r="B2032" s="18"/>
      <c r="C2032" s="19"/>
      <c r="D2032" s="19"/>
      <c r="O2032" s="5"/>
      <c r="P2032" s="5"/>
    </row>
    <row r="2033" spans="2:16" ht="13.2" x14ac:dyDescent="0.25">
      <c r="B2033" s="18"/>
      <c r="C2033" s="19"/>
      <c r="D2033" s="19"/>
      <c r="O2033" s="5"/>
      <c r="P2033" s="5"/>
    </row>
    <row r="2034" spans="2:16" ht="13.2" x14ac:dyDescent="0.25">
      <c r="B2034" s="18"/>
      <c r="C2034" s="19"/>
      <c r="D2034" s="19"/>
      <c r="O2034" s="5"/>
      <c r="P2034" s="5"/>
    </row>
    <row r="2035" spans="2:16" ht="13.2" x14ac:dyDescent="0.25">
      <c r="B2035" s="18"/>
      <c r="C2035" s="19"/>
      <c r="D2035" s="19"/>
      <c r="O2035" s="5"/>
      <c r="P2035" s="5"/>
    </row>
    <row r="2036" spans="2:16" ht="13.2" x14ac:dyDescent="0.25">
      <c r="B2036" s="18"/>
      <c r="C2036" s="19"/>
      <c r="D2036" s="19"/>
      <c r="O2036" s="5"/>
      <c r="P2036" s="5"/>
    </row>
    <row r="2037" spans="2:16" ht="13.2" x14ac:dyDescent="0.25">
      <c r="B2037" s="18"/>
      <c r="C2037" s="19"/>
      <c r="D2037" s="19"/>
      <c r="O2037" s="5"/>
      <c r="P2037" s="5"/>
    </row>
    <row r="2038" spans="2:16" ht="13.2" x14ac:dyDescent="0.25">
      <c r="B2038" s="18"/>
      <c r="C2038" s="19"/>
      <c r="D2038" s="19"/>
      <c r="O2038" s="5"/>
      <c r="P2038" s="5"/>
    </row>
    <row r="2039" spans="2:16" ht="13.2" x14ac:dyDescent="0.25">
      <c r="B2039" s="18"/>
      <c r="C2039" s="19"/>
      <c r="D2039" s="19"/>
      <c r="O2039" s="5"/>
      <c r="P2039" s="5"/>
    </row>
    <row r="2040" spans="2:16" ht="13.2" x14ac:dyDescent="0.25">
      <c r="B2040" s="18"/>
      <c r="C2040" s="19"/>
      <c r="D2040" s="19"/>
      <c r="O2040" s="5"/>
      <c r="P2040" s="5"/>
    </row>
    <row r="2041" spans="2:16" ht="13.2" x14ac:dyDescent="0.25">
      <c r="B2041" s="18"/>
      <c r="C2041" s="19"/>
      <c r="D2041" s="19"/>
      <c r="O2041" s="5"/>
      <c r="P2041" s="5"/>
    </row>
    <row r="2042" spans="2:16" ht="13.2" x14ac:dyDescent="0.25">
      <c r="B2042" s="18"/>
      <c r="C2042" s="19"/>
      <c r="D2042" s="19"/>
      <c r="O2042" s="5"/>
      <c r="P2042" s="5"/>
    </row>
    <row r="2043" spans="2:16" ht="13.2" x14ac:dyDescent="0.25">
      <c r="B2043" s="18"/>
      <c r="C2043" s="19"/>
      <c r="D2043" s="19"/>
      <c r="O2043" s="5"/>
      <c r="P2043" s="5"/>
    </row>
    <row r="2044" spans="2:16" ht="13.2" x14ac:dyDescent="0.25">
      <c r="B2044" s="18"/>
      <c r="C2044" s="19"/>
      <c r="D2044" s="19"/>
      <c r="O2044" s="5"/>
      <c r="P2044" s="5"/>
    </row>
    <row r="2045" spans="2:16" ht="13.2" x14ac:dyDescent="0.25">
      <c r="B2045" s="18"/>
      <c r="C2045" s="19"/>
      <c r="D2045" s="19"/>
      <c r="O2045" s="5"/>
      <c r="P2045" s="5"/>
    </row>
    <row r="2046" spans="2:16" ht="13.2" x14ac:dyDescent="0.25">
      <c r="B2046" s="18"/>
      <c r="C2046" s="19"/>
      <c r="D2046" s="19"/>
      <c r="O2046" s="5"/>
      <c r="P2046" s="5"/>
    </row>
    <row r="2047" spans="2:16" ht="13.2" x14ac:dyDescent="0.25">
      <c r="B2047" s="18"/>
      <c r="C2047" s="19"/>
      <c r="D2047" s="19"/>
      <c r="O2047" s="5"/>
      <c r="P2047" s="5"/>
    </row>
    <row r="2048" spans="2:16" ht="13.2" x14ac:dyDescent="0.25">
      <c r="B2048" s="18"/>
      <c r="C2048" s="19"/>
      <c r="D2048" s="19"/>
      <c r="O2048" s="5"/>
      <c r="P2048" s="5"/>
    </row>
    <row r="2049" spans="2:16" ht="13.2" x14ac:dyDescent="0.25">
      <c r="B2049" s="18"/>
      <c r="C2049" s="19"/>
      <c r="D2049" s="19"/>
      <c r="O2049" s="5"/>
      <c r="P2049" s="5"/>
    </row>
    <row r="2050" spans="2:16" ht="13.2" x14ac:dyDescent="0.25">
      <c r="B2050" s="18"/>
      <c r="C2050" s="19"/>
      <c r="D2050" s="19"/>
      <c r="O2050" s="5"/>
      <c r="P2050" s="5"/>
    </row>
    <row r="2051" spans="2:16" ht="13.2" x14ac:dyDescent="0.25">
      <c r="B2051" s="18"/>
      <c r="C2051" s="19"/>
      <c r="D2051" s="19"/>
      <c r="O2051" s="5"/>
      <c r="P2051" s="5"/>
    </row>
    <row r="2052" spans="2:16" ht="13.2" x14ac:dyDescent="0.25">
      <c r="B2052" s="18"/>
      <c r="C2052" s="19"/>
      <c r="D2052" s="19"/>
      <c r="O2052" s="5"/>
      <c r="P2052" s="5"/>
    </row>
    <row r="2053" spans="2:16" ht="13.2" x14ac:dyDescent="0.25">
      <c r="B2053" s="18"/>
      <c r="C2053" s="19"/>
      <c r="D2053" s="19"/>
      <c r="O2053" s="5"/>
      <c r="P2053" s="5"/>
    </row>
    <row r="2054" spans="2:16" ht="13.2" x14ac:dyDescent="0.25">
      <c r="B2054" s="18"/>
      <c r="C2054" s="19"/>
      <c r="D2054" s="19"/>
      <c r="O2054" s="5"/>
      <c r="P2054" s="5"/>
    </row>
    <row r="2055" spans="2:16" ht="13.2" x14ac:dyDescent="0.25">
      <c r="B2055" s="18"/>
      <c r="C2055" s="19"/>
      <c r="D2055" s="19"/>
      <c r="O2055" s="5"/>
      <c r="P2055" s="5"/>
    </row>
    <row r="2056" spans="2:16" ht="13.2" x14ac:dyDescent="0.25">
      <c r="B2056" s="18"/>
      <c r="C2056" s="19"/>
      <c r="D2056" s="19"/>
      <c r="O2056" s="5"/>
      <c r="P2056" s="5"/>
    </row>
    <row r="2057" spans="2:16" ht="13.2" x14ac:dyDescent="0.25">
      <c r="B2057" s="18"/>
      <c r="C2057" s="19"/>
      <c r="D2057" s="19"/>
      <c r="O2057" s="5"/>
      <c r="P2057" s="5"/>
    </row>
    <row r="2058" spans="2:16" ht="13.2" x14ac:dyDescent="0.25">
      <c r="B2058" s="18"/>
      <c r="C2058" s="19"/>
      <c r="D2058" s="19"/>
      <c r="O2058" s="5"/>
      <c r="P2058" s="5"/>
    </row>
    <row r="2059" spans="2:16" ht="13.2" x14ac:dyDescent="0.25">
      <c r="B2059" s="18"/>
      <c r="C2059" s="19"/>
      <c r="D2059" s="19"/>
      <c r="O2059" s="5"/>
      <c r="P2059" s="5"/>
    </row>
    <row r="2060" spans="2:16" ht="13.2" x14ac:dyDescent="0.25">
      <c r="B2060" s="18"/>
      <c r="C2060" s="19"/>
      <c r="D2060" s="19"/>
      <c r="O2060" s="5"/>
      <c r="P2060" s="5"/>
    </row>
    <row r="2061" spans="2:16" ht="13.2" x14ac:dyDescent="0.25">
      <c r="B2061" s="18"/>
      <c r="C2061" s="19"/>
      <c r="D2061" s="19"/>
      <c r="O2061" s="5"/>
      <c r="P2061" s="5"/>
    </row>
    <row r="2062" spans="2:16" ht="13.2" x14ac:dyDescent="0.25">
      <c r="B2062" s="18"/>
      <c r="C2062" s="19"/>
      <c r="D2062" s="19"/>
      <c r="O2062" s="5"/>
      <c r="P2062" s="5"/>
    </row>
    <row r="2063" spans="2:16" ht="13.2" x14ac:dyDescent="0.25">
      <c r="B2063" s="18"/>
      <c r="C2063" s="19"/>
      <c r="D2063" s="19"/>
      <c r="O2063" s="5"/>
      <c r="P2063" s="5"/>
    </row>
    <row r="2064" spans="2:16" ht="13.2" x14ac:dyDescent="0.25">
      <c r="B2064" s="18"/>
      <c r="C2064" s="19"/>
      <c r="D2064" s="19"/>
      <c r="O2064" s="5"/>
      <c r="P2064" s="5"/>
    </row>
    <row r="2065" spans="2:16" ht="13.2" x14ac:dyDescent="0.25">
      <c r="B2065" s="18"/>
      <c r="C2065" s="19"/>
      <c r="D2065" s="19"/>
      <c r="O2065" s="5"/>
      <c r="P2065" s="5"/>
    </row>
    <row r="2066" spans="2:16" ht="13.2" x14ac:dyDescent="0.25">
      <c r="B2066" s="18"/>
      <c r="C2066" s="19"/>
      <c r="D2066" s="19"/>
      <c r="O2066" s="5"/>
      <c r="P2066" s="5"/>
    </row>
    <row r="2067" spans="2:16" ht="13.2" x14ac:dyDescent="0.25">
      <c r="B2067" s="18"/>
      <c r="C2067" s="19"/>
      <c r="D2067" s="19"/>
      <c r="O2067" s="5"/>
      <c r="P2067" s="5"/>
    </row>
    <row r="2068" spans="2:16" ht="13.2" x14ac:dyDescent="0.25">
      <c r="B2068" s="18"/>
      <c r="C2068" s="19"/>
      <c r="D2068" s="19"/>
      <c r="O2068" s="5"/>
      <c r="P2068" s="5"/>
    </row>
    <row r="2069" spans="2:16" ht="13.2" x14ac:dyDescent="0.25">
      <c r="B2069" s="18"/>
      <c r="C2069" s="19"/>
      <c r="D2069" s="19"/>
      <c r="O2069" s="5"/>
      <c r="P2069" s="5"/>
    </row>
    <row r="2070" spans="2:16" ht="13.2" x14ac:dyDescent="0.25">
      <c r="B2070" s="18"/>
      <c r="C2070" s="19"/>
      <c r="D2070" s="19"/>
      <c r="O2070" s="5"/>
      <c r="P2070" s="5"/>
    </row>
    <row r="2071" spans="2:16" ht="13.2" x14ac:dyDescent="0.25">
      <c r="B2071" s="18"/>
      <c r="C2071" s="19"/>
      <c r="D2071" s="19"/>
      <c r="O2071" s="5"/>
      <c r="P2071" s="5"/>
    </row>
    <row r="2072" spans="2:16" ht="13.2" x14ac:dyDescent="0.25">
      <c r="B2072" s="18"/>
      <c r="C2072" s="19"/>
      <c r="D2072" s="19"/>
      <c r="O2072" s="5"/>
      <c r="P2072" s="5"/>
    </row>
    <row r="2073" spans="2:16" ht="13.2" x14ac:dyDescent="0.25">
      <c r="B2073" s="18"/>
      <c r="C2073" s="19"/>
      <c r="D2073" s="19"/>
      <c r="O2073" s="5"/>
      <c r="P2073" s="5"/>
    </row>
    <row r="2074" spans="2:16" ht="13.2" x14ac:dyDescent="0.25">
      <c r="B2074" s="18"/>
      <c r="C2074" s="19"/>
      <c r="D2074" s="19"/>
      <c r="O2074" s="5"/>
      <c r="P2074" s="5"/>
    </row>
    <row r="2075" spans="2:16" ht="13.2" x14ac:dyDescent="0.25">
      <c r="B2075" s="18"/>
      <c r="C2075" s="19"/>
      <c r="D2075" s="19"/>
      <c r="O2075" s="5"/>
      <c r="P2075" s="5"/>
    </row>
    <row r="2076" spans="2:16" ht="13.2" x14ac:dyDescent="0.25">
      <c r="B2076" s="18"/>
      <c r="C2076" s="19"/>
      <c r="D2076" s="19"/>
      <c r="O2076" s="5"/>
      <c r="P2076" s="5"/>
    </row>
    <row r="2077" spans="2:16" ht="13.2" x14ac:dyDescent="0.25">
      <c r="B2077" s="18"/>
      <c r="C2077" s="19"/>
      <c r="D2077" s="19"/>
      <c r="O2077" s="5"/>
      <c r="P2077" s="5"/>
    </row>
    <row r="2078" spans="2:16" ht="13.2" x14ac:dyDescent="0.25">
      <c r="B2078" s="18"/>
      <c r="C2078" s="19"/>
      <c r="D2078" s="19"/>
      <c r="O2078" s="5"/>
      <c r="P2078" s="5"/>
    </row>
    <row r="2079" spans="2:16" ht="13.2" x14ac:dyDescent="0.25">
      <c r="B2079" s="18"/>
      <c r="C2079" s="19"/>
      <c r="D2079" s="19"/>
      <c r="O2079" s="5"/>
      <c r="P2079" s="5"/>
    </row>
    <row r="2080" spans="2:16" ht="13.2" x14ac:dyDescent="0.25">
      <c r="B2080" s="18"/>
      <c r="C2080" s="19"/>
      <c r="D2080" s="19"/>
      <c r="O2080" s="5"/>
      <c r="P2080" s="5"/>
    </row>
    <row r="2081" spans="2:16" ht="13.2" x14ac:dyDescent="0.25">
      <c r="B2081" s="18"/>
      <c r="C2081" s="19"/>
      <c r="D2081" s="19"/>
      <c r="O2081" s="5"/>
      <c r="P2081" s="5"/>
    </row>
    <row r="2082" spans="2:16" ht="13.2" x14ac:dyDescent="0.25">
      <c r="B2082" s="18"/>
      <c r="C2082" s="19"/>
      <c r="D2082" s="19"/>
      <c r="O2082" s="5"/>
      <c r="P2082" s="5"/>
    </row>
    <row r="2083" spans="2:16" ht="13.2" x14ac:dyDescent="0.25">
      <c r="B2083" s="18"/>
      <c r="C2083" s="19"/>
      <c r="D2083" s="19"/>
      <c r="O2083" s="5"/>
      <c r="P2083" s="5"/>
    </row>
    <row r="2084" spans="2:16" ht="13.2" x14ac:dyDescent="0.25">
      <c r="B2084" s="18"/>
      <c r="C2084" s="19"/>
      <c r="D2084" s="19"/>
      <c r="O2084" s="5"/>
      <c r="P2084" s="5"/>
    </row>
    <row r="2085" spans="2:16" ht="13.2" x14ac:dyDescent="0.25">
      <c r="B2085" s="18"/>
      <c r="C2085" s="19"/>
      <c r="D2085" s="19"/>
      <c r="O2085" s="5"/>
      <c r="P2085" s="5"/>
    </row>
    <row r="2086" spans="2:16" ht="13.2" x14ac:dyDescent="0.25">
      <c r="B2086" s="18"/>
      <c r="C2086" s="19"/>
      <c r="D2086" s="19"/>
      <c r="O2086" s="5"/>
      <c r="P2086" s="5"/>
    </row>
    <row r="2087" spans="2:16" ht="13.2" x14ac:dyDescent="0.25">
      <c r="B2087" s="18"/>
      <c r="C2087" s="19"/>
      <c r="D2087" s="19"/>
      <c r="O2087" s="5"/>
      <c r="P2087" s="5"/>
    </row>
    <row r="2088" spans="2:16" ht="13.2" x14ac:dyDescent="0.25">
      <c r="B2088" s="18"/>
      <c r="C2088" s="19"/>
      <c r="D2088" s="19"/>
      <c r="O2088" s="5"/>
      <c r="P2088" s="5"/>
    </row>
    <row r="2089" spans="2:16" ht="13.2" x14ac:dyDescent="0.25">
      <c r="B2089" s="18"/>
      <c r="C2089" s="19"/>
      <c r="D2089" s="19"/>
      <c r="O2089" s="5"/>
      <c r="P2089" s="5"/>
    </row>
    <row r="2090" spans="2:16" ht="13.2" x14ac:dyDescent="0.25">
      <c r="B2090" s="18"/>
      <c r="C2090" s="19"/>
      <c r="D2090" s="19"/>
      <c r="O2090" s="5"/>
      <c r="P2090" s="5"/>
    </row>
    <row r="2091" spans="2:16" ht="13.2" x14ac:dyDescent="0.25">
      <c r="B2091" s="18"/>
      <c r="C2091" s="19"/>
      <c r="D2091" s="19"/>
      <c r="O2091" s="5"/>
      <c r="P2091" s="5"/>
    </row>
    <row r="2092" spans="2:16" ht="13.2" x14ac:dyDescent="0.25">
      <c r="B2092" s="18"/>
      <c r="C2092" s="19"/>
      <c r="D2092" s="19"/>
      <c r="O2092" s="5"/>
      <c r="P2092" s="5"/>
    </row>
    <row r="2093" spans="2:16" ht="13.2" x14ac:dyDescent="0.25">
      <c r="B2093" s="18"/>
      <c r="C2093" s="19"/>
      <c r="D2093" s="19"/>
      <c r="O2093" s="5"/>
      <c r="P2093" s="5"/>
    </row>
    <row r="2094" spans="2:16" ht="13.2" x14ac:dyDescent="0.25">
      <c r="B2094" s="18"/>
      <c r="C2094" s="19"/>
      <c r="D2094" s="19"/>
      <c r="O2094" s="5"/>
      <c r="P2094" s="5"/>
    </row>
    <row r="2095" spans="2:16" ht="13.2" x14ac:dyDescent="0.25">
      <c r="B2095" s="18"/>
      <c r="C2095" s="19"/>
      <c r="D2095" s="19"/>
      <c r="O2095" s="5"/>
      <c r="P2095" s="5"/>
    </row>
    <row r="2096" spans="2:16" ht="13.2" x14ac:dyDescent="0.25">
      <c r="B2096" s="18"/>
      <c r="C2096" s="19"/>
      <c r="D2096" s="19"/>
      <c r="O2096" s="5"/>
      <c r="P2096" s="5"/>
    </row>
    <row r="2097" spans="2:16" ht="13.2" x14ac:dyDescent="0.25">
      <c r="B2097" s="18"/>
      <c r="C2097" s="19"/>
      <c r="D2097" s="19"/>
      <c r="O2097" s="5"/>
      <c r="P2097" s="5"/>
    </row>
    <row r="2098" spans="2:16" ht="13.2" x14ac:dyDescent="0.25">
      <c r="B2098" s="18"/>
      <c r="C2098" s="19"/>
      <c r="D2098" s="19"/>
      <c r="O2098" s="5"/>
      <c r="P2098" s="5"/>
    </row>
    <row r="2099" spans="2:16" ht="13.2" x14ac:dyDescent="0.25">
      <c r="B2099" s="18"/>
      <c r="C2099" s="19"/>
      <c r="D2099" s="19"/>
      <c r="O2099" s="5"/>
      <c r="P2099" s="5"/>
    </row>
    <row r="2100" spans="2:16" ht="13.2" x14ac:dyDescent="0.25">
      <c r="B2100" s="18"/>
      <c r="C2100" s="19"/>
      <c r="D2100" s="19"/>
      <c r="O2100" s="5"/>
      <c r="P2100" s="5"/>
    </row>
    <row r="2101" spans="2:16" ht="13.2" x14ac:dyDescent="0.25">
      <c r="B2101" s="18"/>
      <c r="C2101" s="19"/>
      <c r="D2101" s="19"/>
      <c r="O2101" s="5"/>
      <c r="P2101" s="5"/>
    </row>
    <row r="2102" spans="2:16" ht="13.2" x14ac:dyDescent="0.25">
      <c r="B2102" s="18"/>
      <c r="C2102" s="19"/>
      <c r="D2102" s="19"/>
      <c r="O2102" s="5"/>
      <c r="P2102" s="5"/>
    </row>
    <row r="2103" spans="2:16" ht="13.2" x14ac:dyDescent="0.25">
      <c r="B2103" s="18"/>
      <c r="C2103" s="19"/>
      <c r="D2103" s="19"/>
      <c r="O2103" s="5"/>
      <c r="P2103" s="5"/>
    </row>
    <row r="2104" spans="2:16" ht="13.2" x14ac:dyDescent="0.25">
      <c r="B2104" s="18"/>
      <c r="C2104" s="19"/>
      <c r="D2104" s="19"/>
      <c r="O2104" s="5"/>
      <c r="P2104" s="5"/>
    </row>
    <row r="2105" spans="2:16" ht="13.2" x14ac:dyDescent="0.25">
      <c r="B2105" s="18"/>
      <c r="C2105" s="19"/>
      <c r="D2105" s="19"/>
      <c r="O2105" s="5"/>
      <c r="P2105" s="5"/>
    </row>
    <row r="2106" spans="2:16" ht="13.2" x14ac:dyDescent="0.25">
      <c r="B2106" s="18"/>
      <c r="C2106" s="19"/>
      <c r="D2106" s="19"/>
      <c r="O2106" s="5"/>
      <c r="P2106" s="5"/>
    </row>
    <row r="2107" spans="2:16" ht="13.2" x14ac:dyDescent="0.25">
      <c r="B2107" s="18"/>
      <c r="C2107" s="19"/>
      <c r="D2107" s="19"/>
      <c r="O2107" s="5"/>
      <c r="P2107" s="5"/>
    </row>
    <row r="2108" spans="2:16" ht="13.2" x14ac:dyDescent="0.25">
      <c r="B2108" s="18"/>
      <c r="C2108" s="19"/>
      <c r="D2108" s="19"/>
      <c r="O2108" s="5"/>
      <c r="P2108" s="5"/>
    </row>
    <row r="2109" spans="2:16" ht="13.2" x14ac:dyDescent="0.25">
      <c r="B2109" s="18"/>
      <c r="C2109" s="19"/>
      <c r="D2109" s="19"/>
      <c r="O2109" s="5"/>
      <c r="P2109" s="5"/>
    </row>
    <row r="2110" spans="2:16" ht="13.2" x14ac:dyDescent="0.25">
      <c r="B2110" s="18"/>
      <c r="C2110" s="19"/>
      <c r="D2110" s="19"/>
      <c r="O2110" s="5"/>
      <c r="P2110" s="5"/>
    </row>
    <row r="2111" spans="2:16" ht="13.2" x14ac:dyDescent="0.25">
      <c r="B2111" s="18"/>
      <c r="C2111" s="19"/>
      <c r="D2111" s="19"/>
      <c r="O2111" s="5"/>
      <c r="P2111" s="5"/>
    </row>
    <row r="2112" spans="2:16" ht="13.2" x14ac:dyDescent="0.25">
      <c r="B2112" s="18"/>
      <c r="C2112" s="19"/>
      <c r="D2112" s="19"/>
      <c r="O2112" s="5"/>
      <c r="P2112" s="5"/>
    </row>
    <row r="2113" spans="2:16" ht="13.2" x14ac:dyDescent="0.25">
      <c r="B2113" s="18"/>
      <c r="C2113" s="19"/>
      <c r="D2113" s="19"/>
      <c r="O2113" s="5"/>
      <c r="P2113" s="5"/>
    </row>
    <row r="2114" spans="2:16" ht="13.2" x14ac:dyDescent="0.25">
      <c r="B2114" s="18"/>
      <c r="C2114" s="19"/>
      <c r="D2114" s="19"/>
      <c r="O2114" s="5"/>
      <c r="P2114" s="5"/>
    </row>
    <row r="2115" spans="2:16" ht="13.2" x14ac:dyDescent="0.25">
      <c r="B2115" s="18"/>
      <c r="C2115" s="19"/>
      <c r="D2115" s="19"/>
      <c r="O2115" s="5"/>
      <c r="P2115" s="5"/>
    </row>
    <row r="2116" spans="2:16" ht="13.2" x14ac:dyDescent="0.25">
      <c r="B2116" s="18"/>
      <c r="C2116" s="19"/>
      <c r="D2116" s="19"/>
      <c r="O2116" s="5"/>
      <c r="P2116" s="5"/>
    </row>
    <row r="2117" spans="2:16" ht="13.2" x14ac:dyDescent="0.25">
      <c r="B2117" s="18"/>
      <c r="C2117" s="19"/>
      <c r="D2117" s="19"/>
      <c r="O2117" s="5"/>
      <c r="P2117" s="5"/>
    </row>
    <row r="2118" spans="2:16" ht="13.2" x14ac:dyDescent="0.25">
      <c r="B2118" s="18"/>
      <c r="C2118" s="19"/>
      <c r="D2118" s="19"/>
      <c r="O2118" s="5"/>
      <c r="P2118" s="5"/>
    </row>
    <row r="2119" spans="2:16" ht="13.2" x14ac:dyDescent="0.25">
      <c r="B2119" s="18"/>
      <c r="C2119" s="19"/>
      <c r="D2119" s="19"/>
      <c r="O2119" s="5"/>
      <c r="P2119" s="5"/>
    </row>
    <row r="2120" spans="2:16" ht="13.2" x14ac:dyDescent="0.25">
      <c r="B2120" s="18"/>
      <c r="C2120" s="19"/>
      <c r="D2120" s="19"/>
      <c r="O2120" s="5"/>
      <c r="P2120" s="5"/>
    </row>
    <row r="2121" spans="2:16" ht="13.2" x14ac:dyDescent="0.25">
      <c r="B2121" s="18"/>
      <c r="C2121" s="19"/>
      <c r="D2121" s="19"/>
      <c r="O2121" s="5"/>
      <c r="P2121" s="5"/>
    </row>
    <row r="2122" spans="2:16" ht="13.2" x14ac:dyDescent="0.25">
      <c r="B2122" s="18"/>
      <c r="C2122" s="19"/>
      <c r="D2122" s="19"/>
      <c r="O2122" s="5"/>
      <c r="P2122" s="5"/>
    </row>
    <row r="2123" spans="2:16" ht="13.2" x14ac:dyDescent="0.25">
      <c r="B2123" s="18"/>
      <c r="C2123" s="19"/>
      <c r="D2123" s="19"/>
      <c r="O2123" s="5"/>
      <c r="P2123" s="5"/>
    </row>
    <row r="2124" spans="2:16" ht="13.2" x14ac:dyDescent="0.25">
      <c r="B2124" s="18"/>
      <c r="C2124" s="19"/>
      <c r="D2124" s="19"/>
      <c r="O2124" s="5"/>
      <c r="P2124" s="5"/>
    </row>
    <row r="2125" spans="2:16" ht="13.2" x14ac:dyDescent="0.25">
      <c r="B2125" s="18"/>
      <c r="C2125" s="19"/>
      <c r="D2125" s="19"/>
      <c r="O2125" s="5"/>
      <c r="P2125" s="5"/>
    </row>
    <row r="2126" spans="2:16" ht="13.2" x14ac:dyDescent="0.25">
      <c r="B2126" s="18"/>
      <c r="C2126" s="19"/>
      <c r="D2126" s="19"/>
      <c r="O2126" s="5"/>
      <c r="P2126" s="5"/>
    </row>
    <row r="2127" spans="2:16" ht="13.2" x14ac:dyDescent="0.25">
      <c r="B2127" s="18"/>
      <c r="C2127" s="19"/>
      <c r="D2127" s="19"/>
      <c r="O2127" s="5"/>
      <c r="P2127" s="5"/>
    </row>
    <row r="2128" spans="2:16" ht="13.2" x14ac:dyDescent="0.25">
      <c r="B2128" s="18"/>
      <c r="C2128" s="19"/>
      <c r="D2128" s="19"/>
      <c r="O2128" s="5"/>
      <c r="P2128" s="5"/>
    </row>
    <row r="2129" spans="2:16" ht="13.2" x14ac:dyDescent="0.25">
      <c r="B2129" s="18"/>
      <c r="C2129" s="19"/>
      <c r="D2129" s="19"/>
      <c r="O2129" s="5"/>
      <c r="P2129" s="5"/>
    </row>
    <row r="2130" spans="2:16" ht="13.2" x14ac:dyDescent="0.25">
      <c r="B2130" s="18"/>
      <c r="C2130" s="19"/>
      <c r="D2130" s="19"/>
      <c r="O2130" s="5"/>
      <c r="P2130" s="5"/>
    </row>
    <row r="2131" spans="2:16" ht="13.2" x14ac:dyDescent="0.25">
      <c r="B2131" s="18"/>
      <c r="C2131" s="19"/>
      <c r="D2131" s="19"/>
      <c r="O2131" s="5"/>
      <c r="P2131" s="5"/>
    </row>
    <row r="2132" spans="2:16" ht="13.2" x14ac:dyDescent="0.25">
      <c r="B2132" s="18"/>
      <c r="C2132" s="19"/>
      <c r="D2132" s="19"/>
      <c r="O2132" s="5"/>
      <c r="P2132" s="5"/>
    </row>
    <row r="2133" spans="2:16" ht="13.2" x14ac:dyDescent="0.25">
      <c r="B2133" s="18"/>
      <c r="C2133" s="19"/>
      <c r="D2133" s="19"/>
      <c r="O2133" s="5"/>
      <c r="P2133" s="5"/>
    </row>
    <row r="2134" spans="2:16" ht="13.2" x14ac:dyDescent="0.25">
      <c r="B2134" s="18"/>
      <c r="C2134" s="19"/>
      <c r="D2134" s="19"/>
      <c r="O2134" s="5"/>
      <c r="P2134" s="5"/>
    </row>
    <row r="2135" spans="2:16" ht="13.2" x14ac:dyDescent="0.25">
      <c r="B2135" s="18"/>
      <c r="C2135" s="19"/>
      <c r="D2135" s="19"/>
      <c r="O2135" s="5"/>
      <c r="P2135" s="5"/>
    </row>
    <row r="2136" spans="2:16" ht="13.2" x14ac:dyDescent="0.25">
      <c r="B2136" s="18"/>
      <c r="C2136" s="19"/>
      <c r="D2136" s="19"/>
      <c r="O2136" s="5"/>
      <c r="P2136" s="5"/>
    </row>
    <row r="2137" spans="2:16" ht="13.2" x14ac:dyDescent="0.25">
      <c r="B2137" s="18"/>
      <c r="C2137" s="19"/>
      <c r="D2137" s="19"/>
      <c r="O2137" s="5"/>
      <c r="P2137" s="5"/>
    </row>
    <row r="2138" spans="2:16" ht="13.2" x14ac:dyDescent="0.25">
      <c r="B2138" s="18"/>
      <c r="C2138" s="19"/>
      <c r="D2138" s="19"/>
      <c r="O2138" s="5"/>
      <c r="P2138" s="5"/>
    </row>
    <row r="2139" spans="2:16" ht="13.2" x14ac:dyDescent="0.25">
      <c r="B2139" s="18"/>
      <c r="C2139" s="19"/>
      <c r="D2139" s="19"/>
      <c r="O2139" s="5"/>
      <c r="P2139" s="5"/>
    </row>
    <row r="2140" spans="2:16" ht="13.2" x14ac:dyDescent="0.25">
      <c r="B2140" s="18"/>
      <c r="C2140" s="19"/>
      <c r="D2140" s="19"/>
      <c r="O2140" s="5"/>
      <c r="P2140" s="5"/>
    </row>
    <row r="2141" spans="2:16" ht="13.2" x14ac:dyDescent="0.25">
      <c r="B2141" s="18"/>
      <c r="C2141" s="19"/>
      <c r="D2141" s="19"/>
      <c r="O2141" s="5"/>
      <c r="P2141" s="5"/>
    </row>
    <row r="2142" spans="2:16" ht="13.2" x14ac:dyDescent="0.25">
      <c r="B2142" s="18"/>
      <c r="C2142" s="19"/>
      <c r="D2142" s="19"/>
      <c r="O2142" s="5"/>
      <c r="P2142" s="5"/>
    </row>
    <row r="2143" spans="2:16" ht="13.2" x14ac:dyDescent="0.25">
      <c r="B2143" s="18"/>
      <c r="C2143" s="19"/>
      <c r="D2143" s="19"/>
      <c r="O2143" s="5"/>
      <c r="P2143" s="5"/>
    </row>
    <row r="2144" spans="2:16" ht="13.2" x14ac:dyDescent="0.25">
      <c r="B2144" s="18"/>
      <c r="C2144" s="19"/>
      <c r="D2144" s="19"/>
      <c r="O2144" s="5"/>
      <c r="P2144" s="5"/>
    </row>
    <row r="2145" spans="2:16" ht="13.2" x14ac:dyDescent="0.25">
      <c r="B2145" s="18"/>
      <c r="C2145" s="19"/>
      <c r="D2145" s="19"/>
      <c r="O2145" s="5"/>
      <c r="P2145" s="5"/>
    </row>
    <row r="2146" spans="2:16" ht="13.2" x14ac:dyDescent="0.25">
      <c r="B2146" s="18"/>
      <c r="C2146" s="19"/>
      <c r="D2146" s="19"/>
      <c r="O2146" s="5"/>
      <c r="P2146" s="5"/>
    </row>
    <row r="2147" spans="2:16" ht="13.2" x14ac:dyDescent="0.25">
      <c r="B2147" s="18"/>
      <c r="C2147" s="19"/>
      <c r="D2147" s="19"/>
      <c r="O2147" s="5"/>
      <c r="P2147" s="5"/>
    </row>
    <row r="2148" spans="2:16" ht="13.2" x14ac:dyDescent="0.25">
      <c r="B2148" s="18"/>
      <c r="C2148" s="19"/>
      <c r="D2148" s="19"/>
      <c r="O2148" s="5"/>
      <c r="P2148" s="5"/>
    </row>
    <row r="2149" spans="2:16" ht="13.2" x14ac:dyDescent="0.25">
      <c r="B2149" s="18"/>
      <c r="C2149" s="19"/>
      <c r="D2149" s="19"/>
      <c r="O2149" s="5"/>
      <c r="P2149" s="5"/>
    </row>
    <row r="2150" spans="2:16" ht="13.2" x14ac:dyDescent="0.25">
      <c r="B2150" s="18"/>
      <c r="C2150" s="19"/>
      <c r="D2150" s="19"/>
      <c r="O2150" s="5"/>
      <c r="P2150" s="5"/>
    </row>
    <row r="2151" spans="2:16" ht="13.2" x14ac:dyDescent="0.25">
      <c r="B2151" s="18"/>
      <c r="C2151" s="19"/>
      <c r="D2151" s="19"/>
      <c r="O2151" s="5"/>
      <c r="P2151" s="5"/>
    </row>
    <row r="2152" spans="2:16" ht="13.2" x14ac:dyDescent="0.25">
      <c r="B2152" s="18"/>
      <c r="C2152" s="19"/>
      <c r="D2152" s="19"/>
      <c r="O2152" s="5"/>
      <c r="P2152" s="5"/>
    </row>
    <row r="2153" spans="2:16" ht="13.2" x14ac:dyDescent="0.25">
      <c r="B2153" s="18"/>
      <c r="C2153" s="19"/>
      <c r="D2153" s="19"/>
      <c r="O2153" s="5"/>
      <c r="P2153" s="5"/>
    </row>
    <row r="2154" spans="2:16" ht="13.2" x14ac:dyDescent="0.25">
      <c r="B2154" s="18"/>
      <c r="C2154" s="19"/>
      <c r="D2154" s="19"/>
      <c r="O2154" s="5"/>
      <c r="P2154" s="5"/>
    </row>
    <row r="2155" spans="2:16" ht="13.2" x14ac:dyDescent="0.25">
      <c r="B2155" s="18"/>
      <c r="C2155" s="19"/>
      <c r="D2155" s="19"/>
      <c r="O2155" s="5"/>
      <c r="P2155" s="5"/>
    </row>
    <row r="2156" spans="2:16" ht="13.2" x14ac:dyDescent="0.25">
      <c r="B2156" s="18"/>
      <c r="C2156" s="19"/>
      <c r="D2156" s="19"/>
      <c r="O2156" s="5"/>
      <c r="P2156" s="5"/>
    </row>
    <row r="2157" spans="2:16" ht="13.2" x14ac:dyDescent="0.25">
      <c r="B2157" s="18"/>
      <c r="C2157" s="19"/>
      <c r="D2157" s="19"/>
      <c r="O2157" s="5"/>
      <c r="P2157" s="5"/>
    </row>
    <row r="2158" spans="2:16" ht="13.2" x14ac:dyDescent="0.25">
      <c r="B2158" s="18"/>
      <c r="C2158" s="19"/>
      <c r="D2158" s="19"/>
      <c r="O2158" s="5"/>
      <c r="P2158" s="5"/>
    </row>
    <row r="2159" spans="2:16" ht="13.2" x14ac:dyDescent="0.25">
      <c r="B2159" s="18"/>
      <c r="C2159" s="19"/>
      <c r="D2159" s="19"/>
      <c r="O2159" s="5"/>
      <c r="P2159" s="5"/>
    </row>
    <row r="2160" spans="2:16" ht="13.2" x14ac:dyDescent="0.25">
      <c r="B2160" s="18"/>
      <c r="C2160" s="19"/>
      <c r="D2160" s="19"/>
      <c r="O2160" s="5"/>
      <c r="P2160" s="5"/>
    </row>
    <row r="2161" spans="2:16" ht="13.2" x14ac:dyDescent="0.25">
      <c r="B2161" s="18"/>
      <c r="C2161" s="19"/>
      <c r="D2161" s="19"/>
      <c r="O2161" s="5"/>
      <c r="P2161" s="5"/>
    </row>
    <row r="2162" spans="2:16" ht="13.2" x14ac:dyDescent="0.25">
      <c r="B2162" s="18"/>
      <c r="C2162" s="19"/>
      <c r="D2162" s="19"/>
      <c r="O2162" s="5"/>
      <c r="P2162" s="5"/>
    </row>
    <row r="2163" spans="2:16" ht="13.2" x14ac:dyDescent="0.25">
      <c r="B2163" s="18"/>
      <c r="C2163" s="19"/>
      <c r="D2163" s="19"/>
      <c r="O2163" s="5"/>
      <c r="P2163" s="5"/>
    </row>
    <row r="2164" spans="2:16" ht="13.2" x14ac:dyDescent="0.25">
      <c r="B2164" s="18"/>
      <c r="C2164" s="19"/>
      <c r="D2164" s="19"/>
      <c r="O2164" s="5"/>
      <c r="P2164" s="5"/>
    </row>
    <row r="2165" spans="2:16" ht="13.2" x14ac:dyDescent="0.25">
      <c r="B2165" s="18"/>
      <c r="C2165" s="19"/>
      <c r="D2165" s="19"/>
      <c r="O2165" s="5"/>
      <c r="P2165" s="5"/>
    </row>
    <row r="2166" spans="2:16" ht="13.2" x14ac:dyDescent="0.25">
      <c r="B2166" s="18"/>
      <c r="C2166" s="19"/>
      <c r="D2166" s="19"/>
      <c r="O2166" s="5"/>
      <c r="P2166" s="5"/>
    </row>
    <row r="2167" spans="2:16" ht="13.2" x14ac:dyDescent="0.25">
      <c r="B2167" s="18"/>
      <c r="C2167" s="19"/>
      <c r="D2167" s="19"/>
      <c r="O2167" s="5"/>
      <c r="P2167" s="5"/>
    </row>
    <row r="2168" spans="2:16" ht="13.2" x14ac:dyDescent="0.25">
      <c r="B2168" s="18"/>
      <c r="C2168" s="19"/>
      <c r="D2168" s="19"/>
      <c r="O2168" s="5"/>
      <c r="P2168" s="5"/>
    </row>
    <row r="2169" spans="2:16" ht="13.2" x14ac:dyDescent="0.25">
      <c r="B2169" s="18"/>
      <c r="C2169" s="19"/>
      <c r="D2169" s="19"/>
      <c r="O2169" s="5"/>
      <c r="P2169" s="5"/>
    </row>
    <row r="2170" spans="2:16" ht="13.2" x14ac:dyDescent="0.25">
      <c r="B2170" s="18"/>
      <c r="C2170" s="19"/>
      <c r="D2170" s="19"/>
      <c r="O2170" s="5"/>
      <c r="P2170" s="5"/>
    </row>
    <row r="2171" spans="2:16" ht="13.2" x14ac:dyDescent="0.25">
      <c r="B2171" s="18"/>
      <c r="C2171" s="19"/>
      <c r="D2171" s="19"/>
      <c r="O2171" s="5"/>
      <c r="P2171" s="5"/>
    </row>
    <row r="2172" spans="2:16" ht="13.2" x14ac:dyDescent="0.25">
      <c r="B2172" s="18"/>
      <c r="C2172" s="19"/>
      <c r="D2172" s="19"/>
      <c r="O2172" s="5"/>
      <c r="P2172" s="5"/>
    </row>
    <row r="2173" spans="2:16" ht="13.2" x14ac:dyDescent="0.25">
      <c r="B2173" s="18"/>
      <c r="C2173" s="19"/>
      <c r="D2173" s="19"/>
      <c r="O2173" s="5"/>
      <c r="P2173" s="5"/>
    </row>
    <row r="2174" spans="2:16" ht="13.2" x14ac:dyDescent="0.25">
      <c r="B2174" s="18"/>
      <c r="C2174" s="19"/>
      <c r="D2174" s="19"/>
      <c r="O2174" s="5"/>
      <c r="P2174" s="5"/>
    </row>
    <row r="2175" spans="2:16" ht="13.2" x14ac:dyDescent="0.25">
      <c r="B2175" s="18"/>
      <c r="C2175" s="19"/>
      <c r="D2175" s="19"/>
      <c r="O2175" s="5"/>
      <c r="P2175" s="5"/>
    </row>
    <row r="2176" spans="2:16" ht="13.2" x14ac:dyDescent="0.25">
      <c r="B2176" s="18"/>
      <c r="C2176" s="19"/>
      <c r="D2176" s="19"/>
      <c r="O2176" s="5"/>
      <c r="P2176" s="5"/>
    </row>
    <row r="2177" spans="2:16" ht="13.2" x14ac:dyDescent="0.25">
      <c r="B2177" s="18"/>
      <c r="C2177" s="19"/>
      <c r="D2177" s="19"/>
      <c r="O2177" s="5"/>
      <c r="P2177" s="5"/>
    </row>
    <row r="2178" spans="2:16" ht="13.2" x14ac:dyDescent="0.25">
      <c r="B2178" s="18"/>
      <c r="C2178" s="19"/>
      <c r="D2178" s="19"/>
      <c r="O2178" s="5"/>
      <c r="P2178" s="5"/>
    </row>
    <row r="2179" spans="2:16" ht="13.2" x14ac:dyDescent="0.25">
      <c r="B2179" s="18"/>
      <c r="C2179" s="19"/>
      <c r="D2179" s="19"/>
      <c r="O2179" s="5"/>
      <c r="P2179" s="5"/>
    </row>
    <row r="2180" spans="2:16" ht="13.2" x14ac:dyDescent="0.25">
      <c r="B2180" s="18"/>
      <c r="C2180" s="19"/>
      <c r="D2180" s="19"/>
      <c r="O2180" s="5"/>
      <c r="P2180" s="5"/>
    </row>
    <row r="2181" spans="2:16" ht="13.2" x14ac:dyDescent="0.25">
      <c r="B2181" s="18"/>
      <c r="C2181" s="19"/>
      <c r="D2181" s="19"/>
      <c r="O2181" s="5"/>
      <c r="P2181" s="5"/>
    </row>
    <row r="2182" spans="2:16" ht="13.2" x14ac:dyDescent="0.25">
      <c r="B2182" s="18"/>
      <c r="C2182" s="19"/>
      <c r="D2182" s="19"/>
      <c r="O2182" s="5"/>
      <c r="P2182" s="5"/>
    </row>
    <row r="2183" spans="2:16" ht="13.2" x14ac:dyDescent="0.25">
      <c r="B2183" s="18"/>
      <c r="C2183" s="19"/>
      <c r="D2183" s="19"/>
      <c r="O2183" s="5"/>
      <c r="P2183" s="5"/>
    </row>
    <row r="2184" spans="2:16" ht="13.2" x14ac:dyDescent="0.25">
      <c r="B2184" s="18"/>
      <c r="C2184" s="19"/>
      <c r="D2184" s="19"/>
      <c r="O2184" s="5"/>
      <c r="P2184" s="5"/>
    </row>
    <row r="2185" spans="2:16" ht="13.2" x14ac:dyDescent="0.25">
      <c r="B2185" s="18"/>
      <c r="C2185" s="19"/>
      <c r="D2185" s="19"/>
      <c r="O2185" s="5"/>
      <c r="P2185" s="5"/>
    </row>
    <row r="2186" spans="2:16" ht="13.2" x14ac:dyDescent="0.25">
      <c r="B2186" s="18"/>
      <c r="C2186" s="19"/>
      <c r="D2186" s="19"/>
      <c r="O2186" s="5"/>
      <c r="P2186" s="5"/>
    </row>
    <row r="2187" spans="2:16" ht="13.2" x14ac:dyDescent="0.25">
      <c r="B2187" s="18"/>
      <c r="C2187" s="19"/>
      <c r="D2187" s="19"/>
      <c r="O2187" s="5"/>
      <c r="P2187" s="5"/>
    </row>
    <row r="2188" spans="2:16" ht="13.2" x14ac:dyDescent="0.25">
      <c r="B2188" s="18"/>
      <c r="C2188" s="19"/>
      <c r="D2188" s="19"/>
      <c r="O2188" s="5"/>
      <c r="P2188" s="5"/>
    </row>
    <row r="2189" spans="2:16" ht="13.2" x14ac:dyDescent="0.25">
      <c r="B2189" s="18"/>
      <c r="C2189" s="19"/>
      <c r="D2189" s="19"/>
      <c r="O2189" s="5"/>
      <c r="P2189" s="5"/>
    </row>
    <row r="2190" spans="2:16" ht="13.2" x14ac:dyDescent="0.25">
      <c r="B2190" s="18"/>
      <c r="C2190" s="19"/>
      <c r="D2190" s="19"/>
      <c r="O2190" s="5"/>
      <c r="P2190" s="5"/>
    </row>
    <row r="2191" spans="2:16" ht="13.2" x14ac:dyDescent="0.25">
      <c r="B2191" s="18"/>
      <c r="C2191" s="19"/>
      <c r="D2191" s="19"/>
      <c r="O2191" s="5"/>
      <c r="P2191" s="5"/>
    </row>
    <row r="2192" spans="2:16" ht="13.2" x14ac:dyDescent="0.25">
      <c r="B2192" s="18"/>
      <c r="C2192" s="19"/>
      <c r="D2192" s="19"/>
      <c r="O2192" s="5"/>
      <c r="P2192" s="5"/>
    </row>
    <row r="2193" spans="2:16" ht="13.2" x14ac:dyDescent="0.25">
      <c r="B2193" s="18"/>
      <c r="C2193" s="19"/>
      <c r="D2193" s="19"/>
      <c r="O2193" s="5"/>
      <c r="P2193" s="5"/>
    </row>
    <row r="2194" spans="2:16" ht="13.2" x14ac:dyDescent="0.25">
      <c r="B2194" s="18"/>
      <c r="C2194" s="19"/>
      <c r="D2194" s="19"/>
      <c r="O2194" s="5"/>
      <c r="P2194" s="5"/>
    </row>
    <row r="2195" spans="2:16" ht="13.2" x14ac:dyDescent="0.25">
      <c r="B2195" s="18"/>
      <c r="C2195" s="19"/>
      <c r="D2195" s="19"/>
      <c r="O2195" s="5"/>
      <c r="P2195" s="5"/>
    </row>
    <row r="2196" spans="2:16" ht="13.2" x14ac:dyDescent="0.25">
      <c r="B2196" s="18"/>
      <c r="C2196" s="19"/>
      <c r="D2196" s="19"/>
      <c r="O2196" s="5"/>
      <c r="P2196" s="5"/>
    </row>
    <row r="2197" spans="2:16" ht="13.2" x14ac:dyDescent="0.25">
      <c r="B2197" s="18"/>
      <c r="C2197" s="19"/>
      <c r="D2197" s="19"/>
      <c r="O2197" s="5"/>
      <c r="P2197" s="5"/>
    </row>
    <row r="2198" spans="2:16" ht="13.2" x14ac:dyDescent="0.25">
      <c r="B2198" s="18"/>
      <c r="C2198" s="19"/>
      <c r="D2198" s="19"/>
      <c r="O2198" s="5"/>
      <c r="P2198" s="5"/>
    </row>
    <row r="2199" spans="2:16" ht="13.2" x14ac:dyDescent="0.25">
      <c r="B2199" s="18"/>
      <c r="C2199" s="19"/>
      <c r="D2199" s="19"/>
      <c r="O2199" s="5"/>
      <c r="P2199" s="5"/>
    </row>
    <row r="2200" spans="2:16" ht="13.2" x14ac:dyDescent="0.25">
      <c r="B2200" s="18"/>
      <c r="C2200" s="19"/>
      <c r="D2200" s="19"/>
      <c r="O2200" s="5"/>
      <c r="P2200" s="5"/>
    </row>
    <row r="2201" spans="2:16" ht="13.2" x14ac:dyDescent="0.25">
      <c r="B2201" s="18"/>
      <c r="C2201" s="19"/>
      <c r="D2201" s="19"/>
      <c r="O2201" s="5"/>
      <c r="P2201" s="5"/>
    </row>
    <row r="2202" spans="2:16" ht="13.2" x14ac:dyDescent="0.25">
      <c r="B2202" s="18"/>
      <c r="C2202" s="19"/>
      <c r="D2202" s="19"/>
      <c r="O2202" s="5"/>
      <c r="P2202" s="5"/>
    </row>
    <row r="2203" spans="2:16" ht="13.2" x14ac:dyDescent="0.25">
      <c r="B2203" s="18"/>
      <c r="C2203" s="19"/>
      <c r="D2203" s="19"/>
      <c r="O2203" s="5"/>
      <c r="P2203" s="5"/>
    </row>
    <row r="2204" spans="2:16" ht="13.2" x14ac:dyDescent="0.25">
      <c r="B2204" s="18"/>
      <c r="C2204" s="19"/>
      <c r="D2204" s="19"/>
      <c r="O2204" s="5"/>
      <c r="P2204" s="5"/>
    </row>
    <row r="2205" spans="2:16" ht="13.2" x14ac:dyDescent="0.25">
      <c r="B2205" s="18"/>
      <c r="C2205" s="19"/>
      <c r="D2205" s="19"/>
      <c r="O2205" s="5"/>
      <c r="P2205" s="5"/>
    </row>
    <row r="2206" spans="2:16" ht="13.2" x14ac:dyDescent="0.25">
      <c r="B2206" s="18"/>
      <c r="C2206" s="19"/>
      <c r="D2206" s="19"/>
      <c r="O2206" s="5"/>
      <c r="P2206" s="5"/>
    </row>
    <row r="2207" spans="2:16" ht="13.2" x14ac:dyDescent="0.25">
      <c r="B2207" s="18"/>
      <c r="C2207" s="19"/>
      <c r="D2207" s="19"/>
      <c r="O2207" s="5"/>
      <c r="P2207" s="5"/>
    </row>
    <row r="2208" spans="2:16" ht="13.2" x14ac:dyDescent="0.25">
      <c r="B2208" s="18"/>
      <c r="C2208" s="19"/>
      <c r="D2208" s="19"/>
      <c r="O2208" s="5"/>
      <c r="P2208" s="5"/>
    </row>
    <row r="2209" spans="2:16" ht="13.2" x14ac:dyDescent="0.25">
      <c r="B2209" s="18"/>
      <c r="C2209" s="19"/>
      <c r="D2209" s="19"/>
      <c r="O2209" s="5"/>
      <c r="P2209" s="5"/>
    </row>
    <row r="2210" spans="2:16" ht="13.2" x14ac:dyDescent="0.25">
      <c r="B2210" s="18"/>
      <c r="C2210" s="19"/>
      <c r="D2210" s="19"/>
      <c r="O2210" s="5"/>
      <c r="P2210" s="5"/>
    </row>
    <row r="2211" spans="2:16" ht="13.2" x14ac:dyDescent="0.25">
      <c r="B2211" s="18"/>
      <c r="C2211" s="19"/>
      <c r="D2211" s="19"/>
      <c r="O2211" s="5"/>
      <c r="P2211" s="5"/>
    </row>
    <row r="2212" spans="2:16" ht="13.2" x14ac:dyDescent="0.25">
      <c r="B2212" s="18"/>
      <c r="C2212" s="19"/>
      <c r="D2212" s="19"/>
      <c r="O2212" s="5"/>
      <c r="P2212" s="5"/>
    </row>
    <row r="2213" spans="2:16" ht="13.2" x14ac:dyDescent="0.25">
      <c r="B2213" s="18"/>
      <c r="C2213" s="19"/>
      <c r="D2213" s="19"/>
      <c r="O2213" s="5"/>
      <c r="P2213" s="5"/>
    </row>
    <row r="2214" spans="2:16" ht="13.2" x14ac:dyDescent="0.25">
      <c r="B2214" s="18"/>
      <c r="C2214" s="19"/>
      <c r="D2214" s="19"/>
      <c r="O2214" s="5"/>
      <c r="P2214" s="5"/>
    </row>
    <row r="2215" spans="2:16" ht="13.2" x14ac:dyDescent="0.25">
      <c r="B2215" s="18"/>
      <c r="C2215" s="19"/>
      <c r="D2215" s="19"/>
      <c r="O2215" s="5"/>
      <c r="P2215" s="5"/>
    </row>
    <row r="2216" spans="2:16" ht="13.2" x14ac:dyDescent="0.25">
      <c r="B2216" s="18"/>
      <c r="C2216" s="19"/>
      <c r="D2216" s="19"/>
      <c r="O2216" s="5"/>
      <c r="P2216" s="5"/>
    </row>
    <row r="2217" spans="2:16" ht="13.2" x14ac:dyDescent="0.25">
      <c r="B2217" s="18"/>
      <c r="C2217" s="19"/>
      <c r="D2217" s="19"/>
      <c r="O2217" s="5"/>
      <c r="P2217" s="5"/>
    </row>
    <row r="2218" spans="2:16" ht="13.2" x14ac:dyDescent="0.25">
      <c r="B2218" s="18"/>
      <c r="C2218" s="19"/>
      <c r="D2218" s="19"/>
      <c r="O2218" s="5"/>
      <c r="P2218" s="5"/>
    </row>
    <row r="2219" spans="2:16" ht="13.2" x14ac:dyDescent="0.25">
      <c r="B2219" s="18"/>
      <c r="C2219" s="19"/>
      <c r="D2219" s="19"/>
      <c r="O2219" s="5"/>
      <c r="P2219" s="5"/>
    </row>
    <row r="2220" spans="2:16" ht="13.2" x14ac:dyDescent="0.25">
      <c r="B2220" s="18"/>
      <c r="C2220" s="19"/>
      <c r="D2220" s="19"/>
      <c r="O2220" s="5"/>
      <c r="P2220" s="5"/>
    </row>
    <row r="2221" spans="2:16" ht="13.2" x14ac:dyDescent="0.25">
      <c r="B2221" s="18"/>
      <c r="C2221" s="19"/>
      <c r="D2221" s="19"/>
      <c r="O2221" s="5"/>
      <c r="P2221" s="5"/>
    </row>
    <row r="2222" spans="2:16" ht="13.2" x14ac:dyDescent="0.25">
      <c r="B2222" s="18"/>
      <c r="C2222" s="19"/>
      <c r="D2222" s="19"/>
      <c r="O2222" s="5"/>
      <c r="P2222" s="5"/>
    </row>
    <row r="2223" spans="2:16" ht="13.2" x14ac:dyDescent="0.25">
      <c r="B2223" s="18"/>
      <c r="C2223" s="19"/>
      <c r="D2223" s="19"/>
      <c r="O2223" s="5"/>
      <c r="P2223" s="5"/>
    </row>
    <row r="2224" spans="2:16" ht="13.2" x14ac:dyDescent="0.25">
      <c r="B2224" s="18"/>
      <c r="C2224" s="19"/>
      <c r="D2224" s="19"/>
      <c r="O2224" s="5"/>
      <c r="P2224" s="5"/>
    </row>
    <row r="2225" spans="2:16" ht="13.2" x14ac:dyDescent="0.25">
      <c r="B2225" s="18"/>
      <c r="C2225" s="19"/>
      <c r="D2225" s="19"/>
      <c r="O2225" s="5"/>
      <c r="P2225" s="5"/>
    </row>
    <row r="2226" spans="2:16" ht="13.2" x14ac:dyDescent="0.25">
      <c r="B2226" s="18"/>
      <c r="C2226" s="19"/>
      <c r="D2226" s="19"/>
      <c r="O2226" s="5"/>
      <c r="P2226" s="5"/>
    </row>
    <row r="2227" spans="2:16" ht="13.2" x14ac:dyDescent="0.25">
      <c r="B2227" s="18"/>
      <c r="C2227" s="19"/>
      <c r="D2227" s="19"/>
      <c r="O2227" s="5"/>
      <c r="P2227" s="5"/>
    </row>
    <row r="2228" spans="2:16" ht="13.2" x14ac:dyDescent="0.25">
      <c r="B2228" s="18"/>
      <c r="C2228" s="19"/>
      <c r="D2228" s="19"/>
      <c r="O2228" s="5"/>
      <c r="P2228" s="5"/>
    </row>
    <row r="2229" spans="2:16" ht="13.2" x14ac:dyDescent="0.25">
      <c r="B2229" s="18"/>
      <c r="C2229" s="19"/>
      <c r="D2229" s="19"/>
      <c r="O2229" s="5"/>
      <c r="P2229" s="5"/>
    </row>
    <row r="2230" spans="2:16" ht="13.2" x14ac:dyDescent="0.25">
      <c r="B2230" s="18"/>
      <c r="C2230" s="19"/>
      <c r="D2230" s="19"/>
      <c r="O2230" s="5"/>
      <c r="P2230" s="5"/>
    </row>
    <row r="2231" spans="2:16" ht="13.2" x14ac:dyDescent="0.25">
      <c r="B2231" s="18"/>
      <c r="C2231" s="19"/>
      <c r="D2231" s="19"/>
      <c r="O2231" s="5"/>
      <c r="P2231" s="5"/>
    </row>
    <row r="2232" spans="2:16" ht="13.2" x14ac:dyDescent="0.25">
      <c r="B2232" s="18"/>
      <c r="C2232" s="19"/>
      <c r="D2232" s="19"/>
      <c r="O2232" s="5"/>
      <c r="P2232" s="5"/>
    </row>
    <row r="2233" spans="2:16" ht="13.2" x14ac:dyDescent="0.25">
      <c r="B2233" s="18"/>
      <c r="C2233" s="19"/>
      <c r="D2233" s="19"/>
      <c r="O2233" s="5"/>
      <c r="P2233" s="5"/>
    </row>
    <row r="2234" spans="2:16" ht="13.2" x14ac:dyDescent="0.25">
      <c r="B2234" s="18"/>
      <c r="C2234" s="19"/>
      <c r="D2234" s="19"/>
      <c r="O2234" s="5"/>
      <c r="P2234" s="5"/>
    </row>
    <row r="2235" spans="2:16" ht="13.2" x14ac:dyDescent="0.25">
      <c r="B2235" s="18"/>
      <c r="C2235" s="19"/>
      <c r="D2235" s="19"/>
      <c r="O2235" s="5"/>
      <c r="P2235" s="5"/>
    </row>
    <row r="2236" spans="2:16" ht="13.2" x14ac:dyDescent="0.25">
      <c r="B2236" s="18"/>
      <c r="C2236" s="19"/>
      <c r="D2236" s="19"/>
      <c r="O2236" s="5"/>
      <c r="P2236" s="5"/>
    </row>
    <row r="2237" spans="2:16" ht="13.2" x14ac:dyDescent="0.25">
      <c r="B2237" s="18"/>
      <c r="C2237" s="19"/>
      <c r="D2237" s="19"/>
      <c r="O2237" s="5"/>
      <c r="P2237" s="5"/>
    </row>
    <row r="2238" spans="2:16" ht="13.2" x14ac:dyDescent="0.25">
      <c r="B2238" s="18"/>
      <c r="C2238" s="19"/>
      <c r="D2238" s="19"/>
      <c r="O2238" s="5"/>
      <c r="P2238" s="5"/>
    </row>
    <row r="2239" spans="2:16" ht="13.2" x14ac:dyDescent="0.25">
      <c r="B2239" s="18"/>
      <c r="C2239" s="19"/>
      <c r="D2239" s="19"/>
      <c r="O2239" s="5"/>
      <c r="P2239" s="5"/>
    </row>
    <row r="2240" spans="2:16" ht="13.2" x14ac:dyDescent="0.25">
      <c r="B2240" s="18"/>
      <c r="C2240" s="19"/>
      <c r="D2240" s="19"/>
      <c r="O2240" s="5"/>
      <c r="P2240" s="5"/>
    </row>
    <row r="2241" spans="2:16" ht="13.2" x14ac:dyDescent="0.25">
      <c r="B2241" s="18"/>
      <c r="C2241" s="19"/>
      <c r="D2241" s="19"/>
      <c r="O2241" s="5"/>
      <c r="P2241" s="5"/>
    </row>
    <row r="2242" spans="2:16" ht="13.2" x14ac:dyDescent="0.25">
      <c r="B2242" s="18"/>
      <c r="C2242" s="19"/>
      <c r="D2242" s="19"/>
      <c r="O2242" s="5"/>
      <c r="P2242" s="5"/>
    </row>
    <row r="2243" spans="2:16" ht="13.2" x14ac:dyDescent="0.25">
      <c r="B2243" s="18"/>
      <c r="C2243" s="19"/>
      <c r="D2243" s="19"/>
      <c r="O2243" s="5"/>
      <c r="P2243" s="5"/>
    </row>
    <row r="2244" spans="2:16" ht="13.2" x14ac:dyDescent="0.25">
      <c r="B2244" s="18"/>
      <c r="C2244" s="19"/>
      <c r="D2244" s="19"/>
      <c r="O2244" s="5"/>
      <c r="P2244" s="5"/>
    </row>
    <row r="2245" spans="2:16" ht="13.2" x14ac:dyDescent="0.25">
      <c r="B2245" s="18"/>
      <c r="C2245" s="19"/>
      <c r="D2245" s="19"/>
      <c r="O2245" s="5"/>
      <c r="P2245" s="5"/>
    </row>
    <row r="2246" spans="2:16" ht="13.2" x14ac:dyDescent="0.25">
      <c r="B2246" s="18"/>
      <c r="C2246" s="19"/>
      <c r="D2246" s="19"/>
      <c r="O2246" s="5"/>
      <c r="P2246" s="5"/>
    </row>
    <row r="2247" spans="2:16" ht="13.2" x14ac:dyDescent="0.25">
      <c r="B2247" s="18"/>
      <c r="C2247" s="19"/>
      <c r="D2247" s="19"/>
      <c r="O2247" s="5"/>
      <c r="P2247" s="5"/>
    </row>
    <row r="2248" spans="2:16" ht="13.2" x14ac:dyDescent="0.25">
      <c r="B2248" s="18"/>
      <c r="C2248" s="19"/>
      <c r="D2248" s="19"/>
      <c r="O2248" s="5"/>
      <c r="P2248" s="5"/>
    </row>
    <row r="2249" spans="2:16" ht="13.2" x14ac:dyDescent="0.25">
      <c r="B2249" s="18"/>
      <c r="C2249" s="19"/>
      <c r="D2249" s="19"/>
      <c r="O2249" s="5"/>
      <c r="P2249" s="5"/>
    </row>
    <row r="2250" spans="2:16" ht="13.2" x14ac:dyDescent="0.25">
      <c r="B2250" s="18"/>
      <c r="C2250" s="19"/>
      <c r="D2250" s="19"/>
      <c r="O2250" s="5"/>
      <c r="P2250" s="5"/>
    </row>
    <row r="2251" spans="2:16" ht="13.2" x14ac:dyDescent="0.25">
      <c r="B2251" s="18"/>
      <c r="C2251" s="19"/>
      <c r="D2251" s="19"/>
      <c r="O2251" s="5"/>
      <c r="P2251" s="5"/>
    </row>
    <row r="2252" spans="2:16" ht="13.2" x14ac:dyDescent="0.25">
      <c r="B2252" s="18"/>
      <c r="C2252" s="19"/>
      <c r="D2252" s="19"/>
      <c r="O2252" s="5"/>
      <c r="P2252" s="5"/>
    </row>
    <row r="2253" spans="2:16" ht="13.2" x14ac:dyDescent="0.25">
      <c r="B2253" s="18"/>
      <c r="C2253" s="19"/>
      <c r="D2253" s="19"/>
      <c r="O2253" s="5"/>
      <c r="P2253" s="5"/>
    </row>
    <row r="2254" spans="2:16" ht="13.2" x14ac:dyDescent="0.25">
      <c r="B2254" s="18"/>
      <c r="C2254" s="19"/>
      <c r="D2254" s="19"/>
      <c r="O2254" s="5"/>
      <c r="P2254" s="5"/>
    </row>
    <row r="2255" spans="2:16" ht="13.2" x14ac:dyDescent="0.25">
      <c r="B2255" s="18"/>
      <c r="C2255" s="19"/>
      <c r="D2255" s="19"/>
      <c r="O2255" s="5"/>
      <c r="P2255" s="5"/>
    </row>
    <row r="2256" spans="2:16" ht="13.2" x14ac:dyDescent="0.25">
      <c r="B2256" s="18"/>
      <c r="C2256" s="19"/>
      <c r="D2256" s="19"/>
      <c r="O2256" s="5"/>
      <c r="P2256" s="5"/>
    </row>
    <row r="2257" spans="2:16" ht="13.2" x14ac:dyDescent="0.25">
      <c r="B2257" s="18"/>
      <c r="C2257" s="19"/>
      <c r="D2257" s="19"/>
      <c r="O2257" s="5"/>
      <c r="P2257" s="5"/>
    </row>
    <row r="2258" spans="2:16" ht="13.2" x14ac:dyDescent="0.25">
      <c r="B2258" s="18"/>
      <c r="C2258" s="19"/>
      <c r="D2258" s="19"/>
      <c r="O2258" s="5"/>
      <c r="P2258" s="5"/>
    </row>
    <row r="2259" spans="2:16" ht="13.2" x14ac:dyDescent="0.25">
      <c r="B2259" s="18"/>
      <c r="C2259" s="19"/>
      <c r="D2259" s="19"/>
      <c r="O2259" s="5"/>
      <c r="P2259" s="5"/>
    </row>
    <row r="2260" spans="2:16" ht="13.2" x14ac:dyDescent="0.25">
      <c r="B2260" s="18"/>
      <c r="C2260" s="19"/>
      <c r="D2260" s="19"/>
      <c r="O2260" s="5"/>
      <c r="P2260" s="5"/>
    </row>
    <row r="2261" spans="2:16" ht="13.2" x14ac:dyDescent="0.25">
      <c r="B2261" s="18"/>
      <c r="C2261" s="19"/>
      <c r="D2261" s="19"/>
      <c r="O2261" s="5"/>
      <c r="P2261" s="5"/>
    </row>
    <row r="2262" spans="2:16" ht="13.2" x14ac:dyDescent="0.25">
      <c r="B2262" s="18"/>
      <c r="C2262" s="19"/>
      <c r="D2262" s="19"/>
      <c r="O2262" s="5"/>
      <c r="P2262" s="5"/>
    </row>
    <row r="2263" spans="2:16" ht="13.2" x14ac:dyDescent="0.25">
      <c r="B2263" s="18"/>
      <c r="C2263" s="19"/>
      <c r="D2263" s="19"/>
      <c r="O2263" s="5"/>
      <c r="P2263" s="5"/>
    </row>
    <row r="2264" spans="2:16" ht="13.2" x14ac:dyDescent="0.25">
      <c r="B2264" s="18"/>
      <c r="C2264" s="19"/>
      <c r="D2264" s="19"/>
      <c r="O2264" s="5"/>
      <c r="P2264" s="5"/>
    </row>
    <row r="2265" spans="2:16" ht="13.2" x14ac:dyDescent="0.25">
      <c r="B2265" s="18"/>
      <c r="C2265" s="19"/>
      <c r="D2265" s="19"/>
      <c r="O2265" s="5"/>
      <c r="P2265" s="5"/>
    </row>
    <row r="2266" spans="2:16" ht="13.2" x14ac:dyDescent="0.25">
      <c r="B2266" s="18"/>
      <c r="C2266" s="19"/>
      <c r="D2266" s="19"/>
      <c r="O2266" s="5"/>
      <c r="P2266" s="5"/>
    </row>
    <row r="2267" spans="2:16" ht="13.2" x14ac:dyDescent="0.25">
      <c r="B2267" s="18"/>
      <c r="C2267" s="19"/>
      <c r="D2267" s="19"/>
      <c r="O2267" s="5"/>
      <c r="P2267" s="5"/>
    </row>
    <row r="2268" spans="2:16" ht="13.2" x14ac:dyDescent="0.25">
      <c r="B2268" s="18"/>
      <c r="C2268" s="19"/>
      <c r="D2268" s="19"/>
      <c r="O2268" s="5"/>
      <c r="P2268" s="5"/>
    </row>
    <row r="2269" spans="2:16" ht="13.2" x14ac:dyDescent="0.25">
      <c r="B2269" s="18"/>
      <c r="C2269" s="19"/>
      <c r="D2269" s="19"/>
      <c r="O2269" s="5"/>
      <c r="P2269" s="5"/>
    </row>
    <row r="2270" spans="2:16" ht="13.2" x14ac:dyDescent="0.25">
      <c r="B2270" s="18"/>
      <c r="C2270" s="19"/>
      <c r="D2270" s="19"/>
      <c r="O2270" s="5"/>
      <c r="P2270" s="5"/>
    </row>
    <row r="2271" spans="2:16" ht="13.2" x14ac:dyDescent="0.25">
      <c r="B2271" s="18"/>
      <c r="C2271" s="19"/>
      <c r="D2271" s="19"/>
      <c r="O2271" s="5"/>
      <c r="P2271" s="5"/>
    </row>
    <row r="2272" spans="2:16" ht="13.2" x14ac:dyDescent="0.25">
      <c r="B2272" s="18"/>
      <c r="C2272" s="19"/>
      <c r="D2272" s="19"/>
      <c r="O2272" s="5"/>
      <c r="P2272" s="5"/>
    </row>
    <row r="2273" spans="2:16" ht="13.2" x14ac:dyDescent="0.25">
      <c r="B2273" s="18"/>
      <c r="C2273" s="19"/>
      <c r="D2273" s="19"/>
      <c r="O2273" s="5"/>
      <c r="P2273" s="5"/>
    </row>
    <row r="2274" spans="2:16" ht="13.2" x14ac:dyDescent="0.25">
      <c r="B2274" s="18"/>
      <c r="C2274" s="19"/>
      <c r="D2274" s="19"/>
      <c r="O2274" s="5"/>
      <c r="P2274" s="5"/>
    </row>
    <row r="2275" spans="2:16" ht="13.2" x14ac:dyDescent="0.25">
      <c r="B2275" s="18"/>
      <c r="C2275" s="19"/>
      <c r="D2275" s="19"/>
      <c r="O2275" s="5"/>
      <c r="P2275" s="5"/>
    </row>
    <row r="2276" spans="2:16" ht="13.2" x14ac:dyDescent="0.25">
      <c r="B2276" s="18"/>
      <c r="C2276" s="19"/>
      <c r="D2276" s="19"/>
      <c r="O2276" s="5"/>
      <c r="P2276" s="5"/>
    </row>
    <row r="2277" spans="2:16" ht="13.2" x14ac:dyDescent="0.25">
      <c r="B2277" s="18"/>
      <c r="C2277" s="19"/>
      <c r="D2277" s="19"/>
      <c r="O2277" s="5"/>
      <c r="P2277" s="5"/>
    </row>
    <row r="2278" spans="2:16" ht="13.2" x14ac:dyDescent="0.25">
      <c r="B2278" s="18"/>
      <c r="C2278" s="19"/>
      <c r="D2278" s="19"/>
      <c r="O2278" s="5"/>
      <c r="P2278" s="5"/>
    </row>
    <row r="2279" spans="2:16" ht="13.2" x14ac:dyDescent="0.25">
      <c r="B2279" s="18"/>
      <c r="C2279" s="19"/>
      <c r="D2279" s="19"/>
      <c r="O2279" s="5"/>
      <c r="P2279" s="5"/>
    </row>
    <row r="2280" spans="2:16" ht="13.2" x14ac:dyDescent="0.25">
      <c r="B2280" s="18"/>
      <c r="C2280" s="19"/>
      <c r="D2280" s="19"/>
      <c r="O2280" s="5"/>
      <c r="P2280" s="5"/>
    </row>
    <row r="2281" spans="2:16" ht="13.2" x14ac:dyDescent="0.25">
      <c r="B2281" s="18"/>
      <c r="C2281" s="19"/>
      <c r="D2281" s="19"/>
      <c r="O2281" s="5"/>
      <c r="P2281" s="5"/>
    </row>
    <row r="2282" spans="2:16" ht="13.2" x14ac:dyDescent="0.25">
      <c r="B2282" s="18"/>
      <c r="C2282" s="19"/>
      <c r="D2282" s="19"/>
      <c r="O2282" s="5"/>
      <c r="P2282" s="5"/>
    </row>
    <row r="2283" spans="2:16" ht="13.2" x14ac:dyDescent="0.25">
      <c r="B2283" s="18"/>
      <c r="C2283" s="19"/>
      <c r="D2283" s="19"/>
      <c r="O2283" s="5"/>
      <c r="P2283" s="5"/>
    </row>
    <row r="2284" spans="2:16" ht="13.2" x14ac:dyDescent="0.25">
      <c r="B2284" s="18"/>
      <c r="C2284" s="19"/>
      <c r="D2284" s="19"/>
      <c r="O2284" s="5"/>
      <c r="P2284" s="5"/>
    </row>
    <row r="2285" spans="2:16" ht="13.2" x14ac:dyDescent="0.25">
      <c r="B2285" s="18"/>
      <c r="C2285" s="19"/>
      <c r="D2285" s="19"/>
      <c r="O2285" s="5"/>
      <c r="P2285" s="5"/>
    </row>
    <row r="2286" spans="2:16" ht="13.2" x14ac:dyDescent="0.25">
      <c r="B2286" s="18"/>
      <c r="C2286" s="19"/>
      <c r="D2286" s="19"/>
      <c r="O2286" s="5"/>
      <c r="P2286" s="5"/>
    </row>
    <row r="2287" spans="2:16" ht="13.2" x14ac:dyDescent="0.25">
      <c r="B2287" s="18"/>
      <c r="C2287" s="19"/>
      <c r="D2287" s="19"/>
      <c r="O2287" s="5"/>
      <c r="P2287" s="5"/>
    </row>
    <row r="2288" spans="2:16" ht="13.2" x14ac:dyDescent="0.25">
      <c r="B2288" s="18"/>
      <c r="C2288" s="19"/>
      <c r="D2288" s="19"/>
      <c r="O2288" s="5"/>
      <c r="P2288" s="5"/>
    </row>
    <row r="2289" spans="2:16" ht="13.2" x14ac:dyDescent="0.25">
      <c r="B2289" s="18"/>
      <c r="C2289" s="19"/>
      <c r="D2289" s="19"/>
      <c r="O2289" s="5"/>
      <c r="P2289" s="5"/>
    </row>
    <row r="2290" spans="2:16" ht="13.2" x14ac:dyDescent="0.25">
      <c r="B2290" s="18"/>
      <c r="C2290" s="19"/>
      <c r="D2290" s="19"/>
      <c r="O2290" s="5"/>
      <c r="P2290" s="5"/>
    </row>
    <row r="2291" spans="2:16" ht="13.2" x14ac:dyDescent="0.25">
      <c r="B2291" s="18"/>
      <c r="C2291" s="19"/>
      <c r="D2291" s="19"/>
      <c r="O2291" s="5"/>
      <c r="P2291" s="5"/>
    </row>
    <row r="2292" spans="2:16" ht="13.2" x14ac:dyDescent="0.25">
      <c r="B2292" s="18"/>
      <c r="C2292" s="19"/>
      <c r="D2292" s="19"/>
      <c r="O2292" s="5"/>
      <c r="P2292" s="5"/>
    </row>
    <row r="2293" spans="2:16" ht="13.2" x14ac:dyDescent="0.25">
      <c r="B2293" s="18"/>
      <c r="C2293" s="19"/>
      <c r="D2293" s="19"/>
      <c r="O2293" s="5"/>
      <c r="P2293" s="5"/>
    </row>
    <row r="2294" spans="2:16" ht="13.2" x14ac:dyDescent="0.25">
      <c r="B2294" s="18"/>
      <c r="C2294" s="19"/>
      <c r="D2294" s="19"/>
      <c r="O2294" s="5"/>
      <c r="P2294" s="5"/>
    </row>
    <row r="2295" spans="2:16" ht="13.2" x14ac:dyDescent="0.25">
      <c r="B2295" s="18"/>
      <c r="C2295" s="19"/>
      <c r="D2295" s="19"/>
      <c r="O2295" s="5"/>
      <c r="P2295" s="5"/>
    </row>
    <row r="2296" spans="2:16" ht="13.2" x14ac:dyDescent="0.25">
      <c r="B2296" s="18"/>
      <c r="C2296" s="19"/>
      <c r="D2296" s="19"/>
      <c r="O2296" s="5"/>
      <c r="P2296" s="5"/>
    </row>
    <row r="2297" spans="2:16" ht="13.2" x14ac:dyDescent="0.25">
      <c r="B2297" s="18"/>
      <c r="C2297" s="19"/>
      <c r="D2297" s="19"/>
      <c r="O2297" s="5"/>
      <c r="P2297" s="5"/>
    </row>
    <row r="2298" spans="2:16" ht="13.2" x14ac:dyDescent="0.25">
      <c r="B2298" s="18"/>
      <c r="C2298" s="19"/>
      <c r="D2298" s="19"/>
      <c r="O2298" s="5"/>
      <c r="P2298" s="5"/>
    </row>
    <row r="2299" spans="2:16" ht="13.2" x14ac:dyDescent="0.25">
      <c r="B2299" s="18"/>
      <c r="C2299" s="19"/>
      <c r="D2299" s="19"/>
      <c r="O2299" s="5"/>
      <c r="P2299" s="5"/>
    </row>
    <row r="2300" spans="2:16" ht="13.2" x14ac:dyDescent="0.25">
      <c r="B2300" s="18"/>
      <c r="C2300" s="19"/>
      <c r="D2300" s="19"/>
      <c r="O2300" s="5"/>
      <c r="P2300" s="5"/>
    </row>
    <row r="2301" spans="2:16" ht="13.2" x14ac:dyDescent="0.25">
      <c r="B2301" s="18"/>
      <c r="C2301" s="19"/>
      <c r="D2301" s="19"/>
      <c r="O2301" s="5"/>
      <c r="P2301" s="5"/>
    </row>
    <row r="2302" spans="2:16" ht="13.2" x14ac:dyDescent="0.25">
      <c r="B2302" s="18"/>
      <c r="C2302" s="19"/>
      <c r="D2302" s="19"/>
      <c r="O2302" s="5"/>
      <c r="P2302" s="5"/>
    </row>
    <row r="2303" spans="2:16" ht="13.2" x14ac:dyDescent="0.25">
      <c r="B2303" s="18"/>
      <c r="C2303" s="19"/>
      <c r="D2303" s="19"/>
      <c r="O2303" s="5"/>
      <c r="P2303" s="5"/>
    </row>
    <row r="2304" spans="2:16" ht="13.2" x14ac:dyDescent="0.25">
      <c r="B2304" s="18"/>
      <c r="C2304" s="19"/>
      <c r="D2304" s="19"/>
      <c r="O2304" s="5"/>
      <c r="P2304" s="5"/>
    </row>
    <row r="2305" spans="2:16" ht="13.2" x14ac:dyDescent="0.25">
      <c r="B2305" s="18"/>
      <c r="C2305" s="19"/>
      <c r="D2305" s="19"/>
      <c r="O2305" s="5"/>
      <c r="P2305" s="5"/>
    </row>
    <row r="2306" spans="2:16" ht="13.2" x14ac:dyDescent="0.25">
      <c r="B2306" s="18"/>
      <c r="C2306" s="19"/>
      <c r="D2306" s="19"/>
      <c r="O2306" s="5"/>
      <c r="P2306" s="5"/>
    </row>
    <row r="2307" spans="2:16" ht="13.2" x14ac:dyDescent="0.25">
      <c r="B2307" s="18"/>
      <c r="C2307" s="19"/>
      <c r="D2307" s="19"/>
      <c r="O2307" s="5"/>
      <c r="P2307" s="5"/>
    </row>
    <row r="2308" spans="2:16" ht="13.2" x14ac:dyDescent="0.25">
      <c r="B2308" s="18"/>
      <c r="C2308" s="19"/>
      <c r="D2308" s="19"/>
      <c r="O2308" s="5"/>
      <c r="P2308" s="5"/>
    </row>
    <row r="2309" spans="2:16" ht="13.2" x14ac:dyDescent="0.25">
      <c r="B2309" s="18"/>
      <c r="C2309" s="19"/>
      <c r="D2309" s="19"/>
      <c r="O2309" s="5"/>
      <c r="P2309" s="5"/>
    </row>
    <row r="2310" spans="2:16" ht="13.2" x14ac:dyDescent="0.25">
      <c r="B2310" s="18"/>
      <c r="C2310" s="19"/>
      <c r="D2310" s="19"/>
      <c r="O2310" s="5"/>
      <c r="P2310" s="5"/>
    </row>
    <row r="2311" spans="2:16" ht="13.2" x14ac:dyDescent="0.25">
      <c r="B2311" s="18"/>
      <c r="C2311" s="19"/>
      <c r="D2311" s="19"/>
      <c r="O2311" s="5"/>
      <c r="P2311" s="5"/>
    </row>
    <row r="2312" spans="2:16" ht="13.2" x14ac:dyDescent="0.25">
      <c r="B2312" s="18"/>
      <c r="C2312" s="19"/>
      <c r="D2312" s="19"/>
      <c r="O2312" s="5"/>
      <c r="P2312" s="5"/>
    </row>
    <row r="2313" spans="2:16" ht="13.2" x14ac:dyDescent="0.25">
      <c r="B2313" s="18"/>
      <c r="C2313" s="19"/>
      <c r="D2313" s="19"/>
      <c r="O2313" s="5"/>
      <c r="P2313" s="5"/>
    </row>
    <row r="2314" spans="2:16" ht="13.2" x14ac:dyDescent="0.25">
      <c r="B2314" s="18"/>
      <c r="C2314" s="19"/>
      <c r="D2314" s="19"/>
      <c r="O2314" s="5"/>
      <c r="P2314" s="5"/>
    </row>
    <row r="2315" spans="2:16" ht="13.2" x14ac:dyDescent="0.25">
      <c r="B2315" s="18"/>
      <c r="C2315" s="19"/>
      <c r="D2315" s="19"/>
      <c r="O2315" s="5"/>
      <c r="P2315" s="5"/>
    </row>
    <row r="2316" spans="2:16" ht="13.2" x14ac:dyDescent="0.25">
      <c r="B2316" s="18"/>
      <c r="C2316" s="19"/>
      <c r="D2316" s="19"/>
      <c r="O2316" s="5"/>
      <c r="P2316" s="5"/>
    </row>
    <row r="2317" spans="2:16" ht="13.2" x14ac:dyDescent="0.25">
      <c r="B2317" s="18"/>
      <c r="C2317" s="19"/>
      <c r="D2317" s="19"/>
      <c r="O2317" s="5"/>
      <c r="P2317" s="5"/>
    </row>
    <row r="2318" spans="2:16" ht="13.2" x14ac:dyDescent="0.25">
      <c r="B2318" s="18"/>
      <c r="C2318" s="19"/>
      <c r="D2318" s="19"/>
      <c r="O2318" s="5"/>
      <c r="P2318" s="5"/>
    </row>
    <row r="2319" spans="2:16" ht="13.2" x14ac:dyDescent="0.25">
      <c r="B2319" s="18"/>
      <c r="C2319" s="19"/>
      <c r="D2319" s="19"/>
      <c r="O2319" s="5"/>
      <c r="P2319" s="5"/>
    </row>
    <row r="2320" spans="2:16" ht="13.2" x14ac:dyDescent="0.25">
      <c r="B2320" s="18"/>
      <c r="C2320" s="19"/>
      <c r="D2320" s="19"/>
      <c r="O2320" s="5"/>
      <c r="P2320" s="5"/>
    </row>
    <row r="2321" spans="2:16" ht="13.2" x14ac:dyDescent="0.25">
      <c r="B2321" s="18"/>
      <c r="C2321" s="19"/>
      <c r="D2321" s="19"/>
      <c r="O2321" s="5"/>
      <c r="P2321" s="5"/>
    </row>
    <row r="2322" spans="2:16" ht="13.2" x14ac:dyDescent="0.25">
      <c r="B2322" s="18"/>
      <c r="C2322" s="19"/>
      <c r="D2322" s="19"/>
      <c r="O2322" s="5"/>
      <c r="P2322" s="5"/>
    </row>
    <row r="2323" spans="2:16" ht="13.2" x14ac:dyDescent="0.25">
      <c r="B2323" s="18"/>
      <c r="C2323" s="19"/>
      <c r="D2323" s="19"/>
      <c r="O2323" s="5"/>
      <c r="P2323" s="5"/>
    </row>
    <row r="2324" spans="2:16" ht="13.2" x14ac:dyDescent="0.25">
      <c r="B2324" s="18"/>
      <c r="C2324" s="19"/>
      <c r="D2324" s="19"/>
      <c r="O2324" s="5"/>
      <c r="P2324" s="5"/>
    </row>
    <row r="2325" spans="2:16" ht="13.2" x14ac:dyDescent="0.25">
      <c r="B2325" s="18"/>
      <c r="C2325" s="19"/>
      <c r="D2325" s="19"/>
      <c r="O2325" s="5"/>
      <c r="P2325" s="5"/>
    </row>
    <row r="2326" spans="2:16" ht="13.2" x14ac:dyDescent="0.25">
      <c r="B2326" s="18"/>
      <c r="C2326" s="19"/>
      <c r="D2326" s="19"/>
      <c r="O2326" s="5"/>
      <c r="P2326" s="5"/>
    </row>
    <row r="2327" spans="2:16" ht="13.2" x14ac:dyDescent="0.25">
      <c r="B2327" s="18"/>
      <c r="C2327" s="19"/>
      <c r="D2327" s="19"/>
      <c r="O2327" s="5"/>
      <c r="P2327" s="5"/>
    </row>
    <row r="2328" spans="2:16" ht="13.2" x14ac:dyDescent="0.25">
      <c r="B2328" s="18"/>
      <c r="C2328" s="19"/>
      <c r="D2328" s="19"/>
      <c r="O2328" s="5"/>
      <c r="P2328" s="5"/>
    </row>
    <row r="2329" spans="2:16" ht="13.2" x14ac:dyDescent="0.25">
      <c r="B2329" s="18"/>
      <c r="C2329" s="19"/>
      <c r="D2329" s="19"/>
      <c r="O2329" s="5"/>
      <c r="P2329" s="5"/>
    </row>
    <row r="2330" spans="2:16" ht="13.2" x14ac:dyDescent="0.25">
      <c r="B2330" s="18"/>
      <c r="C2330" s="19"/>
      <c r="D2330" s="19"/>
      <c r="O2330" s="5"/>
      <c r="P2330" s="5"/>
    </row>
    <row r="2331" spans="2:16" ht="13.2" x14ac:dyDescent="0.25">
      <c r="B2331" s="18"/>
      <c r="C2331" s="19"/>
      <c r="D2331" s="19"/>
      <c r="O2331" s="5"/>
      <c r="P2331" s="5"/>
    </row>
    <row r="2332" spans="2:16" ht="13.2" x14ac:dyDescent="0.25">
      <c r="B2332" s="18"/>
      <c r="C2332" s="19"/>
      <c r="D2332" s="19"/>
      <c r="O2332" s="5"/>
      <c r="P2332" s="5"/>
    </row>
    <row r="2333" spans="2:16" ht="13.2" x14ac:dyDescent="0.25">
      <c r="B2333" s="18"/>
      <c r="C2333" s="19"/>
      <c r="D2333" s="19"/>
      <c r="O2333" s="5"/>
      <c r="P2333" s="5"/>
    </row>
    <row r="2334" spans="2:16" ht="13.2" x14ac:dyDescent="0.25">
      <c r="B2334" s="18"/>
      <c r="C2334" s="19"/>
      <c r="D2334" s="19"/>
      <c r="O2334" s="5"/>
      <c r="P2334" s="5"/>
    </row>
    <row r="2335" spans="2:16" ht="13.2" x14ac:dyDescent="0.25">
      <c r="B2335" s="18"/>
      <c r="C2335" s="19"/>
      <c r="D2335" s="19"/>
      <c r="O2335" s="5"/>
      <c r="P2335" s="5"/>
    </row>
    <row r="2336" spans="2:16" ht="13.2" x14ac:dyDescent="0.25">
      <c r="B2336" s="18"/>
      <c r="C2336" s="19"/>
      <c r="D2336" s="19"/>
      <c r="O2336" s="5"/>
      <c r="P2336" s="5"/>
    </row>
    <row r="2337" spans="2:16" ht="13.2" x14ac:dyDescent="0.25">
      <c r="B2337" s="18"/>
      <c r="C2337" s="19"/>
      <c r="D2337" s="19"/>
      <c r="O2337" s="5"/>
      <c r="P2337" s="5"/>
    </row>
    <row r="2338" spans="2:16" ht="13.2" x14ac:dyDescent="0.25">
      <c r="B2338" s="18"/>
      <c r="C2338" s="19"/>
      <c r="D2338" s="19"/>
      <c r="O2338" s="5"/>
      <c r="P2338" s="5"/>
    </row>
    <row r="2339" spans="2:16" ht="13.2" x14ac:dyDescent="0.25">
      <c r="B2339" s="18"/>
      <c r="C2339" s="19"/>
      <c r="D2339" s="19"/>
      <c r="O2339" s="5"/>
      <c r="P2339" s="5"/>
    </row>
    <row r="2340" spans="2:16" ht="13.2" x14ac:dyDescent="0.25">
      <c r="B2340" s="18"/>
      <c r="C2340" s="19"/>
      <c r="D2340" s="19"/>
      <c r="O2340" s="5"/>
      <c r="P2340" s="5"/>
    </row>
    <row r="2341" spans="2:16" ht="13.2" x14ac:dyDescent="0.25">
      <c r="B2341" s="18"/>
      <c r="C2341" s="19"/>
      <c r="D2341" s="19"/>
      <c r="O2341" s="5"/>
      <c r="P2341" s="5"/>
    </row>
    <row r="2342" spans="2:16" ht="13.2" x14ac:dyDescent="0.25">
      <c r="B2342" s="18"/>
      <c r="C2342" s="19"/>
      <c r="D2342" s="19"/>
      <c r="O2342" s="5"/>
      <c r="P2342" s="5"/>
    </row>
    <row r="2343" spans="2:16" ht="13.2" x14ac:dyDescent="0.25">
      <c r="B2343" s="18"/>
      <c r="C2343" s="19"/>
      <c r="D2343" s="19"/>
      <c r="O2343" s="5"/>
      <c r="P2343" s="5"/>
    </row>
    <row r="2344" spans="2:16" ht="13.2" x14ac:dyDescent="0.25">
      <c r="B2344" s="18"/>
      <c r="C2344" s="19"/>
      <c r="D2344" s="19"/>
      <c r="O2344" s="5"/>
      <c r="P2344" s="5"/>
    </row>
    <row r="2345" spans="2:16" ht="13.2" x14ac:dyDescent="0.25">
      <c r="B2345" s="18"/>
      <c r="C2345" s="19"/>
      <c r="D2345" s="19"/>
      <c r="O2345" s="5"/>
      <c r="P2345" s="5"/>
    </row>
    <row r="2346" spans="2:16" ht="13.2" x14ac:dyDescent="0.25">
      <c r="B2346" s="18"/>
      <c r="C2346" s="19"/>
      <c r="D2346" s="19"/>
      <c r="O2346" s="5"/>
      <c r="P2346" s="5"/>
    </row>
    <row r="2347" spans="2:16" ht="13.2" x14ac:dyDescent="0.25">
      <c r="B2347" s="18"/>
      <c r="C2347" s="19"/>
      <c r="D2347" s="19"/>
      <c r="O2347" s="5"/>
      <c r="P2347" s="5"/>
    </row>
    <row r="2348" spans="2:16" ht="13.2" x14ac:dyDescent="0.25">
      <c r="B2348" s="18"/>
      <c r="C2348" s="19"/>
      <c r="D2348" s="19"/>
      <c r="O2348" s="5"/>
      <c r="P2348" s="5"/>
    </row>
    <row r="2349" spans="2:16" ht="13.2" x14ac:dyDescent="0.25">
      <c r="B2349" s="18"/>
      <c r="C2349" s="19"/>
      <c r="D2349" s="19"/>
      <c r="O2349" s="5"/>
      <c r="P2349" s="5"/>
    </row>
    <row r="2350" spans="2:16" ht="13.2" x14ac:dyDescent="0.25">
      <c r="B2350" s="18"/>
      <c r="C2350" s="19"/>
      <c r="D2350" s="19"/>
      <c r="O2350" s="5"/>
      <c r="P2350" s="5"/>
    </row>
    <row r="2351" spans="2:16" ht="13.2" x14ac:dyDescent="0.25">
      <c r="B2351" s="18"/>
      <c r="C2351" s="19"/>
      <c r="D2351" s="19"/>
      <c r="O2351" s="5"/>
      <c r="P2351" s="5"/>
    </row>
    <row r="2352" spans="2:16" ht="13.2" x14ac:dyDescent="0.25">
      <c r="B2352" s="18"/>
      <c r="C2352" s="19"/>
      <c r="D2352" s="19"/>
      <c r="O2352" s="5"/>
      <c r="P2352" s="5"/>
    </row>
    <row r="2353" spans="2:16" ht="13.2" x14ac:dyDescent="0.25">
      <c r="B2353" s="18"/>
      <c r="C2353" s="19"/>
      <c r="D2353" s="19"/>
      <c r="O2353" s="5"/>
      <c r="P2353" s="5"/>
    </row>
    <row r="2354" spans="2:16" ht="13.2" x14ac:dyDescent="0.25">
      <c r="B2354" s="18"/>
      <c r="C2354" s="19"/>
      <c r="D2354" s="19"/>
      <c r="O2354" s="5"/>
      <c r="P2354" s="5"/>
    </row>
    <row r="2355" spans="2:16" ht="13.2" x14ac:dyDescent="0.25">
      <c r="B2355" s="18"/>
      <c r="C2355" s="19"/>
      <c r="D2355" s="19"/>
      <c r="O2355" s="5"/>
      <c r="P2355" s="5"/>
    </row>
    <row r="2356" spans="2:16" ht="13.2" x14ac:dyDescent="0.25">
      <c r="B2356" s="18"/>
      <c r="C2356" s="19"/>
      <c r="D2356" s="19"/>
      <c r="O2356" s="5"/>
      <c r="P2356" s="5"/>
    </row>
    <row r="2357" spans="2:16" ht="13.2" x14ac:dyDescent="0.25">
      <c r="B2357" s="18"/>
      <c r="C2357" s="19"/>
      <c r="D2357" s="19"/>
      <c r="O2357" s="5"/>
      <c r="P2357" s="5"/>
    </row>
    <row r="2358" spans="2:16" ht="13.2" x14ac:dyDescent="0.25">
      <c r="B2358" s="18"/>
      <c r="C2358" s="19"/>
      <c r="D2358" s="19"/>
      <c r="O2358" s="5"/>
      <c r="P2358" s="5"/>
    </row>
    <row r="2359" spans="2:16" ht="13.2" x14ac:dyDescent="0.25">
      <c r="B2359" s="18"/>
      <c r="C2359" s="19"/>
      <c r="D2359" s="19"/>
      <c r="O2359" s="5"/>
      <c r="P2359" s="5"/>
    </row>
    <row r="2360" spans="2:16" ht="13.2" x14ac:dyDescent="0.25">
      <c r="B2360" s="18"/>
      <c r="C2360" s="19"/>
      <c r="D2360" s="19"/>
      <c r="O2360" s="5"/>
      <c r="P2360" s="5"/>
    </row>
    <row r="2361" spans="2:16" ht="13.2" x14ac:dyDescent="0.25">
      <c r="B2361" s="18"/>
      <c r="C2361" s="19"/>
      <c r="D2361" s="19"/>
      <c r="O2361" s="5"/>
      <c r="P2361" s="5"/>
    </row>
    <row r="2362" spans="2:16" ht="13.2" x14ac:dyDescent="0.25">
      <c r="B2362" s="18"/>
      <c r="C2362" s="19"/>
      <c r="D2362" s="19"/>
      <c r="O2362" s="5"/>
      <c r="P2362" s="5"/>
    </row>
    <row r="2363" spans="2:16" ht="13.2" x14ac:dyDescent="0.25">
      <c r="B2363" s="18"/>
      <c r="C2363" s="19"/>
      <c r="D2363" s="19"/>
      <c r="O2363" s="5"/>
      <c r="P2363" s="5"/>
    </row>
    <row r="2364" spans="2:16" ht="13.2" x14ac:dyDescent="0.25">
      <c r="B2364" s="18"/>
      <c r="C2364" s="19"/>
      <c r="D2364" s="19"/>
      <c r="O2364" s="5"/>
      <c r="P2364" s="5"/>
    </row>
    <row r="2365" spans="2:16" ht="13.2" x14ac:dyDescent="0.25">
      <c r="B2365" s="18"/>
      <c r="C2365" s="19"/>
      <c r="D2365" s="19"/>
      <c r="O2365" s="5"/>
      <c r="P2365" s="5"/>
    </row>
    <row r="2366" spans="2:16" ht="13.2" x14ac:dyDescent="0.25">
      <c r="B2366" s="18"/>
      <c r="C2366" s="19"/>
      <c r="D2366" s="19"/>
      <c r="O2366" s="5"/>
      <c r="P2366" s="5"/>
    </row>
    <row r="2367" spans="2:16" ht="13.2" x14ac:dyDescent="0.25">
      <c r="B2367" s="18"/>
      <c r="C2367" s="19"/>
      <c r="D2367" s="19"/>
      <c r="O2367" s="5"/>
      <c r="P2367" s="5"/>
    </row>
    <row r="2368" spans="2:16" ht="13.2" x14ac:dyDescent="0.25">
      <c r="B2368" s="18"/>
      <c r="C2368" s="19"/>
      <c r="D2368" s="19"/>
      <c r="O2368" s="5"/>
      <c r="P2368" s="5"/>
    </row>
    <row r="2369" spans="2:16" ht="13.2" x14ac:dyDescent="0.25">
      <c r="B2369" s="18"/>
      <c r="C2369" s="19"/>
      <c r="D2369" s="19"/>
      <c r="O2369" s="5"/>
      <c r="P2369" s="5"/>
    </row>
    <row r="2370" spans="2:16" ht="13.2" x14ac:dyDescent="0.25">
      <c r="B2370" s="18"/>
      <c r="C2370" s="19"/>
      <c r="D2370" s="19"/>
      <c r="O2370" s="5"/>
      <c r="P2370" s="5"/>
    </row>
    <row r="2371" spans="2:16" ht="13.2" x14ac:dyDescent="0.25">
      <c r="B2371" s="18"/>
      <c r="C2371" s="19"/>
      <c r="D2371" s="19"/>
      <c r="O2371" s="5"/>
      <c r="P2371" s="5"/>
    </row>
    <row r="2372" spans="2:16" ht="13.2" x14ac:dyDescent="0.25">
      <c r="B2372" s="18"/>
      <c r="C2372" s="19"/>
      <c r="D2372" s="19"/>
      <c r="O2372" s="5"/>
      <c r="P2372" s="5"/>
    </row>
    <row r="2373" spans="2:16" ht="13.2" x14ac:dyDescent="0.25">
      <c r="B2373" s="18"/>
      <c r="C2373" s="19"/>
      <c r="D2373" s="19"/>
      <c r="O2373" s="5"/>
      <c r="P2373" s="5"/>
    </row>
    <row r="2374" spans="2:16" ht="13.2" x14ac:dyDescent="0.25">
      <c r="B2374" s="18"/>
      <c r="C2374" s="19"/>
      <c r="D2374" s="19"/>
      <c r="O2374" s="5"/>
      <c r="P2374" s="5"/>
    </row>
    <row r="2375" spans="2:16" ht="13.2" x14ac:dyDescent="0.25">
      <c r="B2375" s="18"/>
      <c r="C2375" s="19"/>
      <c r="D2375" s="19"/>
      <c r="O2375" s="5"/>
      <c r="P2375" s="5"/>
    </row>
    <row r="2376" spans="2:16" ht="13.2" x14ac:dyDescent="0.25">
      <c r="B2376" s="18"/>
      <c r="C2376" s="19"/>
      <c r="D2376" s="19"/>
      <c r="O2376" s="5"/>
      <c r="P2376" s="5"/>
    </row>
    <row r="2377" spans="2:16" ht="13.2" x14ac:dyDescent="0.25">
      <c r="B2377" s="18"/>
      <c r="C2377" s="19"/>
      <c r="D2377" s="19"/>
      <c r="O2377" s="5"/>
      <c r="P2377" s="5"/>
    </row>
    <row r="2378" spans="2:16" ht="13.2" x14ac:dyDescent="0.25">
      <c r="B2378" s="18"/>
      <c r="C2378" s="19"/>
      <c r="D2378" s="19"/>
      <c r="O2378" s="5"/>
      <c r="P2378" s="5"/>
    </row>
    <row r="2379" spans="2:16" ht="13.2" x14ac:dyDescent="0.25">
      <c r="B2379" s="18"/>
      <c r="C2379" s="19"/>
      <c r="D2379" s="19"/>
      <c r="O2379" s="5"/>
      <c r="P2379" s="5"/>
    </row>
    <row r="2380" spans="2:16" ht="13.2" x14ac:dyDescent="0.25">
      <c r="B2380" s="18"/>
      <c r="C2380" s="19"/>
      <c r="D2380" s="19"/>
      <c r="O2380" s="5"/>
      <c r="P2380" s="5"/>
    </row>
    <row r="2381" spans="2:16" ht="13.2" x14ac:dyDescent="0.25">
      <c r="B2381" s="18"/>
      <c r="C2381" s="19"/>
      <c r="D2381" s="19"/>
      <c r="O2381" s="5"/>
      <c r="P2381" s="5"/>
    </row>
    <row r="2382" spans="2:16" ht="13.2" x14ac:dyDescent="0.25">
      <c r="B2382" s="18"/>
      <c r="C2382" s="19"/>
      <c r="D2382" s="19"/>
      <c r="O2382" s="5"/>
      <c r="P2382" s="5"/>
    </row>
    <row r="2383" spans="2:16" ht="13.2" x14ac:dyDescent="0.25">
      <c r="B2383" s="18"/>
      <c r="C2383" s="19"/>
      <c r="D2383" s="19"/>
      <c r="O2383" s="5"/>
      <c r="P2383" s="5"/>
    </row>
    <row r="2384" spans="2:16" ht="13.2" x14ac:dyDescent="0.25">
      <c r="B2384" s="18"/>
      <c r="C2384" s="19"/>
      <c r="D2384" s="19"/>
      <c r="O2384" s="5"/>
      <c r="P2384" s="5"/>
    </row>
    <row r="2385" spans="2:16" ht="13.2" x14ac:dyDescent="0.25">
      <c r="B2385" s="18"/>
      <c r="C2385" s="19"/>
      <c r="D2385" s="19"/>
      <c r="O2385" s="5"/>
      <c r="P2385" s="5"/>
    </row>
    <row r="2386" spans="2:16" ht="13.2" x14ac:dyDescent="0.25">
      <c r="B2386" s="18"/>
      <c r="C2386" s="19"/>
      <c r="D2386" s="19"/>
      <c r="O2386" s="5"/>
      <c r="P2386" s="5"/>
    </row>
    <row r="2387" spans="2:16" ht="13.2" x14ac:dyDescent="0.25">
      <c r="B2387" s="18"/>
      <c r="C2387" s="19"/>
      <c r="D2387" s="19"/>
      <c r="O2387" s="5"/>
      <c r="P2387" s="5"/>
    </row>
    <row r="2388" spans="2:16" ht="13.2" x14ac:dyDescent="0.25">
      <c r="B2388" s="18"/>
      <c r="C2388" s="19"/>
      <c r="D2388" s="19"/>
      <c r="O2388" s="5"/>
      <c r="P2388" s="5"/>
    </row>
    <row r="2389" spans="2:16" ht="13.2" x14ac:dyDescent="0.25">
      <c r="B2389" s="18"/>
      <c r="C2389" s="19"/>
      <c r="D2389" s="19"/>
      <c r="O2389" s="5"/>
      <c r="P2389" s="5"/>
    </row>
    <row r="2390" spans="2:16" ht="13.2" x14ac:dyDescent="0.25">
      <c r="B2390" s="18"/>
      <c r="C2390" s="19"/>
      <c r="D2390" s="19"/>
      <c r="O2390" s="5"/>
      <c r="P2390" s="5"/>
    </row>
    <row r="2391" spans="2:16" ht="13.2" x14ac:dyDescent="0.25">
      <c r="B2391" s="18"/>
      <c r="C2391" s="19"/>
      <c r="D2391" s="19"/>
      <c r="O2391" s="5"/>
      <c r="P2391" s="5"/>
    </row>
    <row r="2392" spans="2:16" ht="13.2" x14ac:dyDescent="0.25">
      <c r="B2392" s="18"/>
      <c r="C2392" s="19"/>
      <c r="D2392" s="19"/>
      <c r="O2392" s="5"/>
      <c r="P2392" s="5"/>
    </row>
    <row r="2393" spans="2:16" ht="13.2" x14ac:dyDescent="0.25">
      <c r="B2393" s="18"/>
      <c r="C2393" s="19"/>
      <c r="D2393" s="19"/>
      <c r="O2393" s="5"/>
      <c r="P2393" s="5"/>
    </row>
    <row r="2394" spans="2:16" ht="13.2" x14ac:dyDescent="0.25">
      <c r="B2394" s="18"/>
      <c r="C2394" s="19"/>
      <c r="D2394" s="19"/>
      <c r="O2394" s="5"/>
      <c r="P2394" s="5"/>
    </row>
    <row r="2395" spans="2:16" ht="13.2" x14ac:dyDescent="0.25">
      <c r="B2395" s="18"/>
      <c r="C2395" s="19"/>
      <c r="D2395" s="19"/>
      <c r="O2395" s="5"/>
      <c r="P2395" s="5"/>
    </row>
    <row r="2396" spans="2:16" ht="13.2" x14ac:dyDescent="0.25">
      <c r="B2396" s="18"/>
      <c r="C2396" s="19"/>
      <c r="D2396" s="19"/>
      <c r="O2396" s="5"/>
      <c r="P2396" s="5"/>
    </row>
    <row r="2397" spans="2:16" ht="13.2" x14ac:dyDescent="0.25">
      <c r="B2397" s="18"/>
      <c r="C2397" s="19"/>
      <c r="D2397" s="19"/>
      <c r="O2397" s="5"/>
      <c r="P2397" s="5"/>
    </row>
    <row r="2398" spans="2:16" ht="13.2" x14ac:dyDescent="0.25">
      <c r="B2398" s="18"/>
      <c r="C2398" s="19"/>
      <c r="D2398" s="19"/>
      <c r="O2398" s="5"/>
      <c r="P2398" s="5"/>
    </row>
    <row r="2399" spans="2:16" ht="13.2" x14ac:dyDescent="0.25">
      <c r="B2399" s="18"/>
      <c r="C2399" s="19"/>
      <c r="D2399" s="19"/>
      <c r="O2399" s="5"/>
      <c r="P2399" s="5"/>
    </row>
    <row r="2400" spans="2:16" ht="13.2" x14ac:dyDescent="0.25">
      <c r="B2400" s="18"/>
      <c r="C2400" s="19"/>
      <c r="D2400" s="19"/>
      <c r="O2400" s="5"/>
      <c r="P2400" s="5"/>
    </row>
    <row r="2401" spans="2:16" ht="13.2" x14ac:dyDescent="0.25">
      <c r="B2401" s="18"/>
      <c r="C2401" s="19"/>
      <c r="D2401" s="19"/>
      <c r="O2401" s="5"/>
      <c r="P2401" s="5"/>
    </row>
    <row r="2402" spans="2:16" ht="13.2" x14ac:dyDescent="0.25">
      <c r="B2402" s="18"/>
      <c r="C2402" s="19"/>
      <c r="D2402" s="19"/>
      <c r="O2402" s="5"/>
      <c r="P2402" s="5"/>
    </row>
    <row r="2403" spans="2:16" ht="13.2" x14ac:dyDescent="0.25">
      <c r="B2403" s="18"/>
      <c r="C2403" s="19"/>
      <c r="D2403" s="19"/>
      <c r="O2403" s="5"/>
      <c r="P2403" s="5"/>
    </row>
    <row r="2404" spans="2:16" ht="13.2" x14ac:dyDescent="0.25">
      <c r="B2404" s="18"/>
      <c r="C2404" s="19"/>
      <c r="D2404" s="19"/>
      <c r="O2404" s="5"/>
      <c r="P2404" s="5"/>
    </row>
    <row r="2405" spans="2:16" ht="13.2" x14ac:dyDescent="0.25">
      <c r="B2405" s="18"/>
      <c r="C2405" s="19"/>
      <c r="D2405" s="19"/>
      <c r="O2405" s="5"/>
      <c r="P2405" s="5"/>
    </row>
    <row r="2406" spans="2:16" ht="13.2" x14ac:dyDescent="0.25">
      <c r="B2406" s="18"/>
      <c r="C2406" s="19"/>
      <c r="D2406" s="19"/>
      <c r="O2406" s="5"/>
      <c r="P2406" s="5"/>
    </row>
    <row r="2407" spans="2:16" ht="13.2" x14ac:dyDescent="0.25">
      <c r="B2407" s="18"/>
      <c r="C2407" s="19"/>
      <c r="D2407" s="19"/>
      <c r="O2407" s="5"/>
      <c r="P2407" s="5"/>
    </row>
    <row r="2408" spans="2:16" ht="13.2" x14ac:dyDescent="0.25">
      <c r="B2408" s="18"/>
      <c r="C2408" s="19"/>
      <c r="D2408" s="19"/>
      <c r="O2408" s="5"/>
      <c r="P2408" s="5"/>
    </row>
    <row r="2409" spans="2:16" ht="13.2" x14ac:dyDescent="0.25">
      <c r="B2409" s="18"/>
      <c r="C2409" s="19"/>
      <c r="D2409" s="19"/>
      <c r="O2409" s="5"/>
      <c r="P2409" s="5"/>
    </row>
    <row r="2410" spans="2:16" ht="13.2" x14ac:dyDescent="0.25">
      <c r="B2410" s="18"/>
      <c r="C2410" s="19"/>
      <c r="D2410" s="19"/>
      <c r="O2410" s="5"/>
      <c r="P2410" s="5"/>
    </row>
    <row r="2411" spans="2:16" ht="13.2" x14ac:dyDescent="0.25">
      <c r="B2411" s="18"/>
      <c r="C2411" s="19"/>
      <c r="D2411" s="19"/>
      <c r="O2411" s="5"/>
      <c r="P2411" s="5"/>
    </row>
    <row r="2412" spans="2:16" ht="13.2" x14ac:dyDescent="0.25">
      <c r="B2412" s="18"/>
      <c r="C2412" s="19"/>
      <c r="D2412" s="19"/>
      <c r="O2412" s="5"/>
      <c r="P2412" s="5"/>
    </row>
    <row r="2413" spans="2:16" ht="13.2" x14ac:dyDescent="0.25">
      <c r="B2413" s="18"/>
      <c r="C2413" s="19"/>
      <c r="D2413" s="19"/>
      <c r="O2413" s="5"/>
      <c r="P2413" s="5"/>
    </row>
    <row r="2414" spans="2:16" ht="13.2" x14ac:dyDescent="0.25">
      <c r="B2414" s="18"/>
      <c r="C2414" s="19"/>
      <c r="D2414" s="19"/>
      <c r="O2414" s="5"/>
      <c r="P2414" s="5"/>
    </row>
    <row r="2415" spans="2:16" ht="13.2" x14ac:dyDescent="0.25">
      <c r="B2415" s="18"/>
      <c r="C2415" s="19"/>
      <c r="D2415" s="19"/>
      <c r="O2415" s="5"/>
      <c r="P2415" s="5"/>
    </row>
    <row r="2416" spans="2:16" ht="13.2" x14ac:dyDescent="0.25">
      <c r="B2416" s="18"/>
      <c r="C2416" s="19"/>
      <c r="D2416" s="19"/>
      <c r="O2416" s="5"/>
      <c r="P2416" s="5"/>
    </row>
    <row r="2417" spans="2:16" ht="13.2" x14ac:dyDescent="0.25">
      <c r="B2417" s="18"/>
      <c r="C2417" s="19"/>
      <c r="D2417" s="19"/>
      <c r="O2417" s="5"/>
      <c r="P2417" s="5"/>
    </row>
    <row r="2418" spans="2:16" ht="13.2" x14ac:dyDescent="0.25">
      <c r="B2418" s="18"/>
      <c r="C2418" s="19"/>
      <c r="D2418" s="19"/>
      <c r="O2418" s="5"/>
      <c r="P2418" s="5"/>
    </row>
    <row r="2419" spans="2:16" ht="13.2" x14ac:dyDescent="0.25">
      <c r="B2419" s="18"/>
      <c r="C2419" s="19"/>
      <c r="D2419" s="19"/>
      <c r="O2419" s="5"/>
      <c r="P2419" s="5"/>
    </row>
    <row r="2420" spans="2:16" ht="13.2" x14ac:dyDescent="0.25">
      <c r="B2420" s="18"/>
      <c r="C2420" s="19"/>
      <c r="D2420" s="19"/>
      <c r="O2420" s="5"/>
      <c r="P2420" s="5"/>
    </row>
    <row r="2421" spans="2:16" ht="13.2" x14ac:dyDescent="0.25">
      <c r="B2421" s="18"/>
      <c r="C2421" s="19"/>
      <c r="D2421" s="19"/>
      <c r="O2421" s="5"/>
      <c r="P2421" s="5"/>
    </row>
    <row r="2422" spans="2:16" ht="13.2" x14ac:dyDescent="0.25">
      <c r="B2422" s="18"/>
      <c r="C2422" s="19"/>
      <c r="D2422" s="19"/>
      <c r="O2422" s="5"/>
      <c r="P2422" s="5"/>
    </row>
    <row r="2423" spans="2:16" ht="13.2" x14ac:dyDescent="0.25">
      <c r="B2423" s="18"/>
      <c r="C2423" s="19"/>
      <c r="D2423" s="19"/>
      <c r="O2423" s="5"/>
      <c r="P2423" s="5"/>
    </row>
    <row r="2424" spans="2:16" ht="13.2" x14ac:dyDescent="0.25">
      <c r="B2424" s="18"/>
      <c r="C2424" s="19"/>
      <c r="D2424" s="19"/>
      <c r="O2424" s="5"/>
      <c r="P2424" s="5"/>
    </row>
    <row r="2425" spans="2:16" ht="13.2" x14ac:dyDescent="0.25">
      <c r="B2425" s="18"/>
      <c r="C2425" s="19"/>
      <c r="D2425" s="19"/>
      <c r="O2425" s="5"/>
      <c r="P2425" s="5"/>
    </row>
    <row r="2426" spans="2:16" ht="13.2" x14ac:dyDescent="0.25">
      <c r="B2426" s="18"/>
      <c r="C2426" s="19"/>
      <c r="D2426" s="19"/>
      <c r="O2426" s="5"/>
      <c r="P2426" s="5"/>
    </row>
    <row r="2427" spans="2:16" ht="13.2" x14ac:dyDescent="0.25">
      <c r="B2427" s="18"/>
      <c r="C2427" s="19"/>
      <c r="D2427" s="19"/>
      <c r="O2427" s="5"/>
      <c r="P2427" s="5"/>
    </row>
    <row r="2428" spans="2:16" ht="13.2" x14ac:dyDescent="0.25">
      <c r="B2428" s="18"/>
      <c r="C2428" s="19"/>
      <c r="D2428" s="19"/>
      <c r="O2428" s="5"/>
      <c r="P2428" s="5"/>
    </row>
    <row r="2429" spans="2:16" ht="13.2" x14ac:dyDescent="0.25">
      <c r="B2429" s="18"/>
      <c r="C2429" s="19"/>
      <c r="D2429" s="19"/>
      <c r="O2429" s="5"/>
      <c r="P2429" s="5"/>
    </row>
    <row r="2430" spans="2:16" ht="13.2" x14ac:dyDescent="0.25">
      <c r="B2430" s="18"/>
      <c r="C2430" s="19"/>
      <c r="D2430" s="19"/>
      <c r="O2430" s="5"/>
      <c r="P2430" s="5"/>
    </row>
    <row r="2431" spans="2:16" ht="13.2" x14ac:dyDescent="0.25">
      <c r="B2431" s="18"/>
      <c r="C2431" s="19"/>
      <c r="D2431" s="19"/>
      <c r="O2431" s="5"/>
      <c r="P2431" s="5"/>
    </row>
    <row r="2432" spans="2:16" ht="13.2" x14ac:dyDescent="0.25">
      <c r="B2432" s="18"/>
      <c r="C2432" s="19"/>
      <c r="D2432" s="19"/>
      <c r="O2432" s="5"/>
      <c r="P2432" s="5"/>
    </row>
    <row r="2433" spans="2:16" ht="13.2" x14ac:dyDescent="0.25">
      <c r="B2433" s="18"/>
      <c r="C2433" s="19"/>
      <c r="D2433" s="19"/>
      <c r="O2433" s="5"/>
      <c r="P2433" s="5"/>
    </row>
    <row r="2434" spans="2:16" ht="13.2" x14ac:dyDescent="0.25">
      <c r="B2434" s="18"/>
      <c r="C2434" s="19"/>
      <c r="D2434" s="19"/>
      <c r="O2434" s="5"/>
      <c r="P2434" s="5"/>
    </row>
    <row r="2435" spans="2:16" ht="13.2" x14ac:dyDescent="0.25">
      <c r="B2435" s="18"/>
      <c r="C2435" s="19"/>
      <c r="D2435" s="19"/>
      <c r="O2435" s="5"/>
      <c r="P2435" s="5"/>
    </row>
    <row r="2436" spans="2:16" ht="13.2" x14ac:dyDescent="0.25">
      <c r="B2436" s="18"/>
      <c r="C2436" s="19"/>
      <c r="D2436" s="19"/>
      <c r="O2436" s="5"/>
      <c r="P2436" s="5"/>
    </row>
    <row r="2437" spans="2:16" ht="13.2" x14ac:dyDescent="0.25">
      <c r="B2437" s="18"/>
      <c r="C2437" s="19"/>
      <c r="D2437" s="19"/>
      <c r="O2437" s="5"/>
      <c r="P2437" s="5"/>
    </row>
    <row r="2438" spans="2:16" ht="13.2" x14ac:dyDescent="0.25">
      <c r="B2438" s="18"/>
      <c r="C2438" s="19"/>
      <c r="D2438" s="19"/>
      <c r="O2438" s="5"/>
      <c r="P2438" s="5"/>
    </row>
    <row r="2439" spans="2:16" ht="13.2" x14ac:dyDescent="0.25">
      <c r="B2439" s="18"/>
      <c r="C2439" s="19"/>
      <c r="D2439" s="19"/>
      <c r="O2439" s="5"/>
      <c r="P2439" s="5"/>
    </row>
    <row r="2440" spans="2:16" ht="13.2" x14ac:dyDescent="0.25">
      <c r="B2440" s="18"/>
      <c r="C2440" s="19"/>
      <c r="D2440" s="19"/>
      <c r="O2440" s="5"/>
      <c r="P2440" s="5"/>
    </row>
    <row r="2441" spans="2:16" ht="13.2" x14ac:dyDescent="0.25">
      <c r="B2441" s="18"/>
      <c r="C2441" s="19"/>
      <c r="D2441" s="19"/>
      <c r="O2441" s="5"/>
      <c r="P2441" s="5"/>
    </row>
    <row r="2442" spans="2:16" ht="13.2" x14ac:dyDescent="0.25">
      <c r="B2442" s="18"/>
      <c r="C2442" s="19"/>
      <c r="D2442" s="19"/>
      <c r="O2442" s="5"/>
      <c r="P2442" s="5"/>
    </row>
    <row r="2443" spans="2:16" ht="13.2" x14ac:dyDescent="0.25">
      <c r="B2443" s="18"/>
      <c r="C2443" s="19"/>
      <c r="D2443" s="19"/>
      <c r="O2443" s="5"/>
      <c r="P2443" s="5"/>
    </row>
    <row r="2444" spans="2:16" ht="13.2" x14ac:dyDescent="0.25">
      <c r="B2444" s="18"/>
      <c r="C2444" s="19"/>
      <c r="D2444" s="19"/>
      <c r="O2444" s="5"/>
      <c r="P2444" s="5"/>
    </row>
    <row r="2445" spans="2:16" ht="13.2" x14ac:dyDescent="0.25">
      <c r="B2445" s="18"/>
      <c r="C2445" s="19"/>
      <c r="D2445" s="19"/>
      <c r="O2445" s="5"/>
      <c r="P2445" s="5"/>
    </row>
    <row r="2446" spans="2:16" ht="13.2" x14ac:dyDescent="0.25">
      <c r="B2446" s="18"/>
      <c r="C2446" s="19"/>
      <c r="D2446" s="19"/>
      <c r="O2446" s="5"/>
      <c r="P2446" s="5"/>
    </row>
    <row r="2447" spans="2:16" ht="13.2" x14ac:dyDescent="0.25">
      <c r="B2447" s="18"/>
      <c r="C2447" s="19"/>
      <c r="D2447" s="19"/>
      <c r="O2447" s="5"/>
      <c r="P2447" s="5"/>
    </row>
    <row r="2448" spans="2:16" ht="13.2" x14ac:dyDescent="0.25">
      <c r="B2448" s="18"/>
      <c r="C2448" s="19"/>
      <c r="D2448" s="19"/>
      <c r="O2448" s="5"/>
      <c r="P2448" s="5"/>
    </row>
    <row r="2449" spans="2:16" ht="13.2" x14ac:dyDescent="0.25">
      <c r="B2449" s="18"/>
      <c r="C2449" s="19"/>
      <c r="D2449" s="19"/>
      <c r="O2449" s="5"/>
      <c r="P2449" s="5"/>
    </row>
    <row r="2450" spans="2:16" ht="13.2" x14ac:dyDescent="0.25">
      <c r="B2450" s="18"/>
      <c r="C2450" s="19"/>
      <c r="D2450" s="19"/>
      <c r="O2450" s="5"/>
      <c r="P2450" s="5"/>
    </row>
    <row r="2451" spans="2:16" ht="13.2" x14ac:dyDescent="0.25">
      <c r="B2451" s="18"/>
      <c r="C2451" s="19"/>
      <c r="D2451" s="19"/>
      <c r="O2451" s="5"/>
      <c r="P2451" s="5"/>
    </row>
    <row r="2452" spans="2:16" ht="13.2" x14ac:dyDescent="0.25">
      <c r="B2452" s="18"/>
      <c r="C2452" s="19"/>
      <c r="D2452" s="19"/>
      <c r="O2452" s="5"/>
      <c r="P2452" s="5"/>
    </row>
    <row r="2453" spans="2:16" ht="13.2" x14ac:dyDescent="0.25">
      <c r="B2453" s="18"/>
      <c r="C2453" s="19"/>
      <c r="D2453" s="19"/>
      <c r="O2453" s="5"/>
      <c r="P2453" s="5"/>
    </row>
    <row r="2454" spans="2:16" ht="13.2" x14ac:dyDescent="0.25">
      <c r="B2454" s="18"/>
      <c r="C2454" s="19"/>
      <c r="D2454" s="19"/>
      <c r="O2454" s="5"/>
      <c r="P2454" s="5"/>
    </row>
    <row r="2455" spans="2:16" ht="13.2" x14ac:dyDescent="0.25">
      <c r="B2455" s="18"/>
      <c r="C2455" s="19"/>
      <c r="D2455" s="19"/>
      <c r="O2455" s="5"/>
      <c r="P2455" s="5"/>
    </row>
    <row r="2456" spans="2:16" ht="13.2" x14ac:dyDescent="0.25">
      <c r="B2456" s="18"/>
      <c r="C2456" s="19"/>
      <c r="D2456" s="19"/>
      <c r="O2456" s="5"/>
      <c r="P2456" s="5"/>
    </row>
    <row r="2457" spans="2:16" ht="13.2" x14ac:dyDescent="0.25">
      <c r="B2457" s="18"/>
      <c r="C2457" s="19"/>
      <c r="D2457" s="19"/>
      <c r="O2457" s="5"/>
      <c r="P2457" s="5"/>
    </row>
    <row r="2458" spans="2:16" ht="13.2" x14ac:dyDescent="0.25">
      <c r="B2458" s="18"/>
      <c r="C2458" s="19"/>
      <c r="D2458" s="19"/>
      <c r="O2458" s="5"/>
      <c r="P2458" s="5"/>
    </row>
    <row r="2459" spans="2:16" ht="13.2" x14ac:dyDescent="0.25">
      <c r="B2459" s="18"/>
      <c r="C2459" s="19"/>
      <c r="D2459" s="19"/>
      <c r="O2459" s="5"/>
      <c r="P2459" s="5"/>
    </row>
    <row r="2460" spans="2:16" ht="13.2" x14ac:dyDescent="0.25">
      <c r="B2460" s="18"/>
      <c r="C2460" s="19"/>
      <c r="D2460" s="19"/>
      <c r="O2460" s="5"/>
      <c r="P2460" s="5"/>
    </row>
    <row r="2461" spans="2:16" ht="13.2" x14ac:dyDescent="0.25">
      <c r="B2461" s="18"/>
      <c r="C2461" s="19"/>
      <c r="D2461" s="19"/>
      <c r="O2461" s="5"/>
      <c r="P2461" s="5"/>
    </row>
    <row r="2462" spans="2:16" ht="13.2" x14ac:dyDescent="0.25">
      <c r="B2462" s="18"/>
      <c r="C2462" s="19"/>
      <c r="D2462" s="19"/>
      <c r="O2462" s="5"/>
      <c r="P2462" s="5"/>
    </row>
    <row r="2463" spans="2:16" ht="13.2" x14ac:dyDescent="0.25">
      <c r="B2463" s="18"/>
      <c r="C2463" s="19"/>
      <c r="D2463" s="19"/>
      <c r="O2463" s="5"/>
      <c r="P2463" s="5"/>
    </row>
    <row r="2464" spans="2:16" ht="13.2" x14ac:dyDescent="0.25">
      <c r="B2464" s="18"/>
      <c r="C2464" s="19"/>
      <c r="D2464" s="19"/>
      <c r="O2464" s="5"/>
      <c r="P2464" s="5"/>
    </row>
    <row r="2465" spans="2:16" ht="13.2" x14ac:dyDescent="0.25">
      <c r="B2465" s="18"/>
      <c r="C2465" s="19"/>
      <c r="D2465" s="19"/>
      <c r="O2465" s="5"/>
      <c r="P2465" s="5"/>
    </row>
    <row r="2466" spans="2:16" ht="13.2" x14ac:dyDescent="0.25">
      <c r="B2466" s="18"/>
      <c r="C2466" s="19"/>
      <c r="D2466" s="19"/>
      <c r="O2466" s="5"/>
      <c r="P2466" s="5"/>
    </row>
    <row r="2467" spans="2:16" ht="13.2" x14ac:dyDescent="0.25">
      <c r="B2467" s="18"/>
      <c r="C2467" s="19"/>
      <c r="D2467" s="19"/>
      <c r="O2467" s="5"/>
      <c r="P2467" s="5"/>
    </row>
    <row r="2468" spans="2:16" ht="13.2" x14ac:dyDescent="0.25">
      <c r="B2468" s="18"/>
      <c r="C2468" s="19"/>
      <c r="D2468" s="19"/>
      <c r="O2468" s="5"/>
      <c r="P2468" s="5"/>
    </row>
    <row r="2469" spans="2:16" ht="13.2" x14ac:dyDescent="0.25">
      <c r="B2469" s="18"/>
      <c r="C2469" s="19"/>
      <c r="D2469" s="19"/>
      <c r="O2469" s="5"/>
      <c r="P2469" s="5"/>
    </row>
    <row r="2470" spans="2:16" ht="13.2" x14ac:dyDescent="0.25">
      <c r="B2470" s="18"/>
      <c r="C2470" s="19"/>
      <c r="D2470" s="19"/>
      <c r="O2470" s="5"/>
      <c r="P2470" s="5"/>
    </row>
    <row r="2471" spans="2:16" ht="13.2" x14ac:dyDescent="0.25">
      <c r="B2471" s="18"/>
      <c r="C2471" s="19"/>
      <c r="D2471" s="19"/>
      <c r="O2471" s="5"/>
      <c r="P2471" s="5"/>
    </row>
    <row r="2472" spans="2:16" ht="13.2" x14ac:dyDescent="0.25">
      <c r="B2472" s="18"/>
      <c r="C2472" s="19"/>
      <c r="D2472" s="19"/>
      <c r="O2472" s="5"/>
      <c r="P2472" s="5"/>
    </row>
    <row r="2473" spans="2:16" ht="13.2" x14ac:dyDescent="0.25">
      <c r="B2473" s="18"/>
      <c r="C2473" s="19"/>
      <c r="D2473" s="19"/>
      <c r="O2473" s="5"/>
      <c r="P2473" s="5"/>
    </row>
    <row r="2474" spans="2:16" ht="13.2" x14ac:dyDescent="0.25">
      <c r="B2474" s="18"/>
      <c r="C2474" s="19"/>
      <c r="D2474" s="19"/>
      <c r="O2474" s="5"/>
      <c r="P2474" s="5"/>
    </row>
    <row r="2475" spans="2:16" ht="13.2" x14ac:dyDescent="0.25">
      <c r="B2475" s="18"/>
      <c r="C2475" s="19"/>
      <c r="D2475" s="19"/>
      <c r="O2475" s="5"/>
      <c r="P2475" s="5"/>
    </row>
    <row r="2476" spans="2:16" ht="13.2" x14ac:dyDescent="0.25">
      <c r="B2476" s="18"/>
      <c r="C2476" s="19"/>
      <c r="D2476" s="19"/>
      <c r="O2476" s="5"/>
      <c r="P2476" s="5"/>
    </row>
    <row r="2477" spans="2:16" ht="13.2" x14ac:dyDescent="0.25">
      <c r="B2477" s="18"/>
      <c r="C2477" s="19"/>
      <c r="D2477" s="19"/>
      <c r="O2477" s="5"/>
      <c r="P2477" s="5"/>
    </row>
    <row r="2478" spans="2:16" ht="13.2" x14ac:dyDescent="0.25">
      <c r="B2478" s="18"/>
      <c r="C2478" s="19"/>
      <c r="D2478" s="19"/>
      <c r="O2478" s="5"/>
      <c r="P2478" s="5"/>
    </row>
    <row r="2479" spans="2:16" ht="13.2" x14ac:dyDescent="0.25">
      <c r="B2479" s="18"/>
      <c r="C2479" s="19"/>
      <c r="D2479" s="19"/>
      <c r="O2479" s="5"/>
      <c r="P2479" s="5"/>
    </row>
    <row r="2480" spans="2:16" ht="13.2" x14ac:dyDescent="0.25">
      <c r="B2480" s="18"/>
      <c r="C2480" s="19"/>
      <c r="D2480" s="19"/>
      <c r="O2480" s="5"/>
      <c r="P2480" s="5"/>
    </row>
    <row r="2481" spans="2:16" ht="13.2" x14ac:dyDescent="0.25">
      <c r="B2481" s="18"/>
      <c r="C2481" s="19"/>
      <c r="D2481" s="19"/>
      <c r="O2481" s="5"/>
      <c r="P2481" s="5"/>
    </row>
    <row r="2482" spans="2:16" ht="13.2" x14ac:dyDescent="0.25">
      <c r="B2482" s="18"/>
      <c r="C2482" s="19"/>
      <c r="D2482" s="19"/>
      <c r="O2482" s="5"/>
      <c r="P2482" s="5"/>
    </row>
    <row r="2483" spans="2:16" ht="13.2" x14ac:dyDescent="0.25">
      <c r="B2483" s="18"/>
      <c r="C2483" s="19"/>
      <c r="D2483" s="19"/>
      <c r="O2483" s="5"/>
      <c r="P2483" s="5"/>
    </row>
    <row r="2484" spans="2:16" ht="13.2" x14ac:dyDescent="0.25">
      <c r="B2484" s="18"/>
      <c r="C2484" s="19"/>
      <c r="D2484" s="19"/>
      <c r="O2484" s="5"/>
      <c r="P2484" s="5"/>
    </row>
    <row r="2485" spans="2:16" ht="13.2" x14ac:dyDescent="0.25">
      <c r="B2485" s="18"/>
      <c r="C2485" s="19"/>
      <c r="D2485" s="19"/>
      <c r="O2485" s="5"/>
      <c r="P2485" s="5"/>
    </row>
    <row r="2486" spans="2:16" ht="13.2" x14ac:dyDescent="0.25">
      <c r="B2486" s="18"/>
      <c r="C2486" s="19"/>
      <c r="D2486" s="19"/>
      <c r="O2486" s="5"/>
      <c r="P2486" s="5"/>
    </row>
    <row r="2487" spans="2:16" ht="13.2" x14ac:dyDescent="0.25">
      <c r="B2487" s="18"/>
      <c r="C2487" s="19"/>
      <c r="D2487" s="19"/>
      <c r="O2487" s="5"/>
      <c r="P2487" s="5"/>
    </row>
    <row r="2488" spans="2:16" ht="13.2" x14ac:dyDescent="0.25">
      <c r="B2488" s="18"/>
      <c r="C2488" s="19"/>
      <c r="D2488" s="19"/>
      <c r="O2488" s="5"/>
      <c r="P2488" s="5"/>
    </row>
    <row r="2489" spans="2:16" ht="13.2" x14ac:dyDescent="0.25">
      <c r="B2489" s="18"/>
      <c r="C2489" s="19"/>
      <c r="D2489" s="19"/>
      <c r="O2489" s="5"/>
      <c r="P2489" s="5"/>
    </row>
    <row r="2490" spans="2:16" ht="13.2" x14ac:dyDescent="0.25">
      <c r="B2490" s="18"/>
      <c r="C2490" s="19"/>
      <c r="D2490" s="19"/>
      <c r="O2490" s="5"/>
      <c r="P2490" s="5"/>
    </row>
    <row r="2491" spans="2:16" ht="13.2" x14ac:dyDescent="0.25">
      <c r="B2491" s="18"/>
      <c r="C2491" s="19"/>
      <c r="D2491" s="19"/>
      <c r="O2491" s="5"/>
      <c r="P2491" s="5"/>
    </row>
    <row r="2492" spans="2:16" ht="13.2" x14ac:dyDescent="0.25">
      <c r="B2492" s="18"/>
      <c r="C2492" s="19"/>
      <c r="D2492" s="19"/>
      <c r="O2492" s="5"/>
      <c r="P2492" s="5"/>
    </row>
    <row r="2493" spans="2:16" ht="13.2" x14ac:dyDescent="0.25">
      <c r="B2493" s="18"/>
      <c r="C2493" s="19"/>
      <c r="D2493" s="19"/>
      <c r="O2493" s="5"/>
      <c r="P2493" s="5"/>
    </row>
    <row r="2494" spans="2:16" ht="13.2" x14ac:dyDescent="0.25">
      <c r="B2494" s="18"/>
      <c r="C2494" s="19"/>
      <c r="D2494" s="19"/>
      <c r="O2494" s="5"/>
      <c r="P2494" s="5"/>
    </row>
    <row r="2495" spans="2:16" ht="13.2" x14ac:dyDescent="0.25">
      <c r="B2495" s="18"/>
      <c r="C2495" s="19"/>
      <c r="D2495" s="19"/>
      <c r="O2495" s="5"/>
      <c r="P2495" s="5"/>
    </row>
    <row r="2496" spans="2:16" ht="13.2" x14ac:dyDescent="0.25">
      <c r="B2496" s="18"/>
      <c r="C2496" s="19"/>
      <c r="D2496" s="19"/>
      <c r="O2496" s="5"/>
      <c r="P2496" s="5"/>
    </row>
    <row r="2497" spans="2:16" ht="13.2" x14ac:dyDescent="0.25">
      <c r="B2497" s="18"/>
      <c r="C2497" s="19"/>
      <c r="D2497" s="19"/>
      <c r="O2497" s="5"/>
      <c r="P2497" s="5"/>
    </row>
    <row r="2498" spans="2:16" ht="13.2" x14ac:dyDescent="0.25">
      <c r="B2498" s="18"/>
      <c r="C2498" s="19"/>
      <c r="D2498" s="19"/>
      <c r="O2498" s="5"/>
      <c r="P2498" s="5"/>
    </row>
    <row r="2499" spans="2:16" ht="13.2" x14ac:dyDescent="0.25">
      <c r="B2499" s="18"/>
      <c r="C2499" s="19"/>
      <c r="D2499" s="19"/>
      <c r="O2499" s="5"/>
      <c r="P2499" s="5"/>
    </row>
    <row r="2500" spans="2:16" ht="13.2" x14ac:dyDescent="0.25">
      <c r="B2500" s="18"/>
      <c r="C2500" s="19"/>
      <c r="D2500" s="19"/>
      <c r="O2500" s="5"/>
      <c r="P2500" s="5"/>
    </row>
    <row r="2501" spans="2:16" ht="13.2" x14ac:dyDescent="0.25">
      <c r="B2501" s="18"/>
      <c r="C2501" s="19"/>
      <c r="D2501" s="19"/>
      <c r="O2501" s="5"/>
      <c r="P2501" s="5"/>
    </row>
    <row r="2502" spans="2:16" ht="13.2" x14ac:dyDescent="0.25">
      <c r="B2502" s="18"/>
      <c r="C2502" s="19"/>
      <c r="D2502" s="19"/>
      <c r="O2502" s="5"/>
      <c r="P2502" s="5"/>
    </row>
    <row r="2503" spans="2:16" ht="13.2" x14ac:dyDescent="0.25">
      <c r="B2503" s="18"/>
      <c r="C2503" s="19"/>
      <c r="D2503" s="19"/>
      <c r="O2503" s="5"/>
      <c r="P2503" s="5"/>
    </row>
    <row r="2504" spans="2:16" ht="13.2" x14ac:dyDescent="0.25">
      <c r="B2504" s="18"/>
      <c r="C2504" s="19"/>
      <c r="D2504" s="19"/>
      <c r="O2504" s="5"/>
      <c r="P2504" s="5"/>
    </row>
    <row r="2505" spans="2:16" ht="13.2" x14ac:dyDescent="0.25">
      <c r="B2505" s="18"/>
      <c r="C2505" s="19"/>
      <c r="D2505" s="19"/>
      <c r="O2505" s="5"/>
      <c r="P2505" s="5"/>
    </row>
    <row r="2506" spans="2:16" ht="13.2" x14ac:dyDescent="0.25">
      <c r="B2506" s="18"/>
      <c r="C2506" s="19"/>
      <c r="D2506" s="19"/>
      <c r="O2506" s="5"/>
      <c r="P2506" s="5"/>
    </row>
    <row r="2507" spans="2:16" ht="13.2" x14ac:dyDescent="0.25">
      <c r="B2507" s="18"/>
      <c r="C2507" s="19"/>
      <c r="D2507" s="19"/>
      <c r="O2507" s="5"/>
      <c r="P2507" s="5"/>
    </row>
    <row r="2508" spans="2:16" ht="13.2" x14ac:dyDescent="0.25">
      <c r="B2508" s="18"/>
      <c r="C2508" s="19"/>
      <c r="D2508" s="19"/>
      <c r="O2508" s="5"/>
      <c r="P2508" s="5"/>
    </row>
    <row r="2509" spans="2:16" ht="13.2" x14ac:dyDescent="0.25">
      <c r="B2509" s="18"/>
      <c r="C2509" s="19"/>
      <c r="D2509" s="19"/>
      <c r="O2509" s="5"/>
      <c r="P2509" s="5"/>
    </row>
    <row r="2510" spans="2:16" ht="13.2" x14ac:dyDescent="0.25">
      <c r="B2510" s="18"/>
      <c r="C2510" s="19"/>
      <c r="D2510" s="19"/>
      <c r="O2510" s="5"/>
      <c r="P2510" s="5"/>
    </row>
    <row r="2511" spans="2:16" ht="13.2" x14ac:dyDescent="0.25">
      <c r="B2511" s="18"/>
      <c r="C2511" s="19"/>
      <c r="D2511" s="19"/>
      <c r="O2511" s="5"/>
      <c r="P2511" s="5"/>
    </row>
    <row r="2512" spans="2:16" ht="13.2" x14ac:dyDescent="0.25">
      <c r="B2512" s="18"/>
      <c r="C2512" s="19"/>
      <c r="D2512" s="19"/>
      <c r="O2512" s="5"/>
      <c r="P2512" s="5"/>
    </row>
    <row r="2513" spans="2:16" ht="13.2" x14ac:dyDescent="0.25">
      <c r="B2513" s="18"/>
      <c r="C2513" s="19"/>
      <c r="D2513" s="19"/>
      <c r="O2513" s="5"/>
      <c r="P2513" s="5"/>
    </row>
    <row r="2514" spans="2:16" ht="13.2" x14ac:dyDescent="0.25">
      <c r="B2514" s="18"/>
      <c r="C2514" s="19"/>
      <c r="D2514" s="19"/>
      <c r="O2514" s="5"/>
      <c r="P2514" s="5"/>
    </row>
    <row r="2515" spans="2:16" ht="13.2" x14ac:dyDescent="0.25">
      <c r="B2515" s="18"/>
      <c r="C2515" s="19"/>
      <c r="D2515" s="19"/>
      <c r="O2515" s="5"/>
      <c r="P2515" s="5"/>
    </row>
    <row r="2516" spans="2:16" ht="13.2" x14ac:dyDescent="0.25">
      <c r="B2516" s="18"/>
      <c r="C2516" s="19"/>
      <c r="D2516" s="19"/>
      <c r="O2516" s="5"/>
      <c r="P2516" s="5"/>
    </row>
    <row r="2517" spans="2:16" ht="13.2" x14ac:dyDescent="0.25">
      <c r="B2517" s="18"/>
      <c r="C2517" s="19"/>
      <c r="D2517" s="19"/>
      <c r="O2517" s="5"/>
      <c r="P2517" s="5"/>
    </row>
    <row r="2518" spans="2:16" ht="13.2" x14ac:dyDescent="0.25">
      <c r="B2518" s="18"/>
      <c r="C2518" s="19"/>
      <c r="D2518" s="19"/>
      <c r="O2518" s="5"/>
      <c r="P2518" s="5"/>
    </row>
    <row r="2519" spans="2:16" ht="13.2" x14ac:dyDescent="0.25">
      <c r="B2519" s="18"/>
      <c r="C2519" s="19"/>
      <c r="D2519" s="19"/>
      <c r="O2519" s="5"/>
      <c r="P2519" s="5"/>
    </row>
    <row r="2520" spans="2:16" ht="13.2" x14ac:dyDescent="0.25">
      <c r="B2520" s="18"/>
      <c r="C2520" s="19"/>
      <c r="D2520" s="19"/>
      <c r="O2520" s="5"/>
      <c r="P2520" s="5"/>
    </row>
    <row r="2521" spans="2:16" ht="13.2" x14ac:dyDescent="0.25">
      <c r="B2521" s="18"/>
      <c r="C2521" s="19"/>
      <c r="D2521" s="19"/>
      <c r="O2521" s="5"/>
      <c r="P2521" s="5"/>
    </row>
    <row r="2522" spans="2:16" ht="13.2" x14ac:dyDescent="0.25">
      <c r="B2522" s="18"/>
      <c r="C2522" s="19"/>
      <c r="D2522" s="19"/>
      <c r="O2522" s="5"/>
      <c r="P2522" s="5"/>
    </row>
    <row r="2523" spans="2:16" ht="13.2" x14ac:dyDescent="0.25">
      <c r="B2523" s="18"/>
      <c r="C2523" s="19"/>
      <c r="D2523" s="19"/>
      <c r="O2523" s="5"/>
      <c r="P2523" s="5"/>
    </row>
    <row r="2524" spans="2:16" ht="13.2" x14ac:dyDescent="0.25">
      <c r="B2524" s="18"/>
      <c r="C2524" s="19"/>
      <c r="D2524" s="19"/>
      <c r="O2524" s="5"/>
      <c r="P2524" s="5"/>
    </row>
    <row r="2525" spans="2:16" ht="13.2" x14ac:dyDescent="0.25">
      <c r="B2525" s="18"/>
      <c r="C2525" s="19"/>
      <c r="D2525" s="19"/>
      <c r="O2525" s="5"/>
      <c r="P2525" s="5"/>
    </row>
    <row r="2526" spans="2:16" ht="13.2" x14ac:dyDescent="0.25">
      <c r="B2526" s="18"/>
      <c r="C2526" s="19"/>
      <c r="D2526" s="19"/>
      <c r="O2526" s="5"/>
      <c r="P2526" s="5"/>
    </row>
    <row r="2527" spans="2:16" ht="13.2" x14ac:dyDescent="0.25">
      <c r="B2527" s="18"/>
      <c r="C2527" s="19"/>
      <c r="D2527" s="19"/>
      <c r="O2527" s="5"/>
      <c r="P2527" s="5"/>
    </row>
    <row r="2528" spans="2:16" ht="13.2" x14ac:dyDescent="0.25">
      <c r="B2528" s="18"/>
      <c r="C2528" s="19"/>
      <c r="D2528" s="19"/>
      <c r="O2528" s="5"/>
      <c r="P2528" s="5"/>
    </row>
    <row r="2529" spans="2:16" ht="13.2" x14ac:dyDescent="0.25">
      <c r="B2529" s="18"/>
      <c r="C2529" s="19"/>
      <c r="D2529" s="19"/>
      <c r="O2529" s="5"/>
      <c r="P2529" s="5"/>
    </row>
    <row r="2530" spans="2:16" ht="13.2" x14ac:dyDescent="0.25">
      <c r="B2530" s="18"/>
      <c r="C2530" s="19"/>
      <c r="D2530" s="19"/>
      <c r="O2530" s="5"/>
      <c r="P2530" s="5"/>
    </row>
    <row r="2531" spans="2:16" ht="13.2" x14ac:dyDescent="0.25">
      <c r="B2531" s="18"/>
      <c r="C2531" s="19"/>
      <c r="D2531" s="19"/>
      <c r="O2531" s="5"/>
      <c r="P2531" s="5"/>
    </row>
    <row r="2532" spans="2:16" ht="13.2" x14ac:dyDescent="0.25">
      <c r="B2532" s="18"/>
      <c r="C2532" s="19"/>
      <c r="D2532" s="19"/>
      <c r="O2532" s="5"/>
      <c r="P2532" s="5"/>
    </row>
    <row r="2533" spans="2:16" ht="13.2" x14ac:dyDescent="0.25">
      <c r="B2533" s="18"/>
      <c r="C2533" s="19"/>
      <c r="D2533" s="19"/>
      <c r="O2533" s="5"/>
      <c r="P2533" s="5"/>
    </row>
    <row r="2534" spans="2:16" ht="13.2" x14ac:dyDescent="0.25">
      <c r="B2534" s="18"/>
      <c r="C2534" s="19"/>
      <c r="D2534" s="19"/>
      <c r="O2534" s="5"/>
      <c r="P2534" s="5"/>
    </row>
    <row r="2535" spans="2:16" ht="13.2" x14ac:dyDescent="0.25">
      <c r="B2535" s="18"/>
      <c r="C2535" s="19"/>
      <c r="D2535" s="19"/>
      <c r="O2535" s="5"/>
      <c r="P2535" s="5"/>
    </row>
    <row r="2536" spans="2:16" ht="13.2" x14ac:dyDescent="0.25">
      <c r="B2536" s="18"/>
      <c r="C2536" s="19"/>
      <c r="D2536" s="19"/>
      <c r="O2536" s="5"/>
      <c r="P2536" s="5"/>
    </row>
    <row r="2537" spans="2:16" ht="13.2" x14ac:dyDescent="0.25">
      <c r="B2537" s="18"/>
      <c r="C2537" s="19"/>
      <c r="D2537" s="19"/>
      <c r="O2537" s="5"/>
      <c r="P2537" s="5"/>
    </row>
    <row r="2538" spans="2:16" ht="13.2" x14ac:dyDescent="0.25">
      <c r="B2538" s="18"/>
      <c r="C2538" s="19"/>
      <c r="D2538" s="19"/>
      <c r="O2538" s="5"/>
      <c r="P2538" s="5"/>
    </row>
    <row r="2539" spans="2:16" ht="13.2" x14ac:dyDescent="0.25">
      <c r="B2539" s="18"/>
      <c r="C2539" s="19"/>
      <c r="D2539" s="19"/>
      <c r="O2539" s="5"/>
      <c r="P2539" s="5"/>
    </row>
    <row r="2540" spans="2:16" ht="13.2" x14ac:dyDescent="0.25">
      <c r="B2540" s="18"/>
      <c r="C2540" s="19"/>
      <c r="D2540" s="19"/>
      <c r="O2540" s="5"/>
      <c r="P2540" s="5"/>
    </row>
    <row r="2541" spans="2:16" ht="13.2" x14ac:dyDescent="0.25">
      <c r="B2541" s="18"/>
      <c r="C2541" s="19"/>
      <c r="D2541" s="19"/>
      <c r="O2541" s="5"/>
      <c r="P2541" s="5"/>
    </row>
    <row r="2542" spans="2:16" ht="13.2" x14ac:dyDescent="0.25">
      <c r="B2542" s="18"/>
      <c r="C2542" s="19"/>
      <c r="D2542" s="19"/>
      <c r="O2542" s="5"/>
      <c r="P2542" s="5"/>
    </row>
    <row r="2543" spans="2:16" ht="13.2" x14ac:dyDescent="0.25">
      <c r="B2543" s="18"/>
      <c r="C2543" s="19"/>
      <c r="D2543" s="19"/>
      <c r="O2543" s="5"/>
      <c r="P2543" s="5"/>
    </row>
    <row r="2544" spans="2:16" ht="13.2" x14ac:dyDescent="0.25">
      <c r="B2544" s="18"/>
      <c r="C2544" s="19"/>
      <c r="D2544" s="19"/>
      <c r="O2544" s="5"/>
      <c r="P2544" s="5"/>
    </row>
    <row r="2545" spans="2:16" ht="13.2" x14ac:dyDescent="0.25">
      <c r="B2545" s="18"/>
      <c r="C2545" s="19"/>
      <c r="D2545" s="19"/>
      <c r="O2545" s="5"/>
      <c r="P2545" s="5"/>
    </row>
    <row r="2546" spans="2:16" ht="13.2" x14ac:dyDescent="0.25">
      <c r="B2546" s="18"/>
      <c r="C2546" s="19"/>
      <c r="D2546" s="19"/>
      <c r="O2546" s="5"/>
      <c r="P2546" s="5"/>
    </row>
    <row r="2547" spans="2:16" ht="13.2" x14ac:dyDescent="0.25">
      <c r="B2547" s="18"/>
      <c r="C2547" s="19"/>
      <c r="D2547" s="19"/>
      <c r="O2547" s="5"/>
      <c r="P2547" s="5"/>
    </row>
    <row r="2548" spans="2:16" ht="13.2" x14ac:dyDescent="0.25">
      <c r="B2548" s="18"/>
      <c r="C2548" s="19"/>
      <c r="D2548" s="19"/>
      <c r="O2548" s="5"/>
      <c r="P2548" s="5"/>
    </row>
    <row r="2549" spans="2:16" ht="13.2" x14ac:dyDescent="0.25">
      <c r="B2549" s="18"/>
      <c r="C2549" s="19"/>
      <c r="D2549" s="19"/>
      <c r="O2549" s="5"/>
      <c r="P2549" s="5"/>
    </row>
    <row r="2550" spans="2:16" ht="13.2" x14ac:dyDescent="0.25">
      <c r="B2550" s="18"/>
      <c r="C2550" s="19"/>
      <c r="D2550" s="19"/>
      <c r="O2550" s="5"/>
      <c r="P2550" s="5"/>
    </row>
    <row r="2551" spans="2:16" ht="13.2" x14ac:dyDescent="0.25">
      <c r="B2551" s="18"/>
      <c r="C2551" s="19"/>
      <c r="D2551" s="19"/>
      <c r="O2551" s="5"/>
      <c r="P2551" s="5"/>
    </row>
    <row r="2552" spans="2:16" ht="13.2" x14ac:dyDescent="0.25">
      <c r="B2552" s="18"/>
      <c r="C2552" s="19"/>
      <c r="D2552" s="19"/>
      <c r="O2552" s="5"/>
      <c r="P2552" s="5"/>
    </row>
    <row r="2553" spans="2:16" ht="13.2" x14ac:dyDescent="0.25">
      <c r="B2553" s="18"/>
      <c r="C2553" s="19"/>
      <c r="D2553" s="19"/>
      <c r="O2553" s="5"/>
      <c r="P2553" s="5"/>
    </row>
    <row r="2554" spans="2:16" ht="13.2" x14ac:dyDescent="0.25">
      <c r="B2554" s="18"/>
      <c r="C2554" s="19"/>
      <c r="D2554" s="19"/>
      <c r="O2554" s="5"/>
      <c r="P2554" s="5"/>
    </row>
    <row r="2555" spans="2:16" ht="13.2" x14ac:dyDescent="0.25">
      <c r="B2555" s="18"/>
      <c r="C2555" s="19"/>
      <c r="D2555" s="19"/>
      <c r="O2555" s="5"/>
      <c r="P2555" s="5"/>
    </row>
    <row r="2556" spans="2:16" ht="13.2" x14ac:dyDescent="0.25">
      <c r="B2556" s="18"/>
      <c r="C2556" s="19"/>
      <c r="D2556" s="19"/>
      <c r="O2556" s="5"/>
      <c r="P2556" s="5"/>
    </row>
    <row r="2557" spans="2:16" ht="13.2" x14ac:dyDescent="0.25">
      <c r="B2557" s="18"/>
      <c r="C2557" s="19"/>
      <c r="D2557" s="19"/>
      <c r="O2557" s="5"/>
      <c r="P2557" s="5"/>
    </row>
    <row r="2558" spans="2:16" ht="13.2" x14ac:dyDescent="0.25">
      <c r="B2558" s="18"/>
      <c r="C2558" s="19"/>
      <c r="D2558" s="19"/>
      <c r="O2558" s="5"/>
      <c r="P2558" s="5"/>
    </row>
    <row r="2559" spans="2:16" ht="13.2" x14ac:dyDescent="0.25">
      <c r="B2559" s="18"/>
      <c r="C2559" s="19"/>
      <c r="D2559" s="19"/>
      <c r="O2559" s="5"/>
      <c r="P2559" s="5"/>
    </row>
    <row r="2560" spans="2:16" ht="13.2" x14ac:dyDescent="0.25">
      <c r="B2560" s="18"/>
      <c r="C2560" s="19"/>
      <c r="D2560" s="19"/>
      <c r="O2560" s="5"/>
      <c r="P2560" s="5"/>
    </row>
    <row r="2561" spans="2:16" ht="13.2" x14ac:dyDescent="0.25">
      <c r="B2561" s="18"/>
      <c r="C2561" s="19"/>
      <c r="D2561" s="19"/>
      <c r="O2561" s="5"/>
      <c r="P2561" s="5"/>
    </row>
    <row r="2562" spans="2:16" ht="13.2" x14ac:dyDescent="0.25">
      <c r="B2562" s="18"/>
      <c r="C2562" s="19"/>
      <c r="D2562" s="19"/>
      <c r="O2562" s="5"/>
      <c r="P2562" s="5"/>
    </row>
    <row r="2563" spans="2:16" ht="13.2" x14ac:dyDescent="0.25">
      <c r="B2563" s="18"/>
      <c r="C2563" s="19"/>
      <c r="D2563" s="19"/>
      <c r="O2563" s="5"/>
      <c r="P2563" s="5"/>
    </row>
    <row r="2564" spans="2:16" ht="13.2" x14ac:dyDescent="0.25">
      <c r="B2564" s="18"/>
      <c r="C2564" s="19"/>
      <c r="D2564" s="19"/>
      <c r="O2564" s="5"/>
      <c r="P2564" s="5"/>
    </row>
    <row r="2565" spans="2:16" ht="13.2" x14ac:dyDescent="0.25">
      <c r="B2565" s="18"/>
      <c r="C2565" s="19"/>
      <c r="D2565" s="19"/>
      <c r="O2565" s="5"/>
      <c r="P2565" s="5"/>
    </row>
    <row r="2566" spans="2:16" ht="13.2" x14ac:dyDescent="0.25">
      <c r="B2566" s="18"/>
      <c r="C2566" s="19"/>
      <c r="D2566" s="19"/>
      <c r="O2566" s="5"/>
      <c r="P2566" s="5"/>
    </row>
    <row r="2567" spans="2:16" ht="13.2" x14ac:dyDescent="0.25">
      <c r="B2567" s="18"/>
      <c r="C2567" s="19"/>
      <c r="D2567" s="19"/>
      <c r="O2567" s="5"/>
      <c r="P2567" s="5"/>
    </row>
    <row r="2568" spans="2:16" ht="13.2" x14ac:dyDescent="0.25">
      <c r="B2568" s="18"/>
      <c r="C2568" s="19"/>
      <c r="D2568" s="19"/>
      <c r="O2568" s="5"/>
      <c r="P2568" s="5"/>
    </row>
    <row r="2569" spans="2:16" ht="13.2" x14ac:dyDescent="0.25">
      <c r="B2569" s="18"/>
      <c r="C2569" s="19"/>
      <c r="D2569" s="19"/>
      <c r="O2569" s="5"/>
      <c r="P2569" s="5"/>
    </row>
    <row r="2570" spans="2:16" ht="13.2" x14ac:dyDescent="0.25">
      <c r="B2570" s="18"/>
      <c r="C2570" s="19"/>
      <c r="D2570" s="19"/>
      <c r="O2570" s="5"/>
      <c r="P2570" s="5"/>
    </row>
    <row r="2571" spans="2:16" ht="13.2" x14ac:dyDescent="0.25">
      <c r="B2571" s="18"/>
      <c r="C2571" s="19"/>
      <c r="D2571" s="19"/>
      <c r="O2571" s="5"/>
      <c r="P2571" s="5"/>
    </row>
    <row r="2572" spans="2:16" ht="13.2" x14ac:dyDescent="0.25">
      <c r="B2572" s="18"/>
      <c r="C2572" s="19"/>
      <c r="D2572" s="19"/>
      <c r="O2572" s="5"/>
      <c r="P2572" s="5"/>
    </row>
    <row r="2573" spans="2:16" ht="13.2" x14ac:dyDescent="0.25">
      <c r="B2573" s="18"/>
      <c r="C2573" s="19"/>
      <c r="D2573" s="19"/>
      <c r="O2573" s="5"/>
      <c r="P2573" s="5"/>
    </row>
    <row r="2574" spans="2:16" ht="13.2" x14ac:dyDescent="0.25">
      <c r="B2574" s="18"/>
      <c r="C2574" s="19"/>
      <c r="D2574" s="19"/>
      <c r="O2574" s="5"/>
      <c r="P2574" s="5"/>
    </row>
    <row r="2575" spans="2:16" ht="13.2" x14ac:dyDescent="0.25">
      <c r="B2575" s="18"/>
      <c r="C2575" s="19"/>
      <c r="D2575" s="19"/>
      <c r="O2575" s="5"/>
      <c r="P2575" s="5"/>
    </row>
    <row r="2576" spans="2:16" ht="13.2" x14ac:dyDescent="0.25">
      <c r="B2576" s="18"/>
      <c r="C2576" s="19"/>
      <c r="D2576" s="19"/>
      <c r="O2576" s="5"/>
      <c r="P2576" s="5"/>
    </row>
    <row r="2577" spans="2:16" ht="13.2" x14ac:dyDescent="0.25">
      <c r="B2577" s="18"/>
      <c r="C2577" s="19"/>
      <c r="D2577" s="19"/>
      <c r="O2577" s="5"/>
      <c r="P2577" s="5"/>
    </row>
    <row r="2578" spans="2:16" ht="13.2" x14ac:dyDescent="0.25">
      <c r="B2578" s="18"/>
      <c r="C2578" s="19"/>
      <c r="D2578" s="19"/>
      <c r="O2578" s="5"/>
      <c r="P2578" s="5"/>
    </row>
    <row r="2579" spans="2:16" ht="13.2" x14ac:dyDescent="0.25">
      <c r="B2579" s="18"/>
      <c r="C2579" s="19"/>
      <c r="D2579" s="19"/>
      <c r="O2579" s="5"/>
      <c r="P2579" s="5"/>
    </row>
    <row r="2580" spans="2:16" ht="13.2" x14ac:dyDescent="0.25">
      <c r="B2580" s="18"/>
      <c r="C2580" s="19"/>
      <c r="D2580" s="19"/>
      <c r="O2580" s="5"/>
      <c r="P2580" s="5"/>
    </row>
    <row r="2581" spans="2:16" ht="13.2" x14ac:dyDescent="0.25">
      <c r="B2581" s="18"/>
      <c r="C2581" s="19"/>
      <c r="D2581" s="19"/>
      <c r="O2581" s="5"/>
      <c r="P2581" s="5"/>
    </row>
    <row r="2582" spans="2:16" ht="13.2" x14ac:dyDescent="0.25">
      <c r="B2582" s="18"/>
      <c r="C2582" s="19"/>
      <c r="D2582" s="19"/>
      <c r="O2582" s="5"/>
      <c r="P2582" s="5"/>
    </row>
    <row r="2583" spans="2:16" ht="13.2" x14ac:dyDescent="0.25">
      <c r="B2583" s="18"/>
      <c r="C2583" s="19"/>
      <c r="D2583" s="19"/>
      <c r="O2583" s="5"/>
      <c r="P2583" s="5"/>
    </row>
    <row r="2584" spans="2:16" ht="13.2" x14ac:dyDescent="0.25">
      <c r="B2584" s="18"/>
      <c r="C2584" s="19"/>
      <c r="D2584" s="19"/>
      <c r="O2584" s="5"/>
      <c r="P2584" s="5"/>
    </row>
    <row r="2585" spans="2:16" ht="13.2" x14ac:dyDescent="0.25">
      <c r="B2585" s="18"/>
      <c r="C2585" s="19"/>
      <c r="D2585" s="19"/>
      <c r="O2585" s="5"/>
      <c r="P2585" s="5"/>
    </row>
    <row r="2586" spans="2:16" ht="13.2" x14ac:dyDescent="0.25">
      <c r="B2586" s="18"/>
      <c r="C2586" s="19"/>
      <c r="D2586" s="19"/>
      <c r="O2586" s="5"/>
      <c r="P2586" s="5"/>
    </row>
    <row r="2587" spans="2:16" ht="13.2" x14ac:dyDescent="0.25">
      <c r="B2587" s="18"/>
      <c r="C2587" s="19"/>
      <c r="D2587" s="19"/>
      <c r="O2587" s="5"/>
      <c r="P2587" s="5"/>
    </row>
    <row r="2588" spans="2:16" ht="13.2" x14ac:dyDescent="0.25">
      <c r="B2588" s="18"/>
      <c r="C2588" s="19"/>
      <c r="D2588" s="19"/>
      <c r="O2588" s="5"/>
      <c r="P2588" s="5"/>
    </row>
    <row r="2589" spans="2:16" ht="13.2" x14ac:dyDescent="0.25">
      <c r="B2589" s="18"/>
      <c r="C2589" s="19"/>
      <c r="D2589" s="19"/>
      <c r="O2589" s="5"/>
      <c r="P2589" s="5"/>
    </row>
    <row r="2590" spans="2:16" ht="13.2" x14ac:dyDescent="0.25">
      <c r="B2590" s="18"/>
      <c r="C2590" s="19"/>
      <c r="D2590" s="19"/>
      <c r="O2590" s="5"/>
      <c r="P2590" s="5"/>
    </row>
    <row r="2591" spans="2:16" ht="13.2" x14ac:dyDescent="0.25">
      <c r="B2591" s="18"/>
      <c r="C2591" s="19"/>
      <c r="D2591" s="19"/>
      <c r="O2591" s="5"/>
      <c r="P2591" s="5"/>
    </row>
    <row r="2592" spans="2:16" ht="13.2" x14ac:dyDescent="0.25">
      <c r="B2592" s="18"/>
      <c r="C2592" s="19"/>
      <c r="D2592" s="19"/>
      <c r="O2592" s="5"/>
      <c r="P2592" s="5"/>
    </row>
    <row r="2593" spans="2:16" ht="13.2" x14ac:dyDescent="0.25">
      <c r="B2593" s="18"/>
      <c r="C2593" s="19"/>
      <c r="D2593" s="19"/>
      <c r="O2593" s="5"/>
      <c r="P2593" s="5"/>
    </row>
    <row r="2594" spans="2:16" ht="13.2" x14ac:dyDescent="0.25">
      <c r="B2594" s="18"/>
      <c r="C2594" s="19"/>
      <c r="D2594" s="19"/>
      <c r="O2594" s="5"/>
      <c r="P2594" s="5"/>
    </row>
    <row r="2595" spans="2:16" ht="13.2" x14ac:dyDescent="0.25">
      <c r="B2595" s="18"/>
      <c r="C2595" s="19"/>
      <c r="D2595" s="19"/>
      <c r="O2595" s="5"/>
      <c r="P2595" s="5"/>
    </row>
    <row r="2596" spans="2:16" ht="13.2" x14ac:dyDescent="0.25">
      <c r="B2596" s="18"/>
      <c r="C2596" s="19"/>
      <c r="D2596" s="19"/>
      <c r="O2596" s="5"/>
      <c r="P2596" s="5"/>
    </row>
    <row r="2597" spans="2:16" ht="13.2" x14ac:dyDescent="0.25">
      <c r="B2597" s="18"/>
      <c r="C2597" s="19"/>
      <c r="D2597" s="19"/>
      <c r="O2597" s="5"/>
      <c r="P2597" s="5"/>
    </row>
    <row r="2598" spans="2:16" ht="13.2" x14ac:dyDescent="0.25">
      <c r="B2598" s="18"/>
      <c r="C2598" s="19"/>
      <c r="D2598" s="19"/>
      <c r="O2598" s="5"/>
      <c r="P2598" s="5"/>
    </row>
    <row r="2599" spans="2:16" ht="13.2" x14ac:dyDescent="0.25">
      <c r="B2599" s="18"/>
      <c r="C2599" s="19"/>
      <c r="D2599" s="19"/>
      <c r="O2599" s="5"/>
      <c r="P2599" s="5"/>
    </row>
    <row r="2600" spans="2:16" ht="13.2" x14ac:dyDescent="0.25">
      <c r="B2600" s="18"/>
      <c r="C2600" s="19"/>
      <c r="D2600" s="19"/>
      <c r="O2600" s="5"/>
      <c r="P2600" s="5"/>
    </row>
    <row r="2601" spans="2:16" ht="13.2" x14ac:dyDescent="0.25">
      <c r="B2601" s="18"/>
      <c r="C2601" s="19"/>
      <c r="D2601" s="19"/>
      <c r="O2601" s="5"/>
      <c r="P2601" s="5"/>
    </row>
    <row r="2602" spans="2:16" ht="13.2" x14ac:dyDescent="0.25">
      <c r="B2602" s="18"/>
      <c r="C2602" s="19"/>
      <c r="D2602" s="19"/>
      <c r="O2602" s="5"/>
      <c r="P2602" s="5"/>
    </row>
    <row r="2603" spans="2:16" ht="13.2" x14ac:dyDescent="0.25">
      <c r="B2603" s="18"/>
      <c r="C2603" s="19"/>
      <c r="D2603" s="19"/>
      <c r="O2603" s="5"/>
      <c r="P2603" s="5"/>
    </row>
    <row r="2604" spans="2:16" ht="13.2" x14ac:dyDescent="0.25">
      <c r="B2604" s="18"/>
      <c r="C2604" s="19"/>
      <c r="D2604" s="19"/>
      <c r="O2604" s="5"/>
      <c r="P2604" s="5"/>
    </row>
    <row r="2605" spans="2:16" ht="13.2" x14ac:dyDescent="0.25">
      <c r="B2605" s="18"/>
      <c r="C2605" s="19"/>
      <c r="D2605" s="19"/>
      <c r="O2605" s="5"/>
      <c r="P2605" s="5"/>
    </row>
    <row r="2606" spans="2:16" ht="13.2" x14ac:dyDescent="0.25">
      <c r="B2606" s="18"/>
      <c r="C2606" s="19"/>
      <c r="D2606" s="19"/>
      <c r="O2606" s="5"/>
      <c r="P2606" s="5"/>
    </row>
    <row r="2607" spans="2:16" ht="13.2" x14ac:dyDescent="0.25">
      <c r="B2607" s="18"/>
      <c r="C2607" s="19"/>
      <c r="D2607" s="19"/>
      <c r="O2607" s="5"/>
      <c r="P2607" s="5"/>
    </row>
    <row r="2608" spans="2:16" ht="13.2" x14ac:dyDescent="0.25">
      <c r="B2608" s="18"/>
      <c r="C2608" s="19"/>
      <c r="D2608" s="19"/>
      <c r="O2608" s="5"/>
      <c r="P2608" s="5"/>
    </row>
    <row r="2609" spans="2:16" ht="13.2" x14ac:dyDescent="0.25">
      <c r="B2609" s="18"/>
      <c r="C2609" s="19"/>
      <c r="D2609" s="19"/>
      <c r="O2609" s="5"/>
      <c r="P2609" s="5"/>
    </row>
    <row r="2610" spans="2:16" ht="13.2" x14ac:dyDescent="0.25">
      <c r="B2610" s="18"/>
      <c r="C2610" s="19"/>
      <c r="D2610" s="19"/>
      <c r="O2610" s="5"/>
      <c r="P2610" s="5"/>
    </row>
    <row r="2611" spans="2:16" ht="13.2" x14ac:dyDescent="0.25">
      <c r="B2611" s="18"/>
      <c r="C2611" s="19"/>
      <c r="D2611" s="19"/>
      <c r="O2611" s="5"/>
      <c r="P2611" s="5"/>
    </row>
    <row r="2612" spans="2:16" ht="13.2" x14ac:dyDescent="0.25">
      <c r="B2612" s="18"/>
      <c r="C2612" s="19"/>
      <c r="D2612" s="19"/>
      <c r="O2612" s="5"/>
      <c r="P2612" s="5"/>
    </row>
    <row r="2613" spans="2:16" ht="13.2" x14ac:dyDescent="0.25">
      <c r="B2613" s="18"/>
      <c r="C2613" s="19"/>
      <c r="D2613" s="19"/>
      <c r="O2613" s="5"/>
      <c r="P2613" s="5"/>
    </row>
    <row r="2614" spans="2:16" ht="13.2" x14ac:dyDescent="0.25">
      <c r="B2614" s="18"/>
      <c r="C2614" s="19"/>
      <c r="D2614" s="19"/>
      <c r="O2614" s="5"/>
      <c r="P2614" s="5"/>
    </row>
    <row r="2615" spans="2:16" ht="13.2" x14ac:dyDescent="0.25">
      <c r="B2615" s="18"/>
      <c r="C2615" s="19"/>
      <c r="D2615" s="19"/>
      <c r="O2615" s="5"/>
      <c r="P2615" s="5"/>
    </row>
    <row r="2616" spans="2:16" ht="13.2" x14ac:dyDescent="0.25">
      <c r="B2616" s="18"/>
      <c r="C2616" s="19"/>
      <c r="D2616" s="19"/>
      <c r="O2616" s="5"/>
      <c r="P2616" s="5"/>
    </row>
    <row r="2617" spans="2:16" ht="13.2" x14ac:dyDescent="0.25">
      <c r="B2617" s="18"/>
      <c r="C2617" s="19"/>
      <c r="D2617" s="19"/>
      <c r="O2617" s="5"/>
      <c r="P2617" s="5"/>
    </row>
    <row r="2618" spans="2:16" ht="13.2" x14ac:dyDescent="0.25">
      <c r="B2618" s="18"/>
      <c r="C2618" s="19"/>
      <c r="D2618" s="19"/>
      <c r="O2618" s="5"/>
      <c r="P2618" s="5"/>
    </row>
    <row r="2619" spans="2:16" ht="13.2" x14ac:dyDescent="0.25">
      <c r="B2619" s="18"/>
      <c r="C2619" s="19"/>
      <c r="D2619" s="19"/>
      <c r="O2619" s="5"/>
      <c r="P2619" s="5"/>
    </row>
    <row r="2620" spans="2:16" ht="13.2" x14ac:dyDescent="0.25">
      <c r="B2620" s="18"/>
      <c r="C2620" s="19"/>
      <c r="D2620" s="19"/>
      <c r="O2620" s="5"/>
      <c r="P2620" s="5"/>
    </row>
    <row r="2621" spans="2:16" ht="13.2" x14ac:dyDescent="0.25">
      <c r="B2621" s="18"/>
      <c r="C2621" s="19"/>
      <c r="D2621" s="19"/>
      <c r="O2621" s="5"/>
      <c r="P2621" s="5"/>
    </row>
    <row r="2622" spans="2:16" ht="13.2" x14ac:dyDescent="0.25">
      <c r="B2622" s="18"/>
      <c r="C2622" s="19"/>
      <c r="D2622" s="19"/>
      <c r="O2622" s="5"/>
      <c r="P2622" s="5"/>
    </row>
    <row r="2623" spans="2:16" ht="13.2" x14ac:dyDescent="0.25">
      <c r="B2623" s="18"/>
      <c r="C2623" s="19"/>
      <c r="D2623" s="19"/>
      <c r="O2623" s="5"/>
      <c r="P2623" s="5"/>
    </row>
    <row r="2624" spans="2:16" ht="13.2" x14ac:dyDescent="0.25">
      <c r="B2624" s="18"/>
      <c r="C2624" s="19"/>
      <c r="D2624" s="19"/>
      <c r="O2624" s="5"/>
      <c r="P2624" s="5"/>
    </row>
    <row r="2625" spans="2:16" ht="13.2" x14ac:dyDescent="0.25">
      <c r="B2625" s="18"/>
      <c r="C2625" s="19"/>
      <c r="D2625" s="19"/>
      <c r="O2625" s="5"/>
      <c r="P2625" s="5"/>
    </row>
    <row r="2626" spans="2:16" ht="13.2" x14ac:dyDescent="0.25">
      <c r="B2626" s="18"/>
      <c r="C2626" s="19"/>
      <c r="D2626" s="19"/>
      <c r="O2626" s="5"/>
      <c r="P2626" s="5"/>
    </row>
    <row r="2627" spans="2:16" ht="13.2" x14ac:dyDescent="0.25">
      <c r="B2627" s="18"/>
      <c r="C2627" s="19"/>
      <c r="D2627" s="19"/>
      <c r="O2627" s="5"/>
      <c r="P2627" s="5"/>
    </row>
    <row r="2628" spans="2:16" ht="13.2" x14ac:dyDescent="0.25">
      <c r="B2628" s="18"/>
      <c r="C2628" s="19"/>
      <c r="D2628" s="19"/>
      <c r="O2628" s="5"/>
      <c r="P2628" s="5"/>
    </row>
    <row r="2629" spans="2:16" ht="13.2" x14ac:dyDescent="0.25">
      <c r="B2629" s="18"/>
      <c r="C2629" s="19"/>
      <c r="D2629" s="19"/>
      <c r="O2629" s="5"/>
      <c r="P2629" s="5"/>
    </row>
    <row r="2630" spans="2:16" ht="13.2" x14ac:dyDescent="0.25">
      <c r="B2630" s="18"/>
      <c r="C2630" s="19"/>
      <c r="D2630" s="19"/>
      <c r="O2630" s="5"/>
      <c r="P2630" s="5"/>
    </row>
    <row r="2631" spans="2:16" ht="13.2" x14ac:dyDescent="0.25">
      <c r="B2631" s="18"/>
      <c r="C2631" s="19"/>
      <c r="D2631" s="19"/>
      <c r="O2631" s="5"/>
      <c r="P2631" s="5"/>
    </row>
    <row r="2632" spans="2:16" ht="13.2" x14ac:dyDescent="0.25">
      <c r="B2632" s="18"/>
      <c r="C2632" s="19"/>
      <c r="D2632" s="19"/>
      <c r="O2632" s="5"/>
      <c r="P2632" s="5"/>
    </row>
    <row r="2633" spans="2:16" ht="13.2" x14ac:dyDescent="0.25">
      <c r="B2633" s="18"/>
      <c r="C2633" s="19"/>
      <c r="D2633" s="19"/>
      <c r="O2633" s="5"/>
      <c r="P2633" s="5"/>
    </row>
    <row r="2634" spans="2:16" ht="13.2" x14ac:dyDescent="0.25">
      <c r="B2634" s="18"/>
      <c r="C2634" s="19"/>
      <c r="D2634" s="19"/>
      <c r="O2634" s="5"/>
      <c r="P2634" s="5"/>
    </row>
    <row r="2635" spans="2:16" ht="13.2" x14ac:dyDescent="0.25">
      <c r="B2635" s="18"/>
      <c r="C2635" s="19"/>
      <c r="D2635" s="19"/>
      <c r="O2635" s="5"/>
      <c r="P2635" s="5"/>
    </row>
    <row r="2636" spans="2:16" ht="13.2" x14ac:dyDescent="0.25">
      <c r="B2636" s="18"/>
      <c r="C2636" s="19"/>
      <c r="D2636" s="19"/>
      <c r="O2636" s="5"/>
      <c r="P2636" s="5"/>
    </row>
    <row r="2637" spans="2:16" ht="13.2" x14ac:dyDescent="0.25">
      <c r="B2637" s="18"/>
      <c r="C2637" s="19"/>
      <c r="D2637" s="19"/>
      <c r="O2637" s="5"/>
      <c r="P2637" s="5"/>
    </row>
    <row r="2638" spans="2:16" ht="13.2" x14ac:dyDescent="0.25">
      <c r="B2638" s="18"/>
      <c r="C2638" s="19"/>
      <c r="D2638" s="19"/>
      <c r="O2638" s="5"/>
      <c r="P2638" s="5"/>
    </row>
    <row r="2639" spans="2:16" ht="13.2" x14ac:dyDescent="0.25">
      <c r="B2639" s="18"/>
      <c r="C2639" s="19"/>
      <c r="D2639" s="19"/>
      <c r="O2639" s="5"/>
      <c r="P2639" s="5"/>
    </row>
    <row r="2640" spans="2:16" ht="13.2" x14ac:dyDescent="0.25">
      <c r="B2640" s="18"/>
      <c r="C2640" s="19"/>
      <c r="D2640" s="19"/>
      <c r="O2640" s="5"/>
      <c r="P2640" s="5"/>
    </row>
    <row r="2641" spans="2:16" ht="13.2" x14ac:dyDescent="0.25">
      <c r="B2641" s="18"/>
      <c r="C2641" s="19"/>
      <c r="D2641" s="19"/>
      <c r="O2641" s="5"/>
      <c r="P2641" s="5"/>
    </row>
    <row r="2642" spans="2:16" ht="13.2" x14ac:dyDescent="0.25">
      <c r="B2642" s="18"/>
      <c r="C2642" s="19"/>
      <c r="D2642" s="19"/>
      <c r="O2642" s="5"/>
      <c r="P2642" s="5"/>
    </row>
    <row r="2643" spans="2:16" ht="13.2" x14ac:dyDescent="0.25">
      <c r="B2643" s="18"/>
      <c r="C2643" s="19"/>
      <c r="D2643" s="19"/>
      <c r="O2643" s="5"/>
      <c r="P2643" s="5"/>
    </row>
    <row r="2644" spans="2:16" ht="13.2" x14ac:dyDescent="0.25">
      <c r="B2644" s="18"/>
      <c r="C2644" s="19"/>
      <c r="D2644" s="19"/>
      <c r="O2644" s="5"/>
      <c r="P2644" s="5"/>
    </row>
    <row r="2645" spans="2:16" ht="13.2" x14ac:dyDescent="0.25">
      <c r="B2645" s="18"/>
      <c r="C2645" s="19"/>
      <c r="D2645" s="19"/>
      <c r="O2645" s="5"/>
      <c r="P2645" s="5"/>
    </row>
    <row r="2646" spans="2:16" ht="13.2" x14ac:dyDescent="0.25">
      <c r="B2646" s="18"/>
      <c r="C2646" s="19"/>
      <c r="D2646" s="19"/>
      <c r="O2646" s="5"/>
      <c r="P2646" s="5"/>
    </row>
    <row r="2647" spans="2:16" ht="13.2" x14ac:dyDescent="0.25">
      <c r="B2647" s="18"/>
      <c r="C2647" s="19"/>
      <c r="D2647" s="19"/>
      <c r="O2647" s="5"/>
      <c r="P2647" s="5"/>
    </row>
    <row r="2648" spans="2:16" ht="13.2" x14ac:dyDescent="0.25">
      <c r="B2648" s="18"/>
      <c r="C2648" s="19"/>
      <c r="D2648" s="19"/>
      <c r="O2648" s="5"/>
      <c r="P2648" s="5"/>
    </row>
    <row r="2649" spans="2:16" ht="13.2" x14ac:dyDescent="0.25">
      <c r="B2649" s="18"/>
      <c r="C2649" s="19"/>
      <c r="D2649" s="19"/>
      <c r="O2649" s="5"/>
      <c r="P2649" s="5"/>
    </row>
    <row r="2650" spans="2:16" ht="13.2" x14ac:dyDescent="0.25">
      <c r="B2650" s="18"/>
      <c r="C2650" s="19"/>
      <c r="D2650" s="19"/>
      <c r="O2650" s="5"/>
      <c r="P2650" s="5"/>
    </row>
    <row r="2651" spans="2:16" ht="13.2" x14ac:dyDescent="0.25">
      <c r="B2651" s="18"/>
      <c r="C2651" s="19"/>
      <c r="D2651" s="19"/>
      <c r="O2651" s="5"/>
      <c r="P2651" s="5"/>
    </row>
    <row r="2652" spans="2:16" ht="13.2" x14ac:dyDescent="0.25">
      <c r="B2652" s="18"/>
      <c r="C2652" s="19"/>
      <c r="D2652" s="19"/>
      <c r="O2652" s="5"/>
      <c r="P2652" s="5"/>
    </row>
    <row r="2653" spans="2:16" ht="13.2" x14ac:dyDescent="0.25">
      <c r="B2653" s="18"/>
      <c r="C2653" s="19"/>
      <c r="D2653" s="19"/>
      <c r="O2653" s="5"/>
      <c r="P2653" s="5"/>
    </row>
    <row r="2654" spans="2:16" ht="13.2" x14ac:dyDescent="0.25">
      <c r="B2654" s="18"/>
      <c r="C2654" s="19"/>
      <c r="D2654" s="19"/>
      <c r="O2654" s="5"/>
      <c r="P2654" s="5"/>
    </row>
    <row r="2655" spans="2:16" ht="13.2" x14ac:dyDescent="0.25">
      <c r="B2655" s="18"/>
      <c r="C2655" s="19"/>
      <c r="D2655" s="19"/>
      <c r="O2655" s="5"/>
      <c r="P2655" s="5"/>
    </row>
    <row r="2656" spans="2:16" ht="13.2" x14ac:dyDescent="0.25">
      <c r="B2656" s="18"/>
      <c r="C2656" s="19"/>
      <c r="D2656" s="19"/>
      <c r="O2656" s="5"/>
      <c r="P2656" s="5"/>
    </row>
    <row r="2657" spans="2:16" ht="13.2" x14ac:dyDescent="0.25">
      <c r="B2657" s="18"/>
      <c r="C2657" s="19"/>
      <c r="D2657" s="19"/>
      <c r="O2657" s="5"/>
      <c r="P2657" s="5"/>
    </row>
    <row r="2658" spans="2:16" ht="13.2" x14ac:dyDescent="0.25">
      <c r="B2658" s="18"/>
      <c r="C2658" s="19"/>
      <c r="D2658" s="19"/>
      <c r="O2658" s="5"/>
      <c r="P2658" s="5"/>
    </row>
    <row r="2659" spans="2:16" ht="13.2" x14ac:dyDescent="0.25">
      <c r="B2659" s="18"/>
      <c r="C2659" s="19"/>
      <c r="D2659" s="19"/>
      <c r="O2659" s="5"/>
      <c r="P2659" s="5"/>
    </row>
    <row r="2660" spans="2:16" ht="13.2" x14ac:dyDescent="0.25">
      <c r="B2660" s="18"/>
      <c r="C2660" s="19"/>
      <c r="D2660" s="19"/>
      <c r="O2660" s="5"/>
      <c r="P2660" s="5"/>
    </row>
    <row r="2661" spans="2:16" ht="13.2" x14ac:dyDescent="0.25">
      <c r="B2661" s="18"/>
      <c r="C2661" s="19"/>
      <c r="D2661" s="19"/>
      <c r="O2661" s="5"/>
      <c r="P2661" s="5"/>
    </row>
    <row r="2662" spans="2:16" ht="13.2" x14ac:dyDescent="0.25">
      <c r="B2662" s="18"/>
      <c r="C2662" s="19"/>
      <c r="D2662" s="19"/>
      <c r="O2662" s="5"/>
      <c r="P2662" s="5"/>
    </row>
    <row r="2663" spans="2:16" ht="13.2" x14ac:dyDescent="0.25">
      <c r="B2663" s="18"/>
      <c r="C2663" s="19"/>
      <c r="D2663" s="19"/>
      <c r="O2663" s="5"/>
      <c r="P2663" s="5"/>
    </row>
    <row r="2664" spans="2:16" ht="13.2" x14ac:dyDescent="0.25">
      <c r="B2664" s="18"/>
      <c r="C2664" s="19"/>
      <c r="D2664" s="19"/>
      <c r="O2664" s="5"/>
      <c r="P2664" s="5"/>
    </row>
    <row r="2665" spans="2:16" ht="13.2" x14ac:dyDescent="0.25">
      <c r="B2665" s="18"/>
      <c r="C2665" s="19"/>
      <c r="D2665" s="19"/>
      <c r="O2665" s="5"/>
      <c r="P2665" s="5"/>
    </row>
    <row r="2666" spans="2:16" ht="13.2" x14ac:dyDescent="0.25">
      <c r="B2666" s="18"/>
      <c r="C2666" s="19"/>
      <c r="D2666" s="19"/>
      <c r="O2666" s="5"/>
      <c r="P2666" s="5"/>
    </row>
    <row r="2667" spans="2:16" ht="13.2" x14ac:dyDescent="0.25">
      <c r="B2667" s="18"/>
      <c r="C2667" s="19"/>
      <c r="D2667" s="19"/>
      <c r="O2667" s="5"/>
      <c r="P2667" s="5"/>
    </row>
    <row r="2668" spans="2:16" ht="13.2" x14ac:dyDescent="0.25">
      <c r="B2668" s="18"/>
      <c r="C2668" s="19"/>
      <c r="D2668" s="19"/>
      <c r="O2668" s="5"/>
      <c r="P2668" s="5"/>
    </row>
    <row r="2669" spans="2:16" ht="13.2" x14ac:dyDescent="0.25">
      <c r="B2669" s="18"/>
      <c r="C2669" s="19"/>
      <c r="D2669" s="19"/>
      <c r="O2669" s="5"/>
      <c r="P2669" s="5"/>
    </row>
    <row r="2670" spans="2:16" ht="13.2" x14ac:dyDescent="0.25">
      <c r="B2670" s="18"/>
      <c r="C2670" s="19"/>
      <c r="D2670" s="19"/>
      <c r="O2670" s="5"/>
      <c r="P2670" s="5"/>
    </row>
    <row r="2671" spans="2:16" ht="13.2" x14ac:dyDescent="0.25">
      <c r="B2671" s="18"/>
      <c r="C2671" s="19"/>
      <c r="D2671" s="19"/>
      <c r="O2671" s="5"/>
      <c r="P2671" s="5"/>
    </row>
    <row r="2672" spans="2:16" ht="13.2" x14ac:dyDescent="0.25">
      <c r="B2672" s="18"/>
      <c r="C2672" s="19"/>
      <c r="D2672" s="19"/>
      <c r="O2672" s="5"/>
      <c r="P2672" s="5"/>
    </row>
    <row r="2673" spans="2:16" ht="13.2" x14ac:dyDescent="0.25">
      <c r="B2673" s="18"/>
      <c r="C2673" s="19"/>
      <c r="D2673" s="19"/>
      <c r="O2673" s="5"/>
      <c r="P2673" s="5"/>
    </row>
    <row r="2674" spans="2:16" ht="13.2" x14ac:dyDescent="0.25">
      <c r="B2674" s="18"/>
      <c r="C2674" s="19"/>
      <c r="D2674" s="19"/>
      <c r="O2674" s="5"/>
      <c r="P2674" s="5"/>
    </row>
    <row r="2675" spans="2:16" ht="13.2" x14ac:dyDescent="0.25">
      <c r="B2675" s="18"/>
      <c r="C2675" s="19"/>
      <c r="D2675" s="19"/>
      <c r="O2675" s="5"/>
      <c r="P2675" s="5"/>
    </row>
    <row r="2676" spans="2:16" ht="13.2" x14ac:dyDescent="0.25">
      <c r="B2676" s="18"/>
      <c r="C2676" s="19"/>
      <c r="D2676" s="19"/>
      <c r="O2676" s="5"/>
      <c r="P2676" s="5"/>
    </row>
    <row r="2677" spans="2:16" ht="13.2" x14ac:dyDescent="0.25">
      <c r="B2677" s="18"/>
      <c r="C2677" s="19"/>
      <c r="D2677" s="19"/>
      <c r="O2677" s="5"/>
      <c r="P2677" s="5"/>
    </row>
    <row r="2678" spans="2:16" ht="13.2" x14ac:dyDescent="0.25">
      <c r="B2678" s="18"/>
      <c r="C2678" s="19"/>
      <c r="D2678" s="19"/>
      <c r="O2678" s="5"/>
      <c r="P2678" s="5"/>
    </row>
    <row r="2679" spans="2:16" ht="13.2" x14ac:dyDescent="0.25">
      <c r="B2679" s="18"/>
      <c r="C2679" s="19"/>
      <c r="D2679" s="19"/>
      <c r="O2679" s="5"/>
      <c r="P2679" s="5"/>
    </row>
    <row r="2680" spans="2:16" ht="13.2" x14ac:dyDescent="0.25">
      <c r="B2680" s="18"/>
      <c r="C2680" s="19"/>
      <c r="D2680" s="19"/>
      <c r="O2680" s="5"/>
      <c r="P2680" s="5"/>
    </row>
    <row r="2681" spans="2:16" ht="13.2" x14ac:dyDescent="0.25">
      <c r="B2681" s="18"/>
      <c r="C2681" s="19"/>
      <c r="D2681" s="19"/>
      <c r="O2681" s="5"/>
      <c r="P2681" s="5"/>
    </row>
    <row r="2682" spans="2:16" ht="13.2" x14ac:dyDescent="0.25">
      <c r="B2682" s="18"/>
      <c r="C2682" s="19"/>
      <c r="D2682" s="19"/>
      <c r="O2682" s="5"/>
      <c r="P2682" s="5"/>
    </row>
    <row r="2683" spans="2:16" ht="13.2" x14ac:dyDescent="0.25">
      <c r="B2683" s="18"/>
      <c r="C2683" s="19"/>
      <c r="D2683" s="19"/>
      <c r="O2683" s="5"/>
      <c r="P2683" s="5"/>
    </row>
    <row r="2684" spans="2:16" ht="13.2" x14ac:dyDescent="0.25">
      <c r="B2684" s="18"/>
      <c r="C2684" s="19"/>
      <c r="D2684" s="19"/>
      <c r="O2684" s="5"/>
      <c r="P2684" s="5"/>
    </row>
    <row r="2685" spans="2:16" ht="13.2" x14ac:dyDescent="0.25">
      <c r="B2685" s="18"/>
      <c r="C2685" s="19"/>
      <c r="D2685" s="19"/>
      <c r="O2685" s="5"/>
      <c r="P2685" s="5"/>
    </row>
    <row r="2686" spans="2:16" ht="13.2" x14ac:dyDescent="0.25">
      <c r="B2686" s="18"/>
      <c r="C2686" s="19"/>
      <c r="D2686" s="19"/>
      <c r="O2686" s="5"/>
      <c r="P2686" s="5"/>
    </row>
    <row r="2687" spans="2:16" ht="13.2" x14ac:dyDescent="0.25">
      <c r="B2687" s="18"/>
      <c r="C2687" s="19"/>
      <c r="D2687" s="19"/>
      <c r="O2687" s="5"/>
      <c r="P2687" s="5"/>
    </row>
    <row r="2688" spans="2:16" ht="13.2" x14ac:dyDescent="0.25">
      <c r="B2688" s="18"/>
      <c r="C2688" s="19"/>
      <c r="D2688" s="19"/>
      <c r="O2688" s="5"/>
      <c r="P2688" s="5"/>
    </row>
    <row r="2689" spans="2:16" ht="13.2" x14ac:dyDescent="0.25">
      <c r="B2689" s="18"/>
      <c r="C2689" s="19"/>
      <c r="D2689" s="19"/>
      <c r="O2689" s="5"/>
      <c r="P2689" s="5"/>
    </row>
    <row r="2690" spans="2:16" ht="13.2" x14ac:dyDescent="0.25">
      <c r="B2690" s="18"/>
      <c r="C2690" s="19"/>
      <c r="D2690" s="19"/>
      <c r="O2690" s="5"/>
      <c r="P2690" s="5"/>
    </row>
    <row r="2691" spans="2:16" ht="13.2" x14ac:dyDescent="0.25">
      <c r="B2691" s="18"/>
      <c r="C2691" s="19"/>
      <c r="D2691" s="19"/>
      <c r="O2691" s="5"/>
      <c r="P2691" s="5"/>
    </row>
    <row r="2692" spans="2:16" ht="13.2" x14ac:dyDescent="0.25">
      <c r="B2692" s="18"/>
      <c r="C2692" s="19"/>
      <c r="D2692" s="19"/>
      <c r="O2692" s="5"/>
      <c r="P2692" s="5"/>
    </row>
    <row r="2693" spans="2:16" ht="13.2" x14ac:dyDescent="0.25">
      <c r="B2693" s="18"/>
      <c r="C2693" s="19"/>
      <c r="D2693" s="19"/>
      <c r="O2693" s="5"/>
      <c r="P2693" s="5"/>
    </row>
    <row r="2694" spans="2:16" ht="13.2" x14ac:dyDescent="0.25">
      <c r="B2694" s="18"/>
      <c r="C2694" s="19"/>
      <c r="D2694" s="19"/>
      <c r="O2694" s="5"/>
      <c r="P2694" s="5"/>
    </row>
    <row r="2695" spans="2:16" ht="13.2" x14ac:dyDescent="0.25">
      <c r="B2695" s="18"/>
      <c r="C2695" s="19"/>
      <c r="D2695" s="19"/>
      <c r="O2695" s="5"/>
      <c r="P2695" s="5"/>
    </row>
    <row r="2696" spans="2:16" ht="13.2" x14ac:dyDescent="0.25">
      <c r="B2696" s="18"/>
      <c r="C2696" s="19"/>
      <c r="D2696" s="19"/>
      <c r="O2696" s="5"/>
      <c r="P2696" s="5"/>
    </row>
    <row r="2697" spans="2:16" ht="13.2" x14ac:dyDescent="0.25">
      <c r="B2697" s="18"/>
      <c r="C2697" s="19"/>
      <c r="D2697" s="19"/>
      <c r="O2697" s="5"/>
      <c r="P2697" s="5"/>
    </row>
    <row r="2698" spans="2:16" ht="13.2" x14ac:dyDescent="0.25">
      <c r="B2698" s="18"/>
      <c r="C2698" s="19"/>
      <c r="D2698" s="19"/>
      <c r="O2698" s="5"/>
      <c r="P2698" s="5"/>
    </row>
    <row r="2699" spans="2:16" ht="13.2" x14ac:dyDescent="0.25">
      <c r="B2699" s="18"/>
      <c r="C2699" s="19"/>
      <c r="D2699" s="19"/>
      <c r="O2699" s="5"/>
      <c r="P2699" s="5"/>
    </row>
    <row r="2700" spans="2:16" ht="13.2" x14ac:dyDescent="0.25">
      <c r="B2700" s="18"/>
      <c r="C2700" s="19"/>
      <c r="D2700" s="19"/>
      <c r="O2700" s="5"/>
      <c r="P2700" s="5"/>
    </row>
    <row r="2701" spans="2:16" ht="13.2" x14ac:dyDescent="0.25">
      <c r="B2701" s="18"/>
      <c r="C2701" s="19"/>
      <c r="D2701" s="19"/>
      <c r="O2701" s="5"/>
      <c r="P2701" s="5"/>
    </row>
    <row r="2702" spans="2:16" ht="13.2" x14ac:dyDescent="0.25">
      <c r="B2702" s="18"/>
      <c r="C2702" s="19"/>
      <c r="D2702" s="19"/>
      <c r="O2702" s="5"/>
      <c r="P2702" s="5"/>
    </row>
    <row r="2703" spans="2:16" ht="13.2" x14ac:dyDescent="0.25">
      <c r="B2703" s="18"/>
      <c r="C2703" s="19"/>
      <c r="D2703" s="19"/>
      <c r="O2703" s="5"/>
      <c r="P2703" s="5"/>
    </row>
    <row r="2704" spans="2:16" ht="13.2" x14ac:dyDescent="0.25">
      <c r="B2704" s="18"/>
      <c r="C2704" s="19"/>
      <c r="D2704" s="19"/>
      <c r="O2704" s="5"/>
      <c r="P2704" s="5"/>
    </row>
    <row r="2705" spans="2:16" ht="13.2" x14ac:dyDescent="0.25">
      <c r="B2705" s="18"/>
      <c r="C2705" s="19"/>
      <c r="D2705" s="19"/>
      <c r="O2705" s="5"/>
      <c r="P2705" s="5"/>
    </row>
    <row r="2706" spans="2:16" ht="13.2" x14ac:dyDescent="0.25">
      <c r="B2706" s="18"/>
      <c r="C2706" s="19"/>
      <c r="D2706" s="19"/>
      <c r="O2706" s="5"/>
      <c r="P2706" s="5"/>
    </row>
    <row r="2707" spans="2:16" ht="13.2" x14ac:dyDescent="0.25">
      <c r="B2707" s="18"/>
      <c r="C2707" s="19"/>
      <c r="D2707" s="19"/>
      <c r="O2707" s="5"/>
      <c r="P2707" s="5"/>
    </row>
    <row r="2708" spans="2:16" ht="13.2" x14ac:dyDescent="0.25">
      <c r="B2708" s="18"/>
      <c r="C2708" s="19"/>
      <c r="D2708" s="19"/>
      <c r="O2708" s="5"/>
      <c r="P2708" s="5"/>
    </row>
    <row r="2709" spans="2:16" ht="13.2" x14ac:dyDescent="0.25">
      <c r="B2709" s="18"/>
      <c r="C2709" s="19"/>
      <c r="D2709" s="19"/>
      <c r="O2709" s="5"/>
      <c r="P2709" s="5"/>
    </row>
    <row r="2710" spans="2:16" ht="13.2" x14ac:dyDescent="0.25">
      <c r="B2710" s="18"/>
      <c r="C2710" s="19"/>
      <c r="D2710" s="19"/>
      <c r="O2710" s="5"/>
      <c r="P2710" s="5"/>
    </row>
    <row r="2711" spans="2:16" ht="13.2" x14ac:dyDescent="0.25">
      <c r="B2711" s="18"/>
      <c r="C2711" s="19"/>
      <c r="D2711" s="19"/>
      <c r="O2711" s="5"/>
      <c r="P2711" s="5"/>
    </row>
    <row r="2712" spans="2:16" ht="13.2" x14ac:dyDescent="0.25">
      <c r="B2712" s="18"/>
      <c r="C2712" s="19"/>
      <c r="D2712" s="19"/>
      <c r="O2712" s="5"/>
      <c r="P2712" s="5"/>
    </row>
    <row r="2713" spans="2:16" ht="13.2" x14ac:dyDescent="0.25">
      <c r="B2713" s="18"/>
      <c r="C2713" s="19"/>
      <c r="D2713" s="19"/>
      <c r="O2713" s="5"/>
      <c r="P2713" s="5"/>
    </row>
    <row r="2714" spans="2:16" ht="13.2" x14ac:dyDescent="0.25">
      <c r="B2714" s="18"/>
      <c r="C2714" s="19"/>
      <c r="D2714" s="19"/>
      <c r="O2714" s="5"/>
      <c r="P2714" s="5"/>
    </row>
    <row r="2715" spans="2:16" ht="13.2" x14ac:dyDescent="0.25">
      <c r="B2715" s="18"/>
      <c r="C2715" s="19"/>
      <c r="D2715" s="19"/>
      <c r="O2715" s="5"/>
      <c r="P2715" s="5"/>
    </row>
    <row r="2716" spans="2:16" ht="13.2" x14ac:dyDescent="0.25">
      <c r="B2716" s="18"/>
      <c r="C2716" s="19"/>
      <c r="D2716" s="19"/>
      <c r="O2716" s="5"/>
      <c r="P2716" s="5"/>
    </row>
    <row r="2717" spans="2:16" ht="13.2" x14ac:dyDescent="0.25">
      <c r="B2717" s="18"/>
      <c r="C2717" s="19"/>
      <c r="D2717" s="19"/>
      <c r="O2717" s="5"/>
      <c r="P2717" s="5"/>
    </row>
    <row r="2718" spans="2:16" ht="13.2" x14ac:dyDescent="0.25">
      <c r="B2718" s="18"/>
      <c r="C2718" s="19"/>
      <c r="D2718" s="19"/>
      <c r="O2718" s="5"/>
      <c r="P2718" s="5"/>
    </row>
    <row r="2719" spans="2:16" ht="13.2" x14ac:dyDescent="0.25">
      <c r="B2719" s="18"/>
      <c r="C2719" s="19"/>
      <c r="D2719" s="19"/>
      <c r="O2719" s="5"/>
      <c r="P2719" s="5"/>
    </row>
    <row r="2720" spans="2:16" ht="13.2" x14ac:dyDescent="0.25">
      <c r="B2720" s="18"/>
      <c r="C2720" s="19"/>
      <c r="D2720" s="19"/>
      <c r="O2720" s="5"/>
      <c r="P2720" s="5"/>
    </row>
    <row r="2721" spans="2:16" ht="13.2" x14ac:dyDescent="0.25">
      <c r="B2721" s="18"/>
      <c r="C2721" s="19"/>
      <c r="D2721" s="19"/>
      <c r="O2721" s="5"/>
      <c r="P2721" s="5"/>
    </row>
    <row r="2722" spans="2:16" ht="13.2" x14ac:dyDescent="0.25">
      <c r="B2722" s="18"/>
      <c r="C2722" s="19"/>
      <c r="D2722" s="19"/>
      <c r="O2722" s="5"/>
      <c r="P2722" s="5"/>
    </row>
    <row r="2723" spans="2:16" ht="13.2" x14ac:dyDescent="0.25">
      <c r="B2723" s="18"/>
      <c r="C2723" s="19"/>
      <c r="D2723" s="19"/>
      <c r="O2723" s="5"/>
      <c r="P2723" s="5"/>
    </row>
    <row r="2724" spans="2:16" ht="13.2" x14ac:dyDescent="0.25">
      <c r="B2724" s="18"/>
      <c r="C2724" s="19"/>
      <c r="D2724" s="19"/>
      <c r="O2724" s="5"/>
      <c r="P2724" s="5"/>
    </row>
    <row r="2725" spans="2:16" ht="13.2" x14ac:dyDescent="0.25">
      <c r="B2725" s="18"/>
      <c r="C2725" s="19"/>
      <c r="D2725" s="19"/>
      <c r="O2725" s="5"/>
      <c r="P2725" s="5"/>
    </row>
    <row r="2726" spans="2:16" ht="13.2" x14ac:dyDescent="0.25">
      <c r="B2726" s="18"/>
      <c r="C2726" s="19"/>
      <c r="D2726" s="19"/>
      <c r="O2726" s="5"/>
      <c r="P2726" s="5"/>
    </row>
    <row r="2727" spans="2:16" ht="13.2" x14ac:dyDescent="0.25">
      <c r="B2727" s="18"/>
      <c r="C2727" s="19"/>
      <c r="D2727" s="19"/>
      <c r="O2727" s="5"/>
      <c r="P2727" s="5"/>
    </row>
    <row r="2728" spans="2:16" ht="13.2" x14ac:dyDescent="0.25">
      <c r="B2728" s="18"/>
      <c r="C2728" s="19"/>
      <c r="D2728" s="19"/>
      <c r="O2728" s="5"/>
      <c r="P2728" s="5"/>
    </row>
    <row r="2729" spans="2:16" ht="13.2" x14ac:dyDescent="0.25">
      <c r="B2729" s="18"/>
      <c r="C2729" s="19"/>
      <c r="D2729" s="19"/>
      <c r="O2729" s="5"/>
      <c r="P2729" s="5"/>
    </row>
    <row r="2730" spans="2:16" ht="13.2" x14ac:dyDescent="0.25">
      <c r="B2730" s="18"/>
      <c r="C2730" s="19"/>
      <c r="D2730" s="19"/>
      <c r="O2730" s="5"/>
      <c r="P2730" s="5"/>
    </row>
    <row r="2731" spans="2:16" ht="13.2" x14ac:dyDescent="0.25">
      <c r="B2731" s="18"/>
      <c r="C2731" s="19"/>
      <c r="D2731" s="19"/>
      <c r="O2731" s="5"/>
      <c r="P2731" s="5"/>
    </row>
    <row r="2732" spans="2:16" ht="13.2" x14ac:dyDescent="0.25">
      <c r="B2732" s="18"/>
      <c r="C2732" s="19"/>
      <c r="D2732" s="19"/>
      <c r="O2732" s="5"/>
      <c r="P2732" s="5"/>
    </row>
    <row r="2733" spans="2:16" ht="13.2" x14ac:dyDescent="0.25">
      <c r="B2733" s="18"/>
      <c r="C2733" s="19"/>
      <c r="D2733" s="19"/>
      <c r="O2733" s="5"/>
      <c r="P2733" s="5"/>
    </row>
    <row r="2734" spans="2:16" ht="13.2" x14ac:dyDescent="0.25">
      <c r="B2734" s="18"/>
      <c r="C2734" s="19"/>
      <c r="D2734" s="19"/>
      <c r="O2734" s="5"/>
      <c r="P2734" s="5"/>
    </row>
    <row r="2735" spans="2:16" ht="13.2" x14ac:dyDescent="0.25">
      <c r="B2735" s="18"/>
      <c r="C2735" s="19"/>
      <c r="D2735" s="19"/>
      <c r="O2735" s="5"/>
      <c r="P2735" s="5"/>
    </row>
    <row r="2736" spans="2:16" ht="13.2" x14ac:dyDescent="0.25">
      <c r="B2736" s="18"/>
      <c r="C2736" s="19"/>
      <c r="D2736" s="19"/>
      <c r="O2736" s="5"/>
      <c r="P2736" s="5"/>
    </row>
    <row r="2737" spans="2:16" ht="13.2" x14ac:dyDescent="0.25">
      <c r="B2737" s="18"/>
      <c r="C2737" s="19"/>
      <c r="D2737" s="19"/>
      <c r="O2737" s="5"/>
      <c r="P2737" s="5"/>
    </row>
    <row r="2738" spans="2:16" ht="13.2" x14ac:dyDescent="0.25">
      <c r="B2738" s="18"/>
      <c r="C2738" s="19"/>
      <c r="D2738" s="19"/>
      <c r="O2738" s="5"/>
      <c r="P2738" s="5"/>
    </row>
    <row r="2739" spans="2:16" ht="13.2" x14ac:dyDescent="0.25">
      <c r="B2739" s="18"/>
      <c r="C2739" s="19"/>
      <c r="D2739" s="19"/>
      <c r="O2739" s="5"/>
      <c r="P2739" s="5"/>
    </row>
    <row r="2740" spans="2:16" ht="13.2" x14ac:dyDescent="0.25">
      <c r="B2740" s="18"/>
      <c r="C2740" s="19"/>
      <c r="D2740" s="19"/>
      <c r="O2740" s="5"/>
      <c r="P2740" s="5"/>
    </row>
    <row r="2741" spans="2:16" ht="13.2" x14ac:dyDescent="0.25">
      <c r="B2741" s="18"/>
      <c r="C2741" s="19"/>
      <c r="D2741" s="19"/>
      <c r="O2741" s="5"/>
      <c r="P2741" s="5"/>
    </row>
    <row r="2742" spans="2:16" ht="13.2" x14ac:dyDescent="0.25">
      <c r="B2742" s="18"/>
      <c r="C2742" s="19"/>
      <c r="D2742" s="19"/>
      <c r="O2742" s="5"/>
      <c r="P2742" s="5"/>
    </row>
    <row r="2743" spans="2:16" ht="13.2" x14ac:dyDescent="0.25">
      <c r="B2743" s="18"/>
      <c r="C2743" s="19"/>
      <c r="D2743" s="19"/>
      <c r="O2743" s="5"/>
      <c r="P2743" s="5"/>
    </row>
    <row r="2744" spans="2:16" ht="13.2" x14ac:dyDescent="0.25">
      <c r="B2744" s="18"/>
      <c r="C2744" s="19"/>
      <c r="D2744" s="19"/>
      <c r="O2744" s="5"/>
      <c r="P2744" s="5"/>
    </row>
    <row r="2745" spans="2:16" ht="13.2" x14ac:dyDescent="0.25">
      <c r="B2745" s="18"/>
      <c r="C2745" s="19"/>
      <c r="D2745" s="19"/>
      <c r="O2745" s="5"/>
      <c r="P2745" s="5"/>
    </row>
    <row r="2746" spans="2:16" ht="13.2" x14ac:dyDescent="0.25">
      <c r="B2746" s="18"/>
      <c r="C2746" s="19"/>
      <c r="D2746" s="19"/>
      <c r="O2746" s="5"/>
      <c r="P2746" s="5"/>
    </row>
    <row r="2747" spans="2:16" ht="13.2" x14ac:dyDescent="0.25">
      <c r="B2747" s="18"/>
      <c r="C2747" s="19"/>
      <c r="D2747" s="19"/>
      <c r="O2747" s="5"/>
      <c r="P2747" s="5"/>
    </row>
    <row r="2748" spans="2:16" ht="13.2" x14ac:dyDescent="0.25">
      <c r="B2748" s="18"/>
      <c r="C2748" s="19"/>
      <c r="D2748" s="19"/>
      <c r="O2748" s="5"/>
      <c r="P2748" s="5"/>
    </row>
    <row r="2749" spans="2:16" ht="13.2" x14ac:dyDescent="0.25">
      <c r="B2749" s="18"/>
      <c r="C2749" s="19"/>
      <c r="D2749" s="19"/>
      <c r="O2749" s="5"/>
      <c r="P2749" s="5"/>
    </row>
    <row r="2750" spans="2:16" ht="13.2" x14ac:dyDescent="0.25">
      <c r="B2750" s="18"/>
      <c r="C2750" s="19"/>
      <c r="D2750" s="19"/>
      <c r="O2750" s="5"/>
      <c r="P2750" s="5"/>
    </row>
    <row r="2751" spans="2:16" ht="13.2" x14ac:dyDescent="0.25">
      <c r="B2751" s="18"/>
      <c r="C2751" s="19"/>
      <c r="D2751" s="19"/>
      <c r="O2751" s="5"/>
      <c r="P2751" s="5"/>
    </row>
    <row r="2752" spans="2:16" ht="13.2" x14ac:dyDescent="0.25">
      <c r="B2752" s="18"/>
      <c r="C2752" s="19"/>
      <c r="D2752" s="19"/>
      <c r="O2752" s="5"/>
      <c r="P2752" s="5"/>
    </row>
    <row r="2753" spans="2:16" ht="13.2" x14ac:dyDescent="0.25">
      <c r="B2753" s="18"/>
      <c r="C2753" s="19"/>
      <c r="D2753" s="19"/>
      <c r="O2753" s="5"/>
      <c r="P2753" s="5"/>
    </row>
    <row r="2754" spans="2:16" ht="13.2" x14ac:dyDescent="0.25">
      <c r="B2754" s="18"/>
      <c r="C2754" s="19"/>
      <c r="D2754" s="19"/>
      <c r="O2754" s="5"/>
      <c r="P2754" s="5"/>
    </row>
    <row r="2755" spans="2:16" ht="13.2" x14ac:dyDescent="0.25">
      <c r="B2755" s="18"/>
      <c r="C2755" s="19"/>
      <c r="D2755" s="19"/>
      <c r="O2755" s="5"/>
      <c r="P2755" s="5"/>
    </row>
    <row r="2756" spans="2:16" ht="13.2" x14ac:dyDescent="0.25">
      <c r="B2756" s="18"/>
      <c r="C2756" s="19"/>
      <c r="D2756" s="19"/>
      <c r="O2756" s="5"/>
      <c r="P2756" s="5"/>
    </row>
    <row r="2757" spans="2:16" ht="13.2" x14ac:dyDescent="0.25">
      <c r="B2757" s="18"/>
      <c r="C2757" s="19"/>
      <c r="D2757" s="19"/>
      <c r="O2757" s="5"/>
      <c r="P2757" s="5"/>
    </row>
    <row r="2758" spans="2:16" ht="13.2" x14ac:dyDescent="0.25">
      <c r="B2758" s="18"/>
      <c r="C2758" s="19"/>
      <c r="D2758" s="19"/>
      <c r="O2758" s="5"/>
      <c r="P2758" s="5"/>
    </row>
    <row r="2759" spans="2:16" ht="13.2" x14ac:dyDescent="0.25">
      <c r="B2759" s="18"/>
      <c r="C2759" s="19"/>
      <c r="D2759" s="19"/>
      <c r="O2759" s="5"/>
      <c r="P2759" s="5"/>
    </row>
    <row r="2760" spans="2:16" ht="13.2" x14ac:dyDescent="0.25">
      <c r="B2760" s="18"/>
      <c r="C2760" s="19"/>
      <c r="D2760" s="19"/>
      <c r="O2760" s="5"/>
      <c r="P2760" s="5"/>
    </row>
    <row r="2761" spans="2:16" ht="13.2" x14ac:dyDescent="0.25">
      <c r="B2761" s="18"/>
      <c r="C2761" s="19"/>
      <c r="D2761" s="19"/>
      <c r="O2761" s="5"/>
      <c r="P2761" s="5"/>
    </row>
    <row r="2762" spans="2:16" ht="13.2" x14ac:dyDescent="0.25">
      <c r="B2762" s="18"/>
      <c r="C2762" s="19"/>
      <c r="D2762" s="19"/>
      <c r="O2762" s="5"/>
      <c r="P2762" s="5"/>
    </row>
    <row r="2763" spans="2:16" ht="13.2" x14ac:dyDescent="0.25">
      <c r="B2763" s="18"/>
      <c r="C2763" s="19"/>
      <c r="D2763" s="19"/>
      <c r="O2763" s="5"/>
      <c r="P2763" s="5"/>
    </row>
    <row r="2764" spans="2:16" ht="13.2" x14ac:dyDescent="0.25">
      <c r="B2764" s="18"/>
      <c r="C2764" s="19"/>
      <c r="D2764" s="19"/>
      <c r="O2764" s="5"/>
      <c r="P2764" s="5"/>
    </row>
    <row r="2765" spans="2:16" ht="13.2" x14ac:dyDescent="0.25">
      <c r="B2765" s="18"/>
      <c r="C2765" s="19"/>
      <c r="D2765" s="19"/>
      <c r="O2765" s="5"/>
      <c r="P2765" s="5"/>
    </row>
    <row r="2766" spans="2:16" ht="13.2" x14ac:dyDescent="0.25">
      <c r="B2766" s="18"/>
      <c r="C2766" s="19"/>
      <c r="D2766" s="19"/>
      <c r="O2766" s="5"/>
      <c r="P2766" s="5"/>
    </row>
    <row r="2767" spans="2:16" ht="13.2" x14ac:dyDescent="0.25">
      <c r="B2767" s="18"/>
      <c r="C2767" s="19"/>
      <c r="D2767" s="19"/>
      <c r="O2767" s="5"/>
      <c r="P2767" s="5"/>
    </row>
    <row r="2768" spans="2:16" ht="13.2" x14ac:dyDescent="0.25">
      <c r="B2768" s="18"/>
      <c r="C2768" s="19"/>
      <c r="D2768" s="19"/>
      <c r="O2768" s="5"/>
      <c r="P2768" s="5"/>
    </row>
    <row r="2769" spans="2:16" ht="13.2" x14ac:dyDescent="0.25">
      <c r="B2769" s="18"/>
      <c r="C2769" s="19"/>
      <c r="D2769" s="19"/>
      <c r="O2769" s="5"/>
      <c r="P2769" s="5"/>
    </row>
    <row r="2770" spans="2:16" ht="13.2" x14ac:dyDescent="0.25">
      <c r="B2770" s="18"/>
      <c r="C2770" s="19"/>
      <c r="D2770" s="19"/>
      <c r="O2770" s="5"/>
      <c r="P2770" s="5"/>
    </row>
    <row r="2771" spans="2:16" ht="13.2" x14ac:dyDescent="0.25">
      <c r="B2771" s="18"/>
      <c r="C2771" s="19"/>
      <c r="D2771" s="19"/>
      <c r="O2771" s="5"/>
      <c r="P2771" s="5"/>
    </row>
    <row r="2772" spans="2:16" ht="13.2" x14ac:dyDescent="0.25">
      <c r="B2772" s="18"/>
      <c r="C2772" s="19"/>
      <c r="D2772" s="19"/>
      <c r="O2772" s="5"/>
      <c r="P2772" s="5"/>
    </row>
    <row r="2773" spans="2:16" ht="13.2" x14ac:dyDescent="0.25">
      <c r="B2773" s="18"/>
      <c r="C2773" s="19"/>
      <c r="D2773" s="19"/>
      <c r="O2773" s="5"/>
      <c r="P2773" s="5"/>
    </row>
    <row r="2774" spans="2:16" ht="13.2" x14ac:dyDescent="0.25">
      <c r="B2774" s="18"/>
      <c r="C2774" s="19"/>
      <c r="D2774" s="19"/>
      <c r="O2774" s="5"/>
      <c r="P2774" s="5"/>
    </row>
    <row r="2775" spans="2:16" ht="13.2" x14ac:dyDescent="0.25">
      <c r="B2775" s="18"/>
      <c r="C2775" s="19"/>
      <c r="D2775" s="19"/>
      <c r="O2775" s="5"/>
      <c r="P2775" s="5"/>
    </row>
    <row r="2776" spans="2:16" ht="13.2" x14ac:dyDescent="0.25">
      <c r="B2776" s="18"/>
      <c r="C2776" s="19"/>
      <c r="D2776" s="19"/>
      <c r="O2776" s="5"/>
      <c r="P2776" s="5"/>
    </row>
    <row r="2777" spans="2:16" ht="13.2" x14ac:dyDescent="0.25">
      <c r="B2777" s="18"/>
      <c r="C2777" s="19"/>
      <c r="D2777" s="19"/>
      <c r="O2777" s="5"/>
      <c r="P2777" s="5"/>
    </row>
    <row r="2778" spans="2:16" ht="13.2" x14ac:dyDescent="0.25">
      <c r="B2778" s="18"/>
      <c r="C2778" s="19"/>
      <c r="D2778" s="19"/>
      <c r="O2778" s="5"/>
      <c r="P2778" s="5"/>
    </row>
    <row r="2779" spans="2:16" ht="13.2" x14ac:dyDescent="0.25">
      <c r="B2779" s="18"/>
      <c r="C2779" s="19"/>
      <c r="D2779" s="19"/>
      <c r="O2779" s="5"/>
      <c r="P2779" s="5"/>
    </row>
    <row r="2780" spans="2:16" ht="13.2" x14ac:dyDescent="0.25">
      <c r="B2780" s="18"/>
      <c r="C2780" s="19"/>
      <c r="D2780" s="19"/>
      <c r="O2780" s="5"/>
      <c r="P2780" s="5"/>
    </row>
    <row r="2781" spans="2:16" ht="13.2" x14ac:dyDescent="0.25">
      <c r="B2781" s="18"/>
      <c r="C2781" s="19"/>
      <c r="D2781" s="19"/>
      <c r="O2781" s="5"/>
      <c r="P2781" s="5"/>
    </row>
    <row r="2782" spans="2:16" ht="13.2" x14ac:dyDescent="0.25">
      <c r="B2782" s="18"/>
      <c r="C2782" s="19"/>
      <c r="D2782" s="19"/>
      <c r="O2782" s="5"/>
      <c r="P2782" s="5"/>
    </row>
    <row r="2783" spans="2:16" ht="13.2" x14ac:dyDescent="0.25">
      <c r="B2783" s="18"/>
      <c r="C2783" s="19"/>
      <c r="D2783" s="19"/>
      <c r="O2783" s="5"/>
      <c r="P2783" s="5"/>
    </row>
    <row r="2784" spans="2:16" ht="13.2" x14ac:dyDescent="0.25">
      <c r="B2784" s="18"/>
      <c r="C2784" s="19"/>
      <c r="D2784" s="19"/>
      <c r="O2784" s="5"/>
      <c r="P2784" s="5"/>
    </row>
    <row r="2785" spans="2:16" ht="13.2" x14ac:dyDescent="0.25">
      <c r="B2785" s="18"/>
      <c r="C2785" s="19"/>
      <c r="D2785" s="19"/>
      <c r="O2785" s="5"/>
      <c r="P2785" s="5"/>
    </row>
    <row r="2786" spans="2:16" ht="13.2" x14ac:dyDescent="0.25">
      <c r="B2786" s="18"/>
      <c r="C2786" s="19"/>
      <c r="D2786" s="19"/>
      <c r="O2786" s="5"/>
      <c r="P2786" s="5"/>
    </row>
    <row r="2787" spans="2:16" ht="13.2" x14ac:dyDescent="0.25">
      <c r="B2787" s="18"/>
      <c r="C2787" s="19"/>
      <c r="D2787" s="19"/>
      <c r="O2787" s="5"/>
      <c r="P2787" s="5"/>
    </row>
    <row r="2788" spans="2:16" ht="13.2" x14ac:dyDescent="0.25">
      <c r="B2788" s="18"/>
      <c r="C2788" s="19"/>
      <c r="D2788" s="19"/>
      <c r="O2788" s="5"/>
      <c r="P2788" s="5"/>
    </row>
    <row r="2789" spans="2:16" ht="13.2" x14ac:dyDescent="0.25">
      <c r="B2789" s="18"/>
      <c r="C2789" s="19"/>
      <c r="D2789" s="19"/>
      <c r="O2789" s="5"/>
      <c r="P2789" s="5"/>
    </row>
    <row r="2790" spans="2:16" ht="13.2" x14ac:dyDescent="0.25">
      <c r="B2790" s="18"/>
      <c r="C2790" s="19"/>
      <c r="D2790" s="19"/>
      <c r="O2790" s="5"/>
      <c r="P2790" s="5"/>
    </row>
    <row r="2791" spans="2:16" ht="13.2" x14ac:dyDescent="0.25">
      <c r="B2791" s="18"/>
      <c r="C2791" s="19"/>
      <c r="D2791" s="19"/>
      <c r="O2791" s="5"/>
      <c r="P2791" s="5"/>
    </row>
    <row r="2792" spans="2:16" ht="13.2" x14ac:dyDescent="0.25">
      <c r="B2792" s="18"/>
      <c r="C2792" s="19"/>
      <c r="D2792" s="19"/>
      <c r="O2792" s="5"/>
      <c r="P2792" s="5"/>
    </row>
    <row r="2793" spans="2:16" ht="13.2" x14ac:dyDescent="0.25">
      <c r="B2793" s="18"/>
      <c r="C2793" s="19"/>
      <c r="D2793" s="19"/>
      <c r="O2793" s="5"/>
      <c r="P2793" s="5"/>
    </row>
    <row r="2794" spans="2:16" ht="13.2" x14ac:dyDescent="0.25">
      <c r="B2794" s="18"/>
      <c r="C2794" s="19"/>
      <c r="D2794" s="19"/>
      <c r="O2794" s="5"/>
      <c r="P2794" s="5"/>
    </row>
    <row r="2795" spans="2:16" ht="13.2" x14ac:dyDescent="0.25">
      <c r="B2795" s="18"/>
      <c r="C2795" s="19"/>
      <c r="D2795" s="19"/>
      <c r="O2795" s="5"/>
      <c r="P2795" s="5"/>
    </row>
    <row r="2796" spans="2:16" ht="13.2" x14ac:dyDescent="0.25">
      <c r="B2796" s="18"/>
      <c r="C2796" s="19"/>
      <c r="D2796" s="19"/>
      <c r="O2796" s="5"/>
      <c r="P2796" s="5"/>
    </row>
    <row r="2797" spans="2:16" ht="13.2" x14ac:dyDescent="0.25">
      <c r="B2797" s="18"/>
      <c r="C2797" s="19"/>
      <c r="D2797" s="19"/>
      <c r="O2797" s="5"/>
      <c r="P2797" s="5"/>
    </row>
    <row r="2798" spans="2:16" ht="13.2" x14ac:dyDescent="0.25">
      <c r="B2798" s="18"/>
      <c r="C2798" s="19"/>
      <c r="D2798" s="19"/>
      <c r="O2798" s="5"/>
      <c r="P2798" s="5"/>
    </row>
    <row r="2799" spans="2:16" ht="13.2" x14ac:dyDescent="0.25">
      <c r="B2799" s="18"/>
      <c r="C2799" s="19"/>
      <c r="D2799" s="19"/>
      <c r="O2799" s="5"/>
      <c r="P2799" s="5"/>
    </row>
    <row r="2800" spans="2:16" ht="13.2" x14ac:dyDescent="0.25">
      <c r="B2800" s="18"/>
      <c r="C2800" s="19"/>
      <c r="D2800" s="19"/>
      <c r="O2800" s="5"/>
      <c r="P2800" s="5"/>
    </row>
    <row r="2801" spans="2:16" ht="13.2" x14ac:dyDescent="0.25">
      <c r="B2801" s="18"/>
      <c r="C2801" s="19"/>
      <c r="D2801" s="19"/>
      <c r="O2801" s="5"/>
      <c r="P2801" s="5"/>
    </row>
    <row r="2802" spans="2:16" ht="13.2" x14ac:dyDescent="0.25">
      <c r="B2802" s="18"/>
      <c r="C2802" s="19"/>
      <c r="D2802" s="19"/>
      <c r="O2802" s="5"/>
      <c r="P2802" s="5"/>
    </row>
    <row r="2803" spans="2:16" ht="13.2" x14ac:dyDescent="0.25">
      <c r="B2803" s="18"/>
      <c r="C2803" s="19"/>
      <c r="D2803" s="19"/>
      <c r="O2803" s="5"/>
      <c r="P2803" s="5"/>
    </row>
    <row r="2804" spans="2:16" ht="13.2" x14ac:dyDescent="0.25">
      <c r="B2804" s="18"/>
      <c r="C2804" s="19"/>
      <c r="D2804" s="19"/>
      <c r="O2804" s="5"/>
      <c r="P2804" s="5"/>
    </row>
    <row r="2805" spans="2:16" ht="13.2" x14ac:dyDescent="0.25">
      <c r="B2805" s="18"/>
      <c r="C2805" s="19"/>
      <c r="D2805" s="19"/>
      <c r="O2805" s="5"/>
      <c r="P2805" s="5"/>
    </row>
    <row r="2806" spans="2:16" ht="13.2" x14ac:dyDescent="0.25">
      <c r="B2806" s="18"/>
      <c r="C2806" s="19"/>
      <c r="D2806" s="19"/>
      <c r="O2806" s="5"/>
      <c r="P2806" s="5"/>
    </row>
    <row r="2807" spans="2:16" ht="13.2" x14ac:dyDescent="0.25">
      <c r="B2807" s="18"/>
      <c r="C2807" s="19"/>
      <c r="D2807" s="19"/>
      <c r="O2807" s="5"/>
      <c r="P2807" s="5"/>
    </row>
    <row r="2808" spans="2:16" ht="13.2" x14ac:dyDescent="0.25">
      <c r="B2808" s="18"/>
      <c r="C2808" s="19"/>
      <c r="D2808" s="19"/>
      <c r="O2808" s="5"/>
      <c r="P2808" s="5"/>
    </row>
    <row r="2809" spans="2:16" ht="13.2" x14ac:dyDescent="0.25">
      <c r="B2809" s="18"/>
      <c r="C2809" s="19"/>
      <c r="D2809" s="19"/>
      <c r="O2809" s="5"/>
      <c r="P2809" s="5"/>
    </row>
    <row r="2810" spans="2:16" ht="13.2" x14ac:dyDescent="0.25">
      <c r="B2810" s="18"/>
      <c r="C2810" s="19"/>
      <c r="D2810" s="19"/>
      <c r="O2810" s="5"/>
      <c r="P2810" s="5"/>
    </row>
    <row r="2811" spans="2:16" ht="13.2" x14ac:dyDescent="0.25">
      <c r="B2811" s="18"/>
      <c r="C2811" s="19"/>
      <c r="D2811" s="19"/>
      <c r="O2811" s="5"/>
      <c r="P2811" s="5"/>
    </row>
    <row r="2812" spans="2:16" ht="13.2" x14ac:dyDescent="0.25">
      <c r="B2812" s="18"/>
      <c r="C2812" s="19"/>
      <c r="D2812" s="19"/>
      <c r="O2812" s="5"/>
      <c r="P2812" s="5"/>
    </row>
    <row r="2813" spans="2:16" ht="13.2" x14ac:dyDescent="0.25">
      <c r="B2813" s="18"/>
      <c r="C2813" s="19"/>
      <c r="D2813" s="19"/>
      <c r="O2813" s="5"/>
      <c r="P2813" s="5"/>
    </row>
    <row r="2814" spans="2:16" ht="13.2" x14ac:dyDescent="0.25">
      <c r="B2814" s="18"/>
      <c r="C2814" s="19"/>
      <c r="D2814" s="19"/>
      <c r="O2814" s="5"/>
      <c r="P2814" s="5"/>
    </row>
    <row r="2815" spans="2:16" ht="13.2" x14ac:dyDescent="0.25">
      <c r="B2815" s="18"/>
      <c r="C2815" s="19"/>
      <c r="D2815" s="19"/>
      <c r="O2815" s="5"/>
      <c r="P2815" s="5"/>
    </row>
    <row r="2816" spans="2:16" ht="13.2" x14ac:dyDescent="0.25">
      <c r="B2816" s="18"/>
      <c r="C2816" s="19"/>
      <c r="D2816" s="19"/>
      <c r="O2816" s="5"/>
      <c r="P2816" s="5"/>
    </row>
    <row r="2817" spans="2:16" ht="13.2" x14ac:dyDescent="0.25">
      <c r="B2817" s="18"/>
      <c r="C2817" s="19"/>
      <c r="D2817" s="19"/>
      <c r="O2817" s="5"/>
      <c r="P2817" s="5"/>
    </row>
    <row r="2818" spans="2:16" ht="13.2" x14ac:dyDescent="0.25">
      <c r="B2818" s="18"/>
      <c r="C2818" s="19"/>
      <c r="D2818" s="19"/>
      <c r="O2818" s="5"/>
      <c r="P2818" s="5"/>
    </row>
    <row r="2819" spans="2:16" ht="13.2" x14ac:dyDescent="0.25">
      <c r="B2819" s="18"/>
      <c r="C2819" s="19"/>
      <c r="D2819" s="19"/>
      <c r="O2819" s="5"/>
      <c r="P2819" s="5"/>
    </row>
    <row r="2820" spans="2:16" ht="13.2" x14ac:dyDescent="0.25">
      <c r="B2820" s="18"/>
      <c r="C2820" s="19"/>
      <c r="D2820" s="19"/>
      <c r="O2820" s="5"/>
      <c r="P2820" s="5"/>
    </row>
    <row r="2821" spans="2:16" ht="13.2" x14ac:dyDescent="0.25">
      <c r="B2821" s="18"/>
      <c r="C2821" s="19"/>
      <c r="D2821" s="19"/>
      <c r="O2821" s="5"/>
      <c r="P2821" s="5"/>
    </row>
    <row r="2822" spans="2:16" ht="13.2" x14ac:dyDescent="0.25">
      <c r="B2822" s="18"/>
      <c r="C2822" s="19"/>
      <c r="D2822" s="19"/>
      <c r="O2822" s="5"/>
      <c r="P2822" s="5"/>
    </row>
    <row r="2823" spans="2:16" ht="13.2" x14ac:dyDescent="0.25">
      <c r="B2823" s="18"/>
      <c r="C2823" s="19"/>
      <c r="D2823" s="19"/>
      <c r="O2823" s="5"/>
      <c r="P2823" s="5"/>
    </row>
    <row r="2824" spans="2:16" ht="13.2" x14ac:dyDescent="0.25">
      <c r="B2824" s="18"/>
      <c r="C2824" s="19"/>
      <c r="D2824" s="19"/>
      <c r="O2824" s="5"/>
      <c r="P2824" s="5"/>
    </row>
    <row r="2825" spans="2:16" ht="13.2" x14ac:dyDescent="0.25">
      <c r="B2825" s="18"/>
      <c r="C2825" s="19"/>
      <c r="D2825" s="19"/>
      <c r="O2825" s="5"/>
      <c r="P2825" s="5"/>
    </row>
    <row r="2826" spans="2:16" ht="13.2" x14ac:dyDescent="0.25">
      <c r="B2826" s="18"/>
      <c r="C2826" s="19"/>
      <c r="D2826" s="19"/>
      <c r="O2826" s="5"/>
      <c r="P2826" s="5"/>
    </row>
    <row r="2827" spans="2:16" ht="13.2" x14ac:dyDescent="0.25">
      <c r="B2827" s="18"/>
      <c r="C2827" s="19"/>
      <c r="D2827" s="19"/>
      <c r="O2827" s="5"/>
      <c r="P2827" s="5"/>
    </row>
    <row r="2828" spans="2:16" ht="13.2" x14ac:dyDescent="0.25">
      <c r="B2828" s="18"/>
      <c r="C2828" s="19"/>
      <c r="D2828" s="19"/>
      <c r="O2828" s="5"/>
      <c r="P2828" s="5"/>
    </row>
    <row r="2829" spans="2:16" ht="13.2" x14ac:dyDescent="0.25">
      <c r="B2829" s="18"/>
      <c r="C2829" s="19"/>
      <c r="D2829" s="19"/>
      <c r="O2829" s="5"/>
      <c r="P2829" s="5"/>
    </row>
    <row r="2830" spans="2:16" ht="13.2" x14ac:dyDescent="0.25">
      <c r="B2830" s="18"/>
      <c r="C2830" s="19"/>
      <c r="D2830" s="19"/>
      <c r="O2830" s="5"/>
      <c r="P2830" s="5"/>
    </row>
    <row r="2831" spans="2:16" ht="13.2" x14ac:dyDescent="0.25">
      <c r="B2831" s="18"/>
      <c r="C2831" s="19"/>
      <c r="D2831" s="19"/>
      <c r="O2831" s="5"/>
      <c r="P2831" s="5"/>
    </row>
    <row r="2832" spans="2:16" ht="13.2" x14ac:dyDescent="0.25">
      <c r="B2832" s="18"/>
      <c r="C2832" s="19"/>
      <c r="D2832" s="19"/>
      <c r="O2832" s="5"/>
      <c r="P2832" s="5"/>
    </row>
    <row r="2833" spans="2:16" ht="13.2" x14ac:dyDescent="0.25">
      <c r="B2833" s="18"/>
      <c r="C2833" s="19"/>
      <c r="D2833" s="19"/>
      <c r="O2833" s="5"/>
      <c r="P2833" s="5"/>
    </row>
    <row r="2834" spans="2:16" ht="13.2" x14ac:dyDescent="0.25">
      <c r="B2834" s="18"/>
      <c r="C2834" s="19"/>
      <c r="D2834" s="19"/>
      <c r="O2834" s="5"/>
      <c r="P2834" s="5"/>
    </row>
    <row r="2835" spans="2:16" ht="13.2" x14ac:dyDescent="0.25">
      <c r="B2835" s="18"/>
      <c r="C2835" s="19"/>
      <c r="D2835" s="19"/>
      <c r="O2835" s="5"/>
      <c r="P2835" s="5"/>
    </row>
    <row r="2836" spans="2:16" ht="13.2" x14ac:dyDescent="0.25">
      <c r="B2836" s="18"/>
      <c r="C2836" s="19"/>
      <c r="D2836" s="19"/>
      <c r="O2836" s="5"/>
      <c r="P2836" s="5"/>
    </row>
    <row r="2837" spans="2:16" ht="13.2" x14ac:dyDescent="0.25">
      <c r="B2837" s="18"/>
      <c r="C2837" s="19"/>
      <c r="D2837" s="19"/>
      <c r="O2837" s="5"/>
      <c r="P2837" s="5"/>
    </row>
    <row r="2838" spans="2:16" ht="13.2" x14ac:dyDescent="0.25">
      <c r="B2838" s="18"/>
      <c r="C2838" s="19"/>
      <c r="D2838" s="19"/>
      <c r="O2838" s="5"/>
      <c r="P2838" s="5"/>
    </row>
    <row r="2839" spans="2:16" ht="13.2" x14ac:dyDescent="0.25">
      <c r="B2839" s="18"/>
      <c r="C2839" s="19"/>
      <c r="D2839" s="19"/>
      <c r="O2839" s="5"/>
      <c r="P2839" s="5"/>
    </row>
    <row r="2840" spans="2:16" ht="13.2" x14ac:dyDescent="0.25">
      <c r="B2840" s="18"/>
      <c r="C2840" s="19"/>
      <c r="D2840" s="19"/>
      <c r="O2840" s="5"/>
      <c r="P2840" s="5"/>
    </row>
    <row r="2841" spans="2:16" ht="13.2" x14ac:dyDescent="0.25">
      <c r="B2841" s="18"/>
      <c r="C2841" s="19"/>
      <c r="D2841" s="19"/>
      <c r="O2841" s="5"/>
      <c r="P2841" s="5"/>
    </row>
    <row r="2842" spans="2:16" ht="13.2" x14ac:dyDescent="0.25">
      <c r="B2842" s="18"/>
      <c r="C2842" s="19"/>
      <c r="D2842" s="19"/>
      <c r="O2842" s="5"/>
      <c r="P2842" s="5"/>
    </row>
    <row r="2843" spans="2:16" ht="13.2" x14ac:dyDescent="0.25">
      <c r="B2843" s="18"/>
      <c r="C2843" s="19"/>
      <c r="D2843" s="19"/>
      <c r="O2843" s="5"/>
      <c r="P2843" s="5"/>
    </row>
    <row r="2844" spans="2:16" ht="13.2" x14ac:dyDescent="0.25">
      <c r="B2844" s="18"/>
      <c r="C2844" s="19"/>
      <c r="D2844" s="19"/>
      <c r="O2844" s="5"/>
      <c r="P2844" s="5"/>
    </row>
    <row r="2845" spans="2:16" ht="13.2" x14ac:dyDescent="0.25">
      <c r="B2845" s="18"/>
      <c r="C2845" s="19"/>
      <c r="D2845" s="19"/>
      <c r="O2845" s="5"/>
      <c r="P2845" s="5"/>
    </row>
    <row r="2846" spans="2:16" ht="13.2" x14ac:dyDescent="0.25">
      <c r="B2846" s="18"/>
      <c r="C2846" s="19"/>
      <c r="D2846" s="19"/>
      <c r="O2846" s="5"/>
      <c r="P2846" s="5"/>
    </row>
    <row r="2847" spans="2:16" ht="13.2" x14ac:dyDescent="0.25">
      <c r="B2847" s="18"/>
      <c r="C2847" s="19"/>
      <c r="D2847" s="19"/>
      <c r="O2847" s="5"/>
      <c r="P2847" s="5"/>
    </row>
    <row r="2848" spans="2:16" ht="13.2" x14ac:dyDescent="0.25">
      <c r="B2848" s="18"/>
      <c r="C2848" s="19"/>
      <c r="D2848" s="19"/>
      <c r="O2848" s="5"/>
      <c r="P2848" s="5"/>
    </row>
    <row r="2849" spans="2:16" ht="13.2" x14ac:dyDescent="0.25">
      <c r="B2849" s="18"/>
      <c r="C2849" s="19"/>
      <c r="D2849" s="19"/>
      <c r="O2849" s="5"/>
      <c r="P2849" s="5"/>
    </row>
    <row r="2850" spans="2:16" ht="13.2" x14ac:dyDescent="0.25">
      <c r="B2850" s="18"/>
      <c r="C2850" s="19"/>
      <c r="D2850" s="19"/>
      <c r="O2850" s="5"/>
      <c r="P2850" s="5"/>
    </row>
    <row r="2851" spans="2:16" ht="13.2" x14ac:dyDescent="0.25">
      <c r="B2851" s="18"/>
      <c r="C2851" s="19"/>
      <c r="D2851" s="19"/>
      <c r="O2851" s="5"/>
      <c r="P2851" s="5"/>
    </row>
    <row r="2852" spans="2:16" ht="13.2" x14ac:dyDescent="0.25">
      <c r="B2852" s="18"/>
      <c r="C2852" s="19"/>
      <c r="D2852" s="19"/>
      <c r="O2852" s="5"/>
      <c r="P2852" s="5"/>
    </row>
    <row r="2853" spans="2:16" ht="13.2" x14ac:dyDescent="0.25">
      <c r="B2853" s="18"/>
      <c r="C2853" s="19"/>
      <c r="D2853" s="19"/>
      <c r="O2853" s="5"/>
      <c r="P2853" s="5"/>
    </row>
    <row r="2854" spans="2:16" ht="13.2" x14ac:dyDescent="0.25">
      <c r="B2854" s="18"/>
      <c r="C2854" s="19"/>
      <c r="D2854" s="19"/>
      <c r="O2854" s="5"/>
      <c r="P2854" s="5"/>
    </row>
    <row r="2855" spans="2:16" ht="13.2" x14ac:dyDescent="0.25">
      <c r="B2855" s="18"/>
      <c r="C2855" s="19"/>
      <c r="D2855" s="19"/>
      <c r="O2855" s="5"/>
      <c r="P2855" s="5"/>
    </row>
    <row r="2856" spans="2:16" ht="13.2" x14ac:dyDescent="0.25">
      <c r="B2856" s="18"/>
      <c r="C2856" s="19"/>
      <c r="D2856" s="19"/>
      <c r="O2856" s="5"/>
      <c r="P2856" s="5"/>
    </row>
    <row r="2857" spans="2:16" ht="13.2" x14ac:dyDescent="0.25">
      <c r="B2857" s="18"/>
      <c r="C2857" s="19"/>
      <c r="D2857" s="19"/>
      <c r="O2857" s="5"/>
      <c r="P2857" s="5"/>
    </row>
    <row r="2858" spans="2:16" ht="13.2" x14ac:dyDescent="0.25">
      <c r="B2858" s="18"/>
      <c r="C2858" s="19"/>
      <c r="D2858" s="19"/>
      <c r="O2858" s="5"/>
      <c r="P2858" s="5"/>
    </row>
    <row r="2859" spans="2:16" ht="13.2" x14ac:dyDescent="0.25">
      <c r="B2859" s="18"/>
      <c r="C2859" s="19"/>
      <c r="D2859" s="19"/>
      <c r="O2859" s="5"/>
      <c r="P2859" s="5"/>
    </row>
    <row r="2860" spans="2:16" ht="13.2" x14ac:dyDescent="0.25">
      <c r="B2860" s="18"/>
      <c r="C2860" s="19"/>
      <c r="D2860" s="19"/>
      <c r="O2860" s="5"/>
      <c r="P2860" s="5"/>
    </row>
    <row r="2861" spans="2:16" ht="13.2" x14ac:dyDescent="0.25">
      <c r="B2861" s="18"/>
      <c r="C2861" s="19"/>
      <c r="D2861" s="19"/>
      <c r="O2861" s="5"/>
      <c r="P2861" s="5"/>
    </row>
    <row r="2862" spans="2:16" ht="13.2" x14ac:dyDescent="0.25">
      <c r="B2862" s="18"/>
      <c r="C2862" s="19"/>
      <c r="D2862" s="19"/>
      <c r="O2862" s="5"/>
      <c r="P2862" s="5"/>
    </row>
    <row r="2863" spans="2:16" ht="13.2" x14ac:dyDescent="0.25">
      <c r="B2863" s="18"/>
      <c r="C2863" s="19"/>
      <c r="D2863" s="19"/>
      <c r="O2863" s="5"/>
      <c r="P2863" s="5"/>
    </row>
    <row r="2864" spans="2:16" ht="13.2" x14ac:dyDescent="0.25">
      <c r="B2864" s="18"/>
      <c r="C2864" s="19"/>
      <c r="D2864" s="19"/>
      <c r="O2864" s="5"/>
      <c r="P2864" s="5"/>
    </row>
    <row r="2865" spans="2:16" ht="13.2" x14ac:dyDescent="0.25">
      <c r="B2865" s="18"/>
      <c r="C2865" s="19"/>
      <c r="D2865" s="19"/>
      <c r="O2865" s="5"/>
      <c r="P2865" s="5"/>
    </row>
    <row r="2866" spans="2:16" ht="13.2" x14ac:dyDescent="0.25">
      <c r="B2866" s="18"/>
      <c r="C2866" s="19"/>
      <c r="D2866" s="19"/>
      <c r="O2866" s="5"/>
      <c r="P2866" s="5"/>
    </row>
    <row r="2867" spans="2:16" ht="13.2" x14ac:dyDescent="0.25">
      <c r="B2867" s="18"/>
      <c r="C2867" s="19"/>
      <c r="D2867" s="19"/>
      <c r="O2867" s="5"/>
      <c r="P2867" s="5"/>
    </row>
    <row r="2868" spans="2:16" ht="13.2" x14ac:dyDescent="0.25">
      <c r="B2868" s="18"/>
      <c r="C2868" s="19"/>
      <c r="D2868" s="19"/>
      <c r="O2868" s="5"/>
      <c r="P2868" s="5"/>
    </row>
    <row r="2869" spans="2:16" ht="13.2" x14ac:dyDescent="0.25">
      <c r="B2869" s="18"/>
      <c r="C2869" s="19"/>
      <c r="D2869" s="19"/>
      <c r="O2869" s="5"/>
      <c r="P2869" s="5"/>
    </row>
    <row r="2870" spans="2:16" ht="13.2" x14ac:dyDescent="0.25">
      <c r="B2870" s="18"/>
      <c r="C2870" s="19"/>
      <c r="D2870" s="19"/>
      <c r="O2870" s="5"/>
      <c r="P2870" s="5"/>
    </row>
    <row r="2871" spans="2:16" ht="13.2" x14ac:dyDescent="0.25">
      <c r="B2871" s="18"/>
      <c r="C2871" s="19"/>
      <c r="D2871" s="19"/>
      <c r="O2871" s="5"/>
      <c r="P2871" s="5"/>
    </row>
    <row r="2872" spans="2:16" ht="13.2" x14ac:dyDescent="0.25">
      <c r="B2872" s="18"/>
      <c r="C2872" s="19"/>
      <c r="D2872" s="19"/>
      <c r="O2872" s="5"/>
      <c r="P2872" s="5"/>
    </row>
    <row r="2873" spans="2:16" ht="13.2" x14ac:dyDescent="0.25">
      <c r="B2873" s="18"/>
      <c r="C2873" s="19"/>
      <c r="D2873" s="19"/>
      <c r="O2873" s="5"/>
      <c r="P2873" s="5"/>
    </row>
    <row r="2874" spans="2:16" ht="13.2" x14ac:dyDescent="0.25">
      <c r="B2874" s="18"/>
      <c r="C2874" s="19"/>
      <c r="D2874" s="19"/>
      <c r="O2874" s="5"/>
      <c r="P2874" s="5"/>
    </row>
    <row r="2875" spans="2:16" ht="13.2" x14ac:dyDescent="0.25">
      <c r="B2875" s="18"/>
      <c r="C2875" s="19"/>
      <c r="D2875" s="19"/>
      <c r="O2875" s="5"/>
      <c r="P2875" s="5"/>
    </row>
    <row r="2876" spans="2:16" ht="13.2" x14ac:dyDescent="0.25">
      <c r="B2876" s="18"/>
      <c r="C2876" s="19"/>
      <c r="D2876" s="19"/>
      <c r="O2876" s="5"/>
      <c r="P2876" s="5"/>
    </row>
    <row r="2877" spans="2:16" ht="13.2" x14ac:dyDescent="0.25">
      <c r="B2877" s="18"/>
      <c r="C2877" s="19"/>
      <c r="D2877" s="19"/>
      <c r="O2877" s="5"/>
      <c r="P2877" s="5"/>
    </row>
    <row r="2878" spans="2:16" ht="13.2" x14ac:dyDescent="0.25">
      <c r="B2878" s="18"/>
      <c r="C2878" s="19"/>
      <c r="D2878" s="19"/>
      <c r="O2878" s="5"/>
      <c r="P2878" s="5"/>
    </row>
    <row r="2879" spans="2:16" ht="13.2" x14ac:dyDescent="0.25">
      <c r="B2879" s="18"/>
      <c r="C2879" s="19"/>
      <c r="D2879" s="19"/>
      <c r="O2879" s="5"/>
      <c r="P2879" s="5"/>
    </row>
    <row r="2880" spans="2:16" ht="13.2" x14ac:dyDescent="0.25">
      <c r="B2880" s="18"/>
      <c r="C2880" s="19"/>
      <c r="D2880" s="19"/>
      <c r="O2880" s="5"/>
      <c r="P2880" s="5"/>
    </row>
    <row r="2881" spans="2:16" ht="13.2" x14ac:dyDescent="0.25">
      <c r="B2881" s="18"/>
      <c r="C2881" s="19"/>
      <c r="D2881" s="19"/>
      <c r="O2881" s="5"/>
      <c r="P2881" s="5"/>
    </row>
    <row r="2882" spans="2:16" ht="13.2" x14ac:dyDescent="0.25">
      <c r="B2882" s="18"/>
      <c r="C2882" s="19"/>
      <c r="D2882" s="19"/>
      <c r="O2882" s="5"/>
      <c r="P2882" s="5"/>
    </row>
    <row r="2883" spans="2:16" ht="13.2" x14ac:dyDescent="0.25">
      <c r="B2883" s="18"/>
      <c r="C2883" s="19"/>
      <c r="D2883" s="19"/>
      <c r="O2883" s="5"/>
      <c r="P2883" s="5"/>
    </row>
    <row r="2884" spans="2:16" ht="13.2" x14ac:dyDescent="0.25">
      <c r="B2884" s="18"/>
      <c r="C2884" s="19"/>
      <c r="D2884" s="19"/>
      <c r="O2884" s="5"/>
      <c r="P2884" s="5"/>
    </row>
    <row r="2885" spans="2:16" ht="13.2" x14ac:dyDescent="0.25">
      <c r="B2885" s="18"/>
      <c r="C2885" s="19"/>
      <c r="D2885" s="19"/>
      <c r="O2885" s="5"/>
      <c r="P2885" s="5"/>
    </row>
    <row r="2886" spans="2:16" ht="13.2" x14ac:dyDescent="0.25">
      <c r="B2886" s="18"/>
      <c r="C2886" s="19"/>
      <c r="D2886" s="19"/>
      <c r="O2886" s="5"/>
      <c r="P2886" s="5"/>
    </row>
    <row r="2887" spans="2:16" ht="13.2" x14ac:dyDescent="0.25">
      <c r="B2887" s="18"/>
      <c r="C2887" s="19"/>
      <c r="D2887" s="19"/>
      <c r="O2887" s="5"/>
      <c r="P2887" s="5"/>
    </row>
    <row r="2888" spans="2:16" ht="13.2" x14ac:dyDescent="0.25">
      <c r="B2888" s="18"/>
      <c r="C2888" s="19"/>
      <c r="D2888" s="19"/>
      <c r="O2888" s="5"/>
      <c r="P2888" s="5"/>
    </row>
    <row r="2889" spans="2:16" ht="13.2" x14ac:dyDescent="0.25">
      <c r="B2889" s="18"/>
      <c r="C2889" s="19"/>
      <c r="D2889" s="19"/>
      <c r="O2889" s="5"/>
      <c r="P2889" s="5"/>
    </row>
    <row r="2890" spans="2:16" ht="13.2" x14ac:dyDescent="0.25">
      <c r="B2890" s="18"/>
      <c r="C2890" s="19"/>
      <c r="D2890" s="19"/>
      <c r="O2890" s="5"/>
      <c r="P2890" s="5"/>
    </row>
    <row r="2891" spans="2:16" ht="13.2" x14ac:dyDescent="0.25">
      <c r="B2891" s="18"/>
      <c r="C2891" s="19"/>
      <c r="D2891" s="19"/>
      <c r="O2891" s="5"/>
      <c r="P2891" s="5"/>
    </row>
    <row r="2892" spans="2:16" ht="13.2" x14ac:dyDescent="0.25">
      <c r="B2892" s="18"/>
      <c r="C2892" s="19"/>
      <c r="D2892" s="19"/>
      <c r="O2892" s="5"/>
      <c r="P2892" s="5"/>
    </row>
    <row r="2893" spans="2:16" ht="13.2" x14ac:dyDescent="0.25">
      <c r="B2893" s="18"/>
      <c r="C2893" s="19"/>
      <c r="D2893" s="19"/>
      <c r="O2893" s="5"/>
      <c r="P2893" s="5"/>
    </row>
    <row r="2894" spans="2:16" ht="13.2" x14ac:dyDescent="0.25">
      <c r="B2894" s="18"/>
      <c r="C2894" s="19"/>
      <c r="D2894" s="19"/>
      <c r="O2894" s="5"/>
      <c r="P2894" s="5"/>
    </row>
    <row r="2895" spans="2:16" ht="13.2" x14ac:dyDescent="0.25">
      <c r="B2895" s="18"/>
      <c r="C2895" s="19"/>
      <c r="D2895" s="19"/>
      <c r="O2895" s="5"/>
      <c r="P2895" s="5"/>
    </row>
    <row r="2896" spans="2:16" ht="13.2" x14ac:dyDescent="0.25">
      <c r="B2896" s="18"/>
      <c r="C2896" s="19"/>
      <c r="D2896" s="19"/>
      <c r="O2896" s="5"/>
      <c r="P2896" s="5"/>
    </row>
    <row r="2897" spans="2:16" ht="13.2" x14ac:dyDescent="0.25">
      <c r="B2897" s="18"/>
      <c r="C2897" s="19"/>
      <c r="D2897" s="19"/>
      <c r="O2897" s="5"/>
      <c r="P2897" s="5"/>
    </row>
    <row r="2898" spans="2:16" ht="13.2" x14ac:dyDescent="0.25">
      <c r="B2898" s="18"/>
      <c r="C2898" s="19"/>
      <c r="D2898" s="19"/>
      <c r="O2898" s="5"/>
      <c r="P2898" s="5"/>
    </row>
    <row r="2899" spans="2:16" ht="13.2" x14ac:dyDescent="0.25">
      <c r="B2899" s="18"/>
      <c r="C2899" s="19"/>
      <c r="D2899" s="19"/>
      <c r="O2899" s="5"/>
      <c r="P2899" s="5"/>
    </row>
    <row r="2900" spans="2:16" ht="13.2" x14ac:dyDescent="0.25">
      <c r="B2900" s="18"/>
      <c r="C2900" s="19"/>
      <c r="D2900" s="19"/>
      <c r="O2900" s="5"/>
      <c r="P2900" s="5"/>
    </row>
    <row r="2901" spans="2:16" ht="13.2" x14ac:dyDescent="0.25">
      <c r="B2901" s="18"/>
      <c r="C2901" s="19"/>
      <c r="D2901" s="19"/>
      <c r="O2901" s="5"/>
      <c r="P2901" s="5"/>
    </row>
    <row r="2902" spans="2:16" ht="13.2" x14ac:dyDescent="0.25">
      <c r="B2902" s="18"/>
      <c r="C2902" s="19"/>
      <c r="D2902" s="19"/>
      <c r="O2902" s="5"/>
      <c r="P2902" s="5"/>
    </row>
    <row r="2903" spans="2:16" ht="13.2" x14ac:dyDescent="0.25">
      <c r="B2903" s="18"/>
      <c r="C2903" s="19"/>
      <c r="D2903" s="19"/>
      <c r="O2903" s="5"/>
      <c r="P2903" s="5"/>
    </row>
    <row r="2904" spans="2:16" ht="13.2" x14ac:dyDescent="0.25">
      <c r="B2904" s="18"/>
      <c r="C2904" s="19"/>
      <c r="D2904" s="19"/>
      <c r="O2904" s="5"/>
      <c r="P2904" s="5"/>
    </row>
    <row r="2905" spans="2:16" ht="13.2" x14ac:dyDescent="0.25">
      <c r="B2905" s="18"/>
      <c r="C2905" s="19"/>
      <c r="D2905" s="19"/>
      <c r="O2905" s="5"/>
      <c r="P2905" s="5"/>
    </row>
    <row r="2906" spans="2:16" ht="13.2" x14ac:dyDescent="0.25">
      <c r="B2906" s="18"/>
      <c r="C2906" s="19"/>
      <c r="D2906" s="19"/>
      <c r="O2906" s="5"/>
      <c r="P2906" s="5"/>
    </row>
    <row r="2907" spans="2:16" ht="13.2" x14ac:dyDescent="0.25">
      <c r="B2907" s="18"/>
      <c r="C2907" s="19"/>
      <c r="D2907" s="19"/>
      <c r="O2907" s="5"/>
      <c r="P2907" s="5"/>
    </row>
    <row r="2908" spans="2:16" ht="13.2" x14ac:dyDescent="0.25">
      <c r="B2908" s="18"/>
      <c r="C2908" s="19"/>
      <c r="D2908" s="19"/>
      <c r="O2908" s="5"/>
      <c r="P2908" s="5"/>
    </row>
    <row r="2909" spans="2:16" ht="13.2" x14ac:dyDescent="0.25">
      <c r="B2909" s="18"/>
      <c r="C2909" s="19"/>
      <c r="D2909" s="19"/>
      <c r="O2909" s="5"/>
      <c r="P2909" s="5"/>
    </row>
    <row r="2910" spans="2:16" ht="13.2" x14ac:dyDescent="0.25">
      <c r="B2910" s="18"/>
      <c r="C2910" s="19"/>
      <c r="D2910" s="19"/>
      <c r="O2910" s="5"/>
      <c r="P2910" s="5"/>
    </row>
    <row r="2911" spans="2:16" ht="13.2" x14ac:dyDescent="0.25">
      <c r="B2911" s="18"/>
      <c r="C2911" s="19"/>
      <c r="D2911" s="19"/>
      <c r="O2911" s="5"/>
      <c r="P2911" s="5"/>
    </row>
    <row r="2912" spans="2:16" ht="13.2" x14ac:dyDescent="0.25">
      <c r="B2912" s="18"/>
      <c r="C2912" s="19"/>
      <c r="D2912" s="19"/>
      <c r="O2912" s="5"/>
      <c r="P2912" s="5"/>
    </row>
    <row r="2913" spans="2:16" ht="13.2" x14ac:dyDescent="0.25">
      <c r="B2913" s="18"/>
      <c r="C2913" s="19"/>
      <c r="D2913" s="19"/>
      <c r="O2913" s="5"/>
      <c r="P2913" s="5"/>
    </row>
    <row r="2914" spans="2:16" ht="13.2" x14ac:dyDescent="0.25">
      <c r="B2914" s="18"/>
      <c r="C2914" s="19"/>
      <c r="D2914" s="19"/>
      <c r="O2914" s="5"/>
      <c r="P2914" s="5"/>
    </row>
    <row r="2915" spans="2:16" ht="13.2" x14ac:dyDescent="0.25">
      <c r="B2915" s="18"/>
      <c r="C2915" s="19"/>
      <c r="D2915" s="19"/>
      <c r="O2915" s="5"/>
      <c r="P2915" s="5"/>
    </row>
    <row r="2916" spans="2:16" ht="13.2" x14ac:dyDescent="0.25">
      <c r="B2916" s="18"/>
      <c r="C2916" s="19"/>
      <c r="D2916" s="19"/>
      <c r="O2916" s="5"/>
      <c r="P2916" s="5"/>
    </row>
    <row r="2917" spans="2:16" ht="13.2" x14ac:dyDescent="0.25">
      <c r="B2917" s="18"/>
      <c r="C2917" s="19"/>
      <c r="D2917" s="19"/>
      <c r="O2917" s="5"/>
      <c r="P2917" s="5"/>
    </row>
    <row r="2918" spans="2:16" ht="13.2" x14ac:dyDescent="0.25">
      <c r="B2918" s="18"/>
      <c r="C2918" s="19"/>
      <c r="D2918" s="19"/>
      <c r="O2918" s="5"/>
      <c r="P2918" s="5"/>
    </row>
    <row r="2919" spans="2:16" ht="13.2" x14ac:dyDescent="0.25">
      <c r="B2919" s="18"/>
      <c r="C2919" s="19"/>
      <c r="D2919" s="19"/>
      <c r="O2919" s="5"/>
      <c r="P2919" s="5"/>
    </row>
    <row r="2920" spans="2:16" ht="13.2" x14ac:dyDescent="0.25">
      <c r="B2920" s="18"/>
      <c r="C2920" s="19"/>
      <c r="D2920" s="19"/>
      <c r="O2920" s="5"/>
      <c r="P2920" s="5"/>
    </row>
    <row r="2921" spans="2:16" ht="13.2" x14ac:dyDescent="0.25">
      <c r="B2921" s="18"/>
      <c r="C2921" s="19"/>
      <c r="D2921" s="19"/>
      <c r="O2921" s="5"/>
      <c r="P2921" s="5"/>
    </row>
    <row r="2922" spans="2:16" ht="13.2" x14ac:dyDescent="0.25">
      <c r="B2922" s="18"/>
      <c r="C2922" s="19"/>
      <c r="D2922" s="19"/>
      <c r="O2922" s="5"/>
      <c r="P2922" s="5"/>
    </row>
    <row r="2923" spans="2:16" ht="13.2" x14ac:dyDescent="0.25">
      <c r="B2923" s="18"/>
      <c r="C2923" s="19"/>
      <c r="D2923" s="19"/>
      <c r="O2923" s="5"/>
      <c r="P2923" s="5"/>
    </row>
    <row r="2924" spans="2:16" ht="13.2" x14ac:dyDescent="0.25">
      <c r="B2924" s="18"/>
      <c r="C2924" s="19"/>
      <c r="D2924" s="19"/>
      <c r="O2924" s="5"/>
      <c r="P2924" s="5"/>
    </row>
    <row r="2925" spans="2:16" ht="13.2" x14ac:dyDescent="0.25">
      <c r="B2925" s="18"/>
      <c r="C2925" s="19"/>
      <c r="D2925" s="19"/>
      <c r="O2925" s="5"/>
      <c r="P2925" s="5"/>
    </row>
    <row r="2926" spans="2:16" ht="13.2" x14ac:dyDescent="0.25">
      <c r="B2926" s="18"/>
      <c r="C2926" s="19"/>
      <c r="D2926" s="19"/>
      <c r="O2926" s="5"/>
      <c r="P2926" s="5"/>
    </row>
    <row r="2927" spans="2:16" ht="13.2" x14ac:dyDescent="0.25">
      <c r="B2927" s="18"/>
      <c r="C2927" s="19"/>
      <c r="D2927" s="19"/>
      <c r="O2927" s="5"/>
      <c r="P2927" s="5"/>
    </row>
    <row r="2928" spans="2:16" ht="13.2" x14ac:dyDescent="0.25">
      <c r="B2928" s="18"/>
      <c r="C2928" s="19"/>
      <c r="D2928" s="19"/>
      <c r="O2928" s="5"/>
      <c r="P2928" s="5"/>
    </row>
    <row r="2929" spans="2:16" ht="13.2" x14ac:dyDescent="0.25">
      <c r="B2929" s="18"/>
      <c r="C2929" s="19"/>
      <c r="D2929" s="19"/>
      <c r="O2929" s="5"/>
      <c r="P2929" s="5"/>
    </row>
    <row r="2930" spans="2:16" ht="13.2" x14ac:dyDescent="0.25">
      <c r="B2930" s="18"/>
      <c r="C2930" s="19"/>
      <c r="D2930" s="19"/>
      <c r="O2930" s="5"/>
      <c r="P2930" s="5"/>
    </row>
    <row r="2931" spans="2:16" ht="13.2" x14ac:dyDescent="0.25">
      <c r="B2931" s="18"/>
      <c r="C2931" s="19"/>
      <c r="D2931" s="19"/>
      <c r="O2931" s="5"/>
      <c r="P2931" s="5"/>
    </row>
    <row r="2932" spans="2:16" ht="13.2" x14ac:dyDescent="0.25">
      <c r="B2932" s="18"/>
      <c r="C2932" s="19"/>
      <c r="D2932" s="19"/>
      <c r="O2932" s="5"/>
      <c r="P2932" s="5"/>
    </row>
    <row r="2933" spans="2:16" ht="13.2" x14ac:dyDescent="0.25">
      <c r="B2933" s="18"/>
      <c r="C2933" s="19"/>
      <c r="D2933" s="19"/>
      <c r="O2933" s="5"/>
      <c r="P2933" s="5"/>
    </row>
    <row r="2934" spans="2:16" ht="13.2" x14ac:dyDescent="0.25">
      <c r="B2934" s="18"/>
      <c r="C2934" s="19"/>
      <c r="D2934" s="19"/>
      <c r="O2934" s="5"/>
      <c r="P2934" s="5"/>
    </row>
    <row r="2935" spans="2:16" ht="13.2" x14ac:dyDescent="0.25">
      <c r="B2935" s="18"/>
      <c r="C2935" s="19"/>
      <c r="D2935" s="19"/>
      <c r="O2935" s="5"/>
      <c r="P2935" s="5"/>
    </row>
    <row r="2936" spans="2:16" ht="13.2" x14ac:dyDescent="0.25">
      <c r="B2936" s="18"/>
      <c r="C2936" s="19"/>
      <c r="D2936" s="19"/>
      <c r="O2936" s="5"/>
      <c r="P2936" s="5"/>
    </row>
    <row r="2937" spans="2:16" ht="13.2" x14ac:dyDescent="0.25">
      <c r="B2937" s="18"/>
      <c r="C2937" s="19"/>
      <c r="D2937" s="19"/>
      <c r="O2937" s="5"/>
      <c r="P2937" s="5"/>
    </row>
    <row r="2938" spans="2:16" ht="13.2" x14ac:dyDescent="0.25">
      <c r="B2938" s="18"/>
      <c r="C2938" s="19"/>
      <c r="D2938" s="19"/>
      <c r="O2938" s="5"/>
      <c r="P2938" s="5"/>
    </row>
    <row r="2939" spans="2:16" ht="13.2" x14ac:dyDescent="0.25">
      <c r="B2939" s="18"/>
      <c r="C2939" s="19"/>
      <c r="D2939" s="19"/>
      <c r="O2939" s="5"/>
      <c r="P2939" s="5"/>
    </row>
    <row r="2940" spans="2:16" ht="13.2" x14ac:dyDescent="0.25">
      <c r="B2940" s="18"/>
      <c r="C2940" s="19"/>
      <c r="D2940" s="19"/>
      <c r="O2940" s="5"/>
      <c r="P2940" s="5"/>
    </row>
    <row r="2941" spans="2:16" ht="13.2" x14ac:dyDescent="0.25">
      <c r="B2941" s="18"/>
      <c r="C2941" s="19"/>
      <c r="D2941" s="19"/>
      <c r="O2941" s="5"/>
      <c r="P2941" s="5"/>
    </row>
    <row r="2942" spans="2:16" ht="13.2" x14ac:dyDescent="0.25">
      <c r="B2942" s="18"/>
      <c r="C2942" s="19"/>
      <c r="D2942" s="19"/>
      <c r="O2942" s="5"/>
      <c r="P2942" s="5"/>
    </row>
    <row r="2943" spans="2:16" ht="13.2" x14ac:dyDescent="0.25">
      <c r="B2943" s="18"/>
      <c r="C2943" s="19"/>
      <c r="D2943" s="19"/>
      <c r="O2943" s="5"/>
      <c r="P2943" s="5"/>
    </row>
    <row r="2944" spans="2:16" ht="13.2" x14ac:dyDescent="0.25">
      <c r="B2944" s="18"/>
      <c r="C2944" s="19"/>
      <c r="D2944" s="19"/>
      <c r="O2944" s="5"/>
      <c r="P2944" s="5"/>
    </row>
    <row r="2945" spans="2:16" ht="13.2" x14ac:dyDescent="0.25">
      <c r="B2945" s="18"/>
      <c r="C2945" s="19"/>
      <c r="D2945" s="19"/>
      <c r="O2945" s="5"/>
      <c r="P2945" s="5"/>
    </row>
    <row r="2946" spans="2:16" ht="13.2" x14ac:dyDescent="0.25">
      <c r="B2946" s="18"/>
      <c r="C2946" s="19"/>
      <c r="D2946" s="19"/>
      <c r="O2946" s="5"/>
      <c r="P2946" s="5"/>
    </row>
    <row r="2947" spans="2:16" ht="13.2" x14ac:dyDescent="0.25">
      <c r="B2947" s="18"/>
      <c r="C2947" s="19"/>
      <c r="D2947" s="19"/>
      <c r="O2947" s="5"/>
      <c r="P2947" s="5"/>
    </row>
    <row r="2948" spans="2:16" ht="13.2" x14ac:dyDescent="0.25">
      <c r="B2948" s="18"/>
      <c r="C2948" s="19"/>
      <c r="D2948" s="19"/>
      <c r="O2948" s="5"/>
      <c r="P2948" s="5"/>
    </row>
    <row r="2949" spans="2:16" ht="13.2" x14ac:dyDescent="0.25">
      <c r="B2949" s="18"/>
      <c r="C2949" s="19"/>
      <c r="D2949" s="19"/>
      <c r="O2949" s="5"/>
      <c r="P2949" s="5"/>
    </row>
    <row r="2950" spans="2:16" ht="13.2" x14ac:dyDescent="0.25">
      <c r="B2950" s="18"/>
      <c r="C2950" s="19"/>
      <c r="D2950" s="19"/>
      <c r="O2950" s="5"/>
      <c r="P2950" s="5"/>
    </row>
    <row r="2951" spans="2:16" ht="13.2" x14ac:dyDescent="0.25">
      <c r="B2951" s="18"/>
      <c r="C2951" s="19"/>
      <c r="D2951" s="19"/>
      <c r="O2951" s="5"/>
      <c r="P2951" s="5"/>
    </row>
    <row r="2952" spans="2:16" ht="13.2" x14ac:dyDescent="0.25">
      <c r="B2952" s="18"/>
      <c r="C2952" s="19"/>
      <c r="D2952" s="19"/>
      <c r="O2952" s="5"/>
      <c r="P2952" s="5"/>
    </row>
    <row r="2953" spans="2:16" ht="13.2" x14ac:dyDescent="0.25">
      <c r="B2953" s="18"/>
      <c r="C2953" s="19"/>
      <c r="D2953" s="19"/>
      <c r="O2953" s="5"/>
      <c r="P2953" s="5"/>
    </row>
    <row r="2954" spans="2:16" ht="13.2" x14ac:dyDescent="0.25">
      <c r="B2954" s="18"/>
      <c r="C2954" s="19"/>
      <c r="D2954" s="19"/>
      <c r="O2954" s="5"/>
      <c r="P2954" s="5"/>
    </row>
    <row r="2955" spans="2:16" ht="13.2" x14ac:dyDescent="0.25">
      <c r="B2955" s="18"/>
      <c r="C2955" s="19"/>
      <c r="D2955" s="19"/>
      <c r="O2955" s="5"/>
      <c r="P2955" s="5"/>
    </row>
    <row r="2956" spans="2:16" ht="13.2" x14ac:dyDescent="0.25">
      <c r="B2956" s="18"/>
      <c r="C2956" s="19"/>
      <c r="D2956" s="19"/>
      <c r="O2956" s="5"/>
      <c r="P2956" s="5"/>
    </row>
    <row r="2957" spans="2:16" ht="13.2" x14ac:dyDescent="0.25">
      <c r="B2957" s="18"/>
      <c r="C2957" s="19"/>
      <c r="D2957" s="19"/>
      <c r="O2957" s="5"/>
      <c r="P2957" s="5"/>
    </row>
    <row r="2958" spans="2:16" ht="13.2" x14ac:dyDescent="0.25">
      <c r="B2958" s="18"/>
      <c r="C2958" s="19"/>
      <c r="D2958" s="19"/>
      <c r="O2958" s="5"/>
      <c r="P2958" s="5"/>
    </row>
    <row r="2959" spans="2:16" ht="13.2" x14ac:dyDescent="0.25">
      <c r="B2959" s="18"/>
      <c r="C2959" s="19"/>
      <c r="D2959" s="19"/>
      <c r="O2959" s="5"/>
      <c r="P2959" s="5"/>
    </row>
    <row r="2960" spans="2:16" ht="13.2" x14ac:dyDescent="0.25">
      <c r="B2960" s="18"/>
      <c r="C2960" s="19"/>
      <c r="D2960" s="19"/>
      <c r="O2960" s="5"/>
      <c r="P2960" s="5"/>
    </row>
    <row r="2961" spans="2:16" ht="13.2" x14ac:dyDescent="0.25">
      <c r="B2961" s="18"/>
      <c r="C2961" s="19"/>
      <c r="D2961" s="19"/>
      <c r="O2961" s="5"/>
      <c r="P2961" s="5"/>
    </row>
    <row r="2962" spans="2:16" ht="13.2" x14ac:dyDescent="0.25">
      <c r="B2962" s="18"/>
      <c r="C2962" s="19"/>
      <c r="D2962" s="19"/>
      <c r="O2962" s="5"/>
      <c r="P2962" s="5"/>
    </row>
    <row r="2963" spans="2:16" ht="13.2" x14ac:dyDescent="0.25">
      <c r="B2963" s="18"/>
      <c r="C2963" s="19"/>
      <c r="D2963" s="19"/>
      <c r="O2963" s="5"/>
      <c r="P2963" s="5"/>
    </row>
    <row r="2964" spans="2:16" ht="13.2" x14ac:dyDescent="0.25">
      <c r="B2964" s="18"/>
      <c r="C2964" s="19"/>
      <c r="D2964" s="19"/>
      <c r="O2964" s="5"/>
      <c r="P2964" s="5"/>
    </row>
    <row r="2965" spans="2:16" ht="13.2" x14ac:dyDescent="0.25">
      <c r="B2965" s="18"/>
      <c r="C2965" s="19"/>
      <c r="D2965" s="19"/>
      <c r="O2965" s="5"/>
      <c r="P2965" s="5"/>
    </row>
    <row r="2966" spans="2:16" ht="13.2" x14ac:dyDescent="0.25">
      <c r="B2966" s="18"/>
      <c r="C2966" s="19"/>
      <c r="D2966" s="19"/>
      <c r="O2966" s="5"/>
      <c r="P2966" s="5"/>
    </row>
    <row r="2967" spans="2:16" ht="13.2" x14ac:dyDescent="0.25">
      <c r="B2967" s="18"/>
      <c r="C2967" s="19"/>
      <c r="D2967" s="19"/>
      <c r="O2967" s="5"/>
      <c r="P2967" s="5"/>
    </row>
    <row r="2968" spans="2:16" ht="13.2" x14ac:dyDescent="0.25">
      <c r="B2968" s="18"/>
      <c r="C2968" s="19"/>
      <c r="D2968" s="19"/>
      <c r="O2968" s="5"/>
      <c r="P2968" s="5"/>
    </row>
    <row r="2969" spans="2:16" ht="13.2" x14ac:dyDescent="0.25">
      <c r="B2969" s="18"/>
      <c r="C2969" s="19"/>
      <c r="D2969" s="19"/>
      <c r="O2969" s="5"/>
      <c r="P2969" s="5"/>
    </row>
    <row r="2970" spans="2:16" ht="13.2" x14ac:dyDescent="0.25">
      <c r="B2970" s="18"/>
      <c r="C2970" s="19"/>
      <c r="D2970" s="19"/>
      <c r="O2970" s="5"/>
      <c r="P2970" s="5"/>
    </row>
    <row r="2971" spans="2:16" ht="13.2" x14ac:dyDescent="0.25">
      <c r="B2971" s="18"/>
      <c r="C2971" s="19"/>
      <c r="D2971" s="19"/>
      <c r="O2971" s="5"/>
      <c r="P2971" s="5"/>
    </row>
    <row r="2972" spans="2:16" ht="13.2" x14ac:dyDescent="0.25">
      <c r="B2972" s="18"/>
      <c r="C2972" s="19"/>
      <c r="D2972" s="19"/>
      <c r="O2972" s="5"/>
      <c r="P2972" s="5"/>
    </row>
    <row r="2973" spans="2:16" ht="13.2" x14ac:dyDescent="0.25">
      <c r="B2973" s="18"/>
      <c r="C2973" s="19"/>
      <c r="D2973" s="19"/>
      <c r="O2973" s="5"/>
      <c r="P2973" s="5"/>
    </row>
    <row r="2974" spans="2:16" ht="13.2" x14ac:dyDescent="0.25">
      <c r="B2974" s="18"/>
      <c r="C2974" s="19"/>
      <c r="D2974" s="19"/>
      <c r="O2974" s="5"/>
      <c r="P2974" s="5"/>
    </row>
    <row r="2975" spans="2:16" ht="13.2" x14ac:dyDescent="0.25">
      <c r="B2975" s="18"/>
      <c r="C2975" s="19"/>
      <c r="D2975" s="19"/>
      <c r="O2975" s="5"/>
      <c r="P2975" s="5"/>
    </row>
    <row r="2976" spans="2:16" ht="13.2" x14ac:dyDescent="0.25">
      <c r="B2976" s="18"/>
      <c r="C2976" s="19"/>
      <c r="D2976" s="19"/>
      <c r="O2976" s="5"/>
      <c r="P2976" s="5"/>
    </row>
    <row r="2977" spans="2:16" ht="13.2" x14ac:dyDescent="0.25">
      <c r="B2977" s="18"/>
      <c r="C2977" s="19"/>
      <c r="D2977" s="19"/>
      <c r="O2977" s="5"/>
      <c r="P2977" s="5"/>
    </row>
    <row r="2978" spans="2:16" ht="13.2" x14ac:dyDescent="0.25">
      <c r="B2978" s="18"/>
      <c r="C2978" s="19"/>
      <c r="D2978" s="19"/>
      <c r="O2978" s="5"/>
      <c r="P2978" s="5"/>
    </row>
    <row r="2979" spans="2:16" ht="13.2" x14ac:dyDescent="0.25">
      <c r="B2979" s="18"/>
      <c r="C2979" s="19"/>
      <c r="D2979" s="19"/>
      <c r="O2979" s="5"/>
      <c r="P2979" s="5"/>
    </row>
    <row r="2980" spans="2:16" ht="13.2" x14ac:dyDescent="0.25">
      <c r="B2980" s="18"/>
      <c r="C2980" s="19"/>
      <c r="D2980" s="19"/>
      <c r="O2980" s="5"/>
      <c r="P2980" s="5"/>
    </row>
    <row r="2981" spans="2:16" ht="13.2" x14ac:dyDescent="0.25">
      <c r="B2981" s="18"/>
      <c r="C2981" s="19"/>
      <c r="D2981" s="19"/>
      <c r="O2981" s="5"/>
      <c r="P2981" s="5"/>
    </row>
    <row r="2982" spans="2:16" ht="13.2" x14ac:dyDescent="0.25">
      <c r="B2982" s="18"/>
      <c r="C2982" s="19"/>
      <c r="D2982" s="19"/>
      <c r="O2982" s="5"/>
      <c r="P2982" s="5"/>
    </row>
    <row r="2983" spans="2:16" ht="13.2" x14ac:dyDescent="0.25">
      <c r="B2983" s="18"/>
      <c r="C2983" s="19"/>
      <c r="D2983" s="19"/>
      <c r="O2983" s="5"/>
      <c r="P2983" s="5"/>
    </row>
    <row r="2984" spans="2:16" ht="13.2" x14ac:dyDescent="0.25">
      <c r="B2984" s="18"/>
      <c r="C2984" s="19"/>
      <c r="D2984" s="19"/>
      <c r="O2984" s="5"/>
      <c r="P2984" s="5"/>
    </row>
    <row r="2985" spans="2:16" ht="13.2" x14ac:dyDescent="0.25">
      <c r="B2985" s="18"/>
      <c r="C2985" s="19"/>
      <c r="D2985" s="19"/>
      <c r="O2985" s="5"/>
      <c r="P2985" s="5"/>
    </row>
    <row r="2986" spans="2:16" ht="13.2" x14ac:dyDescent="0.25">
      <c r="B2986" s="18"/>
      <c r="C2986" s="19"/>
      <c r="D2986" s="19"/>
      <c r="O2986" s="5"/>
      <c r="P2986" s="5"/>
    </row>
    <row r="2987" spans="2:16" ht="13.2" x14ac:dyDescent="0.25">
      <c r="B2987" s="18"/>
      <c r="C2987" s="19"/>
      <c r="D2987" s="19"/>
      <c r="O2987" s="5"/>
      <c r="P2987" s="5"/>
    </row>
    <row r="2988" spans="2:16" ht="13.2" x14ac:dyDescent="0.25">
      <c r="B2988" s="18"/>
      <c r="C2988" s="19"/>
      <c r="D2988" s="19"/>
      <c r="O2988" s="5"/>
      <c r="P2988" s="5"/>
    </row>
    <row r="2989" spans="2:16" ht="13.2" x14ac:dyDescent="0.25">
      <c r="B2989" s="18"/>
      <c r="C2989" s="19"/>
      <c r="D2989" s="19"/>
      <c r="O2989" s="5"/>
      <c r="P2989" s="5"/>
    </row>
    <row r="2990" spans="2:16" ht="13.2" x14ac:dyDescent="0.25">
      <c r="B2990" s="18"/>
      <c r="C2990" s="19"/>
      <c r="D2990" s="19"/>
      <c r="O2990" s="5"/>
      <c r="P2990" s="5"/>
    </row>
    <row r="2991" spans="2:16" ht="13.2" x14ac:dyDescent="0.25">
      <c r="B2991" s="18"/>
      <c r="C2991" s="19"/>
      <c r="D2991" s="19"/>
      <c r="O2991" s="5"/>
      <c r="P2991" s="5"/>
    </row>
    <row r="2992" spans="2:16" ht="13.2" x14ac:dyDescent="0.25">
      <c r="B2992" s="18"/>
      <c r="C2992" s="19"/>
      <c r="D2992" s="19"/>
      <c r="O2992" s="5"/>
      <c r="P2992" s="5"/>
    </row>
    <row r="2993" spans="2:16" ht="13.2" x14ac:dyDescent="0.25">
      <c r="B2993" s="18"/>
      <c r="C2993" s="19"/>
      <c r="D2993" s="19"/>
      <c r="O2993" s="5"/>
      <c r="P2993" s="5"/>
    </row>
    <row r="2994" spans="2:16" ht="13.2" x14ac:dyDescent="0.25">
      <c r="B2994" s="18"/>
      <c r="C2994" s="19"/>
      <c r="D2994" s="19"/>
      <c r="O2994" s="5"/>
      <c r="P2994" s="5"/>
    </row>
    <row r="2995" spans="2:16" ht="13.2" x14ac:dyDescent="0.25">
      <c r="B2995" s="18"/>
      <c r="C2995" s="19"/>
      <c r="D2995" s="19"/>
      <c r="O2995" s="5"/>
      <c r="P2995" s="5"/>
    </row>
    <row r="2996" spans="2:16" ht="13.2" x14ac:dyDescent="0.25">
      <c r="B2996" s="18"/>
      <c r="C2996" s="19"/>
      <c r="D2996" s="19"/>
      <c r="O2996" s="5"/>
      <c r="P2996" s="5"/>
    </row>
    <row r="2997" spans="2:16" ht="13.2" x14ac:dyDescent="0.25">
      <c r="B2997" s="18"/>
      <c r="C2997" s="19"/>
      <c r="D2997" s="19"/>
      <c r="O2997" s="5"/>
      <c r="P2997" s="5"/>
    </row>
    <row r="2998" spans="2:16" ht="13.2" x14ac:dyDescent="0.25">
      <c r="B2998" s="18"/>
      <c r="C2998" s="19"/>
      <c r="D2998" s="19"/>
      <c r="O2998" s="5"/>
      <c r="P2998" s="5"/>
    </row>
    <row r="2999" spans="2:16" ht="13.2" x14ac:dyDescent="0.25">
      <c r="B2999" s="18"/>
      <c r="C2999" s="19"/>
      <c r="D2999" s="19"/>
      <c r="O2999" s="5"/>
      <c r="P2999" s="5"/>
    </row>
    <row r="3000" spans="2:16" ht="13.2" x14ac:dyDescent="0.25">
      <c r="B3000" s="18"/>
      <c r="C3000" s="19"/>
      <c r="D3000" s="19"/>
      <c r="O3000" s="5"/>
      <c r="P3000" s="5"/>
    </row>
    <row r="3001" spans="2:16" ht="13.2" x14ac:dyDescent="0.25">
      <c r="B3001" s="18"/>
      <c r="C3001" s="19"/>
      <c r="D3001" s="19"/>
      <c r="O3001" s="5"/>
      <c r="P3001" s="5"/>
    </row>
    <row r="3002" spans="2:16" ht="13.2" x14ac:dyDescent="0.25">
      <c r="B3002" s="18"/>
      <c r="C3002" s="19"/>
      <c r="D3002" s="19"/>
      <c r="O3002" s="5"/>
      <c r="P3002" s="5"/>
    </row>
    <row r="3003" spans="2:16" ht="13.2" x14ac:dyDescent="0.25">
      <c r="B3003" s="18"/>
      <c r="C3003" s="19"/>
      <c r="D3003" s="19"/>
      <c r="O3003" s="5"/>
      <c r="P3003" s="5"/>
    </row>
    <row r="3004" spans="2:16" ht="13.2" x14ac:dyDescent="0.25">
      <c r="B3004" s="18"/>
      <c r="C3004" s="19"/>
      <c r="D3004" s="19"/>
      <c r="O3004" s="5"/>
      <c r="P3004" s="5"/>
    </row>
    <row r="3005" spans="2:16" ht="13.2" x14ac:dyDescent="0.25">
      <c r="B3005" s="18"/>
      <c r="C3005" s="19"/>
      <c r="D3005" s="19"/>
      <c r="O3005" s="5"/>
      <c r="P3005" s="5"/>
    </row>
    <row r="3006" spans="2:16" ht="13.2" x14ac:dyDescent="0.25">
      <c r="B3006" s="18"/>
      <c r="C3006" s="19"/>
      <c r="D3006" s="19"/>
      <c r="O3006" s="5"/>
      <c r="P3006" s="5"/>
    </row>
    <row r="3007" spans="2:16" ht="13.2" x14ac:dyDescent="0.25">
      <c r="B3007" s="18"/>
      <c r="C3007" s="19"/>
      <c r="D3007" s="19"/>
      <c r="O3007" s="5"/>
      <c r="P3007" s="5"/>
    </row>
    <row r="3008" spans="2:16" ht="13.2" x14ac:dyDescent="0.25">
      <c r="B3008" s="18"/>
      <c r="C3008" s="19"/>
      <c r="D3008" s="19"/>
      <c r="O3008" s="5"/>
      <c r="P3008" s="5"/>
    </row>
    <row r="3009" spans="2:16" ht="13.2" x14ac:dyDescent="0.25">
      <c r="B3009" s="18"/>
      <c r="C3009" s="19"/>
      <c r="D3009" s="19"/>
      <c r="O3009" s="5"/>
      <c r="P3009" s="5"/>
    </row>
    <row r="3010" spans="2:16" ht="13.2" x14ac:dyDescent="0.25">
      <c r="B3010" s="18"/>
      <c r="C3010" s="19"/>
      <c r="D3010" s="19"/>
      <c r="O3010" s="5"/>
      <c r="P3010" s="5"/>
    </row>
    <row r="3011" spans="2:16" ht="13.2" x14ac:dyDescent="0.25">
      <c r="B3011" s="18"/>
      <c r="C3011" s="19"/>
      <c r="D3011" s="19"/>
      <c r="O3011" s="5"/>
      <c r="P3011" s="5"/>
    </row>
    <row r="3012" spans="2:16" ht="13.2" x14ac:dyDescent="0.25">
      <c r="B3012" s="18"/>
      <c r="C3012" s="19"/>
      <c r="D3012" s="19"/>
      <c r="O3012" s="5"/>
      <c r="P3012" s="5"/>
    </row>
    <row r="3013" spans="2:16" ht="13.2" x14ac:dyDescent="0.25">
      <c r="B3013" s="18"/>
      <c r="C3013" s="19"/>
      <c r="D3013" s="19"/>
      <c r="O3013" s="5"/>
      <c r="P3013" s="5"/>
    </row>
    <row r="3014" spans="2:16" ht="13.2" x14ac:dyDescent="0.25">
      <c r="B3014" s="18"/>
      <c r="C3014" s="19"/>
      <c r="D3014" s="19"/>
      <c r="O3014" s="5"/>
      <c r="P3014" s="5"/>
    </row>
    <row r="3015" spans="2:16" ht="13.2" x14ac:dyDescent="0.25">
      <c r="B3015" s="18"/>
      <c r="C3015" s="19"/>
      <c r="D3015" s="19"/>
      <c r="O3015" s="5"/>
      <c r="P3015" s="5"/>
    </row>
    <row r="3016" spans="2:16" ht="13.2" x14ac:dyDescent="0.25">
      <c r="B3016" s="18"/>
      <c r="C3016" s="19"/>
      <c r="D3016" s="19"/>
      <c r="O3016" s="5"/>
      <c r="P3016" s="5"/>
    </row>
    <row r="3017" spans="2:16" ht="13.2" x14ac:dyDescent="0.25">
      <c r="B3017" s="18"/>
      <c r="C3017" s="19"/>
      <c r="D3017" s="19"/>
      <c r="O3017" s="5"/>
      <c r="P3017" s="5"/>
    </row>
    <row r="3018" spans="2:16" ht="13.2" x14ac:dyDescent="0.25">
      <c r="B3018" s="18"/>
      <c r="C3018" s="19"/>
      <c r="D3018" s="19"/>
      <c r="O3018" s="5"/>
      <c r="P3018" s="5"/>
    </row>
    <row r="3019" spans="2:16" ht="13.2" x14ac:dyDescent="0.25">
      <c r="B3019" s="18"/>
      <c r="C3019" s="19"/>
      <c r="D3019" s="19"/>
      <c r="O3019" s="5"/>
      <c r="P3019" s="5"/>
    </row>
    <row r="3020" spans="2:16" ht="13.2" x14ac:dyDescent="0.25">
      <c r="B3020" s="18"/>
      <c r="C3020" s="19"/>
      <c r="D3020" s="19"/>
      <c r="O3020" s="5"/>
      <c r="P3020" s="5"/>
    </row>
    <row r="3021" spans="2:16" ht="13.2" x14ac:dyDescent="0.25">
      <c r="B3021" s="18"/>
      <c r="C3021" s="19"/>
      <c r="D3021" s="19"/>
      <c r="O3021" s="5"/>
      <c r="P3021" s="5"/>
    </row>
    <row r="3022" spans="2:16" ht="13.2" x14ac:dyDescent="0.25">
      <c r="B3022" s="18"/>
      <c r="C3022" s="19"/>
      <c r="D3022" s="19"/>
      <c r="O3022" s="5"/>
      <c r="P3022" s="5"/>
    </row>
    <row r="3023" spans="2:16" ht="13.2" x14ac:dyDescent="0.25">
      <c r="B3023" s="18"/>
      <c r="C3023" s="19"/>
      <c r="D3023" s="19"/>
      <c r="O3023" s="5"/>
      <c r="P3023" s="5"/>
    </row>
    <row r="3024" spans="2:16" ht="13.2" x14ac:dyDescent="0.25">
      <c r="B3024" s="18"/>
      <c r="C3024" s="19"/>
      <c r="D3024" s="19"/>
      <c r="O3024" s="5"/>
      <c r="P3024" s="5"/>
    </row>
    <row r="3025" spans="2:16" ht="13.2" x14ac:dyDescent="0.25">
      <c r="B3025" s="18"/>
      <c r="C3025" s="19"/>
      <c r="D3025" s="19"/>
      <c r="O3025" s="5"/>
      <c r="P3025" s="5"/>
    </row>
    <row r="3026" spans="2:16" ht="13.2" x14ac:dyDescent="0.25">
      <c r="B3026" s="18"/>
      <c r="C3026" s="19"/>
      <c r="D3026" s="19"/>
      <c r="O3026" s="5"/>
      <c r="P3026" s="5"/>
    </row>
    <row r="3027" spans="2:16" ht="13.2" x14ac:dyDescent="0.25">
      <c r="B3027" s="18"/>
      <c r="C3027" s="19"/>
      <c r="D3027" s="19"/>
      <c r="O3027" s="5"/>
      <c r="P3027" s="5"/>
    </row>
    <row r="3028" spans="2:16" ht="13.2" x14ac:dyDescent="0.25">
      <c r="B3028" s="18"/>
      <c r="C3028" s="19"/>
      <c r="D3028" s="19"/>
      <c r="O3028" s="5"/>
      <c r="P3028" s="5"/>
    </row>
    <row r="3029" spans="2:16" ht="13.2" x14ac:dyDescent="0.25">
      <c r="B3029" s="18"/>
      <c r="C3029" s="19"/>
      <c r="D3029" s="19"/>
      <c r="O3029" s="5"/>
      <c r="P3029" s="5"/>
    </row>
    <row r="3030" spans="2:16" ht="13.2" x14ac:dyDescent="0.25">
      <c r="B3030" s="18"/>
      <c r="C3030" s="19"/>
      <c r="D3030" s="19"/>
      <c r="O3030" s="5"/>
      <c r="P3030" s="5"/>
    </row>
    <row r="3031" spans="2:16" ht="13.2" x14ac:dyDescent="0.25">
      <c r="B3031" s="18"/>
      <c r="C3031" s="19"/>
      <c r="D3031" s="19"/>
      <c r="O3031" s="5"/>
      <c r="P3031" s="5"/>
    </row>
    <row r="3032" spans="2:16" ht="13.2" x14ac:dyDescent="0.25">
      <c r="B3032" s="18"/>
      <c r="C3032" s="19"/>
      <c r="D3032" s="19"/>
      <c r="O3032" s="5"/>
      <c r="P3032" s="5"/>
    </row>
  </sheetData>
  <dataValidations count="1">
    <dataValidation type="list" allowBlank="1" showErrorMessage="1" sqref="E2:E101" xr:uid="{00000000-0002-0000-0100-000001000000}">
      <formula1>"MGT,O'GT,YGT"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9D8F0423-3D21-4C5E-A6CC-C97B9C8B0D98}">
          <x14:formula1>
            <xm:f>Лист1!$D$1:$D$20</xm:f>
          </x14:formula1>
          <xm:sqref>C2:C1048576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032"/>
  <sheetViews>
    <sheetView workbookViewId="0">
      <pane ySplit="3" topLeftCell="A4" activePane="bottomLeft" state="frozen"/>
      <selection pane="bottomLeft" activeCell="E686" sqref="E686"/>
    </sheetView>
  </sheetViews>
  <sheetFormatPr defaultColWidth="12.6640625" defaultRowHeight="15.75" customHeight="1" x14ac:dyDescent="0.25"/>
  <cols>
    <col min="1" max="1" width="21.77734375" customWidth="1"/>
    <col min="2" max="2" width="20" customWidth="1"/>
    <col min="3" max="3" width="27" customWidth="1"/>
    <col min="4" max="4" width="24.6640625" customWidth="1"/>
    <col min="5" max="5" width="39.21875" customWidth="1"/>
    <col min="6" max="10" width="11.109375" customWidth="1"/>
  </cols>
  <sheetData>
    <row r="1" spans="1:10" ht="14.4" x14ac:dyDescent="0.3">
      <c r="A1" s="20"/>
      <c r="B1" s="20"/>
      <c r="C1" s="20"/>
      <c r="D1" s="20"/>
      <c r="E1" s="20"/>
      <c r="F1" s="21"/>
      <c r="G1" s="21"/>
      <c r="H1" s="21"/>
      <c r="I1" s="21"/>
      <c r="J1" s="21"/>
    </row>
    <row r="2" spans="1:10" ht="14.4" x14ac:dyDescent="0.3">
      <c r="A2" s="20"/>
      <c r="B2" s="20"/>
      <c r="C2" s="20"/>
      <c r="D2" s="20"/>
      <c r="E2" s="20"/>
      <c r="F2" s="22"/>
      <c r="G2" s="23"/>
      <c r="H2" s="23"/>
      <c r="I2" s="23"/>
      <c r="J2" s="23"/>
    </row>
    <row r="3" spans="1:10" ht="14.4" x14ac:dyDescent="0.3">
      <c r="A3" s="24" t="s">
        <v>50</v>
      </c>
      <c r="B3" s="25" t="s">
        <v>51</v>
      </c>
      <c r="C3" s="25" t="s">
        <v>52</v>
      </c>
      <c r="D3" s="25" t="s">
        <v>53</v>
      </c>
      <c r="E3" s="25" t="s">
        <v>54</v>
      </c>
      <c r="F3" s="26" t="s">
        <v>55</v>
      </c>
      <c r="G3" s="27"/>
      <c r="H3" s="27"/>
      <c r="I3" s="27"/>
      <c r="J3" s="27"/>
    </row>
    <row r="4" spans="1:10" ht="14.4" x14ac:dyDescent="0.3">
      <c r="A4" s="28" t="str">
        <f>B4&amp;C4&amp;D4&amp;E4</f>
        <v>ЗдоровьеОптикаАксессуары для линзАксессуары для линз</v>
      </c>
      <c r="B4" s="29" t="s">
        <v>116</v>
      </c>
      <c r="C4" s="29" t="s">
        <v>741</v>
      </c>
      <c r="D4" s="29" t="s">
        <v>2059</v>
      </c>
      <c r="E4" s="29" t="s">
        <v>2059</v>
      </c>
      <c r="F4" s="30">
        <v>0.35</v>
      </c>
      <c r="G4" s="31"/>
      <c r="H4" s="31"/>
      <c r="I4" s="31"/>
      <c r="J4" s="31"/>
    </row>
    <row r="5" spans="1:10" ht="14.4" x14ac:dyDescent="0.3">
      <c r="A5" s="28" t="str">
        <f>B5&amp;C5&amp;D5&amp;E5</f>
        <v>ЗдоровьеОптикаСалфетки, спреи для очковСалфетки, спреи для очков</v>
      </c>
      <c r="B5" s="29" t="s">
        <v>116</v>
      </c>
      <c r="C5" s="29" t="s">
        <v>741</v>
      </c>
      <c r="D5" s="29" t="s">
        <v>2927</v>
      </c>
      <c r="E5" s="29" t="s">
        <v>2927</v>
      </c>
      <c r="F5" s="30">
        <v>0.35</v>
      </c>
      <c r="G5" s="31"/>
      <c r="H5" s="31"/>
      <c r="I5" s="31"/>
      <c r="J5" s="31"/>
    </row>
    <row r="6" spans="1:10" ht="14.4" x14ac:dyDescent="0.3">
      <c r="A6" s="28" t="str">
        <f>B6&amp;C6&amp;D6&amp;E6</f>
        <v>ЗдоровьеОртопедические изделияОртопедические стельки и полустельки, корректоры стопыОртопедические стельки и полустельки, корректоры стопы</v>
      </c>
      <c r="B6" s="29" t="s">
        <v>116</v>
      </c>
      <c r="C6" s="29" t="s">
        <v>117</v>
      </c>
      <c r="D6" s="29" t="s">
        <v>2997</v>
      </c>
      <c r="E6" s="29" t="s">
        <v>2997</v>
      </c>
      <c r="F6" s="30">
        <v>0.35</v>
      </c>
      <c r="G6" s="31"/>
      <c r="H6" s="31"/>
      <c r="I6" s="31"/>
      <c r="J6" s="31"/>
    </row>
    <row r="7" spans="1:10" ht="14.4" x14ac:dyDescent="0.3">
      <c r="A7" s="28" t="str">
        <f>B7&amp;C7&amp;D7&amp;E7</f>
        <v>ЭлектроникаОфисная техникаКомплектующие для офисной техникиФотобарабаны</v>
      </c>
      <c r="B7" s="29" t="s">
        <v>67</v>
      </c>
      <c r="C7" s="29" t="s">
        <v>68</v>
      </c>
      <c r="D7" s="29" t="s">
        <v>69</v>
      </c>
      <c r="E7" s="29" t="s">
        <v>70</v>
      </c>
      <c r="F7" s="30">
        <v>0.3</v>
      </c>
      <c r="G7" s="31"/>
      <c r="H7" s="31"/>
      <c r="I7" s="31"/>
      <c r="J7" s="31"/>
    </row>
    <row r="8" spans="1:10" ht="14.4" x14ac:dyDescent="0.3">
      <c r="A8" s="28" t="str">
        <f>B8&amp;C8&amp;D8&amp;E8</f>
        <v>Товары для домаТовары для праздниковОформление праздникаФотобутафория</v>
      </c>
      <c r="B8" s="29" t="s">
        <v>59</v>
      </c>
      <c r="C8" s="29" t="s">
        <v>85</v>
      </c>
      <c r="D8" s="29" t="s">
        <v>86</v>
      </c>
      <c r="E8" s="29" t="s">
        <v>87</v>
      </c>
      <c r="F8" s="30">
        <v>0.3</v>
      </c>
      <c r="G8" s="31"/>
      <c r="H8" s="31"/>
      <c r="I8" s="31"/>
      <c r="J8" s="31"/>
    </row>
    <row r="9" spans="1:10" ht="14.4" x14ac:dyDescent="0.3">
      <c r="A9" s="28" t="str">
        <f>B9&amp;C9&amp;D9&amp;E9</f>
        <v>АксессуарыМужские аксессуарыКошельки, ключницы и визитницыЗажимы для денег</v>
      </c>
      <c r="B9" s="29" t="s">
        <v>88</v>
      </c>
      <c r="C9" s="29" t="s">
        <v>89</v>
      </c>
      <c r="D9" s="29" t="s">
        <v>90</v>
      </c>
      <c r="E9" s="29" t="s">
        <v>91</v>
      </c>
      <c r="F9" s="30">
        <v>0.3</v>
      </c>
      <c r="G9" s="31"/>
      <c r="H9" s="31"/>
      <c r="I9" s="31"/>
      <c r="J9" s="31"/>
    </row>
    <row r="10" spans="1:10" ht="14.4" x14ac:dyDescent="0.3">
      <c r="A10" s="28" t="str">
        <f>B10&amp;C10&amp;D10&amp;E10</f>
        <v>ЭлектроникаСмартфоны и телефоныАксессуары для смартфоновШнурки</v>
      </c>
      <c r="B10" s="29" t="s">
        <v>67</v>
      </c>
      <c r="C10" s="29" t="s">
        <v>96</v>
      </c>
      <c r="D10" s="29" t="s">
        <v>97</v>
      </c>
      <c r="E10" s="29" t="s">
        <v>98</v>
      </c>
      <c r="F10" s="30">
        <v>0.3</v>
      </c>
      <c r="G10" s="31"/>
      <c r="H10" s="31"/>
      <c r="I10" s="31"/>
      <c r="J10" s="31"/>
    </row>
    <row r="11" spans="1:10" ht="14.4" x14ac:dyDescent="0.3">
      <c r="A11" s="28" t="str">
        <f>B11&amp;C11&amp;D11&amp;E11</f>
        <v>ЗдоровьеОртопедические изделияКомпрессионный трикотажКомпрессионные чулки</v>
      </c>
      <c r="B11" s="29" t="s">
        <v>116</v>
      </c>
      <c r="C11" s="29" t="s">
        <v>117</v>
      </c>
      <c r="D11" s="29" t="s">
        <v>118</v>
      </c>
      <c r="E11" s="29" t="s">
        <v>119</v>
      </c>
      <c r="F11" s="30">
        <v>0.3</v>
      </c>
      <c r="G11" s="31"/>
      <c r="H11" s="31"/>
      <c r="I11" s="31"/>
      <c r="J11" s="31"/>
    </row>
    <row r="12" spans="1:10" ht="14.4" x14ac:dyDescent="0.3">
      <c r="A12" s="28" t="str">
        <f>B12&amp;C12&amp;D12&amp;E12</f>
        <v>Бытовая техникаТовары для кухниПрочая кухонная техникаЛанчбоксы с подогревом</v>
      </c>
      <c r="B12" s="29" t="s">
        <v>160</v>
      </c>
      <c r="C12" s="29" t="s">
        <v>60</v>
      </c>
      <c r="D12" s="29" t="s">
        <v>161</v>
      </c>
      <c r="E12" s="29" t="s">
        <v>162</v>
      </c>
      <c r="F12" s="30">
        <v>0.3</v>
      </c>
      <c r="G12" s="31"/>
      <c r="H12" s="31"/>
      <c r="I12" s="31"/>
      <c r="J12" s="31"/>
    </row>
    <row r="13" spans="1:10" ht="14.4" x14ac:dyDescent="0.3">
      <c r="A13" s="28" t="str">
        <f>B13&amp;C13&amp;D13&amp;E13</f>
        <v>Красота и уходМакияжАксессуары для макияжаПовязки косметические</v>
      </c>
      <c r="B13" s="29" t="s">
        <v>56</v>
      </c>
      <c r="C13" s="29" t="s">
        <v>151</v>
      </c>
      <c r="D13" s="29" t="s">
        <v>188</v>
      </c>
      <c r="E13" s="29" t="s">
        <v>189</v>
      </c>
      <c r="F13" s="30">
        <v>0.3</v>
      </c>
      <c r="G13" s="31"/>
      <c r="H13" s="31"/>
      <c r="I13" s="31"/>
      <c r="J13" s="31"/>
    </row>
    <row r="14" spans="1:10" ht="14.4" x14ac:dyDescent="0.3">
      <c r="A14" s="28" t="str">
        <f>B14&amp;C14&amp;D14&amp;E14</f>
        <v>ЭлектроникаОфисная техникаКомплектующие для офисной техникиЧернила</v>
      </c>
      <c r="B14" s="29" t="s">
        <v>67</v>
      </c>
      <c r="C14" s="29" t="s">
        <v>68</v>
      </c>
      <c r="D14" s="29" t="s">
        <v>69</v>
      </c>
      <c r="E14" s="29" t="s">
        <v>220</v>
      </c>
      <c r="F14" s="30">
        <v>0.3</v>
      </c>
      <c r="G14" s="31"/>
      <c r="H14" s="31"/>
      <c r="I14" s="31"/>
      <c r="J14" s="31"/>
    </row>
    <row r="15" spans="1:10" ht="14.4" x14ac:dyDescent="0.3">
      <c r="A15" s="28" t="str">
        <f>B15&amp;C15&amp;D15&amp;E15</f>
        <v>ЭлектроникаНоутбуки, планшеты и электронные книгиАксессуары для ноутбуковЗапчасти для ноутбуков</v>
      </c>
      <c r="B15" s="29" t="s">
        <v>67</v>
      </c>
      <c r="C15" s="29" t="s">
        <v>276</v>
      </c>
      <c r="D15" s="29" t="s">
        <v>277</v>
      </c>
      <c r="E15" s="29" t="s">
        <v>278</v>
      </c>
      <c r="F15" s="30">
        <v>0.3</v>
      </c>
      <c r="G15" s="31"/>
      <c r="H15" s="31"/>
      <c r="I15" s="31"/>
      <c r="J15" s="31"/>
    </row>
    <row r="16" spans="1:10" ht="14.4" x14ac:dyDescent="0.3">
      <c r="A16" s="28" t="str">
        <f>B16&amp;C16&amp;D16&amp;E16</f>
        <v>ЭлектроникаСмартфоны и телефоныКнопочные телефоныКнопочные телефоны</v>
      </c>
      <c r="B16" s="29" t="s">
        <v>67</v>
      </c>
      <c r="C16" s="29" t="s">
        <v>96</v>
      </c>
      <c r="D16" s="29" t="s">
        <v>282</v>
      </c>
      <c r="E16" s="29" t="s">
        <v>282</v>
      </c>
      <c r="F16" s="30">
        <v>0.3</v>
      </c>
      <c r="G16" s="31"/>
      <c r="H16" s="31"/>
      <c r="I16" s="31"/>
      <c r="J16" s="31"/>
    </row>
    <row r="17" spans="1:10" ht="14.4" x14ac:dyDescent="0.3">
      <c r="A17" s="28" t="str">
        <f>B17&amp;C17&amp;D17&amp;E17</f>
        <v>ЭлектроникаНоутбуки, планшеты и электронные книгиПланшеты и электронные книгиАксессуары для планшетов и электронных книг</v>
      </c>
      <c r="B17" s="29" t="s">
        <v>67</v>
      </c>
      <c r="C17" s="29" t="s">
        <v>276</v>
      </c>
      <c r="D17" s="29" t="s">
        <v>291</v>
      </c>
      <c r="E17" s="29" t="s">
        <v>292</v>
      </c>
      <c r="F17" s="30">
        <v>0.3</v>
      </c>
      <c r="G17" s="31"/>
      <c r="H17" s="31"/>
      <c r="I17" s="31"/>
      <c r="J17" s="31"/>
    </row>
    <row r="18" spans="1:10" ht="14.4" x14ac:dyDescent="0.3">
      <c r="A18" s="28" t="str">
        <f>B18&amp;C18&amp;D18&amp;E18</f>
        <v>АксессуарыМужские аксессуарыЮвелирные украшенияБраслеты</v>
      </c>
      <c r="B18" s="29" t="s">
        <v>88</v>
      </c>
      <c r="C18" s="29" t="s">
        <v>89</v>
      </c>
      <c r="D18" s="29" t="s">
        <v>306</v>
      </c>
      <c r="E18" s="29" t="s">
        <v>307</v>
      </c>
      <c r="F18" s="30">
        <v>0.3</v>
      </c>
      <c r="G18" s="31"/>
      <c r="H18" s="31"/>
      <c r="I18" s="31"/>
      <c r="J18" s="31"/>
    </row>
    <row r="19" spans="1:10" ht="14.4" x14ac:dyDescent="0.3">
      <c r="A19" s="28" t="str">
        <f>B19&amp;C19&amp;D19&amp;E19</f>
        <v>АксессуарыЖенские аксессуарыБижутерные украшенияБроши</v>
      </c>
      <c r="B19" s="29" t="s">
        <v>88</v>
      </c>
      <c r="C19" s="29" t="s">
        <v>221</v>
      </c>
      <c r="D19" s="29" t="s">
        <v>314</v>
      </c>
      <c r="E19" s="29" t="s">
        <v>315</v>
      </c>
      <c r="F19" s="30">
        <v>0.3</v>
      </c>
      <c r="G19" s="31"/>
      <c r="H19" s="31"/>
      <c r="I19" s="31"/>
      <c r="J19" s="31"/>
    </row>
    <row r="20" spans="1:10" ht="14.4" x14ac:dyDescent="0.3">
      <c r="A20" s="28" t="str">
        <f>B20&amp;C20&amp;D20&amp;E20</f>
        <v>Товары для домаТовары для праздниковПодарочная упаковка, открыткиПакеты и мешочки</v>
      </c>
      <c r="B20" s="29" t="s">
        <v>59</v>
      </c>
      <c r="C20" s="29" t="s">
        <v>85</v>
      </c>
      <c r="D20" s="29" t="s">
        <v>330</v>
      </c>
      <c r="E20" s="29" t="s">
        <v>331</v>
      </c>
      <c r="F20" s="30">
        <v>0.3</v>
      </c>
      <c r="G20" s="31"/>
      <c r="H20" s="31"/>
      <c r="I20" s="31"/>
      <c r="J20" s="31"/>
    </row>
    <row r="21" spans="1:10" ht="14.4" x14ac:dyDescent="0.3">
      <c r="A21" s="28" t="str">
        <f>B21&amp;C21&amp;D21&amp;E21</f>
        <v>ЭлектроникаОфисная техникаАксессуары и уход за офисной техникойЗапчасти и аксессуары для офисной техникой</v>
      </c>
      <c r="B21" s="29" t="s">
        <v>67</v>
      </c>
      <c r="C21" s="29" t="s">
        <v>68</v>
      </c>
      <c r="D21" s="29" t="s">
        <v>348</v>
      </c>
      <c r="E21" s="29" t="s">
        <v>349</v>
      </c>
      <c r="F21" s="30">
        <v>0.3</v>
      </c>
      <c r="G21" s="31"/>
      <c r="H21" s="31"/>
      <c r="I21" s="31"/>
      <c r="J21" s="31"/>
    </row>
    <row r="22" spans="1:10" ht="14.4" x14ac:dyDescent="0.3">
      <c r="A22" s="28" t="str">
        <f>B22&amp;C22&amp;D22&amp;E22</f>
        <v>ЭлектроникаФото и видеотехникаАксессуары для фото- и видеокамерСумки и рюкзаки</v>
      </c>
      <c r="B22" s="29" t="s">
        <v>67</v>
      </c>
      <c r="C22" s="29" t="s">
        <v>174</v>
      </c>
      <c r="D22" s="29" t="s">
        <v>175</v>
      </c>
      <c r="E22" s="29" t="s">
        <v>406</v>
      </c>
      <c r="F22" s="30">
        <v>0.3</v>
      </c>
      <c r="G22" s="31"/>
      <c r="H22" s="31"/>
      <c r="I22" s="31"/>
      <c r="J22" s="31"/>
    </row>
    <row r="23" spans="1:10" ht="14.4" x14ac:dyDescent="0.3">
      <c r="A23" s="28" t="str">
        <f>B23&amp;C23&amp;D23&amp;E23</f>
        <v>АксессуарыЖенские аксессуарыЮвелирные украшенияЧасы</v>
      </c>
      <c r="B23" s="29" t="s">
        <v>88</v>
      </c>
      <c r="C23" s="29" t="s">
        <v>221</v>
      </c>
      <c r="D23" s="29" t="s">
        <v>306</v>
      </c>
      <c r="E23" s="29" t="s">
        <v>416</v>
      </c>
      <c r="F23" s="30">
        <v>0.3</v>
      </c>
      <c r="G23" s="31"/>
      <c r="H23" s="31"/>
      <c r="I23" s="31"/>
      <c r="J23" s="31"/>
    </row>
    <row r="24" spans="1:10" ht="14.4" x14ac:dyDescent="0.3">
      <c r="A24" s="28" t="str">
        <f>B24&amp;C24&amp;D24&amp;E24</f>
        <v>Товары для домаТовары для праздниковОформление праздникаНасосы для шариков</v>
      </c>
      <c r="B24" s="29" t="s">
        <v>59</v>
      </c>
      <c r="C24" s="29" t="s">
        <v>85</v>
      </c>
      <c r="D24" s="29" t="s">
        <v>86</v>
      </c>
      <c r="E24" s="29" t="s">
        <v>426</v>
      </c>
      <c r="F24" s="30">
        <v>0.3</v>
      </c>
      <c r="G24" s="31"/>
      <c r="H24" s="31"/>
      <c r="I24" s="31"/>
      <c r="J24" s="31"/>
    </row>
    <row r="25" spans="1:10" ht="14.4" x14ac:dyDescent="0.3">
      <c r="A25" s="28" t="str">
        <f>B25&amp;C25&amp;D25&amp;E25</f>
        <v>АксессуарыМужские аксессуарыПортмоне и косметичкиПортмоне</v>
      </c>
      <c r="B25" s="29" t="s">
        <v>88</v>
      </c>
      <c r="C25" s="29" t="s">
        <v>89</v>
      </c>
      <c r="D25" s="29" t="s">
        <v>430</v>
      </c>
      <c r="E25" s="29" t="s">
        <v>431</v>
      </c>
      <c r="F25" s="30">
        <v>0.3</v>
      </c>
      <c r="G25" s="31"/>
      <c r="H25" s="31"/>
      <c r="I25" s="31"/>
      <c r="J25" s="31"/>
    </row>
    <row r="26" spans="1:10" ht="14.4" x14ac:dyDescent="0.3">
      <c r="A26" s="28" t="str">
        <f>B26&amp;C26&amp;D26&amp;E26</f>
        <v>ЭлектроникаКомпьютерная техникаХранение данныхКартридеры</v>
      </c>
      <c r="B26" s="29" t="s">
        <v>67</v>
      </c>
      <c r="C26" s="29" t="s">
        <v>234</v>
      </c>
      <c r="D26" s="29" t="s">
        <v>432</v>
      </c>
      <c r="E26" s="29" t="s">
        <v>433</v>
      </c>
      <c r="F26" s="30">
        <v>0.3</v>
      </c>
      <c r="G26" s="31"/>
      <c r="H26" s="31"/>
      <c r="I26" s="31"/>
      <c r="J26" s="31"/>
    </row>
    <row r="27" spans="1:10" ht="14.4" x14ac:dyDescent="0.3">
      <c r="A27" s="28" t="str">
        <f>B27&amp;C27&amp;D27&amp;E27</f>
        <v>ЗдоровьеМедицинские изделия и расходные материалыДезинфицирующие средстваДезинфицирующие средства</v>
      </c>
      <c r="B27" s="29" t="s">
        <v>116</v>
      </c>
      <c r="C27" s="29" t="s">
        <v>436</v>
      </c>
      <c r="D27" s="29" t="s">
        <v>437</v>
      </c>
      <c r="E27" s="29" t="s">
        <v>437</v>
      </c>
      <c r="F27" s="30">
        <v>0.3</v>
      </c>
      <c r="G27" s="31"/>
      <c r="H27" s="31"/>
      <c r="I27" s="31"/>
      <c r="J27" s="31"/>
    </row>
    <row r="28" spans="1:10" ht="14.4" x14ac:dyDescent="0.3">
      <c r="A28" s="28" t="str">
        <f>B28&amp;C28&amp;D28&amp;E28</f>
        <v>Красота и уходМакияжАксессуары для макияжаСпонжи и аппликаторы</v>
      </c>
      <c r="B28" s="29" t="s">
        <v>56</v>
      </c>
      <c r="C28" s="29" t="s">
        <v>151</v>
      </c>
      <c r="D28" s="29" t="s">
        <v>188</v>
      </c>
      <c r="E28" s="29" t="s">
        <v>454</v>
      </c>
      <c r="F28" s="30">
        <v>0.3</v>
      </c>
      <c r="G28" s="31"/>
      <c r="H28" s="31"/>
      <c r="I28" s="31"/>
      <c r="J28" s="31"/>
    </row>
    <row r="29" spans="1:10" ht="14.4" x14ac:dyDescent="0.3">
      <c r="A29" s="28" t="str">
        <f>B29&amp;C29&amp;D29&amp;E29</f>
        <v>Красота и уходМакияжАксессуары для макияжаТочилки и трафареты</v>
      </c>
      <c r="B29" s="29" t="s">
        <v>56</v>
      </c>
      <c r="C29" s="29" t="s">
        <v>151</v>
      </c>
      <c r="D29" s="29" t="s">
        <v>188</v>
      </c>
      <c r="E29" s="29" t="s">
        <v>490</v>
      </c>
      <c r="F29" s="30">
        <v>0.3</v>
      </c>
      <c r="G29" s="31"/>
      <c r="H29" s="31"/>
      <c r="I29" s="31"/>
      <c r="J29" s="31"/>
    </row>
    <row r="30" spans="1:10" ht="14.4" x14ac:dyDescent="0.3">
      <c r="A30" s="28" t="str">
        <f>B30&amp;C30&amp;D30&amp;E30</f>
        <v>ЭлектроникаНоутбуки, планшеты и электронные книгиАксессуары для ноутбуковСумки и рюкзаки для ноутбуков</v>
      </c>
      <c r="B30" s="29" t="s">
        <v>67</v>
      </c>
      <c r="C30" s="29" t="s">
        <v>276</v>
      </c>
      <c r="D30" s="29" t="s">
        <v>277</v>
      </c>
      <c r="E30" s="29" t="s">
        <v>514</v>
      </c>
      <c r="F30" s="30">
        <v>0.3</v>
      </c>
      <c r="G30" s="31"/>
      <c r="H30" s="31"/>
      <c r="I30" s="31"/>
      <c r="J30" s="31"/>
    </row>
    <row r="31" spans="1:10" ht="14.4" x14ac:dyDescent="0.3">
      <c r="A31" s="28" t="str">
        <f>B31&amp;C31&amp;D31&amp;E31</f>
        <v>АксессуарыМужские аксессуарыГоловные уборыКомплекты головных уборов</v>
      </c>
      <c r="B31" s="29" t="s">
        <v>88</v>
      </c>
      <c r="C31" s="29" t="s">
        <v>89</v>
      </c>
      <c r="D31" s="29" t="s">
        <v>530</v>
      </c>
      <c r="E31" s="29" t="s">
        <v>531</v>
      </c>
      <c r="F31" s="30">
        <v>0.3</v>
      </c>
      <c r="G31" s="31"/>
      <c r="H31" s="31"/>
      <c r="I31" s="31"/>
      <c r="J31" s="31"/>
    </row>
    <row r="32" spans="1:10" ht="14.4" x14ac:dyDescent="0.3">
      <c r="A32" s="28" t="str">
        <f>B32&amp;C32&amp;D32&amp;E32</f>
        <v>Товары для домаТовары для праздниковКарнавальные товарыКарнавальные костюмы</v>
      </c>
      <c r="B32" s="29" t="s">
        <v>59</v>
      </c>
      <c r="C32" s="29" t="s">
        <v>85</v>
      </c>
      <c r="D32" s="29" t="s">
        <v>534</v>
      </c>
      <c r="E32" s="29" t="s">
        <v>535</v>
      </c>
      <c r="F32" s="30">
        <v>0.3</v>
      </c>
      <c r="G32" s="31"/>
      <c r="H32" s="31"/>
      <c r="I32" s="31"/>
      <c r="J32" s="31"/>
    </row>
    <row r="33" spans="1:10" ht="14.4" x14ac:dyDescent="0.3">
      <c r="A33" s="28" t="str">
        <f>B33&amp;C33&amp;D33&amp;E33</f>
        <v>Товары для домаТовары для праздниковПодарочная упаковка, открыткиКоробки</v>
      </c>
      <c r="B33" s="29" t="s">
        <v>59</v>
      </c>
      <c r="C33" s="29" t="s">
        <v>85</v>
      </c>
      <c r="D33" s="29" t="s">
        <v>330</v>
      </c>
      <c r="E33" s="29" t="s">
        <v>538</v>
      </c>
      <c r="F33" s="30">
        <v>0.3</v>
      </c>
      <c r="G33" s="31"/>
      <c r="H33" s="31"/>
      <c r="I33" s="31"/>
      <c r="J33" s="31"/>
    </row>
    <row r="34" spans="1:10" ht="14.4" x14ac:dyDescent="0.3">
      <c r="A34" s="28" t="str">
        <f>B34&amp;C34&amp;D34&amp;E34</f>
        <v>АвтотоварыШины и дискиУход за шинами и дискамиУход за шинами и дисками</v>
      </c>
      <c r="B34" s="29" t="s">
        <v>12</v>
      </c>
      <c r="C34" s="29" t="s">
        <v>407</v>
      </c>
      <c r="D34" s="29" t="s">
        <v>539</v>
      </c>
      <c r="E34" s="29" t="s">
        <v>539</v>
      </c>
      <c r="F34" s="30">
        <v>0.3</v>
      </c>
      <c r="G34" s="31"/>
      <c r="H34" s="31"/>
      <c r="I34" s="31"/>
      <c r="J34" s="31"/>
    </row>
    <row r="35" spans="1:10" ht="14.4" x14ac:dyDescent="0.3">
      <c r="A35" s="28" t="str">
        <f>B35&amp;C35&amp;D35&amp;E35</f>
        <v>АксессуарыЖенские аксессуарыБижутерные украшенияКомплекты украшений</v>
      </c>
      <c r="B35" s="29" t="s">
        <v>88</v>
      </c>
      <c r="C35" s="29" t="s">
        <v>221</v>
      </c>
      <c r="D35" s="29" t="s">
        <v>314</v>
      </c>
      <c r="E35" s="29" t="s">
        <v>553</v>
      </c>
      <c r="F35" s="30">
        <v>0.3</v>
      </c>
      <c r="G35" s="31"/>
      <c r="H35" s="31"/>
      <c r="I35" s="31"/>
      <c r="J35" s="31"/>
    </row>
    <row r="36" spans="1:10" ht="14.4" x14ac:dyDescent="0.3">
      <c r="A36" s="28" t="str">
        <f>B36&amp;C36&amp;D36&amp;E36</f>
        <v>АксессуарыЖенские аксессуарыСумки и рюкзакиАксессуары для сумок</v>
      </c>
      <c r="B36" s="29" t="s">
        <v>88</v>
      </c>
      <c r="C36" s="29" t="s">
        <v>221</v>
      </c>
      <c r="D36" s="29" t="s">
        <v>406</v>
      </c>
      <c r="E36" s="29" t="s">
        <v>566</v>
      </c>
      <c r="F36" s="30">
        <v>0.3</v>
      </c>
      <c r="G36" s="31"/>
      <c r="H36" s="31"/>
      <c r="I36" s="31"/>
      <c r="J36" s="31"/>
    </row>
    <row r="37" spans="1:10" ht="14.4" x14ac:dyDescent="0.3">
      <c r="A37" s="28" t="str">
        <f>B37&amp;C37&amp;D37&amp;E37</f>
        <v>АксессуарыАксессуары для путешествийОрганайзеры для путешествийОрганайзеры для путешествий</v>
      </c>
      <c r="B37" s="29" t="s">
        <v>88</v>
      </c>
      <c r="C37" s="29" t="s">
        <v>573</v>
      </c>
      <c r="D37" s="29" t="s">
        <v>574</v>
      </c>
      <c r="E37" s="29" t="s">
        <v>574</v>
      </c>
      <c r="F37" s="30">
        <v>0.3</v>
      </c>
      <c r="G37" s="31"/>
      <c r="H37" s="31"/>
      <c r="I37" s="31"/>
      <c r="J37" s="31"/>
    </row>
    <row r="38" spans="1:10" ht="14.4" x14ac:dyDescent="0.3">
      <c r="A38" s="28" t="str">
        <f>B38&amp;C38&amp;D38&amp;E38</f>
        <v>АксессуарыЖенские аксессуарыОчкиОчки для компьютера</v>
      </c>
      <c r="B38" s="29" t="s">
        <v>88</v>
      </c>
      <c r="C38" s="29" t="s">
        <v>221</v>
      </c>
      <c r="D38" s="29" t="s">
        <v>613</v>
      </c>
      <c r="E38" s="29" t="s">
        <v>614</v>
      </c>
      <c r="F38" s="30">
        <v>0.3</v>
      </c>
      <c r="G38" s="31"/>
      <c r="H38" s="31"/>
      <c r="I38" s="31"/>
      <c r="J38" s="31"/>
    </row>
    <row r="39" spans="1:10" ht="14.4" x14ac:dyDescent="0.3">
      <c r="A39" s="28" t="str">
        <f>B39&amp;C39&amp;D39&amp;E39</f>
        <v>АксессуарыМужские аксессуарыКошельки, ключницы и визитницыКлючницы</v>
      </c>
      <c r="B39" s="29" t="s">
        <v>88</v>
      </c>
      <c r="C39" s="29" t="s">
        <v>89</v>
      </c>
      <c r="D39" s="29" t="s">
        <v>90</v>
      </c>
      <c r="E39" s="29" t="s">
        <v>626</v>
      </c>
      <c r="F39" s="30">
        <v>0.3</v>
      </c>
      <c r="G39" s="31"/>
      <c r="H39" s="31"/>
      <c r="I39" s="31"/>
      <c r="J39" s="31"/>
    </row>
    <row r="40" spans="1:10" ht="14.4" x14ac:dyDescent="0.3">
      <c r="A40" s="28" t="str">
        <f>B40&amp;C40&amp;D40&amp;E40</f>
        <v>АксессуарыЖенские аксессуарыГоловные уборыПанамы</v>
      </c>
      <c r="B40" s="29" t="s">
        <v>88</v>
      </c>
      <c r="C40" s="29" t="s">
        <v>221</v>
      </c>
      <c r="D40" s="29" t="s">
        <v>530</v>
      </c>
      <c r="E40" s="29" t="s">
        <v>647</v>
      </c>
      <c r="F40" s="30">
        <v>0.3</v>
      </c>
      <c r="G40" s="31"/>
      <c r="H40" s="31"/>
      <c r="I40" s="31"/>
      <c r="J40" s="31"/>
    </row>
    <row r="41" spans="1:10" ht="14.4" x14ac:dyDescent="0.3">
      <c r="A41" s="28" t="str">
        <f>B41&amp;C41&amp;D41&amp;E41</f>
        <v>Бытовая техникаТехника для домаШвейные машины и аксессуарыАксессуары для швейных машин</v>
      </c>
      <c r="B41" s="29" t="s">
        <v>160</v>
      </c>
      <c r="C41" s="29" t="s">
        <v>229</v>
      </c>
      <c r="D41" s="29" t="s">
        <v>377</v>
      </c>
      <c r="E41" s="29" t="s">
        <v>669</v>
      </c>
      <c r="F41" s="30">
        <v>0.3</v>
      </c>
      <c r="G41" s="31"/>
      <c r="H41" s="31"/>
      <c r="I41" s="31"/>
      <c r="J41" s="31"/>
    </row>
    <row r="42" spans="1:10" ht="14.4" x14ac:dyDescent="0.3">
      <c r="A42" s="28" t="str">
        <f>B42&amp;C42&amp;D42&amp;E42</f>
        <v>ЭлектроникаОфисная техникаОфисное оборудованиеЛаминаторы и брошюровщики</v>
      </c>
      <c r="B42" s="29" t="s">
        <v>67</v>
      </c>
      <c r="C42" s="29" t="s">
        <v>68</v>
      </c>
      <c r="D42" s="29" t="s">
        <v>703</v>
      </c>
      <c r="E42" s="29" t="s">
        <v>704</v>
      </c>
      <c r="F42" s="30">
        <v>0.3</v>
      </c>
      <c r="G42" s="31"/>
      <c r="H42" s="31"/>
      <c r="I42" s="31"/>
      <c r="J42" s="31"/>
    </row>
    <row r="43" spans="1:10" ht="14.4" x14ac:dyDescent="0.3">
      <c r="A43" s="28" t="str">
        <f>B43&amp;C43&amp;D43&amp;E43</f>
        <v>АксессуарыЖенские аксессуарыГоловные уборыШляпы</v>
      </c>
      <c r="B43" s="29" t="s">
        <v>88</v>
      </c>
      <c r="C43" s="29" t="s">
        <v>221</v>
      </c>
      <c r="D43" s="29" t="s">
        <v>530</v>
      </c>
      <c r="E43" s="29" t="s">
        <v>745</v>
      </c>
      <c r="F43" s="30">
        <v>0.3</v>
      </c>
      <c r="G43" s="31"/>
      <c r="H43" s="31"/>
      <c r="I43" s="31"/>
      <c r="J43" s="31"/>
    </row>
    <row r="44" spans="1:10" ht="14.4" x14ac:dyDescent="0.3">
      <c r="A44" s="28" t="str">
        <f>B44&amp;C44&amp;D44&amp;E44</f>
        <v>АксессуарыЖенские аксессуарыСумки и рюкзакиСпортивные сумки</v>
      </c>
      <c r="B44" s="29" t="s">
        <v>88</v>
      </c>
      <c r="C44" s="29" t="s">
        <v>221</v>
      </c>
      <c r="D44" s="29" t="s">
        <v>406</v>
      </c>
      <c r="E44" s="29" t="s">
        <v>762</v>
      </c>
      <c r="F44" s="30">
        <v>0.3</v>
      </c>
      <c r="G44" s="31"/>
      <c r="H44" s="31"/>
      <c r="I44" s="31"/>
      <c r="J44" s="31"/>
    </row>
    <row r="45" spans="1:10" ht="14.4" x14ac:dyDescent="0.3">
      <c r="A45" s="28" t="str">
        <f>B45&amp;C45&amp;D45&amp;E45</f>
        <v>ЭлектроникаНаушники и аудиотехникаПериферия и аксессуарыАнтивибрационные подставки</v>
      </c>
      <c r="B45" s="29" t="s">
        <v>67</v>
      </c>
      <c r="C45" s="29" t="s">
        <v>74</v>
      </c>
      <c r="D45" s="29" t="s">
        <v>763</v>
      </c>
      <c r="E45" s="29" t="s">
        <v>764</v>
      </c>
      <c r="F45" s="30">
        <v>0.3</v>
      </c>
      <c r="G45" s="31"/>
      <c r="H45" s="31"/>
      <c r="I45" s="31"/>
      <c r="J45" s="31"/>
    </row>
    <row r="46" spans="1:10" ht="14.4" x14ac:dyDescent="0.3">
      <c r="A46" s="28" t="str">
        <f>B46&amp;C46&amp;D46&amp;E46</f>
        <v>АксессуарыМужские аксессуарыРемни и подтяжкиПодтяжки</v>
      </c>
      <c r="B46" s="29" t="s">
        <v>88</v>
      </c>
      <c r="C46" s="29" t="s">
        <v>89</v>
      </c>
      <c r="D46" s="29" t="s">
        <v>768</v>
      </c>
      <c r="E46" s="29" t="s">
        <v>769</v>
      </c>
      <c r="F46" s="30">
        <v>0.3</v>
      </c>
      <c r="G46" s="31"/>
      <c r="H46" s="31"/>
      <c r="I46" s="31"/>
      <c r="J46" s="31"/>
    </row>
    <row r="47" spans="1:10" ht="14.4" x14ac:dyDescent="0.3">
      <c r="A47" s="28" t="str">
        <f>B47&amp;C47&amp;D47&amp;E47</f>
        <v>ЭлектроникаНавигаторыGPS-трекеры и GPS-маякиGPS-трекеры и GPS-маяки</v>
      </c>
      <c r="B47" s="29" t="s">
        <v>67</v>
      </c>
      <c r="C47" s="29" t="s">
        <v>783</v>
      </c>
      <c r="D47" s="29" t="s">
        <v>784</v>
      </c>
      <c r="E47" s="29" t="s">
        <v>784</v>
      </c>
      <c r="F47" s="30">
        <v>0.3</v>
      </c>
      <c r="G47" s="31"/>
      <c r="H47" s="31"/>
      <c r="I47" s="31"/>
      <c r="J47" s="31"/>
    </row>
    <row r="48" spans="1:10" ht="14.4" x14ac:dyDescent="0.3">
      <c r="A48" s="28" t="str">
        <f>B48&amp;C48&amp;D48&amp;E48</f>
        <v>АксессуарыЖенские аксессуарыКошельки, ключницы и визитницыКлючницы</v>
      </c>
      <c r="B48" s="29" t="s">
        <v>88</v>
      </c>
      <c r="C48" s="29" t="s">
        <v>221</v>
      </c>
      <c r="D48" s="29" t="s">
        <v>90</v>
      </c>
      <c r="E48" s="29" t="s">
        <v>626</v>
      </c>
      <c r="F48" s="30">
        <v>0.3</v>
      </c>
      <c r="G48" s="31"/>
      <c r="H48" s="31"/>
      <c r="I48" s="31"/>
      <c r="J48" s="31"/>
    </row>
    <row r="49" spans="1:10" ht="14.4" x14ac:dyDescent="0.3">
      <c r="A49" s="28" t="str">
        <f>B49&amp;C49&amp;D49&amp;E49</f>
        <v>АксессуарыЖенские аксессуарыКошельки, ключницы и визитницыМонетницы</v>
      </c>
      <c r="B49" s="29" t="s">
        <v>88</v>
      </c>
      <c r="C49" s="29" t="s">
        <v>221</v>
      </c>
      <c r="D49" s="29" t="s">
        <v>90</v>
      </c>
      <c r="E49" s="29" t="s">
        <v>803</v>
      </c>
      <c r="F49" s="30">
        <v>0.3</v>
      </c>
      <c r="G49" s="31"/>
      <c r="H49" s="31"/>
      <c r="I49" s="31"/>
      <c r="J49" s="31"/>
    </row>
    <row r="50" spans="1:10" ht="14.4" x14ac:dyDescent="0.3">
      <c r="A50" s="28" t="str">
        <f>B50&amp;C50&amp;D50&amp;E50</f>
        <v>АксессуарыМужские аксессуарыБижутерные украшенияСерьги</v>
      </c>
      <c r="B50" s="29" t="s">
        <v>88</v>
      </c>
      <c r="C50" s="29" t="s">
        <v>89</v>
      </c>
      <c r="D50" s="29" t="s">
        <v>314</v>
      </c>
      <c r="E50" s="29" t="s">
        <v>810</v>
      </c>
      <c r="F50" s="30">
        <v>0.3</v>
      </c>
      <c r="G50" s="31"/>
      <c r="H50" s="31"/>
      <c r="I50" s="31"/>
      <c r="J50" s="31"/>
    </row>
    <row r="51" spans="1:10" ht="14.4" x14ac:dyDescent="0.3">
      <c r="A51" s="28" t="str">
        <f>B51&amp;C51&amp;D51&amp;E51</f>
        <v>ЭлектроникаАксессуары для электроникиУдлинителиУдлинители</v>
      </c>
      <c r="B51" s="29" t="s">
        <v>67</v>
      </c>
      <c r="C51" s="29" t="s">
        <v>885</v>
      </c>
      <c r="D51" s="29" t="s">
        <v>886</v>
      </c>
      <c r="E51" s="29" t="s">
        <v>886</v>
      </c>
      <c r="F51" s="30">
        <v>0.3</v>
      </c>
      <c r="G51" s="31"/>
      <c r="H51" s="31"/>
      <c r="I51" s="31"/>
      <c r="J51" s="31"/>
    </row>
    <row r="52" spans="1:10" ht="14.4" x14ac:dyDescent="0.3">
      <c r="A52" s="28" t="str">
        <f>B52&amp;C52&amp;D52&amp;E52</f>
        <v>АксессуарыАксессуары для путешествийНаборы для путешествийНаборы для путешествий</v>
      </c>
      <c r="B52" s="29" t="s">
        <v>88</v>
      </c>
      <c r="C52" s="29" t="s">
        <v>573</v>
      </c>
      <c r="D52" s="29" t="s">
        <v>892</v>
      </c>
      <c r="E52" s="29" t="s">
        <v>892</v>
      </c>
      <c r="F52" s="30">
        <v>0.3</v>
      </c>
      <c r="G52" s="31"/>
      <c r="H52" s="31"/>
      <c r="I52" s="31"/>
      <c r="J52" s="31"/>
    </row>
    <row r="53" spans="1:10" ht="14.4" x14ac:dyDescent="0.3">
      <c r="A53" s="28" t="str">
        <f>B53&amp;C53&amp;D53&amp;E53</f>
        <v>АксессуарыАксессуары для путешествийДорожные сумкиДорожные сумки</v>
      </c>
      <c r="B53" s="29" t="s">
        <v>88</v>
      </c>
      <c r="C53" s="29" t="s">
        <v>573</v>
      </c>
      <c r="D53" s="29" t="s">
        <v>893</v>
      </c>
      <c r="E53" s="29" t="s">
        <v>893</v>
      </c>
      <c r="F53" s="30">
        <v>0.3</v>
      </c>
      <c r="G53" s="31"/>
      <c r="H53" s="31"/>
      <c r="I53" s="31"/>
      <c r="J53" s="31"/>
    </row>
    <row r="54" spans="1:10" ht="14.4" x14ac:dyDescent="0.3">
      <c r="A54" s="28" t="str">
        <f>B54&amp;C54&amp;D54&amp;E54</f>
        <v>Детские товарыТовары для кормленияНиблерыНиблеры</v>
      </c>
      <c r="B54" s="29" t="s">
        <v>105</v>
      </c>
      <c r="C54" s="29" t="s">
        <v>639</v>
      </c>
      <c r="D54" s="29" t="s">
        <v>895</v>
      </c>
      <c r="E54" s="29" t="s">
        <v>895</v>
      </c>
      <c r="F54" s="30">
        <v>0.3</v>
      </c>
      <c r="G54" s="31"/>
      <c r="H54" s="31"/>
      <c r="I54" s="31"/>
      <c r="J54" s="31"/>
    </row>
    <row r="55" spans="1:10" ht="14.4" x14ac:dyDescent="0.3">
      <c r="A55" s="28" t="str">
        <f>B55&amp;C55&amp;D55&amp;E55</f>
        <v>ЭлектроникаУмные часы и фитнес браслетыКабели и зарядные устройстваКабели и зарядные устройства</v>
      </c>
      <c r="B55" s="29" t="s">
        <v>67</v>
      </c>
      <c r="C55" s="29" t="s">
        <v>356</v>
      </c>
      <c r="D55" s="29" t="s">
        <v>902</v>
      </c>
      <c r="E55" s="29" t="s">
        <v>902</v>
      </c>
      <c r="F55" s="30">
        <v>0.3</v>
      </c>
      <c r="G55" s="31"/>
      <c r="H55" s="31"/>
      <c r="I55" s="31"/>
      <c r="J55" s="31"/>
    </row>
    <row r="56" spans="1:10" ht="14.4" x14ac:dyDescent="0.3">
      <c r="A56" s="28" t="str">
        <f>B56&amp;C56&amp;D56&amp;E56</f>
        <v>Товары для домаТовары для праздниковПодарочные сертификаты, ваучерыПодарочные сертификаты, ваучеры</v>
      </c>
      <c r="B56" s="29" t="s">
        <v>59</v>
      </c>
      <c r="C56" s="29" t="s">
        <v>85</v>
      </c>
      <c r="D56" s="29" t="s">
        <v>903</v>
      </c>
      <c r="E56" s="29" t="s">
        <v>903</v>
      </c>
      <c r="F56" s="30">
        <v>0.3</v>
      </c>
      <c r="G56" s="31"/>
      <c r="H56" s="31"/>
      <c r="I56" s="31"/>
      <c r="J56" s="31"/>
    </row>
    <row r="57" spans="1:10" ht="14.4" x14ac:dyDescent="0.3">
      <c r="A57" s="28" t="str">
        <f>B57&amp;C57&amp;D57&amp;E57</f>
        <v>ЗоотоварыГигиенаКосметика для животныхШампуни и кондиционеры</v>
      </c>
      <c r="B57" s="29" t="s">
        <v>214</v>
      </c>
      <c r="C57" s="29" t="s">
        <v>911</v>
      </c>
      <c r="D57" s="29" t="s">
        <v>912</v>
      </c>
      <c r="E57" s="29" t="s">
        <v>913</v>
      </c>
      <c r="F57" s="30">
        <v>0.3</v>
      </c>
      <c r="G57" s="31"/>
      <c r="H57" s="31"/>
      <c r="I57" s="31"/>
      <c r="J57" s="31"/>
    </row>
    <row r="58" spans="1:10" ht="14.4" x14ac:dyDescent="0.3">
      <c r="A58" s="28" t="str">
        <f>B58&amp;C58&amp;D58&amp;E58</f>
        <v>ЭлектроникаАксессуары для электроникиUSB хабыUSB хабы</v>
      </c>
      <c r="B58" s="29" t="s">
        <v>67</v>
      </c>
      <c r="C58" s="29" t="s">
        <v>885</v>
      </c>
      <c r="D58" s="29" t="s">
        <v>920</v>
      </c>
      <c r="E58" s="29" t="s">
        <v>920</v>
      </c>
      <c r="F58" s="30">
        <v>0.3</v>
      </c>
      <c r="G58" s="31"/>
      <c r="H58" s="31"/>
      <c r="I58" s="31"/>
      <c r="J58" s="31"/>
    </row>
    <row r="59" spans="1:10" ht="14.4" x14ac:dyDescent="0.3">
      <c r="A59" s="28" t="str">
        <f>B59&amp;C59&amp;D59&amp;E59</f>
        <v>ЗдоровьеМассажеры и массажное оборудованиеМассажеры для головыМассажеры для головы</v>
      </c>
      <c r="B59" s="29" t="s">
        <v>116</v>
      </c>
      <c r="C59" s="29" t="s">
        <v>495</v>
      </c>
      <c r="D59" s="29" t="s">
        <v>955</v>
      </c>
      <c r="E59" s="29" t="s">
        <v>955</v>
      </c>
      <c r="F59" s="30">
        <v>0.3</v>
      </c>
      <c r="G59" s="31"/>
      <c r="H59" s="31"/>
      <c r="I59" s="31"/>
      <c r="J59" s="31"/>
    </row>
    <row r="60" spans="1:10" ht="14.4" x14ac:dyDescent="0.3">
      <c r="A60" s="28" t="str">
        <f>B60&amp;C60&amp;D60&amp;E60</f>
        <v>Дача, сад и огородОбустройство дачи и садаАнтимоскитные сеткиАнтимоскитные сетки</v>
      </c>
      <c r="B60" s="29" t="s">
        <v>352</v>
      </c>
      <c r="C60" s="29" t="s">
        <v>966</v>
      </c>
      <c r="D60" s="29" t="s">
        <v>967</v>
      </c>
      <c r="E60" s="29" t="s">
        <v>967</v>
      </c>
      <c r="F60" s="30">
        <v>0.3</v>
      </c>
      <c r="G60" s="31"/>
      <c r="H60" s="31"/>
      <c r="I60" s="31"/>
      <c r="J60" s="31"/>
    </row>
    <row r="61" spans="1:10" ht="14.4" x14ac:dyDescent="0.3">
      <c r="A61" s="28" t="str">
        <f>B61&amp;C61&amp;D61&amp;E61</f>
        <v>АксессуарыЖенские аксессуарыКошельки, ключницы и визитницыЗажимы для купюр</v>
      </c>
      <c r="B61" s="29" t="s">
        <v>88</v>
      </c>
      <c r="C61" s="29" t="s">
        <v>221</v>
      </c>
      <c r="D61" s="29" t="s">
        <v>90</v>
      </c>
      <c r="E61" s="29" t="s">
        <v>970</v>
      </c>
      <c r="F61" s="30">
        <v>0.3</v>
      </c>
      <c r="G61" s="31"/>
      <c r="H61" s="31"/>
      <c r="I61" s="31"/>
      <c r="J61" s="31"/>
    </row>
    <row r="62" spans="1:10" ht="14.4" x14ac:dyDescent="0.3">
      <c r="A62" s="28" t="str">
        <f>B62&amp;C62&amp;D62&amp;E62</f>
        <v>ЭлектроникаАксессуары для электроникиДок-станцииДок-станции</v>
      </c>
      <c r="B62" s="29" t="s">
        <v>67</v>
      </c>
      <c r="C62" s="29" t="s">
        <v>885</v>
      </c>
      <c r="D62" s="29" t="s">
        <v>974</v>
      </c>
      <c r="E62" s="29" t="s">
        <v>974</v>
      </c>
      <c r="F62" s="30">
        <v>0.3</v>
      </c>
      <c r="G62" s="31"/>
      <c r="H62" s="31"/>
      <c r="I62" s="31"/>
      <c r="J62" s="31"/>
    </row>
    <row r="63" spans="1:10" ht="14.4" x14ac:dyDescent="0.3">
      <c r="A63" s="28" t="str">
        <f>B63&amp;C63&amp;D63&amp;E63</f>
        <v>АксессуарыЖенские аксессуарыБижутерные украшенияУкрашения на шею</v>
      </c>
      <c r="B63" s="29" t="s">
        <v>88</v>
      </c>
      <c r="C63" s="29" t="s">
        <v>221</v>
      </c>
      <c r="D63" s="29" t="s">
        <v>314</v>
      </c>
      <c r="E63" s="29" t="s">
        <v>1003</v>
      </c>
      <c r="F63" s="30">
        <v>0.3</v>
      </c>
      <c r="G63" s="31"/>
      <c r="H63" s="31"/>
      <c r="I63" s="31"/>
      <c r="J63" s="31"/>
    </row>
    <row r="64" spans="1:10" ht="14.4" x14ac:dyDescent="0.3">
      <c r="A64" s="28" t="str">
        <f>B64&amp;C64&amp;D64&amp;E64</f>
        <v>АксессуарыЖенские аксессуарыПерчатки и варежкиПерчатки</v>
      </c>
      <c r="B64" s="29" t="s">
        <v>88</v>
      </c>
      <c r="C64" s="29" t="s">
        <v>221</v>
      </c>
      <c r="D64" s="29" t="s">
        <v>1004</v>
      </c>
      <c r="E64" s="29" t="s">
        <v>1005</v>
      </c>
      <c r="F64" s="30">
        <v>0.3</v>
      </c>
      <c r="G64" s="31"/>
      <c r="H64" s="31"/>
      <c r="I64" s="31"/>
      <c r="J64" s="31"/>
    </row>
    <row r="65" spans="1:10" ht="14.4" x14ac:dyDescent="0.3">
      <c r="A65" s="28" t="str">
        <f>B65&amp;C65&amp;D65&amp;E65</f>
        <v>Красота и уходМакияжАксессуары для макияжаСредства для очищения косметических принадлежностей</v>
      </c>
      <c r="B65" s="29" t="s">
        <v>56</v>
      </c>
      <c r="C65" s="29" t="s">
        <v>151</v>
      </c>
      <c r="D65" s="29" t="s">
        <v>188</v>
      </c>
      <c r="E65" s="29" t="s">
        <v>1008</v>
      </c>
      <c r="F65" s="30">
        <v>0.3</v>
      </c>
      <c r="G65" s="31"/>
      <c r="H65" s="31"/>
      <c r="I65" s="31"/>
      <c r="J65" s="31"/>
    </row>
    <row r="66" spans="1:10" ht="14.4" x14ac:dyDescent="0.3">
      <c r="A66" s="28" t="str">
        <f>B66&amp;C66&amp;D66&amp;E66</f>
        <v>Красота и уходМакияжАксессуары для макияжаЗеркала косметические</v>
      </c>
      <c r="B66" s="29" t="s">
        <v>56</v>
      </c>
      <c r="C66" s="29" t="s">
        <v>151</v>
      </c>
      <c r="D66" s="29" t="s">
        <v>188</v>
      </c>
      <c r="E66" s="29" t="s">
        <v>1012</v>
      </c>
      <c r="F66" s="30">
        <v>0.3</v>
      </c>
      <c r="G66" s="31"/>
      <c r="H66" s="31"/>
      <c r="I66" s="31"/>
      <c r="J66" s="31"/>
    </row>
    <row r="67" spans="1:10" ht="14.4" x14ac:dyDescent="0.3">
      <c r="A67" s="28" t="str">
        <f>B67&amp;C67&amp;D67&amp;E67</f>
        <v>ЭлектроникаНаушники и аудиотехникаАксессуары для проигрывателейDJ-оборудование</v>
      </c>
      <c r="B67" s="29" t="s">
        <v>67</v>
      </c>
      <c r="C67" s="29" t="s">
        <v>74</v>
      </c>
      <c r="D67" s="29" t="s">
        <v>1039</v>
      </c>
      <c r="E67" s="29" t="s">
        <v>1040</v>
      </c>
      <c r="F67" s="30">
        <v>0.3</v>
      </c>
      <c r="G67" s="31"/>
      <c r="H67" s="31"/>
      <c r="I67" s="31"/>
      <c r="J67" s="31"/>
    </row>
    <row r="68" spans="1:10" ht="14.4" x14ac:dyDescent="0.3">
      <c r="A68" s="28" t="str">
        <f>B68&amp;C68&amp;D68&amp;E68</f>
        <v>Товары для домаТовары для праздниковОформление праздникаКонфетти и серпантин</v>
      </c>
      <c r="B68" s="29" t="s">
        <v>59</v>
      </c>
      <c r="C68" s="29" t="s">
        <v>85</v>
      </c>
      <c r="D68" s="29" t="s">
        <v>86</v>
      </c>
      <c r="E68" s="29" t="s">
        <v>1044</v>
      </c>
      <c r="F68" s="30">
        <v>0.3</v>
      </c>
      <c r="G68" s="31"/>
      <c r="H68" s="31"/>
      <c r="I68" s="31"/>
      <c r="J68" s="31"/>
    </row>
    <row r="69" spans="1:10" ht="14.4" x14ac:dyDescent="0.3">
      <c r="A69" s="28" t="str">
        <f>B69&amp;C69&amp;D69&amp;E69</f>
        <v>АксессуарыМужские аксессуарыЮвелирные украшенияСерьги</v>
      </c>
      <c r="B69" s="29" t="s">
        <v>88</v>
      </c>
      <c r="C69" s="29" t="s">
        <v>89</v>
      </c>
      <c r="D69" s="29" t="s">
        <v>306</v>
      </c>
      <c r="E69" s="29" t="s">
        <v>810</v>
      </c>
      <c r="F69" s="30">
        <v>0.3</v>
      </c>
      <c r="G69" s="31"/>
      <c r="H69" s="31"/>
      <c r="I69" s="31"/>
      <c r="J69" s="31"/>
    </row>
    <row r="70" spans="1:10" ht="14.4" x14ac:dyDescent="0.3">
      <c r="A70" s="28" t="str">
        <f>B70&amp;C70&amp;D70&amp;E70</f>
        <v>ЗоотоварыГигиенаСредства по уходу за животнымиЩетки для лап</v>
      </c>
      <c r="B70" s="29" t="s">
        <v>214</v>
      </c>
      <c r="C70" s="29" t="s">
        <v>911</v>
      </c>
      <c r="D70" s="29" t="s">
        <v>1054</v>
      </c>
      <c r="E70" s="29" t="s">
        <v>1055</v>
      </c>
      <c r="F70" s="30">
        <v>0.3</v>
      </c>
      <c r="G70" s="31"/>
      <c r="H70" s="31"/>
      <c r="I70" s="31"/>
      <c r="J70" s="31"/>
    </row>
    <row r="71" spans="1:10" ht="14.4" x14ac:dyDescent="0.3">
      <c r="A71" s="28" t="str">
        <f>B71&amp;C71&amp;D71&amp;E71</f>
        <v>АксессуарыЖенские аксессуарыПерчатки и варежкиВарежки</v>
      </c>
      <c r="B71" s="29" t="s">
        <v>88</v>
      </c>
      <c r="C71" s="29" t="s">
        <v>221</v>
      </c>
      <c r="D71" s="29" t="s">
        <v>1004</v>
      </c>
      <c r="E71" s="29" t="s">
        <v>1059</v>
      </c>
      <c r="F71" s="30">
        <v>0.3</v>
      </c>
      <c r="G71" s="31"/>
      <c r="H71" s="31"/>
      <c r="I71" s="31"/>
      <c r="J71" s="31"/>
    </row>
    <row r="72" spans="1:10" ht="14.4" x14ac:dyDescent="0.3">
      <c r="A72" s="28" t="str">
        <f>B72&amp;C72&amp;D72&amp;E72</f>
        <v>ОбувьАксессуары для обувиДжибитсыДжибитсы</v>
      </c>
      <c r="B72" s="29" t="s">
        <v>180</v>
      </c>
      <c r="C72" s="29" t="s">
        <v>1075</v>
      </c>
      <c r="D72" s="29" t="s">
        <v>1076</v>
      </c>
      <c r="E72" s="29" t="s">
        <v>1076</v>
      </c>
      <c r="F72" s="30">
        <v>0.3</v>
      </c>
      <c r="G72" s="31"/>
      <c r="H72" s="31"/>
      <c r="I72" s="31"/>
      <c r="J72" s="31"/>
    </row>
    <row r="73" spans="1:10" ht="14.4" x14ac:dyDescent="0.3">
      <c r="A73" s="28" t="str">
        <f>B73&amp;C73&amp;D73&amp;E73</f>
        <v>Бытовая техникаКрупная бытовая техникаКулеры для воды и аксессуарыПомпы для воды</v>
      </c>
      <c r="B73" s="29" t="s">
        <v>160</v>
      </c>
      <c r="C73" s="29" t="s">
        <v>338</v>
      </c>
      <c r="D73" s="29" t="s">
        <v>1084</v>
      </c>
      <c r="E73" s="29" t="s">
        <v>1085</v>
      </c>
      <c r="F73" s="30">
        <v>0.3</v>
      </c>
      <c r="G73" s="31"/>
      <c r="H73" s="31"/>
      <c r="I73" s="31"/>
      <c r="J73" s="31"/>
    </row>
    <row r="74" spans="1:10" ht="14.4" x14ac:dyDescent="0.3">
      <c r="A74" s="28" t="str">
        <f>B74&amp;C74&amp;D74&amp;E74</f>
        <v>ЭлектроникаНаушники и аудиотехникаАксессуары для проигрывателейЧехлы для плееров и аудиосистем</v>
      </c>
      <c r="B74" s="29" t="s">
        <v>67</v>
      </c>
      <c r="C74" s="29" t="s">
        <v>74</v>
      </c>
      <c r="D74" s="29" t="s">
        <v>1039</v>
      </c>
      <c r="E74" s="29" t="s">
        <v>1107</v>
      </c>
      <c r="F74" s="30">
        <v>0.3</v>
      </c>
      <c r="G74" s="31"/>
      <c r="H74" s="31"/>
      <c r="I74" s="31"/>
      <c r="J74" s="31"/>
    </row>
    <row r="75" spans="1:10" ht="14.4" x14ac:dyDescent="0.3">
      <c r="A75" s="28" t="str">
        <f>B75&amp;C75&amp;D75&amp;E75</f>
        <v>АксессуарыМужские аксессуарыОчкиФутляры и чехлы для очков</v>
      </c>
      <c r="B75" s="29" t="s">
        <v>88</v>
      </c>
      <c r="C75" s="29" t="s">
        <v>89</v>
      </c>
      <c r="D75" s="29" t="s">
        <v>613</v>
      </c>
      <c r="E75" s="29" t="s">
        <v>1109</v>
      </c>
      <c r="F75" s="30">
        <v>0.3</v>
      </c>
      <c r="G75" s="31"/>
      <c r="H75" s="31"/>
      <c r="I75" s="31"/>
      <c r="J75" s="31"/>
    </row>
    <row r="76" spans="1:10" ht="14.4" x14ac:dyDescent="0.3">
      <c r="A76" s="28" t="str">
        <f>B76&amp;C76&amp;D76&amp;E76</f>
        <v>АксессуарыРелигиозные аксессуарыРелигиозные наборыРелигиозные наборы</v>
      </c>
      <c r="B76" s="29" t="s">
        <v>88</v>
      </c>
      <c r="C76" s="29" t="s">
        <v>1117</v>
      </c>
      <c r="D76" s="29" t="s">
        <v>1118</v>
      </c>
      <c r="E76" s="29" t="s">
        <v>1118</v>
      </c>
      <c r="F76" s="30">
        <v>0.3</v>
      </c>
      <c r="G76" s="31"/>
      <c r="H76" s="31"/>
      <c r="I76" s="31"/>
      <c r="J76" s="31"/>
    </row>
    <row r="77" spans="1:10" ht="14.4" x14ac:dyDescent="0.3">
      <c r="A77" s="28" t="str">
        <f>B77&amp;C77&amp;D77&amp;E77</f>
        <v>Бытовая техникаКрупная бытовая техникаАксессуары для крупной бытовой техникиЧехлы</v>
      </c>
      <c r="B77" s="29" t="s">
        <v>160</v>
      </c>
      <c r="C77" s="29" t="s">
        <v>338</v>
      </c>
      <c r="D77" s="29" t="s">
        <v>1127</v>
      </c>
      <c r="E77" s="29" t="s">
        <v>1128</v>
      </c>
      <c r="F77" s="30">
        <v>0.3</v>
      </c>
      <c r="G77" s="31"/>
      <c r="H77" s="31"/>
      <c r="I77" s="31"/>
      <c r="J77" s="31"/>
    </row>
    <row r="78" spans="1:10" ht="14.4" x14ac:dyDescent="0.3">
      <c r="A78" s="28" t="str">
        <f>B78&amp;C78&amp;D78&amp;E78</f>
        <v>Товары для домаТовары для праздниковОформление праздникаВоздушные шары и аксессуары</v>
      </c>
      <c r="B78" s="29" t="s">
        <v>59</v>
      </c>
      <c r="C78" s="29" t="s">
        <v>85</v>
      </c>
      <c r="D78" s="29" t="s">
        <v>86</v>
      </c>
      <c r="E78" s="29" t="s">
        <v>1132</v>
      </c>
      <c r="F78" s="30">
        <v>0.3</v>
      </c>
      <c r="G78" s="31"/>
      <c r="H78" s="31"/>
      <c r="I78" s="31"/>
      <c r="J78" s="31"/>
    </row>
    <row r="79" spans="1:10" ht="14.4" x14ac:dyDescent="0.3">
      <c r="A79" s="28" t="str">
        <f>B79&amp;C79&amp;D79&amp;E79</f>
        <v>ЭлектроникаАксессуары для электроникиБоксы для проводовБоксы для проводов</v>
      </c>
      <c r="B79" s="29" t="s">
        <v>67</v>
      </c>
      <c r="C79" s="29" t="s">
        <v>885</v>
      </c>
      <c r="D79" s="29" t="s">
        <v>1134</v>
      </c>
      <c r="E79" s="29" t="s">
        <v>1134</v>
      </c>
      <c r="F79" s="30">
        <v>0.3</v>
      </c>
      <c r="G79" s="31"/>
      <c r="H79" s="31"/>
      <c r="I79" s="31"/>
      <c r="J79" s="31"/>
    </row>
    <row r="80" spans="1:10" ht="14.4" x14ac:dyDescent="0.3">
      <c r="A80" s="28" t="str">
        <f>B80&amp;C80&amp;D80&amp;E80</f>
        <v>ЗоотоварыГигиенаСредства гигиеныВлажные салфетки по уходу</v>
      </c>
      <c r="B80" s="29" t="s">
        <v>214</v>
      </c>
      <c r="C80" s="29" t="s">
        <v>911</v>
      </c>
      <c r="D80" s="29" t="s">
        <v>1136</v>
      </c>
      <c r="E80" s="29" t="s">
        <v>1137</v>
      </c>
      <c r="F80" s="30">
        <v>0.3</v>
      </c>
      <c r="G80" s="31"/>
      <c r="H80" s="31"/>
      <c r="I80" s="31"/>
      <c r="J80" s="31"/>
    </row>
    <row r="81" spans="1:10" ht="14.4" x14ac:dyDescent="0.3">
      <c r="A81" s="28" t="str">
        <f>B81&amp;C81&amp;D81&amp;E81</f>
        <v>Детские товарыГигиена и подгузникиКупание ребенкаИгрушки для купания</v>
      </c>
      <c r="B81" s="29" t="s">
        <v>105</v>
      </c>
      <c r="C81" s="29" t="s">
        <v>106</v>
      </c>
      <c r="D81" s="29" t="s">
        <v>705</v>
      </c>
      <c r="E81" s="29" t="s">
        <v>1144</v>
      </c>
      <c r="F81" s="30">
        <v>0.3</v>
      </c>
      <c r="G81" s="31"/>
      <c r="H81" s="31"/>
      <c r="I81" s="31"/>
      <c r="J81" s="31"/>
    </row>
    <row r="82" spans="1:10" ht="14.4" x14ac:dyDescent="0.3">
      <c r="A82" s="28" t="str">
        <f>B82&amp;C82&amp;D82&amp;E82</f>
        <v>ЗдоровьеОртопедические изделияЛечебные согревающие изделияЛечебные согревающие изделия</v>
      </c>
      <c r="B82" s="29" t="s">
        <v>116</v>
      </c>
      <c r="C82" s="29" t="s">
        <v>117</v>
      </c>
      <c r="D82" s="29" t="s">
        <v>1150</v>
      </c>
      <c r="E82" s="29" t="s">
        <v>1150</v>
      </c>
      <c r="F82" s="30">
        <v>0.3</v>
      </c>
      <c r="G82" s="31"/>
      <c r="H82" s="31"/>
      <c r="I82" s="31"/>
      <c r="J82" s="31"/>
    </row>
    <row r="83" spans="1:10" ht="14.4" x14ac:dyDescent="0.3">
      <c r="A83" s="28" t="str">
        <f>B83&amp;C83&amp;D83&amp;E83</f>
        <v>АксессуарыМужские аксессуарыЗонтыЗонты</v>
      </c>
      <c r="B83" s="29" t="s">
        <v>88</v>
      </c>
      <c r="C83" s="29" t="s">
        <v>89</v>
      </c>
      <c r="D83" s="29" t="s">
        <v>1169</v>
      </c>
      <c r="E83" s="29" t="s">
        <v>1169</v>
      </c>
      <c r="F83" s="30">
        <v>0.3</v>
      </c>
      <c r="G83" s="31"/>
      <c r="H83" s="31"/>
      <c r="I83" s="31"/>
      <c r="J83" s="31"/>
    </row>
    <row r="84" spans="1:10" ht="14.4" x14ac:dyDescent="0.3">
      <c r="A84" s="28" t="str">
        <f>B84&amp;C84&amp;D84&amp;E84</f>
        <v>ЭлектроникаСмартфоны и телефоныЗапчасти и ремонтАккумуляторы</v>
      </c>
      <c r="B84" s="29" t="s">
        <v>67</v>
      </c>
      <c r="C84" s="29" t="s">
        <v>96</v>
      </c>
      <c r="D84" s="29" t="s">
        <v>1185</v>
      </c>
      <c r="E84" s="29" t="s">
        <v>1186</v>
      </c>
      <c r="F84" s="30">
        <v>0.3</v>
      </c>
      <c r="G84" s="31"/>
      <c r="H84" s="31"/>
      <c r="I84" s="31"/>
      <c r="J84" s="31"/>
    </row>
    <row r="85" spans="1:10" ht="14.4" x14ac:dyDescent="0.3">
      <c r="A85" s="28" t="str">
        <f>B85&amp;C85&amp;D85&amp;E85</f>
        <v>Товары для домаТовары для праздниковТовары к ПасхеТовары к Пасхе</v>
      </c>
      <c r="B85" s="29" t="s">
        <v>59</v>
      </c>
      <c r="C85" s="29" t="s">
        <v>85</v>
      </c>
      <c r="D85" s="29" t="s">
        <v>1191</v>
      </c>
      <c r="E85" s="29" t="s">
        <v>1191</v>
      </c>
      <c r="F85" s="30">
        <v>0.3</v>
      </c>
      <c r="G85" s="31"/>
      <c r="H85" s="31"/>
      <c r="I85" s="31"/>
      <c r="J85" s="31"/>
    </row>
    <row r="86" spans="1:10" ht="14.4" x14ac:dyDescent="0.3">
      <c r="A86" s="28" t="str">
        <f>B86&amp;C86&amp;D86&amp;E86</f>
        <v>ЭлектроникаСмартфоны и телефоныЗапчасти и ремонтИнструменты для ремонта</v>
      </c>
      <c r="B86" s="29" t="s">
        <v>67</v>
      </c>
      <c r="C86" s="29" t="s">
        <v>96</v>
      </c>
      <c r="D86" s="29" t="s">
        <v>1185</v>
      </c>
      <c r="E86" s="29" t="s">
        <v>1198</v>
      </c>
      <c r="F86" s="30">
        <v>0.3</v>
      </c>
      <c r="G86" s="31"/>
      <c r="H86" s="31"/>
      <c r="I86" s="31"/>
      <c r="J86" s="31"/>
    </row>
    <row r="87" spans="1:10" ht="14.4" x14ac:dyDescent="0.3">
      <c r="A87" s="28" t="str">
        <f>B87&amp;C87&amp;D87&amp;E87</f>
        <v>АксессуарыЖенские аксессуарыСумки и рюкзакиПоясные сумки</v>
      </c>
      <c r="B87" s="29" t="s">
        <v>88</v>
      </c>
      <c r="C87" s="29" t="s">
        <v>221</v>
      </c>
      <c r="D87" s="29" t="s">
        <v>406</v>
      </c>
      <c r="E87" s="29" t="s">
        <v>1201</v>
      </c>
      <c r="F87" s="30">
        <v>0.3</v>
      </c>
      <c r="G87" s="31"/>
      <c r="H87" s="31"/>
      <c r="I87" s="31"/>
      <c r="J87" s="31"/>
    </row>
    <row r="88" spans="1:10" ht="14.4" x14ac:dyDescent="0.3">
      <c r="A88" s="28" t="str">
        <f>B88&amp;C88&amp;D88&amp;E88</f>
        <v>АксессуарыЖенские аксессуарыОчкиИмиджевые очки</v>
      </c>
      <c r="B88" s="29" t="s">
        <v>88</v>
      </c>
      <c r="C88" s="29" t="s">
        <v>221</v>
      </c>
      <c r="D88" s="29" t="s">
        <v>613</v>
      </c>
      <c r="E88" s="29" t="s">
        <v>1207</v>
      </c>
      <c r="F88" s="30">
        <v>0.3</v>
      </c>
      <c r="G88" s="31"/>
      <c r="H88" s="31"/>
      <c r="I88" s="31"/>
      <c r="J88" s="31"/>
    </row>
    <row r="89" spans="1:10" ht="14.4" x14ac:dyDescent="0.3">
      <c r="A89" s="28" t="str">
        <f>B89&amp;C89&amp;D89&amp;E89</f>
        <v>АксессуарыЖенские аксессуарыЮвелирные украшенияУкрашения на шею</v>
      </c>
      <c r="B89" s="29" t="s">
        <v>88</v>
      </c>
      <c r="C89" s="29" t="s">
        <v>221</v>
      </c>
      <c r="D89" s="29" t="s">
        <v>306</v>
      </c>
      <c r="E89" s="29" t="s">
        <v>1003</v>
      </c>
      <c r="F89" s="30">
        <v>0.3</v>
      </c>
      <c r="G89" s="31"/>
      <c r="H89" s="31"/>
      <c r="I89" s="31"/>
      <c r="J89" s="31"/>
    </row>
    <row r="90" spans="1:10" ht="14.4" x14ac:dyDescent="0.3">
      <c r="A90" s="28" t="str">
        <f>B90&amp;C90&amp;D90&amp;E90</f>
        <v>ЭлектроникаСмартфоны и телефоныСтационарные телефоныПроводные телефоны</v>
      </c>
      <c r="B90" s="29" t="s">
        <v>67</v>
      </c>
      <c r="C90" s="29" t="s">
        <v>96</v>
      </c>
      <c r="D90" s="29" t="s">
        <v>1271</v>
      </c>
      <c r="E90" s="29" t="s">
        <v>1272</v>
      </c>
      <c r="F90" s="30">
        <v>0.3</v>
      </c>
      <c r="G90" s="31"/>
      <c r="H90" s="31"/>
      <c r="I90" s="31"/>
      <c r="J90" s="31"/>
    </row>
    <row r="91" spans="1:10" ht="14.4" x14ac:dyDescent="0.3">
      <c r="A91" s="28" t="str">
        <f>B91&amp;C91&amp;D91&amp;E91</f>
        <v>ЭлектроникаНаушники и аудиотехникаАксессуары для проигрывателейТовары для ухода</v>
      </c>
      <c r="B91" s="29" t="s">
        <v>67</v>
      </c>
      <c r="C91" s="29" t="s">
        <v>74</v>
      </c>
      <c r="D91" s="29" t="s">
        <v>1039</v>
      </c>
      <c r="E91" s="29" t="s">
        <v>1284</v>
      </c>
      <c r="F91" s="30">
        <v>0.3</v>
      </c>
      <c r="G91" s="31"/>
      <c r="H91" s="31"/>
      <c r="I91" s="31"/>
      <c r="J91" s="31"/>
    </row>
    <row r="92" spans="1:10" ht="14.4" x14ac:dyDescent="0.3">
      <c r="A92" s="28" t="str">
        <f>B92&amp;C92&amp;D92&amp;E92</f>
        <v>Товары для домаТовары для праздниковКарнавальные товарыПарики и аксессуары</v>
      </c>
      <c r="B92" s="29" t="s">
        <v>59</v>
      </c>
      <c r="C92" s="29" t="s">
        <v>85</v>
      </c>
      <c r="D92" s="29" t="s">
        <v>534</v>
      </c>
      <c r="E92" s="29" t="s">
        <v>1286</v>
      </c>
      <c r="F92" s="30">
        <v>0.3</v>
      </c>
      <c r="G92" s="31"/>
      <c r="H92" s="31"/>
      <c r="I92" s="31"/>
      <c r="J92" s="31"/>
    </row>
    <row r="93" spans="1:10" ht="14.4" x14ac:dyDescent="0.3">
      <c r="A93" s="28" t="str">
        <f>B93&amp;C93&amp;D93&amp;E93</f>
        <v>АксессуарыМужские аксессуарыЮвелирные украшенияУкрашения на шею</v>
      </c>
      <c r="B93" s="29" t="s">
        <v>88</v>
      </c>
      <c r="C93" s="29" t="s">
        <v>89</v>
      </c>
      <c r="D93" s="29" t="s">
        <v>306</v>
      </c>
      <c r="E93" s="29" t="s">
        <v>1003</v>
      </c>
      <c r="F93" s="30">
        <v>0.3</v>
      </c>
      <c r="G93" s="31"/>
      <c r="H93" s="31"/>
      <c r="I93" s="31"/>
      <c r="J93" s="31"/>
    </row>
    <row r="94" spans="1:10" ht="14.4" x14ac:dyDescent="0.3">
      <c r="A94" s="28" t="str">
        <f>B94&amp;C94&amp;D94&amp;E94</f>
        <v>АксессуарыМужские аксессуарыЮвелирные украшенияЗапонки и зажимы</v>
      </c>
      <c r="B94" s="29" t="s">
        <v>88</v>
      </c>
      <c r="C94" s="29" t="s">
        <v>89</v>
      </c>
      <c r="D94" s="29" t="s">
        <v>306</v>
      </c>
      <c r="E94" s="29" t="s">
        <v>1297</v>
      </c>
      <c r="F94" s="30">
        <v>0.3</v>
      </c>
      <c r="G94" s="31"/>
      <c r="H94" s="31"/>
      <c r="I94" s="31"/>
      <c r="J94" s="31"/>
    </row>
    <row r="95" spans="1:10" ht="14.4" x14ac:dyDescent="0.3">
      <c r="A95" s="28" t="str">
        <f>B95&amp;C95&amp;D95&amp;E95</f>
        <v>АксессуарыЖенские аксессуарыКошельки, ключницы и визитницыВизитницы и кредитницы</v>
      </c>
      <c r="B95" s="29" t="s">
        <v>88</v>
      </c>
      <c r="C95" s="29" t="s">
        <v>221</v>
      </c>
      <c r="D95" s="29" t="s">
        <v>90</v>
      </c>
      <c r="E95" s="29" t="s">
        <v>1299</v>
      </c>
      <c r="F95" s="30">
        <v>0.3</v>
      </c>
      <c r="G95" s="31"/>
      <c r="H95" s="31"/>
      <c r="I95" s="31"/>
      <c r="J95" s="31"/>
    </row>
    <row r="96" spans="1:10" ht="14.4" x14ac:dyDescent="0.3">
      <c r="A96" s="28" t="str">
        <f>B96&amp;C96&amp;D96&amp;E96</f>
        <v>АксессуарыЖенские аксессуарыЮвелирные украшенияШармы</v>
      </c>
      <c r="B96" s="29" t="s">
        <v>88</v>
      </c>
      <c r="C96" s="29" t="s">
        <v>221</v>
      </c>
      <c r="D96" s="29" t="s">
        <v>306</v>
      </c>
      <c r="E96" s="29" t="s">
        <v>1310</v>
      </c>
      <c r="F96" s="30">
        <v>0.3</v>
      </c>
      <c r="G96" s="31"/>
      <c r="H96" s="31"/>
      <c r="I96" s="31"/>
      <c r="J96" s="31"/>
    </row>
    <row r="97" spans="1:10" ht="14.4" x14ac:dyDescent="0.3">
      <c r="A97" s="28" t="str">
        <f>B97&amp;C97&amp;D97&amp;E97</f>
        <v>ЭлектроникаНаушники и аудиотехникаПериферия и аксессуарыРесиверы</v>
      </c>
      <c r="B97" s="29" t="s">
        <v>67</v>
      </c>
      <c r="C97" s="29" t="s">
        <v>74</v>
      </c>
      <c r="D97" s="29" t="s">
        <v>763</v>
      </c>
      <c r="E97" s="29" t="s">
        <v>1341</v>
      </c>
      <c r="F97" s="30">
        <v>0.3</v>
      </c>
      <c r="G97" s="31"/>
      <c r="H97" s="31"/>
      <c r="I97" s="31"/>
      <c r="J97" s="31"/>
    </row>
    <row r="98" spans="1:10" ht="14.4" x14ac:dyDescent="0.3">
      <c r="A98" s="28" t="str">
        <f>B98&amp;C98&amp;D98&amp;E98</f>
        <v>АксессуарыМужские аксессуарыСумки и рюкзакиРюкзаки</v>
      </c>
      <c r="B98" s="29" t="s">
        <v>88</v>
      </c>
      <c r="C98" s="29" t="s">
        <v>89</v>
      </c>
      <c r="D98" s="29" t="s">
        <v>406</v>
      </c>
      <c r="E98" s="29" t="s">
        <v>1346</v>
      </c>
      <c r="F98" s="30">
        <v>0.3</v>
      </c>
      <c r="G98" s="31"/>
      <c r="H98" s="31"/>
      <c r="I98" s="31"/>
      <c r="J98" s="31"/>
    </row>
    <row r="99" spans="1:10" ht="14.4" x14ac:dyDescent="0.3">
      <c r="A99" s="28" t="str">
        <f>B99&amp;C99&amp;D99&amp;E99</f>
        <v>АксессуарыМужские аксессуарыБижутерные украшенияБрелоки</v>
      </c>
      <c r="B99" s="29" t="s">
        <v>88</v>
      </c>
      <c r="C99" s="29" t="s">
        <v>89</v>
      </c>
      <c r="D99" s="29" t="s">
        <v>314</v>
      </c>
      <c r="E99" s="29" t="s">
        <v>1352</v>
      </c>
      <c r="F99" s="30">
        <v>0.3</v>
      </c>
      <c r="G99" s="31"/>
      <c r="H99" s="31"/>
      <c r="I99" s="31"/>
      <c r="J99" s="31"/>
    </row>
    <row r="100" spans="1:10" ht="14.4" x14ac:dyDescent="0.3">
      <c r="A100" s="28" t="str">
        <f>B100&amp;C100&amp;D100&amp;E100</f>
        <v>ЭлектроникаТелевизоры и видеотехникаПроекторы и аксессуарыКрепления</v>
      </c>
      <c r="B100" s="29" t="s">
        <v>67</v>
      </c>
      <c r="C100" s="29" t="s">
        <v>136</v>
      </c>
      <c r="D100" s="29" t="s">
        <v>137</v>
      </c>
      <c r="E100" s="29" t="s">
        <v>1353</v>
      </c>
      <c r="F100" s="30">
        <v>0.3</v>
      </c>
      <c r="G100" s="31"/>
      <c r="H100" s="31"/>
      <c r="I100" s="31"/>
      <c r="J100" s="31"/>
    </row>
    <row r="101" spans="1:10" ht="14.4" x14ac:dyDescent="0.3">
      <c r="A101" s="28" t="str">
        <f>B101&amp;C101&amp;D101&amp;E101</f>
        <v>Бытовая техникаКрупная бытовая техникаАксессуары для крупной бытовой техникиДля холодильников</v>
      </c>
      <c r="B101" s="29" t="s">
        <v>160</v>
      </c>
      <c r="C101" s="29" t="s">
        <v>338</v>
      </c>
      <c r="D101" s="29" t="s">
        <v>1127</v>
      </c>
      <c r="E101" s="29" t="s">
        <v>1360</v>
      </c>
      <c r="F101" s="30">
        <v>0.3</v>
      </c>
      <c r="G101" s="31"/>
      <c r="H101" s="31"/>
      <c r="I101" s="31"/>
      <c r="J101" s="31"/>
    </row>
    <row r="102" spans="1:10" ht="14.4" x14ac:dyDescent="0.3">
      <c r="A102" s="28" t="str">
        <f>B102&amp;C102&amp;D102&amp;E102</f>
        <v>АксессуарыЖенские аксессуарыРемни, пояса и портупеиРемни</v>
      </c>
      <c r="B102" s="29" t="s">
        <v>88</v>
      </c>
      <c r="C102" s="29" t="s">
        <v>221</v>
      </c>
      <c r="D102" s="29" t="s">
        <v>1367</v>
      </c>
      <c r="E102" s="29" t="s">
        <v>1368</v>
      </c>
      <c r="F102" s="30">
        <v>0.3</v>
      </c>
      <c r="G102" s="31"/>
      <c r="H102" s="31"/>
      <c r="I102" s="31"/>
      <c r="J102" s="31"/>
    </row>
    <row r="103" spans="1:10" ht="14.4" x14ac:dyDescent="0.3">
      <c r="A103" s="28" t="str">
        <f>B103&amp;C103&amp;D103&amp;E103</f>
        <v>ЭлектроникаУмные часы и фитнес браслетыРемешкиРемешки</v>
      </c>
      <c r="B103" s="29" t="s">
        <v>67</v>
      </c>
      <c r="C103" s="29" t="s">
        <v>356</v>
      </c>
      <c r="D103" s="29" t="s">
        <v>1377</v>
      </c>
      <c r="E103" s="29" t="s">
        <v>1377</v>
      </c>
      <c r="F103" s="30">
        <v>0.3</v>
      </c>
      <c r="G103" s="31"/>
      <c r="H103" s="31"/>
      <c r="I103" s="31"/>
      <c r="J103" s="31"/>
    </row>
    <row r="104" spans="1:10" ht="14.4" x14ac:dyDescent="0.3">
      <c r="A104" s="28" t="str">
        <f>B104&amp;C104&amp;D104&amp;E104</f>
        <v>ЭлектроникаНоутбуки, планшеты и электронные книгиАксессуары для ноутбуковПодставки для ноутбуков</v>
      </c>
      <c r="B104" s="29" t="s">
        <v>67</v>
      </c>
      <c r="C104" s="29" t="s">
        <v>276</v>
      </c>
      <c r="D104" s="29" t="s">
        <v>277</v>
      </c>
      <c r="E104" s="29" t="s">
        <v>1379</v>
      </c>
      <c r="F104" s="30">
        <v>0.3</v>
      </c>
      <c r="G104" s="31"/>
      <c r="H104" s="31"/>
      <c r="I104" s="31"/>
      <c r="J104" s="31"/>
    </row>
    <row r="105" spans="1:10" ht="14.4" x14ac:dyDescent="0.3">
      <c r="A105" s="28" t="str">
        <f>B105&amp;C105&amp;D105&amp;E105</f>
        <v>АксессуарыЖенские аксессуарыБижутерные украшенияЗначки</v>
      </c>
      <c r="B105" s="29" t="s">
        <v>88</v>
      </c>
      <c r="C105" s="29" t="s">
        <v>221</v>
      </c>
      <c r="D105" s="29" t="s">
        <v>314</v>
      </c>
      <c r="E105" s="29" t="s">
        <v>1381</v>
      </c>
      <c r="F105" s="30">
        <v>0.3</v>
      </c>
      <c r="G105" s="31"/>
      <c r="H105" s="31"/>
      <c r="I105" s="31"/>
      <c r="J105" s="31"/>
    </row>
    <row r="106" spans="1:10" ht="14.4" x14ac:dyDescent="0.3">
      <c r="A106" s="28" t="str">
        <f>B106&amp;C106&amp;D106&amp;E106</f>
        <v>ЭлектроникаСмартфоны и телефоныАксессуары для смартфоновПодставки и держатели</v>
      </c>
      <c r="B106" s="29" t="s">
        <v>67</v>
      </c>
      <c r="C106" s="29" t="s">
        <v>96</v>
      </c>
      <c r="D106" s="29" t="s">
        <v>97</v>
      </c>
      <c r="E106" s="29" t="s">
        <v>1392</v>
      </c>
      <c r="F106" s="30">
        <v>0.3</v>
      </c>
      <c r="G106" s="31"/>
      <c r="H106" s="31"/>
      <c r="I106" s="31"/>
      <c r="J106" s="31"/>
    </row>
    <row r="107" spans="1:10" ht="14.4" x14ac:dyDescent="0.3">
      <c r="A107" s="28" t="str">
        <f>B107&amp;C107&amp;D107&amp;E107</f>
        <v>ЭлектроникаСмартфоны и телефоныАксессуары для смартфоновСтилусы для телефонов</v>
      </c>
      <c r="B107" s="29" t="s">
        <v>67</v>
      </c>
      <c r="C107" s="29" t="s">
        <v>96</v>
      </c>
      <c r="D107" s="29" t="s">
        <v>97</v>
      </c>
      <c r="E107" s="29" t="s">
        <v>1435</v>
      </c>
      <c r="F107" s="30">
        <v>0.3</v>
      </c>
      <c r="G107" s="31"/>
      <c r="H107" s="31"/>
      <c r="I107" s="31"/>
      <c r="J107" s="31"/>
    </row>
    <row r="108" spans="1:10" ht="14.4" x14ac:dyDescent="0.3">
      <c r="A108" s="28" t="str">
        <f>B108&amp;C108&amp;D108&amp;E108</f>
        <v>АксессуарыШапочки, чепчики и рукавички для новорождённыхШапочки, чепчики и рукавички для новорождённыхШапочки, чепчики и рукавички для новорождённых</v>
      </c>
      <c r="B108" s="29" t="s">
        <v>88</v>
      </c>
      <c r="C108" s="29" t="s">
        <v>1440</v>
      </c>
      <c r="D108" s="29" t="s">
        <v>1440</v>
      </c>
      <c r="E108" s="29" t="s">
        <v>1440</v>
      </c>
      <c r="F108" s="30">
        <v>0.3</v>
      </c>
      <c r="G108" s="31"/>
      <c r="H108" s="31"/>
      <c r="I108" s="31"/>
      <c r="J108" s="31"/>
    </row>
    <row r="109" spans="1:10" ht="14.4" x14ac:dyDescent="0.3">
      <c r="A109" s="28" t="str">
        <f>B109&amp;C109&amp;D109&amp;E109</f>
        <v>ОбувьАксессуары для обувиСтельки и вставкиСтельки и вставки</v>
      </c>
      <c r="B109" s="29" t="s">
        <v>180</v>
      </c>
      <c r="C109" s="29" t="s">
        <v>1075</v>
      </c>
      <c r="D109" s="29" t="s">
        <v>1441</v>
      </c>
      <c r="E109" s="29" t="s">
        <v>1441</v>
      </c>
      <c r="F109" s="30">
        <v>0.3</v>
      </c>
      <c r="G109" s="31"/>
      <c r="H109" s="31"/>
      <c r="I109" s="31"/>
      <c r="J109" s="31"/>
    </row>
    <row r="110" spans="1:10" ht="14.4" x14ac:dyDescent="0.3">
      <c r="A110" s="28" t="str">
        <f>B110&amp;C110&amp;D110&amp;E110</f>
        <v>ЭлектроникаСмартфоны и телефоныАксессуары для смартфоновПерчатки для сенсорных экранов</v>
      </c>
      <c r="B110" s="29" t="s">
        <v>67</v>
      </c>
      <c r="C110" s="29" t="s">
        <v>96</v>
      </c>
      <c r="D110" s="29" t="s">
        <v>97</v>
      </c>
      <c r="E110" s="29" t="s">
        <v>1446</v>
      </c>
      <c r="F110" s="30">
        <v>0.3</v>
      </c>
      <c r="G110" s="31"/>
      <c r="H110" s="31"/>
      <c r="I110" s="31"/>
      <c r="J110" s="31"/>
    </row>
    <row r="111" spans="1:10" ht="14.4" x14ac:dyDescent="0.3">
      <c r="A111" s="28" t="str">
        <f>B111&amp;C111&amp;D111&amp;E111</f>
        <v>АксессуарыЖенские аксессуарыЮвелирные украшенияКомплекты украшений</v>
      </c>
      <c r="B111" s="29" t="s">
        <v>88</v>
      </c>
      <c r="C111" s="29" t="s">
        <v>221</v>
      </c>
      <c r="D111" s="29" t="s">
        <v>306</v>
      </c>
      <c r="E111" s="29" t="s">
        <v>553</v>
      </c>
      <c r="F111" s="30">
        <v>0.3</v>
      </c>
      <c r="G111" s="31"/>
      <c r="H111" s="31"/>
      <c r="I111" s="31"/>
      <c r="J111" s="31"/>
    </row>
    <row r="112" spans="1:10" ht="14.4" x14ac:dyDescent="0.3">
      <c r="A112" s="28" t="str">
        <f>B112&amp;C112&amp;D112&amp;E112</f>
        <v>АксессуарыМужские аксессуарыРемни и подтяжкиПряжки</v>
      </c>
      <c r="B112" s="29" t="s">
        <v>88</v>
      </c>
      <c r="C112" s="29" t="s">
        <v>89</v>
      </c>
      <c r="D112" s="29" t="s">
        <v>768</v>
      </c>
      <c r="E112" s="29" t="s">
        <v>1451</v>
      </c>
      <c r="F112" s="30">
        <v>0.3</v>
      </c>
      <c r="G112" s="31"/>
      <c r="H112" s="31"/>
      <c r="I112" s="31"/>
      <c r="J112" s="31"/>
    </row>
    <row r="113" spans="1:10" ht="14.4" x14ac:dyDescent="0.3">
      <c r="A113" s="28" t="str">
        <f>B113&amp;C113&amp;D113&amp;E113</f>
        <v>АксессуарыМужские аксессуарыБижутерные украшенияЗапонки и зажимы</v>
      </c>
      <c r="B113" s="29" t="s">
        <v>88</v>
      </c>
      <c r="C113" s="29" t="s">
        <v>89</v>
      </c>
      <c r="D113" s="29" t="s">
        <v>314</v>
      </c>
      <c r="E113" s="29" t="s">
        <v>1297</v>
      </c>
      <c r="F113" s="30">
        <v>0.3</v>
      </c>
      <c r="G113" s="31"/>
      <c r="H113" s="31"/>
      <c r="I113" s="31"/>
      <c r="J113" s="31"/>
    </row>
    <row r="114" spans="1:10" ht="14.4" x14ac:dyDescent="0.3">
      <c r="A114" s="28" t="str">
        <f>B114&amp;C114&amp;D114&amp;E114</f>
        <v>Товары для домаТовары для кухниОдноразовая посуда и упаковкаНаборы одноразовой посуды</v>
      </c>
      <c r="B114" s="29" t="s">
        <v>59</v>
      </c>
      <c r="C114" s="29" t="s">
        <v>60</v>
      </c>
      <c r="D114" s="29" t="s">
        <v>1459</v>
      </c>
      <c r="E114" s="29" t="s">
        <v>1460</v>
      </c>
      <c r="F114" s="30">
        <v>0.3</v>
      </c>
      <c r="G114" s="31"/>
      <c r="H114" s="31"/>
      <c r="I114" s="31"/>
      <c r="J114" s="31"/>
    </row>
    <row r="115" spans="1:10" ht="14.4" x14ac:dyDescent="0.3">
      <c r="A115" s="28" t="str">
        <f>B115&amp;C115&amp;D115&amp;E115</f>
        <v>АксессуарыЖенские аксессуарыГоловные уборыБанданы</v>
      </c>
      <c r="B115" s="29" t="s">
        <v>88</v>
      </c>
      <c r="C115" s="29" t="s">
        <v>221</v>
      </c>
      <c r="D115" s="29" t="s">
        <v>530</v>
      </c>
      <c r="E115" s="29" t="s">
        <v>1463</v>
      </c>
      <c r="F115" s="30">
        <v>0.3</v>
      </c>
      <c r="G115" s="31"/>
      <c r="H115" s="31"/>
      <c r="I115" s="31"/>
      <c r="J115" s="31"/>
    </row>
    <row r="116" spans="1:10" ht="14.4" x14ac:dyDescent="0.3">
      <c r="A116" s="28" t="str">
        <f>B116&amp;C116&amp;D116&amp;E116</f>
        <v>ЭлектроникаНоутбуки, планшеты и электронные книгиАксессуары для ноутбуковЗащитные накладки и наклейки для клавиатуры</v>
      </c>
      <c r="B116" s="29" t="s">
        <v>67</v>
      </c>
      <c r="C116" s="29" t="s">
        <v>276</v>
      </c>
      <c r="D116" s="29" t="s">
        <v>277</v>
      </c>
      <c r="E116" s="29" t="s">
        <v>1472</v>
      </c>
      <c r="F116" s="30">
        <v>0.3</v>
      </c>
      <c r="G116" s="31"/>
      <c r="H116" s="31"/>
      <c r="I116" s="31"/>
      <c r="J116" s="31"/>
    </row>
    <row r="117" spans="1:10" ht="14.4" x14ac:dyDescent="0.3">
      <c r="A117" s="28" t="str">
        <f>B117&amp;C117&amp;D117&amp;E117</f>
        <v>Товары для домаТовары для праздниковОформление праздникаТопперы для торта</v>
      </c>
      <c r="B117" s="29" t="s">
        <v>59</v>
      </c>
      <c r="C117" s="29" t="s">
        <v>85</v>
      </c>
      <c r="D117" s="29" t="s">
        <v>86</v>
      </c>
      <c r="E117" s="29" t="s">
        <v>1474</v>
      </c>
      <c r="F117" s="30">
        <v>0.3</v>
      </c>
      <c r="G117" s="31"/>
      <c r="H117" s="31"/>
      <c r="I117" s="31"/>
      <c r="J117" s="31"/>
    </row>
    <row r="118" spans="1:10" ht="14.4" x14ac:dyDescent="0.3">
      <c r="A118" s="28" t="str">
        <f>B118&amp;C118&amp;D118&amp;E118</f>
        <v>АксессуарыМужские аксессуарыОчкиАксессуары для очков</v>
      </c>
      <c r="B118" s="29" t="s">
        <v>88</v>
      </c>
      <c r="C118" s="29" t="s">
        <v>89</v>
      </c>
      <c r="D118" s="29" t="s">
        <v>613</v>
      </c>
      <c r="E118" s="29" t="s">
        <v>1481</v>
      </c>
      <c r="F118" s="30">
        <v>0.3</v>
      </c>
      <c r="G118" s="31"/>
      <c r="H118" s="31"/>
      <c r="I118" s="31"/>
      <c r="J118" s="31"/>
    </row>
    <row r="119" spans="1:10" ht="14.4" x14ac:dyDescent="0.3">
      <c r="A119" s="28" t="str">
        <f>B119&amp;C119&amp;D119&amp;E119</f>
        <v>АксессуарыЖенские аксессуарыГоловные уборыШапки</v>
      </c>
      <c r="B119" s="29" t="s">
        <v>88</v>
      </c>
      <c r="C119" s="29" t="s">
        <v>221</v>
      </c>
      <c r="D119" s="29" t="s">
        <v>530</v>
      </c>
      <c r="E119" s="29" t="s">
        <v>1491</v>
      </c>
      <c r="F119" s="30">
        <v>0.3</v>
      </c>
      <c r="G119" s="31"/>
      <c r="H119" s="31"/>
      <c r="I119" s="31"/>
      <c r="J119" s="31"/>
    </row>
    <row r="120" spans="1:10" ht="14.4" x14ac:dyDescent="0.3">
      <c r="A120" s="28" t="str">
        <f>B120&amp;C120&amp;D120&amp;E120</f>
        <v>АксессуарыЖенские аксессуарыСвадебные аксессуарыСумки и клатчи</v>
      </c>
      <c r="B120" s="29" t="s">
        <v>88</v>
      </c>
      <c r="C120" s="29" t="s">
        <v>221</v>
      </c>
      <c r="D120" s="29" t="s">
        <v>1494</v>
      </c>
      <c r="E120" s="29" t="s">
        <v>1495</v>
      </c>
      <c r="F120" s="30">
        <v>0.3</v>
      </c>
      <c r="G120" s="31"/>
      <c r="H120" s="31"/>
      <c r="I120" s="31"/>
      <c r="J120" s="31"/>
    </row>
    <row r="121" spans="1:10" ht="14.4" x14ac:dyDescent="0.3">
      <c r="A121" s="28" t="str">
        <f>B121&amp;C121&amp;D121&amp;E121</f>
        <v>АксессуарыЖенские аксессуарыГоловные уборыБалаклавы</v>
      </c>
      <c r="B121" s="29" t="s">
        <v>88</v>
      </c>
      <c r="C121" s="29" t="s">
        <v>221</v>
      </c>
      <c r="D121" s="29" t="s">
        <v>530</v>
      </c>
      <c r="E121" s="29" t="s">
        <v>1504</v>
      </c>
      <c r="F121" s="30">
        <v>0.3</v>
      </c>
      <c r="G121" s="31"/>
      <c r="H121" s="31"/>
      <c r="I121" s="31"/>
      <c r="J121" s="31"/>
    </row>
    <row r="122" spans="1:10" ht="14.4" x14ac:dyDescent="0.3">
      <c r="A122" s="28" t="str">
        <f>B122&amp;C122&amp;D122&amp;E122</f>
        <v>Товары для домаТовары для праздниковОформление праздникаКитайские фонарики</v>
      </c>
      <c r="B122" s="29" t="s">
        <v>59</v>
      </c>
      <c r="C122" s="29" t="s">
        <v>85</v>
      </c>
      <c r="D122" s="29" t="s">
        <v>86</v>
      </c>
      <c r="E122" s="29" t="s">
        <v>1509</v>
      </c>
      <c r="F122" s="30">
        <v>0.3</v>
      </c>
      <c r="G122" s="31"/>
      <c r="H122" s="31"/>
      <c r="I122" s="31"/>
      <c r="J122" s="31"/>
    </row>
    <row r="123" spans="1:10" ht="14.4" x14ac:dyDescent="0.3">
      <c r="A123" s="28" t="str">
        <f>B123&amp;C123&amp;D123&amp;E123</f>
        <v>ЭлектроникаАксессуары для электроникиРазветвителиРазветвители</v>
      </c>
      <c r="B123" s="29" t="s">
        <v>67</v>
      </c>
      <c r="C123" s="29" t="s">
        <v>885</v>
      </c>
      <c r="D123" s="29" t="s">
        <v>1513</v>
      </c>
      <c r="E123" s="29" t="s">
        <v>1513</v>
      </c>
      <c r="F123" s="30">
        <v>0.3</v>
      </c>
      <c r="G123" s="31"/>
      <c r="H123" s="31"/>
      <c r="I123" s="31"/>
      <c r="J123" s="31"/>
    </row>
    <row r="124" spans="1:10" ht="14.4" x14ac:dyDescent="0.3">
      <c r="A124" s="28" t="str">
        <f>B124&amp;C124&amp;D124&amp;E124</f>
        <v>ЭлектроникаАксессуары для электроникиКоннекторыКоннекторы</v>
      </c>
      <c r="B124" s="29" t="s">
        <v>67</v>
      </c>
      <c r="C124" s="29" t="s">
        <v>885</v>
      </c>
      <c r="D124" s="29" t="s">
        <v>1529</v>
      </c>
      <c r="E124" s="29" t="s">
        <v>1529</v>
      </c>
      <c r="F124" s="30">
        <v>0.3</v>
      </c>
      <c r="G124" s="31"/>
      <c r="H124" s="31"/>
      <c r="I124" s="31"/>
      <c r="J124" s="31"/>
    </row>
    <row r="125" spans="1:10" ht="14.4" x14ac:dyDescent="0.3">
      <c r="A125" s="28" t="str">
        <f>B125&amp;C125&amp;D125&amp;E125</f>
        <v>АксессуарыРелигиозные аксессуарыТюбетейкиТюбетейки</v>
      </c>
      <c r="B125" s="29" t="s">
        <v>88</v>
      </c>
      <c r="C125" s="29" t="s">
        <v>1117</v>
      </c>
      <c r="D125" s="29" t="s">
        <v>1535</v>
      </c>
      <c r="E125" s="29" t="s">
        <v>1535</v>
      </c>
      <c r="F125" s="30">
        <v>0.3</v>
      </c>
      <c r="G125" s="31"/>
      <c r="H125" s="31"/>
      <c r="I125" s="31"/>
      <c r="J125" s="31"/>
    </row>
    <row r="126" spans="1:10" ht="14.4" x14ac:dyDescent="0.3">
      <c r="A126" s="28" t="str">
        <f>B126&amp;C126&amp;D126&amp;E126</f>
        <v>Детские товарыДетское творчествоФокусыФокусы</v>
      </c>
      <c r="B126" s="29" t="s">
        <v>105</v>
      </c>
      <c r="C126" s="29" t="s">
        <v>440</v>
      </c>
      <c r="D126" s="29" t="s">
        <v>1550</v>
      </c>
      <c r="E126" s="29" t="s">
        <v>1550</v>
      </c>
      <c r="F126" s="30">
        <v>0.3</v>
      </c>
      <c r="G126" s="31"/>
      <c r="H126" s="31"/>
      <c r="I126" s="31"/>
      <c r="J126" s="31"/>
    </row>
    <row r="127" spans="1:10" ht="14.4" x14ac:dyDescent="0.3">
      <c r="A127" s="28" t="str">
        <f>B127&amp;C127&amp;D127&amp;E127</f>
        <v>ЭлектроникаФото и видеотехникаАксессуары для фото- и видеокамерЧехлы и кейсы</v>
      </c>
      <c r="B127" s="29" t="s">
        <v>67</v>
      </c>
      <c r="C127" s="29" t="s">
        <v>174</v>
      </c>
      <c r="D127" s="29" t="s">
        <v>175</v>
      </c>
      <c r="E127" s="29" t="s">
        <v>1556</v>
      </c>
      <c r="F127" s="30">
        <v>0.3</v>
      </c>
      <c r="G127" s="31"/>
      <c r="H127" s="31"/>
      <c r="I127" s="31"/>
      <c r="J127" s="31"/>
    </row>
    <row r="128" spans="1:10" ht="14.4" x14ac:dyDescent="0.3">
      <c r="A128" s="28" t="str">
        <f>B128&amp;C128&amp;D128&amp;E128</f>
        <v>ЗоотоварыГигиенаСредства гигиеныЗубные щетки для животных</v>
      </c>
      <c r="B128" s="29" t="s">
        <v>214</v>
      </c>
      <c r="C128" s="29" t="s">
        <v>911</v>
      </c>
      <c r="D128" s="29" t="s">
        <v>1136</v>
      </c>
      <c r="E128" s="29" t="s">
        <v>1557</v>
      </c>
      <c r="F128" s="30">
        <v>0.3</v>
      </c>
      <c r="G128" s="31"/>
      <c r="H128" s="31"/>
      <c r="I128" s="31"/>
      <c r="J128" s="31"/>
    </row>
    <row r="129" spans="1:10" ht="14.4" x14ac:dyDescent="0.3">
      <c r="A129" s="28" t="str">
        <f>B129&amp;C129&amp;D129&amp;E129</f>
        <v>АксессуарыЖенские аксессуарыРемни, пояса и портупеиПортупеи</v>
      </c>
      <c r="B129" s="29" t="s">
        <v>88</v>
      </c>
      <c r="C129" s="29" t="s">
        <v>221</v>
      </c>
      <c r="D129" s="29" t="s">
        <v>1367</v>
      </c>
      <c r="E129" s="29" t="s">
        <v>1574</v>
      </c>
      <c r="F129" s="30">
        <v>0.3</v>
      </c>
      <c r="G129" s="31"/>
      <c r="H129" s="31"/>
      <c r="I129" s="31"/>
      <c r="J129" s="31"/>
    </row>
    <row r="130" spans="1:10" ht="14.4" x14ac:dyDescent="0.3">
      <c r="A130" s="28" t="str">
        <f>B130&amp;C130&amp;D130&amp;E130</f>
        <v>АксессуарыЖенские аксессуарыГоловные уборыКомплекты головных уборов</v>
      </c>
      <c r="B130" s="29" t="s">
        <v>88</v>
      </c>
      <c r="C130" s="29" t="s">
        <v>221</v>
      </c>
      <c r="D130" s="29" t="s">
        <v>530</v>
      </c>
      <c r="E130" s="29" t="s">
        <v>531</v>
      </c>
      <c r="F130" s="30">
        <v>0.3</v>
      </c>
      <c r="G130" s="31"/>
      <c r="H130" s="31"/>
      <c r="I130" s="31"/>
      <c r="J130" s="31"/>
    </row>
    <row r="131" spans="1:10" ht="14.4" x14ac:dyDescent="0.3">
      <c r="A131" s="28" t="str">
        <f>B131&amp;C131&amp;D131&amp;E131</f>
        <v>Товары для домаТовары для кухниОдноразовая посуда и упаковкаЗубочистки</v>
      </c>
      <c r="B131" s="29" t="s">
        <v>59</v>
      </c>
      <c r="C131" s="29" t="s">
        <v>60</v>
      </c>
      <c r="D131" s="29" t="s">
        <v>1459</v>
      </c>
      <c r="E131" s="29" t="s">
        <v>1597</v>
      </c>
      <c r="F131" s="30">
        <v>0.3</v>
      </c>
      <c r="G131" s="31"/>
      <c r="H131" s="31"/>
      <c r="I131" s="31"/>
      <c r="J131" s="31"/>
    </row>
    <row r="132" spans="1:10" ht="14.4" x14ac:dyDescent="0.3">
      <c r="A132" s="28" t="str">
        <f>B132&amp;C132&amp;D132&amp;E132</f>
        <v>ЗдоровьеИнтимная косметикаИнтимная косметикаИнтимная косметика</v>
      </c>
      <c r="B132" s="29" t="s">
        <v>116</v>
      </c>
      <c r="C132" s="29" t="s">
        <v>1598</v>
      </c>
      <c r="D132" s="29" t="s">
        <v>1598</v>
      </c>
      <c r="E132" s="29" t="s">
        <v>1598</v>
      </c>
      <c r="F132" s="30">
        <v>0.3</v>
      </c>
      <c r="G132" s="31"/>
      <c r="H132" s="31"/>
      <c r="I132" s="31"/>
      <c r="J132" s="31"/>
    </row>
    <row r="133" spans="1:10" ht="14.4" x14ac:dyDescent="0.3">
      <c r="A133" s="28" t="str">
        <f>B133&amp;C133&amp;D133&amp;E133</f>
        <v>ЗоотоварыДля собакИгрушкиИгрушки</v>
      </c>
      <c r="B133" s="29" t="s">
        <v>214</v>
      </c>
      <c r="C133" s="29" t="s">
        <v>509</v>
      </c>
      <c r="D133" s="29" t="s">
        <v>1609</v>
      </c>
      <c r="E133" s="29" t="s">
        <v>1609</v>
      </c>
      <c r="F133" s="30">
        <v>0.3</v>
      </c>
      <c r="G133" s="31"/>
      <c r="H133" s="31"/>
      <c r="I133" s="31"/>
      <c r="J133" s="31"/>
    </row>
    <row r="134" spans="1:10" ht="14.4" x14ac:dyDescent="0.3">
      <c r="A134" s="28" t="str">
        <f>B134&amp;C134&amp;D134&amp;E134</f>
        <v>Товары для домаТовары для кухниОдноразовая посуда и упаковкаТарелки одноразовые</v>
      </c>
      <c r="B134" s="29" t="s">
        <v>59</v>
      </c>
      <c r="C134" s="29" t="s">
        <v>60</v>
      </c>
      <c r="D134" s="29" t="s">
        <v>1459</v>
      </c>
      <c r="E134" s="29" t="s">
        <v>1610</v>
      </c>
      <c r="F134" s="30">
        <v>0.3</v>
      </c>
      <c r="G134" s="31"/>
      <c r="H134" s="31"/>
      <c r="I134" s="31"/>
      <c r="J134" s="31"/>
    </row>
    <row r="135" spans="1:10" ht="14.4" x14ac:dyDescent="0.3">
      <c r="A135" s="28" t="str">
        <f>B135&amp;C135&amp;D135&amp;E135</f>
        <v>АксессуарыМужские аксессуарыОчкиОчки для компьютера</v>
      </c>
      <c r="B135" s="29" t="s">
        <v>88</v>
      </c>
      <c r="C135" s="29" t="s">
        <v>89</v>
      </c>
      <c r="D135" s="29" t="s">
        <v>613</v>
      </c>
      <c r="E135" s="29" t="s">
        <v>614</v>
      </c>
      <c r="F135" s="30">
        <v>0.3</v>
      </c>
      <c r="G135" s="31"/>
      <c r="H135" s="31"/>
      <c r="I135" s="31"/>
      <c r="J135" s="31"/>
    </row>
    <row r="136" spans="1:10" ht="14.4" x14ac:dyDescent="0.3">
      <c r="A136" s="28" t="str">
        <f>B136&amp;C136&amp;D136&amp;E136</f>
        <v>Товары для домаТовары для праздниковФейерверки и салютыРимские свечи и фонтаны</v>
      </c>
      <c r="B136" s="29" t="s">
        <v>59</v>
      </c>
      <c r="C136" s="29" t="s">
        <v>85</v>
      </c>
      <c r="D136" s="29" t="s">
        <v>1619</v>
      </c>
      <c r="E136" s="29" t="s">
        <v>1620</v>
      </c>
      <c r="F136" s="30">
        <v>0.3</v>
      </c>
      <c r="G136" s="31"/>
      <c r="H136" s="31"/>
      <c r="I136" s="31"/>
      <c r="J136" s="31"/>
    </row>
    <row r="137" spans="1:10" ht="14.4" x14ac:dyDescent="0.3">
      <c r="A137" s="28" t="str">
        <f>B137&amp;C137&amp;D137&amp;E137</f>
        <v>ЭлектроникаАксессуары для электроникиОрганайзеры для кабелейОрганайзеры для кабелей</v>
      </c>
      <c r="B137" s="29" t="s">
        <v>67</v>
      </c>
      <c r="C137" s="29" t="s">
        <v>885</v>
      </c>
      <c r="D137" s="29" t="s">
        <v>1632</v>
      </c>
      <c r="E137" s="29" t="s">
        <v>1632</v>
      </c>
      <c r="F137" s="30">
        <v>0.3</v>
      </c>
      <c r="G137" s="31"/>
      <c r="H137" s="31"/>
      <c r="I137" s="31"/>
      <c r="J137" s="31"/>
    </row>
    <row r="138" spans="1:10" ht="14.4" x14ac:dyDescent="0.3">
      <c r="A138" s="28" t="str">
        <f>B138&amp;C138&amp;D138&amp;E138</f>
        <v>Дача, сад и огородСадовый инструментАксессуары и расходные материалыКоврики и наколенники для садовых работ</v>
      </c>
      <c r="B138" s="29" t="s">
        <v>352</v>
      </c>
      <c r="C138" s="29" t="s">
        <v>353</v>
      </c>
      <c r="D138" s="29" t="s">
        <v>673</v>
      </c>
      <c r="E138" s="29" t="s">
        <v>1644</v>
      </c>
      <c r="F138" s="30">
        <v>0.3</v>
      </c>
      <c r="G138" s="31"/>
      <c r="H138" s="31"/>
      <c r="I138" s="31"/>
      <c r="J138" s="31"/>
    </row>
    <row r="139" spans="1:10" ht="14.4" x14ac:dyDescent="0.3">
      <c r="A139" s="28" t="str">
        <f>B139&amp;C139&amp;D139&amp;E139</f>
        <v>Красота и уходМакияжАксессуары для макияжаФутляры и пеналы</v>
      </c>
      <c r="B139" s="29" t="s">
        <v>56</v>
      </c>
      <c r="C139" s="29" t="s">
        <v>151</v>
      </c>
      <c r="D139" s="29" t="s">
        <v>188</v>
      </c>
      <c r="E139" s="29" t="s">
        <v>1650</v>
      </c>
      <c r="F139" s="30">
        <v>0.3</v>
      </c>
      <c r="G139" s="31"/>
      <c r="H139" s="31"/>
      <c r="I139" s="31"/>
      <c r="J139" s="31"/>
    </row>
    <row r="140" spans="1:10" ht="14.4" x14ac:dyDescent="0.3">
      <c r="A140" s="28" t="str">
        <f>B140&amp;C140&amp;D140&amp;E140</f>
        <v>АксессуарыЖенские аксессуарыЮвелирные украшенияСерьги</v>
      </c>
      <c r="B140" s="29" t="s">
        <v>88</v>
      </c>
      <c r="C140" s="29" t="s">
        <v>221</v>
      </c>
      <c r="D140" s="29" t="s">
        <v>306</v>
      </c>
      <c r="E140" s="29" t="s">
        <v>810</v>
      </c>
      <c r="F140" s="30">
        <v>0.3</v>
      </c>
      <c r="G140" s="31"/>
      <c r="H140" s="31"/>
      <c r="I140" s="31"/>
      <c r="J140" s="31"/>
    </row>
    <row r="141" spans="1:10" ht="14.4" x14ac:dyDescent="0.3">
      <c r="A141" s="28" t="str">
        <f>B141&amp;C141&amp;D141&amp;E141</f>
        <v>АксессуарыМужские аксессуарыГалстуки, бабочки, карманные платкиГалстуки</v>
      </c>
      <c r="B141" s="29" t="s">
        <v>88</v>
      </c>
      <c r="C141" s="29" t="s">
        <v>89</v>
      </c>
      <c r="D141" s="29" t="s">
        <v>1662</v>
      </c>
      <c r="E141" s="29" t="s">
        <v>1663</v>
      </c>
      <c r="F141" s="30">
        <v>0.3</v>
      </c>
      <c r="G141" s="31"/>
      <c r="H141" s="31"/>
      <c r="I141" s="31"/>
      <c r="J141" s="31"/>
    </row>
    <row r="142" spans="1:10" ht="14.4" x14ac:dyDescent="0.3">
      <c r="A142" s="28" t="str">
        <f>B142&amp;C142&amp;D142&amp;E142</f>
        <v>Товары для домаТовары для праздниковПодарочная упаковка, открыткиУпаковочная бумага, бирки и ленты</v>
      </c>
      <c r="B142" s="29" t="s">
        <v>59</v>
      </c>
      <c r="C142" s="29" t="s">
        <v>85</v>
      </c>
      <c r="D142" s="29" t="s">
        <v>330</v>
      </c>
      <c r="E142" s="29" t="s">
        <v>1664</v>
      </c>
      <c r="F142" s="30">
        <v>0.3</v>
      </c>
      <c r="G142" s="31"/>
      <c r="H142" s="31"/>
      <c r="I142" s="31"/>
      <c r="J142" s="31"/>
    </row>
    <row r="143" spans="1:10" ht="14.4" x14ac:dyDescent="0.3">
      <c r="A143" s="28" t="str">
        <f>B143&amp;C143&amp;D143&amp;E143</f>
        <v>АксессуарыМужские аксессуарыЧасы и ремешкиРемешки, застежки для часов</v>
      </c>
      <c r="B143" s="29" t="s">
        <v>88</v>
      </c>
      <c r="C143" s="29" t="s">
        <v>89</v>
      </c>
      <c r="D143" s="29" t="s">
        <v>1418</v>
      </c>
      <c r="E143" s="29" t="s">
        <v>1667</v>
      </c>
      <c r="F143" s="30">
        <v>0.3</v>
      </c>
      <c r="G143" s="31"/>
      <c r="H143" s="31"/>
      <c r="I143" s="31"/>
      <c r="J143" s="31"/>
    </row>
    <row r="144" spans="1:10" ht="14.4" x14ac:dyDescent="0.3">
      <c r="A144" s="28" t="str">
        <f>B144&amp;C144&amp;D144&amp;E144</f>
        <v>ЭлектроникаКомпьютерная техникаХранение данныхОптические носители и аксессуары</v>
      </c>
      <c r="B144" s="29" t="s">
        <v>67</v>
      </c>
      <c r="C144" s="29" t="s">
        <v>234</v>
      </c>
      <c r="D144" s="29" t="s">
        <v>432</v>
      </c>
      <c r="E144" s="29" t="s">
        <v>1676</v>
      </c>
      <c r="F144" s="30">
        <v>0.3</v>
      </c>
      <c r="G144" s="31"/>
      <c r="H144" s="31"/>
      <c r="I144" s="31"/>
      <c r="J144" s="31"/>
    </row>
    <row r="145" spans="1:10" ht="14.4" x14ac:dyDescent="0.3">
      <c r="A145" s="28" t="str">
        <f>B145&amp;C145&amp;D145&amp;E145</f>
        <v>АксессуарыРелигиозные аксессуарыЧеткиЧетки</v>
      </c>
      <c r="B145" s="29" t="s">
        <v>88</v>
      </c>
      <c r="C145" s="29" t="s">
        <v>1117</v>
      </c>
      <c r="D145" s="29" t="s">
        <v>1679</v>
      </c>
      <c r="E145" s="29" t="s">
        <v>1679</v>
      </c>
      <c r="F145" s="30">
        <v>0.3</v>
      </c>
      <c r="G145" s="31"/>
      <c r="H145" s="31"/>
      <c r="I145" s="31"/>
      <c r="J145" s="31"/>
    </row>
    <row r="146" spans="1:10" ht="14.4" x14ac:dyDescent="0.3">
      <c r="A146" s="28" t="str">
        <f>B146&amp;C146&amp;D146&amp;E146</f>
        <v>АксессуарыЖенские аксессуарыСумки и рюкзакиПляжные сумки</v>
      </c>
      <c r="B146" s="29" t="s">
        <v>88</v>
      </c>
      <c r="C146" s="29" t="s">
        <v>221</v>
      </c>
      <c r="D146" s="29" t="s">
        <v>406</v>
      </c>
      <c r="E146" s="29" t="s">
        <v>1681</v>
      </c>
      <c r="F146" s="30">
        <v>0.3</v>
      </c>
      <c r="G146" s="31"/>
      <c r="H146" s="31"/>
      <c r="I146" s="31"/>
      <c r="J146" s="31"/>
    </row>
    <row r="147" spans="1:10" ht="14.4" x14ac:dyDescent="0.3">
      <c r="A147" s="28" t="str">
        <f>B147&amp;C147&amp;D147&amp;E147</f>
        <v>АксессуарыМужские аксессуарыПлатки и шарфыШарфы</v>
      </c>
      <c r="B147" s="29" t="s">
        <v>88</v>
      </c>
      <c r="C147" s="29" t="s">
        <v>89</v>
      </c>
      <c r="D147" s="29" t="s">
        <v>1682</v>
      </c>
      <c r="E147" s="29" t="s">
        <v>1683</v>
      </c>
      <c r="F147" s="30">
        <v>0.3</v>
      </c>
      <c r="G147" s="31"/>
      <c r="H147" s="31"/>
      <c r="I147" s="31"/>
      <c r="J147" s="31"/>
    </row>
    <row r="148" spans="1:10" ht="14.4" x14ac:dyDescent="0.3">
      <c r="A148" s="28" t="str">
        <f>B148&amp;C148&amp;D148&amp;E148</f>
        <v>АксессуарыМужские аксессуарыБижутерные украшенияБраслеты</v>
      </c>
      <c r="B148" s="29" t="s">
        <v>88</v>
      </c>
      <c r="C148" s="29" t="s">
        <v>89</v>
      </c>
      <c r="D148" s="29" t="s">
        <v>314</v>
      </c>
      <c r="E148" s="29" t="s">
        <v>307</v>
      </c>
      <c r="F148" s="30">
        <v>0.3</v>
      </c>
      <c r="G148" s="31"/>
      <c r="H148" s="31"/>
      <c r="I148" s="31"/>
      <c r="J148" s="31"/>
    </row>
    <row r="149" spans="1:10" ht="14.4" x14ac:dyDescent="0.3">
      <c r="A149" s="28" t="str">
        <f>B149&amp;C149&amp;D149&amp;E149</f>
        <v>Товары для домаТовары для праздниковФейерверки и салютыБенгальские огни</v>
      </c>
      <c r="B149" s="29" t="s">
        <v>59</v>
      </c>
      <c r="C149" s="29" t="s">
        <v>85</v>
      </c>
      <c r="D149" s="29" t="s">
        <v>1619</v>
      </c>
      <c r="E149" s="29" t="s">
        <v>1695</v>
      </c>
      <c r="F149" s="30">
        <v>0.3</v>
      </c>
      <c r="G149" s="31"/>
      <c r="H149" s="31"/>
      <c r="I149" s="31"/>
      <c r="J149" s="31"/>
    </row>
    <row r="150" spans="1:10" ht="14.4" x14ac:dyDescent="0.3">
      <c r="A150" s="28" t="str">
        <f>B150&amp;C150&amp;D150&amp;E150</f>
        <v>Товары для домаТовары для праздниковПодарочная упаковка, открыткиКонверты</v>
      </c>
      <c r="B150" s="29" t="s">
        <v>59</v>
      </c>
      <c r="C150" s="29" t="s">
        <v>85</v>
      </c>
      <c r="D150" s="29" t="s">
        <v>330</v>
      </c>
      <c r="E150" s="29" t="s">
        <v>1697</v>
      </c>
      <c r="F150" s="30">
        <v>0.3</v>
      </c>
      <c r="G150" s="31"/>
      <c r="H150" s="31"/>
      <c r="I150" s="31"/>
      <c r="J150" s="31"/>
    </row>
    <row r="151" spans="1:10" ht="14.4" x14ac:dyDescent="0.3">
      <c r="A151" s="28" t="str">
        <f>B151&amp;C151&amp;D151&amp;E151</f>
        <v>АксессуарыМужские аксессуарыГоловные уборыПанамы</v>
      </c>
      <c r="B151" s="29" t="s">
        <v>88</v>
      </c>
      <c r="C151" s="29" t="s">
        <v>89</v>
      </c>
      <c r="D151" s="29" t="s">
        <v>530</v>
      </c>
      <c r="E151" s="29" t="s">
        <v>647</v>
      </c>
      <c r="F151" s="30">
        <v>0.3</v>
      </c>
      <c r="G151" s="31"/>
      <c r="H151" s="31"/>
      <c r="I151" s="31"/>
      <c r="J151" s="31"/>
    </row>
    <row r="152" spans="1:10" ht="14.4" x14ac:dyDescent="0.3">
      <c r="A152" s="28" t="str">
        <f>B152&amp;C152&amp;D152&amp;E152</f>
        <v>Бытовая техникаКлиматическая техникаКондиционеры и сплит-системыАксессуары и запчасти для кондиционеров</v>
      </c>
      <c r="B152" s="29" t="s">
        <v>160</v>
      </c>
      <c r="C152" s="29" t="s">
        <v>621</v>
      </c>
      <c r="D152" s="29" t="s">
        <v>1716</v>
      </c>
      <c r="E152" s="29" t="s">
        <v>1717</v>
      </c>
      <c r="F152" s="30">
        <v>0.3</v>
      </c>
      <c r="G152" s="31"/>
      <c r="H152" s="31"/>
      <c r="I152" s="31"/>
      <c r="J152" s="31"/>
    </row>
    <row r="153" spans="1:10" ht="14.4" x14ac:dyDescent="0.3">
      <c r="A153" s="28" t="str">
        <f>B153&amp;C153&amp;D153&amp;E153</f>
        <v>ЭлектроникаИгровые приставкиАксессуары и запчасти для игровых приставокЗапчасти для игровых приставок</v>
      </c>
      <c r="B153" s="29" t="s">
        <v>67</v>
      </c>
      <c r="C153" s="29" t="s">
        <v>81</v>
      </c>
      <c r="D153" s="29" t="s">
        <v>645</v>
      </c>
      <c r="E153" s="29" t="s">
        <v>1725</v>
      </c>
      <c r="F153" s="30">
        <v>0.3</v>
      </c>
      <c r="G153" s="31"/>
      <c r="H153" s="31"/>
      <c r="I153" s="31"/>
      <c r="J153" s="31"/>
    </row>
    <row r="154" spans="1:10" ht="14.4" x14ac:dyDescent="0.3">
      <c r="A154" s="28" t="str">
        <f>B154&amp;C154&amp;D154&amp;E154</f>
        <v>Товары для домаТовары для праздниковСвадебные товарыСвадебные товары</v>
      </c>
      <c r="B154" s="29" t="s">
        <v>59</v>
      </c>
      <c r="C154" s="29" t="s">
        <v>85</v>
      </c>
      <c r="D154" s="29" t="s">
        <v>1741</v>
      </c>
      <c r="E154" s="29" t="s">
        <v>1741</v>
      </c>
      <c r="F154" s="30">
        <v>0.3</v>
      </c>
      <c r="G154" s="31"/>
      <c r="H154" s="31"/>
      <c r="I154" s="31"/>
      <c r="J154" s="31"/>
    </row>
    <row r="155" spans="1:10" ht="14.4" x14ac:dyDescent="0.3">
      <c r="A155" s="28" t="str">
        <f>B155&amp;C155&amp;D155&amp;E155</f>
        <v>АксессуарыЖенские аксессуарыПлатки и шарфыМуфты и кольца для платка</v>
      </c>
      <c r="B155" s="29" t="s">
        <v>88</v>
      </c>
      <c r="C155" s="29" t="s">
        <v>221</v>
      </c>
      <c r="D155" s="29" t="s">
        <v>1682</v>
      </c>
      <c r="E155" s="29" t="s">
        <v>1743</v>
      </c>
      <c r="F155" s="30">
        <v>0.3</v>
      </c>
      <c r="G155" s="31"/>
      <c r="H155" s="31"/>
      <c r="I155" s="31"/>
      <c r="J155" s="31"/>
    </row>
    <row r="156" spans="1:10" ht="14.4" x14ac:dyDescent="0.3">
      <c r="A156" s="28" t="str">
        <f>B156&amp;C156&amp;D156&amp;E156</f>
        <v>ЭлектроникаСмартфоны и телефоныАксессуары для смартфоновОсветители и вспышки</v>
      </c>
      <c r="B156" s="29" t="s">
        <v>67</v>
      </c>
      <c r="C156" s="29" t="s">
        <v>96</v>
      </c>
      <c r="D156" s="29" t="s">
        <v>97</v>
      </c>
      <c r="E156" s="29" t="s">
        <v>1749</v>
      </c>
      <c r="F156" s="30">
        <v>0.3</v>
      </c>
      <c r="G156" s="31"/>
      <c r="H156" s="31"/>
      <c r="I156" s="31"/>
      <c r="J156" s="31"/>
    </row>
    <row r="157" spans="1:10" ht="14.4" x14ac:dyDescent="0.3">
      <c r="A157" s="28" t="str">
        <f>B157&amp;C157&amp;D157&amp;E157</f>
        <v>ОбувьАксессуары для обувиЛожки для обувиЛожки для обуви</v>
      </c>
      <c r="B157" s="29" t="s">
        <v>180</v>
      </c>
      <c r="C157" s="29" t="s">
        <v>1075</v>
      </c>
      <c r="D157" s="29" t="s">
        <v>1785</v>
      </c>
      <c r="E157" s="29" t="s">
        <v>1785</v>
      </c>
      <c r="F157" s="30">
        <v>0.3</v>
      </c>
      <c r="G157" s="31"/>
      <c r="H157" s="31"/>
      <c r="I157" s="31"/>
      <c r="J157" s="31"/>
    </row>
    <row r="158" spans="1:10" ht="14.4" x14ac:dyDescent="0.3">
      <c r="A158" s="28" t="str">
        <f>B158&amp;C158&amp;D158&amp;E158</f>
        <v>АксессуарыЖенские аксессуарыГоловные уборыКепки, бейсболки и кепи</v>
      </c>
      <c r="B158" s="29" t="s">
        <v>88</v>
      </c>
      <c r="C158" s="29" t="s">
        <v>221</v>
      </c>
      <c r="D158" s="29" t="s">
        <v>530</v>
      </c>
      <c r="E158" s="29" t="s">
        <v>1797</v>
      </c>
      <c r="F158" s="30">
        <v>0.3</v>
      </c>
      <c r="G158" s="31"/>
      <c r="H158" s="31"/>
      <c r="I158" s="31"/>
      <c r="J158" s="31"/>
    </row>
    <row r="159" spans="1:10" ht="14.4" x14ac:dyDescent="0.3">
      <c r="A159" s="28" t="str">
        <f>B159&amp;C159&amp;D159&amp;E159</f>
        <v>ЭлектроникаСмартфоны и телефоныАксессуары для смартфоновКабели и адаптеры для телефонов</v>
      </c>
      <c r="B159" s="29" t="s">
        <v>67</v>
      </c>
      <c r="C159" s="29" t="s">
        <v>96</v>
      </c>
      <c r="D159" s="29" t="s">
        <v>97</v>
      </c>
      <c r="E159" s="29" t="s">
        <v>1798</v>
      </c>
      <c r="F159" s="30">
        <v>0.3</v>
      </c>
      <c r="G159" s="31"/>
      <c r="H159" s="31"/>
      <c r="I159" s="31"/>
      <c r="J159" s="31"/>
    </row>
    <row r="160" spans="1:10" ht="14.4" x14ac:dyDescent="0.3">
      <c r="A160" s="28" t="str">
        <f>B160&amp;C160&amp;D160&amp;E160</f>
        <v>ЗдоровьеОптикаОправыОправы</v>
      </c>
      <c r="B160" s="29" t="s">
        <v>116</v>
      </c>
      <c r="C160" s="29" t="s">
        <v>741</v>
      </c>
      <c r="D160" s="29" t="s">
        <v>1821</v>
      </c>
      <c r="E160" s="29" t="s">
        <v>1821</v>
      </c>
      <c r="F160" s="30">
        <v>0.3</v>
      </c>
      <c r="G160" s="31"/>
      <c r="H160" s="31"/>
      <c r="I160" s="31"/>
      <c r="J160" s="31"/>
    </row>
    <row r="161" spans="1:10" ht="14.4" x14ac:dyDescent="0.3">
      <c r="A161" s="28" t="str">
        <f>B161&amp;C161&amp;D161&amp;E161</f>
        <v>Товары для домаТовары для праздниковФейерверки и салютыЦветной дым</v>
      </c>
      <c r="B161" s="29" t="s">
        <v>59</v>
      </c>
      <c r="C161" s="29" t="s">
        <v>85</v>
      </c>
      <c r="D161" s="29" t="s">
        <v>1619</v>
      </c>
      <c r="E161" s="29" t="s">
        <v>1830</v>
      </c>
      <c r="F161" s="30">
        <v>0.3</v>
      </c>
      <c r="G161" s="31"/>
      <c r="H161" s="31"/>
      <c r="I161" s="31"/>
      <c r="J161" s="31"/>
    </row>
    <row r="162" spans="1:10" ht="14.4" x14ac:dyDescent="0.3">
      <c r="A162" s="28" t="str">
        <f>B162&amp;C162&amp;D162&amp;E162</f>
        <v>Дача, сад и огородОбустройство дачи и садаБиотуалеты, септики и аксессуарыБиотуалеты, септики и аксессуары</v>
      </c>
      <c r="B162" s="29" t="s">
        <v>352</v>
      </c>
      <c r="C162" s="29" t="s">
        <v>966</v>
      </c>
      <c r="D162" s="29" t="s">
        <v>1840</v>
      </c>
      <c r="E162" s="29" t="s">
        <v>1840</v>
      </c>
      <c r="F162" s="30">
        <v>0.3</v>
      </c>
      <c r="G162" s="31"/>
      <c r="H162" s="31"/>
      <c r="I162" s="31"/>
      <c r="J162" s="31"/>
    </row>
    <row r="163" spans="1:10" ht="14.4" x14ac:dyDescent="0.3">
      <c r="A163" s="28" t="str">
        <f>B163&amp;C163&amp;D163&amp;E163</f>
        <v>АксессуарыРелигиозные аксессуарыКулоны и подвескиКулоны и подвески</v>
      </c>
      <c r="B163" s="29" t="s">
        <v>88</v>
      </c>
      <c r="C163" s="29" t="s">
        <v>1117</v>
      </c>
      <c r="D163" s="29" t="s">
        <v>1843</v>
      </c>
      <c r="E163" s="29" t="s">
        <v>1843</v>
      </c>
      <c r="F163" s="30">
        <v>0.3</v>
      </c>
      <c r="G163" s="31"/>
      <c r="H163" s="31"/>
      <c r="I163" s="31"/>
      <c r="J163" s="31"/>
    </row>
    <row r="164" spans="1:10" ht="14.4" x14ac:dyDescent="0.3">
      <c r="A164" s="28" t="str">
        <f>B164&amp;C164&amp;D164&amp;E164</f>
        <v>ЭлектроникаНаушники и аудиотехникаАксессуары для проигрывателейСтудийное оборудование</v>
      </c>
      <c r="B164" s="29" t="s">
        <v>67</v>
      </c>
      <c r="C164" s="29" t="s">
        <v>74</v>
      </c>
      <c r="D164" s="29" t="s">
        <v>1039</v>
      </c>
      <c r="E164" s="29" t="s">
        <v>1252</v>
      </c>
      <c r="F164" s="30">
        <v>0.3</v>
      </c>
      <c r="G164" s="31"/>
      <c r="H164" s="31"/>
      <c r="I164" s="31"/>
      <c r="J164" s="31"/>
    </row>
    <row r="165" spans="1:10" ht="14.4" x14ac:dyDescent="0.3">
      <c r="A165" s="28" t="str">
        <f>B165&amp;C165&amp;D165&amp;E165</f>
        <v>АксессуарыЖенские аксессуарыБижутерные украшенияУкрашения для тела</v>
      </c>
      <c r="B165" s="29" t="s">
        <v>88</v>
      </c>
      <c r="C165" s="29" t="s">
        <v>221</v>
      </c>
      <c r="D165" s="29" t="s">
        <v>314</v>
      </c>
      <c r="E165" s="29" t="s">
        <v>1849</v>
      </c>
      <c r="F165" s="30">
        <v>0.3</v>
      </c>
      <c r="G165" s="31"/>
      <c r="H165" s="31"/>
      <c r="I165" s="31"/>
      <c r="J165" s="31"/>
    </row>
    <row r="166" spans="1:10" ht="14.4" x14ac:dyDescent="0.3">
      <c r="A166" s="28" t="str">
        <f>B166&amp;C166&amp;D166&amp;E166</f>
        <v>ЗоотоварыГигиенаКосметика для животныхЛосьоны</v>
      </c>
      <c r="B166" s="29" t="s">
        <v>214</v>
      </c>
      <c r="C166" s="29" t="s">
        <v>911</v>
      </c>
      <c r="D166" s="29" t="s">
        <v>912</v>
      </c>
      <c r="E166" s="29" t="s">
        <v>1853</v>
      </c>
      <c r="F166" s="30">
        <v>0.3</v>
      </c>
      <c r="G166" s="31"/>
      <c r="H166" s="31"/>
      <c r="I166" s="31"/>
      <c r="J166" s="31"/>
    </row>
    <row r="167" spans="1:10" ht="14.4" x14ac:dyDescent="0.3">
      <c r="A167" s="28" t="str">
        <f>B167&amp;C167&amp;D167&amp;E167</f>
        <v>АксессуарыМужские аксессуарыГоловные уборыКепки и бейсболки</v>
      </c>
      <c r="B167" s="29" t="s">
        <v>88</v>
      </c>
      <c r="C167" s="29" t="s">
        <v>89</v>
      </c>
      <c r="D167" s="29" t="s">
        <v>530</v>
      </c>
      <c r="E167" s="29" t="s">
        <v>1854</v>
      </c>
      <c r="F167" s="30">
        <v>0.3</v>
      </c>
      <c r="G167" s="31"/>
      <c r="H167" s="31"/>
      <c r="I167" s="31"/>
      <c r="J167" s="31"/>
    </row>
    <row r="168" spans="1:10" ht="14.4" x14ac:dyDescent="0.3">
      <c r="A168" s="28" t="str">
        <f>B168&amp;C168&amp;D168&amp;E168</f>
        <v>АксессуарыМужские аксессуарыПерчатки и варежкиПерчатки</v>
      </c>
      <c r="B168" s="29" t="s">
        <v>88</v>
      </c>
      <c r="C168" s="29" t="s">
        <v>89</v>
      </c>
      <c r="D168" s="29" t="s">
        <v>1004</v>
      </c>
      <c r="E168" s="29" t="s">
        <v>1005</v>
      </c>
      <c r="F168" s="30">
        <v>0.3</v>
      </c>
      <c r="G168" s="31"/>
      <c r="H168" s="31"/>
      <c r="I168" s="31"/>
      <c r="J168" s="31"/>
    </row>
    <row r="169" spans="1:10" ht="14.4" x14ac:dyDescent="0.3">
      <c r="A169" s="28" t="str">
        <f>B169&amp;C169&amp;D169&amp;E169</f>
        <v>ЭлектроникаОфисная техникаКомплектующие для офисной техникиПластик для 3D принтера</v>
      </c>
      <c r="B169" s="29" t="s">
        <v>67</v>
      </c>
      <c r="C169" s="29" t="s">
        <v>68</v>
      </c>
      <c r="D169" s="29" t="s">
        <v>69</v>
      </c>
      <c r="E169" s="29" t="s">
        <v>1868</v>
      </c>
      <c r="F169" s="30">
        <v>0.3</v>
      </c>
      <c r="G169" s="31"/>
      <c r="H169" s="31"/>
      <c r="I169" s="31"/>
      <c r="J169" s="31"/>
    </row>
    <row r="170" spans="1:10" ht="14.4" x14ac:dyDescent="0.3">
      <c r="A170" s="28" t="str">
        <f>B170&amp;C170&amp;D170&amp;E170</f>
        <v>ЭлектроникаКомпьютерная техникаКомплектующие для компьютерной техникиСистемы охлаждения для компьютеров</v>
      </c>
      <c r="B170" s="29" t="s">
        <v>67</v>
      </c>
      <c r="C170" s="29" t="s">
        <v>234</v>
      </c>
      <c r="D170" s="29" t="s">
        <v>898</v>
      </c>
      <c r="E170" s="29" t="s">
        <v>1870</v>
      </c>
      <c r="F170" s="30">
        <v>0.3</v>
      </c>
      <c r="G170" s="31"/>
      <c r="H170" s="31"/>
      <c r="I170" s="31"/>
      <c r="J170" s="31"/>
    </row>
    <row r="171" spans="1:10" ht="14.4" x14ac:dyDescent="0.3">
      <c r="A171" s="28" t="str">
        <f>B171&amp;C171&amp;D171&amp;E171</f>
        <v>Красота и уходМакияжАксессуары для макияжаОрганайзеры</v>
      </c>
      <c r="B171" s="29" t="s">
        <v>56</v>
      </c>
      <c r="C171" s="29" t="s">
        <v>151</v>
      </c>
      <c r="D171" s="29" t="s">
        <v>188</v>
      </c>
      <c r="E171" s="29" t="s">
        <v>1877</v>
      </c>
      <c r="F171" s="30">
        <v>0.3</v>
      </c>
      <c r="G171" s="31"/>
      <c r="H171" s="31"/>
      <c r="I171" s="31"/>
      <c r="J171" s="31"/>
    </row>
    <row r="172" spans="1:10" ht="14.4" x14ac:dyDescent="0.3">
      <c r="A172" s="28" t="str">
        <f>B172&amp;C172&amp;D172&amp;E172</f>
        <v>ЗдоровьеМедицинские изделия и расходные материалыРасходные материалыШприцы, инъекторы, пипетки, дозаторы</v>
      </c>
      <c r="B172" s="29" t="s">
        <v>116</v>
      </c>
      <c r="C172" s="29" t="s">
        <v>436</v>
      </c>
      <c r="D172" s="29" t="s">
        <v>1110</v>
      </c>
      <c r="E172" s="29" t="s">
        <v>1904</v>
      </c>
      <c r="F172" s="30">
        <v>0.3</v>
      </c>
      <c r="G172" s="31"/>
      <c r="H172" s="31"/>
      <c r="I172" s="31"/>
      <c r="J172" s="31"/>
    </row>
    <row r="173" spans="1:10" ht="14.4" x14ac:dyDescent="0.3">
      <c r="A173" s="28" t="str">
        <f>B173&amp;C173&amp;D173&amp;E173</f>
        <v>ЭлектроникаТелевизоры и видеотехникаКабели и переходникиАудио кабели</v>
      </c>
      <c r="B173" s="29" t="s">
        <v>67</v>
      </c>
      <c r="C173" s="29" t="s">
        <v>136</v>
      </c>
      <c r="D173" s="29" t="s">
        <v>1905</v>
      </c>
      <c r="E173" s="29" t="s">
        <v>1906</v>
      </c>
      <c r="F173" s="30">
        <v>0.3</v>
      </c>
      <c r="G173" s="31"/>
      <c r="H173" s="31"/>
      <c r="I173" s="31"/>
      <c r="J173" s="31"/>
    </row>
    <row r="174" spans="1:10" ht="14.4" x14ac:dyDescent="0.3">
      <c r="A174" s="28" t="str">
        <f>B174&amp;C174&amp;D174&amp;E174</f>
        <v>АксессуарыЖенские аксессуарыСумки и рюкзакиСумки</v>
      </c>
      <c r="B174" s="29" t="s">
        <v>88</v>
      </c>
      <c r="C174" s="29" t="s">
        <v>221</v>
      </c>
      <c r="D174" s="29" t="s">
        <v>406</v>
      </c>
      <c r="E174" s="29" t="s">
        <v>1910</v>
      </c>
      <c r="F174" s="30">
        <v>0.3</v>
      </c>
      <c r="G174" s="31"/>
      <c r="H174" s="31"/>
      <c r="I174" s="31"/>
      <c r="J174" s="31"/>
    </row>
    <row r="175" spans="1:10" ht="14.4" x14ac:dyDescent="0.3">
      <c r="A175" s="28" t="str">
        <f>B175&amp;C175&amp;D175&amp;E175</f>
        <v>ЭлектроникаТелевизоры и видеотехникаКабели и переходникиАнтенные кабели и адаптеры</v>
      </c>
      <c r="B175" s="29" t="s">
        <v>67</v>
      </c>
      <c r="C175" s="29" t="s">
        <v>136</v>
      </c>
      <c r="D175" s="29" t="s">
        <v>1905</v>
      </c>
      <c r="E175" s="29" t="s">
        <v>1912</v>
      </c>
      <c r="F175" s="30">
        <v>0.3</v>
      </c>
      <c r="G175" s="31"/>
      <c r="H175" s="31"/>
      <c r="I175" s="31"/>
      <c r="J175" s="31"/>
    </row>
    <row r="176" spans="1:10" ht="14.4" x14ac:dyDescent="0.3">
      <c r="A176" s="28" t="str">
        <f>B176&amp;C176&amp;D176&amp;E176</f>
        <v>ЭлектроникаАксессуары для электроникиПреобразователи напряженияПреобразователи напряжения</v>
      </c>
      <c r="B176" s="29" t="s">
        <v>67</v>
      </c>
      <c r="C176" s="29" t="s">
        <v>885</v>
      </c>
      <c r="D176" s="29" t="s">
        <v>1916</v>
      </c>
      <c r="E176" s="29" t="s">
        <v>1916</v>
      </c>
      <c r="F176" s="30">
        <v>0.3</v>
      </c>
      <c r="G176" s="31"/>
      <c r="H176" s="31"/>
      <c r="I176" s="31"/>
      <c r="J176" s="31"/>
    </row>
    <row r="177" spans="1:10" ht="14.4" x14ac:dyDescent="0.3">
      <c r="A177" s="28" t="str">
        <f>B177&amp;C177&amp;D177&amp;E177</f>
        <v>АксессуарыМужские аксессуарыКошельки, ключницы и визитницыКошельки</v>
      </c>
      <c r="B177" s="29" t="s">
        <v>88</v>
      </c>
      <c r="C177" s="29" t="s">
        <v>89</v>
      </c>
      <c r="D177" s="29" t="s">
        <v>90</v>
      </c>
      <c r="E177" s="29" t="s">
        <v>1936</v>
      </c>
      <c r="F177" s="30">
        <v>0.3</v>
      </c>
      <c r="G177" s="31"/>
      <c r="H177" s="31"/>
      <c r="I177" s="31"/>
      <c r="J177" s="31"/>
    </row>
    <row r="178" spans="1:10" ht="14.4" x14ac:dyDescent="0.3">
      <c r="A178" s="28" t="str">
        <f>B178&amp;C178&amp;D178&amp;E178</f>
        <v>Дача, сад и огородОбустройство дачи и садаСадовые светильникиСадовые светильники</v>
      </c>
      <c r="B178" s="29" t="s">
        <v>352</v>
      </c>
      <c r="C178" s="29" t="s">
        <v>966</v>
      </c>
      <c r="D178" s="29" t="s">
        <v>1947</v>
      </c>
      <c r="E178" s="29" t="s">
        <v>1947</v>
      </c>
      <c r="F178" s="30">
        <v>0.3</v>
      </c>
      <c r="G178" s="31"/>
      <c r="H178" s="31"/>
      <c r="I178" s="31"/>
      <c r="J178" s="31"/>
    </row>
    <row r="179" spans="1:10" ht="14.4" x14ac:dyDescent="0.3">
      <c r="A179" s="28" t="str">
        <f>B179&amp;C179&amp;D179&amp;E179</f>
        <v>АксессуарыЖенские аксессуарыОчкиАксессуары для очков</v>
      </c>
      <c r="B179" s="29" t="s">
        <v>88</v>
      </c>
      <c r="C179" s="29" t="s">
        <v>221</v>
      </c>
      <c r="D179" s="29" t="s">
        <v>613</v>
      </c>
      <c r="E179" s="29" t="s">
        <v>1481</v>
      </c>
      <c r="F179" s="30">
        <v>0.3</v>
      </c>
      <c r="G179" s="31"/>
      <c r="H179" s="31"/>
      <c r="I179" s="31"/>
      <c r="J179" s="31"/>
    </row>
    <row r="180" spans="1:10" ht="14.4" x14ac:dyDescent="0.3">
      <c r="A180" s="28" t="str">
        <f>B180&amp;C180&amp;D180&amp;E180</f>
        <v>АксессуарыАксессуары для путешествийАксессуары для чемодановРемни для чемоданов</v>
      </c>
      <c r="B180" s="29" t="s">
        <v>88</v>
      </c>
      <c r="C180" s="29" t="s">
        <v>573</v>
      </c>
      <c r="D180" s="29" t="s">
        <v>1978</v>
      </c>
      <c r="E180" s="29" t="s">
        <v>1979</v>
      </c>
      <c r="F180" s="30">
        <v>0.3</v>
      </c>
      <c r="G180" s="31"/>
      <c r="H180" s="31"/>
      <c r="I180" s="31"/>
      <c r="J180" s="31"/>
    </row>
    <row r="181" spans="1:10" ht="14.4" x14ac:dyDescent="0.3">
      <c r="A181" s="28" t="str">
        <f>B181&amp;C181&amp;D181&amp;E181</f>
        <v>ЭлектроникаНаушники и аудиотехникаНаушникиЧехлы для наушников</v>
      </c>
      <c r="B181" s="29" t="s">
        <v>67</v>
      </c>
      <c r="C181" s="29" t="s">
        <v>74</v>
      </c>
      <c r="D181" s="29" t="s">
        <v>75</v>
      </c>
      <c r="E181" s="29" t="s">
        <v>1985</v>
      </c>
      <c r="F181" s="30">
        <v>0.3</v>
      </c>
      <c r="G181" s="31"/>
      <c r="H181" s="31"/>
      <c r="I181" s="31"/>
      <c r="J181" s="31"/>
    </row>
    <row r="182" spans="1:10" ht="14.4" x14ac:dyDescent="0.3">
      <c r="A182" s="28" t="str">
        <f>B182&amp;C182&amp;D182&amp;E182</f>
        <v>Бытовая техникаКрупная бытовая техникаАксессуары для крупной бытовой техникиДля стиральных машин</v>
      </c>
      <c r="B182" s="29" t="s">
        <v>160</v>
      </c>
      <c r="C182" s="29" t="s">
        <v>338</v>
      </c>
      <c r="D182" s="29" t="s">
        <v>1127</v>
      </c>
      <c r="E182" s="29" t="s">
        <v>1987</v>
      </c>
      <c r="F182" s="30">
        <v>0.3</v>
      </c>
      <c r="G182" s="31"/>
      <c r="H182" s="31"/>
      <c r="I182" s="31"/>
      <c r="J182" s="31"/>
    </row>
    <row r="183" spans="1:10" ht="14.4" x14ac:dyDescent="0.3">
      <c r="A183" s="28" t="str">
        <f>B183&amp;C183&amp;D183&amp;E183</f>
        <v>ЭлектроникаОфисная техникаОфисное оборудованиеСканеры штрих-кода</v>
      </c>
      <c r="B183" s="29" t="s">
        <v>67</v>
      </c>
      <c r="C183" s="29" t="s">
        <v>68</v>
      </c>
      <c r="D183" s="29" t="s">
        <v>703</v>
      </c>
      <c r="E183" s="29" t="s">
        <v>2002</v>
      </c>
      <c r="F183" s="30">
        <v>0.3</v>
      </c>
      <c r="G183" s="31"/>
      <c r="H183" s="31"/>
      <c r="I183" s="31"/>
      <c r="J183" s="31"/>
    </row>
    <row r="184" spans="1:10" ht="14.4" x14ac:dyDescent="0.3">
      <c r="A184" s="28" t="str">
        <f>B184&amp;C184&amp;D184&amp;E184</f>
        <v>Строительство и ремонтОтделочные материалыКлеи и герметикиКлеи и герметики</v>
      </c>
      <c r="B184" s="29" t="s">
        <v>77</v>
      </c>
      <c r="C184" s="29" t="s">
        <v>241</v>
      </c>
      <c r="D184" s="29" t="s">
        <v>2018</v>
      </c>
      <c r="E184" s="29" t="s">
        <v>2018</v>
      </c>
      <c r="F184" s="30">
        <v>0.3</v>
      </c>
      <c r="G184" s="31"/>
      <c r="H184" s="31"/>
      <c r="I184" s="31"/>
      <c r="J184" s="31"/>
    </row>
    <row r="185" spans="1:10" ht="14.4" x14ac:dyDescent="0.3">
      <c r="A185" s="28" t="str">
        <f>B185&amp;C185&amp;D185&amp;E185</f>
        <v>Детские товарыДетское творчествоЛепкаПластилин</v>
      </c>
      <c r="B185" s="29" t="s">
        <v>105</v>
      </c>
      <c r="C185" s="29" t="s">
        <v>440</v>
      </c>
      <c r="D185" s="29" t="s">
        <v>578</v>
      </c>
      <c r="E185" s="29" t="s">
        <v>2028</v>
      </c>
      <c r="F185" s="30">
        <v>0.3</v>
      </c>
      <c r="G185" s="31"/>
      <c r="H185" s="31"/>
      <c r="I185" s="31"/>
      <c r="J185" s="31"/>
    </row>
    <row r="186" spans="1:10" ht="14.4" x14ac:dyDescent="0.3">
      <c r="A186" s="28" t="str">
        <f>B186&amp;C186&amp;D186&amp;E186</f>
        <v>АксессуарыЖенские аксессуарыБижутерные украшенияБрелоки</v>
      </c>
      <c r="B186" s="29" t="s">
        <v>88</v>
      </c>
      <c r="C186" s="29" t="s">
        <v>221</v>
      </c>
      <c r="D186" s="29" t="s">
        <v>314</v>
      </c>
      <c r="E186" s="29" t="s">
        <v>1352</v>
      </c>
      <c r="F186" s="30">
        <v>0.3</v>
      </c>
      <c r="G186" s="31"/>
      <c r="H186" s="31"/>
      <c r="I186" s="31"/>
      <c r="J186" s="31"/>
    </row>
    <row r="187" spans="1:10" ht="14.4" x14ac:dyDescent="0.3">
      <c r="A187" s="28" t="str">
        <f>B187&amp;C187&amp;D187&amp;E187</f>
        <v>Товары для домаТовары для праздниковОформление праздникаГелий в баллоне</v>
      </c>
      <c r="B187" s="29" t="s">
        <v>59</v>
      </c>
      <c r="C187" s="29" t="s">
        <v>85</v>
      </c>
      <c r="D187" s="29" t="s">
        <v>86</v>
      </c>
      <c r="E187" s="29" t="s">
        <v>2040</v>
      </c>
      <c r="F187" s="30">
        <v>0.3</v>
      </c>
      <c r="G187" s="31"/>
      <c r="H187" s="31"/>
      <c r="I187" s="31"/>
      <c r="J187" s="31"/>
    </row>
    <row r="188" spans="1:10" ht="14.4" x14ac:dyDescent="0.3">
      <c r="A188" s="28" t="str">
        <f>B188&amp;C188&amp;D188&amp;E188</f>
        <v>АксессуарыЖенские аксессуарыПлатки и шарфыШарфы</v>
      </c>
      <c r="B188" s="29" t="s">
        <v>88</v>
      </c>
      <c r="C188" s="29" t="s">
        <v>221</v>
      </c>
      <c r="D188" s="29" t="s">
        <v>1682</v>
      </c>
      <c r="E188" s="29" t="s">
        <v>1683</v>
      </c>
      <c r="F188" s="30">
        <v>0.3</v>
      </c>
      <c r="G188" s="31"/>
      <c r="H188" s="31"/>
      <c r="I188" s="31"/>
      <c r="J188" s="31"/>
    </row>
    <row r="189" spans="1:10" ht="14.4" x14ac:dyDescent="0.3">
      <c r="A189" s="28" t="str">
        <f>B189&amp;C189&amp;D189&amp;E189</f>
        <v>АксессуарыЖенские аксессуарыПлатки и шарфыПлатки и палантины</v>
      </c>
      <c r="B189" s="29" t="s">
        <v>88</v>
      </c>
      <c r="C189" s="29" t="s">
        <v>221</v>
      </c>
      <c r="D189" s="29" t="s">
        <v>1682</v>
      </c>
      <c r="E189" s="29" t="s">
        <v>2052</v>
      </c>
      <c r="F189" s="30">
        <v>0.3</v>
      </c>
      <c r="G189" s="31"/>
      <c r="H189" s="31"/>
      <c r="I189" s="31"/>
      <c r="J189" s="31"/>
    </row>
    <row r="190" spans="1:10" ht="14.4" x14ac:dyDescent="0.3">
      <c r="A190" s="28" t="str">
        <f>B190&amp;C190&amp;D190&amp;E190</f>
        <v>АксессуарыМужские аксессуарыГалстуки, бабочки, карманные платкиКарманные платки</v>
      </c>
      <c r="B190" s="29" t="s">
        <v>88</v>
      </c>
      <c r="C190" s="29" t="s">
        <v>89</v>
      </c>
      <c r="D190" s="29" t="s">
        <v>1662</v>
      </c>
      <c r="E190" s="29" t="s">
        <v>2056</v>
      </c>
      <c r="F190" s="30">
        <v>0.3</v>
      </c>
      <c r="G190" s="31"/>
      <c r="H190" s="31"/>
      <c r="I190" s="31"/>
      <c r="J190" s="31"/>
    </row>
    <row r="191" spans="1:10" ht="14.4" x14ac:dyDescent="0.3">
      <c r="A191" s="28" t="str">
        <f>B191&amp;C191&amp;D191&amp;E191</f>
        <v>ЭлектроникаАксессуары для электроникиЗарядные устройства для аккумуляторовЗарядные устройства для аккумуляторов</v>
      </c>
      <c r="B191" s="29" t="s">
        <v>67</v>
      </c>
      <c r="C191" s="29" t="s">
        <v>885</v>
      </c>
      <c r="D191" s="29" t="s">
        <v>2057</v>
      </c>
      <c r="E191" s="29" t="s">
        <v>2057</v>
      </c>
      <c r="F191" s="30">
        <v>0.3</v>
      </c>
      <c r="G191" s="31"/>
      <c r="H191" s="31"/>
      <c r="I191" s="31"/>
      <c r="J191" s="31"/>
    </row>
    <row r="192" spans="1:10" ht="14.4" x14ac:dyDescent="0.3">
      <c r="A192" s="28" t="str">
        <f>B192&amp;C192&amp;D192&amp;E192</f>
        <v>АксессуарыМужские аксессуарыСумки и рюкзакиСумки</v>
      </c>
      <c r="B192" s="29" t="s">
        <v>88</v>
      </c>
      <c r="C192" s="29" t="s">
        <v>89</v>
      </c>
      <c r="D192" s="29" t="s">
        <v>406</v>
      </c>
      <c r="E192" s="29" t="s">
        <v>1910</v>
      </c>
      <c r="F192" s="30">
        <v>0.3</v>
      </c>
      <c r="G192" s="31"/>
      <c r="H192" s="31"/>
      <c r="I192" s="31"/>
      <c r="J192" s="31"/>
    </row>
    <row r="193" spans="1:10" ht="14.4" x14ac:dyDescent="0.3">
      <c r="A193" s="28" t="str">
        <f>B193&amp;C193&amp;D193&amp;E193</f>
        <v>ОбувьАксессуары для обувиШнуркиШнурки</v>
      </c>
      <c r="B193" s="29" t="s">
        <v>180</v>
      </c>
      <c r="C193" s="29" t="s">
        <v>1075</v>
      </c>
      <c r="D193" s="29" t="s">
        <v>98</v>
      </c>
      <c r="E193" s="29" t="s">
        <v>98</v>
      </c>
      <c r="F193" s="30">
        <v>0.3</v>
      </c>
      <c r="G193" s="31"/>
      <c r="H193" s="31"/>
      <c r="I193" s="31"/>
      <c r="J193" s="31"/>
    </row>
    <row r="194" spans="1:10" ht="14.4" x14ac:dyDescent="0.3">
      <c r="A194" s="28" t="str">
        <f>B194&amp;C194&amp;D194&amp;E194</f>
        <v>АксессуарыМужские аксессуарыКошельки, ключницы и визитницыВизитницы и кредитницы</v>
      </c>
      <c r="B194" s="29" t="s">
        <v>88</v>
      </c>
      <c r="C194" s="29" t="s">
        <v>89</v>
      </c>
      <c r="D194" s="29" t="s">
        <v>90</v>
      </c>
      <c r="E194" s="29" t="s">
        <v>1299</v>
      </c>
      <c r="F194" s="30">
        <v>0.3</v>
      </c>
      <c r="G194" s="31"/>
      <c r="H194" s="31"/>
      <c r="I194" s="31"/>
      <c r="J194" s="31"/>
    </row>
    <row r="195" spans="1:10" ht="14.4" x14ac:dyDescent="0.3">
      <c r="A195" s="28" t="str">
        <f>B195&amp;C195&amp;D195&amp;E195</f>
        <v>АксессуарыЖенские аксессуарыКошельки, ключницы и визитницыОбложки для документов</v>
      </c>
      <c r="B195" s="29" t="s">
        <v>88</v>
      </c>
      <c r="C195" s="29" t="s">
        <v>221</v>
      </c>
      <c r="D195" s="29" t="s">
        <v>90</v>
      </c>
      <c r="E195" s="29" t="s">
        <v>2091</v>
      </c>
      <c r="F195" s="30">
        <v>0.3</v>
      </c>
      <c r="G195" s="31"/>
      <c r="H195" s="31"/>
      <c r="I195" s="31"/>
      <c r="J195" s="31"/>
    </row>
    <row r="196" spans="1:10" ht="14.4" x14ac:dyDescent="0.3">
      <c r="A196" s="28" t="str">
        <f>B196&amp;C196&amp;D196&amp;E196</f>
        <v>ЗоотоварыГигиенаСредства гигиеныСалфетки и ватные палочки</v>
      </c>
      <c r="B196" s="29" t="s">
        <v>214</v>
      </c>
      <c r="C196" s="29" t="s">
        <v>911</v>
      </c>
      <c r="D196" s="29" t="s">
        <v>1136</v>
      </c>
      <c r="E196" s="29" t="s">
        <v>2093</v>
      </c>
      <c r="F196" s="30">
        <v>0.3</v>
      </c>
      <c r="G196" s="31"/>
      <c r="H196" s="31"/>
      <c r="I196" s="31"/>
      <c r="J196" s="31"/>
    </row>
    <row r="197" spans="1:10" ht="14.4" x14ac:dyDescent="0.3">
      <c r="A197" s="28" t="str">
        <f>B197&amp;C197&amp;D197&amp;E197</f>
        <v>ЭлектроникаАксессуары для электроникиСетевые фильтрыСетевые фильтры</v>
      </c>
      <c r="B197" s="29" t="s">
        <v>67</v>
      </c>
      <c r="C197" s="29" t="s">
        <v>885</v>
      </c>
      <c r="D197" s="29" t="s">
        <v>2114</v>
      </c>
      <c r="E197" s="29" t="s">
        <v>2114</v>
      </c>
      <c r="F197" s="30">
        <v>0.3</v>
      </c>
      <c r="G197" s="31"/>
      <c r="H197" s="31"/>
      <c r="I197" s="31"/>
      <c r="J197" s="31"/>
    </row>
    <row r="198" spans="1:10" ht="14.4" x14ac:dyDescent="0.3">
      <c r="A198" s="28" t="str">
        <f>B198&amp;C198&amp;D198&amp;E198</f>
        <v>ЗдоровьеМедицинские изделия и расходные материалыРасходные материалыКонтейнеры для анализов, губки, жгуты, мерные стаканы медицинские</v>
      </c>
      <c r="B198" s="29" t="s">
        <v>116</v>
      </c>
      <c r="C198" s="29" t="s">
        <v>436</v>
      </c>
      <c r="D198" s="29" t="s">
        <v>1110</v>
      </c>
      <c r="E198" s="29" t="s">
        <v>2131</v>
      </c>
      <c r="F198" s="30">
        <v>0.3</v>
      </c>
      <c r="G198" s="31"/>
      <c r="H198" s="31"/>
      <c r="I198" s="31"/>
      <c r="J198" s="31"/>
    </row>
    <row r="199" spans="1:10" ht="14.4" x14ac:dyDescent="0.3">
      <c r="A199" s="28" t="str">
        <f>B199&amp;C199&amp;D199&amp;E199</f>
        <v>ЭлектроникаКвадрокоптеры и аксессуарыАксессуары для квадрокоптеровАксессуары для квадрокоптеров</v>
      </c>
      <c r="B199" s="29" t="s">
        <v>67</v>
      </c>
      <c r="C199" s="29" t="s">
        <v>2137</v>
      </c>
      <c r="D199" s="29" t="s">
        <v>2138</v>
      </c>
      <c r="E199" s="29" t="s">
        <v>2138</v>
      </c>
      <c r="F199" s="30">
        <v>0.3</v>
      </c>
      <c r="G199" s="31"/>
      <c r="H199" s="31"/>
      <c r="I199" s="31"/>
      <c r="J199" s="31"/>
    </row>
    <row r="200" spans="1:10" ht="14.4" x14ac:dyDescent="0.3">
      <c r="A200" s="28" t="str">
        <f>B200&amp;C200&amp;D200&amp;E200</f>
        <v>АксессуарыМужские аксессуарыЮвелирные украшенияКольца и перстни</v>
      </c>
      <c r="B200" s="29" t="s">
        <v>88</v>
      </c>
      <c r="C200" s="29" t="s">
        <v>89</v>
      </c>
      <c r="D200" s="29" t="s">
        <v>306</v>
      </c>
      <c r="E200" s="29" t="s">
        <v>2170</v>
      </c>
      <c r="F200" s="30">
        <v>0.3</v>
      </c>
      <c r="G200" s="31"/>
      <c r="H200" s="31"/>
      <c r="I200" s="31"/>
      <c r="J200" s="31"/>
    </row>
    <row r="201" spans="1:10" ht="14.4" x14ac:dyDescent="0.3">
      <c r="A201" s="28" t="str">
        <f>B201&amp;C201&amp;D201&amp;E201</f>
        <v>АксессуарыЖенские аксессуарыОчкиСолнцезащитные очки</v>
      </c>
      <c r="B201" s="29" t="s">
        <v>88</v>
      </c>
      <c r="C201" s="29" t="s">
        <v>221</v>
      </c>
      <c r="D201" s="29" t="s">
        <v>613</v>
      </c>
      <c r="E201" s="29" t="s">
        <v>2197</v>
      </c>
      <c r="F201" s="30">
        <v>0.3</v>
      </c>
      <c r="G201" s="31"/>
      <c r="H201" s="31"/>
      <c r="I201" s="31"/>
      <c r="J201" s="31"/>
    </row>
    <row r="202" spans="1:10" ht="14.4" x14ac:dyDescent="0.3">
      <c r="A202" s="28" t="str">
        <f>B202&amp;C202&amp;D202&amp;E202</f>
        <v>Красота и уходМакияжАксессуары для макияжаКисти и cиликоновые кисти-шпатели</v>
      </c>
      <c r="B202" s="29" t="s">
        <v>56</v>
      </c>
      <c r="C202" s="29" t="s">
        <v>151</v>
      </c>
      <c r="D202" s="29" t="s">
        <v>188</v>
      </c>
      <c r="E202" s="29" t="s">
        <v>2208</v>
      </c>
      <c r="F202" s="30">
        <v>0.3</v>
      </c>
      <c r="G202" s="31"/>
      <c r="H202" s="31"/>
      <c r="I202" s="31"/>
      <c r="J202" s="31"/>
    </row>
    <row r="203" spans="1:10" ht="14.4" x14ac:dyDescent="0.3">
      <c r="A203" s="28" t="str">
        <f>B203&amp;C203&amp;D203&amp;E203</f>
        <v>АксессуарыМужские аксессуарыСумки и рюкзакиСпортивные сумки</v>
      </c>
      <c r="B203" s="29" t="s">
        <v>88</v>
      </c>
      <c r="C203" s="29" t="s">
        <v>89</v>
      </c>
      <c r="D203" s="29" t="s">
        <v>406</v>
      </c>
      <c r="E203" s="29" t="s">
        <v>762</v>
      </c>
      <c r="F203" s="30">
        <v>0.3</v>
      </c>
      <c r="G203" s="31"/>
      <c r="H203" s="31"/>
      <c r="I203" s="31"/>
      <c r="J203" s="31"/>
    </row>
    <row r="204" spans="1:10" ht="14.4" x14ac:dyDescent="0.3">
      <c r="A204" s="28" t="str">
        <f>B204&amp;C204&amp;D204&amp;E204</f>
        <v>АксессуарыМужские аксессуарыГалстуки, бабочки, карманные платкиБабочки</v>
      </c>
      <c r="B204" s="29" t="s">
        <v>88</v>
      </c>
      <c r="C204" s="29" t="s">
        <v>89</v>
      </c>
      <c r="D204" s="29" t="s">
        <v>1662</v>
      </c>
      <c r="E204" s="29" t="s">
        <v>2215</v>
      </c>
      <c r="F204" s="30">
        <v>0.3</v>
      </c>
      <c r="G204" s="31"/>
      <c r="H204" s="31"/>
      <c r="I204" s="31"/>
      <c r="J204" s="31"/>
    </row>
    <row r="205" spans="1:10" ht="14.4" x14ac:dyDescent="0.3">
      <c r="A205" s="28" t="str">
        <f>B205&amp;C205&amp;D205&amp;E205</f>
        <v>ЭлектроникаАксессуары для электроникиАккумуляторные батарейкиАккумуляторные батарейки</v>
      </c>
      <c r="B205" s="29" t="s">
        <v>67</v>
      </c>
      <c r="C205" s="29" t="s">
        <v>885</v>
      </c>
      <c r="D205" s="29" t="s">
        <v>2228</v>
      </c>
      <c r="E205" s="29" t="s">
        <v>2228</v>
      </c>
      <c r="F205" s="30">
        <v>0.3</v>
      </c>
      <c r="G205" s="31"/>
      <c r="H205" s="31"/>
      <c r="I205" s="31"/>
      <c r="J205" s="31"/>
    </row>
    <row r="206" spans="1:10" ht="14.4" x14ac:dyDescent="0.3">
      <c r="A206" s="28" t="str">
        <f>B206&amp;C206&amp;D206&amp;E206</f>
        <v>Красота и уходМакияжАксессуары для макияжаПинцеты</v>
      </c>
      <c r="B206" s="29" t="s">
        <v>56</v>
      </c>
      <c r="C206" s="29" t="s">
        <v>151</v>
      </c>
      <c r="D206" s="29" t="s">
        <v>188</v>
      </c>
      <c r="E206" s="29" t="s">
        <v>2230</v>
      </c>
      <c r="F206" s="30">
        <v>0.3</v>
      </c>
      <c r="G206" s="31"/>
      <c r="H206" s="31"/>
      <c r="I206" s="31"/>
      <c r="J206" s="31"/>
    </row>
    <row r="207" spans="1:10" ht="14.4" x14ac:dyDescent="0.3">
      <c r="A207" s="28" t="str">
        <f>B207&amp;C207&amp;D207&amp;E207</f>
        <v>ЗоотоварыДля собакОдежда и обувь для собакОдежда</v>
      </c>
      <c r="B207" s="29" t="s">
        <v>214</v>
      </c>
      <c r="C207" s="29" t="s">
        <v>509</v>
      </c>
      <c r="D207" s="29" t="s">
        <v>2248</v>
      </c>
      <c r="E207" s="29" t="s">
        <v>92</v>
      </c>
      <c r="F207" s="30">
        <v>0.3</v>
      </c>
      <c r="G207" s="31"/>
      <c r="H207" s="31"/>
      <c r="I207" s="31"/>
      <c r="J207" s="31"/>
    </row>
    <row r="208" spans="1:10" ht="14.4" x14ac:dyDescent="0.3">
      <c r="A208" s="28" t="str">
        <f>B208&amp;C208&amp;D208&amp;E208</f>
        <v>ЗоотоварыДля собакОдежда и обувь для собакОбувь</v>
      </c>
      <c r="B208" s="29" t="s">
        <v>214</v>
      </c>
      <c r="C208" s="29" t="s">
        <v>509</v>
      </c>
      <c r="D208" s="29" t="s">
        <v>2248</v>
      </c>
      <c r="E208" s="29" t="s">
        <v>180</v>
      </c>
      <c r="F208" s="30">
        <v>0.3</v>
      </c>
      <c r="G208" s="31"/>
      <c r="H208" s="31"/>
      <c r="I208" s="31"/>
      <c r="J208" s="31"/>
    </row>
    <row r="209" spans="1:10" ht="14.4" x14ac:dyDescent="0.3">
      <c r="A209" s="28" t="str">
        <f>B209&amp;C209&amp;D209&amp;E209</f>
        <v>АксессуарыЖенские аксессуарыСвадебные аксессуарыСвадебные украшения</v>
      </c>
      <c r="B209" s="29" t="s">
        <v>88</v>
      </c>
      <c r="C209" s="29" t="s">
        <v>221</v>
      </c>
      <c r="D209" s="29" t="s">
        <v>1494</v>
      </c>
      <c r="E209" s="29" t="s">
        <v>2262</v>
      </c>
      <c r="F209" s="30">
        <v>0.3</v>
      </c>
      <c r="G209" s="31"/>
      <c r="H209" s="31"/>
      <c r="I209" s="31"/>
      <c r="J209" s="31"/>
    </row>
    <row r="210" spans="1:10" ht="14.4" x14ac:dyDescent="0.3">
      <c r="A210" s="28" t="str">
        <f>B210&amp;C210&amp;D210&amp;E210</f>
        <v>АксессуарыЖенские аксессуарыБижутерные украшенияБраслеты на ногу</v>
      </c>
      <c r="B210" s="29" t="s">
        <v>88</v>
      </c>
      <c r="C210" s="29" t="s">
        <v>221</v>
      </c>
      <c r="D210" s="29" t="s">
        <v>314</v>
      </c>
      <c r="E210" s="29" t="s">
        <v>2271</v>
      </c>
      <c r="F210" s="30">
        <v>0.3</v>
      </c>
      <c r="G210" s="31"/>
      <c r="H210" s="31"/>
      <c r="I210" s="31"/>
      <c r="J210" s="31"/>
    </row>
    <row r="211" spans="1:10" ht="14.4" x14ac:dyDescent="0.3">
      <c r="A211" s="28" t="str">
        <f>B211&amp;C211&amp;D211&amp;E211</f>
        <v>АксессуарыЖенские аксессуарыГоловные уборыЧалма</v>
      </c>
      <c r="B211" s="29" t="s">
        <v>88</v>
      </c>
      <c r="C211" s="29" t="s">
        <v>221</v>
      </c>
      <c r="D211" s="29" t="s">
        <v>530</v>
      </c>
      <c r="E211" s="29" t="s">
        <v>2276</v>
      </c>
      <c r="F211" s="30">
        <v>0.3</v>
      </c>
      <c r="G211" s="31"/>
      <c r="H211" s="31"/>
      <c r="I211" s="31"/>
      <c r="J211" s="31"/>
    </row>
    <row r="212" spans="1:10" ht="14.4" x14ac:dyDescent="0.3">
      <c r="A212" s="28" t="str">
        <f>B212&amp;C212&amp;D212&amp;E212</f>
        <v>Строительство и ремонтВодоснабжение для дома и садаФильтрация водыФильтрация воды</v>
      </c>
      <c r="B212" s="29" t="s">
        <v>77</v>
      </c>
      <c r="C212" s="29" t="s">
        <v>676</v>
      </c>
      <c r="D212" s="29" t="s">
        <v>2283</v>
      </c>
      <c r="E212" s="29" t="s">
        <v>2283</v>
      </c>
      <c r="F212" s="30">
        <v>0.3</v>
      </c>
      <c r="G212" s="31"/>
      <c r="H212" s="31"/>
      <c r="I212" s="31"/>
      <c r="J212" s="31"/>
    </row>
    <row r="213" spans="1:10" ht="14.4" x14ac:dyDescent="0.3">
      <c r="A213" s="28" t="str">
        <f>B213&amp;C213&amp;D213&amp;E213</f>
        <v>АксессуарыМужские аксессуарыБижутерные украшенияКольца и перстни</v>
      </c>
      <c r="B213" s="29" t="s">
        <v>88</v>
      </c>
      <c r="C213" s="29" t="s">
        <v>89</v>
      </c>
      <c r="D213" s="29" t="s">
        <v>314</v>
      </c>
      <c r="E213" s="29" t="s">
        <v>2170</v>
      </c>
      <c r="F213" s="30">
        <v>0.3</v>
      </c>
      <c r="G213" s="31"/>
      <c r="H213" s="31"/>
      <c r="I213" s="31"/>
      <c r="J213" s="31"/>
    </row>
    <row r="214" spans="1:10" ht="14.4" x14ac:dyDescent="0.3">
      <c r="A214" s="28" t="str">
        <f>B214&amp;C214&amp;D214&amp;E214</f>
        <v>ЭлектроникаКомпьютерная техникаАксессуары для компьютеровКоврики для мыши</v>
      </c>
      <c r="B214" s="29" t="s">
        <v>67</v>
      </c>
      <c r="C214" s="29" t="s">
        <v>234</v>
      </c>
      <c r="D214" s="29" t="s">
        <v>235</v>
      </c>
      <c r="E214" s="29" t="s">
        <v>2308</v>
      </c>
      <c r="F214" s="30">
        <v>0.3</v>
      </c>
      <c r="G214" s="31"/>
      <c r="H214" s="31"/>
      <c r="I214" s="31"/>
      <c r="J214" s="31"/>
    </row>
    <row r="215" spans="1:10" ht="14.4" x14ac:dyDescent="0.3">
      <c r="A215" s="28" t="str">
        <f>B215&amp;C215&amp;D215&amp;E215</f>
        <v>АвтотоварыШины и дискиЧехлы для колесЧехлы для колес</v>
      </c>
      <c r="B215" s="29" t="s">
        <v>12</v>
      </c>
      <c r="C215" s="29" t="s">
        <v>407</v>
      </c>
      <c r="D215" s="29" t="s">
        <v>13</v>
      </c>
      <c r="E215" s="29" t="s">
        <v>13</v>
      </c>
      <c r="F215" s="30">
        <v>0.3</v>
      </c>
      <c r="G215" s="31"/>
      <c r="H215" s="31"/>
      <c r="I215" s="31"/>
      <c r="J215" s="31"/>
    </row>
    <row r="216" spans="1:10" ht="14.4" x14ac:dyDescent="0.3">
      <c r="A216" s="28" t="str">
        <f>B216&amp;C216&amp;D216&amp;E216</f>
        <v>АксессуарыМужские аксессуарыПортмоне и косметичкиКосметички</v>
      </c>
      <c r="B216" s="29" t="s">
        <v>88</v>
      </c>
      <c r="C216" s="29" t="s">
        <v>89</v>
      </c>
      <c r="D216" s="29" t="s">
        <v>430</v>
      </c>
      <c r="E216" s="29" t="s">
        <v>2310</v>
      </c>
      <c r="F216" s="30">
        <v>0.3</v>
      </c>
      <c r="G216" s="31"/>
      <c r="H216" s="31"/>
      <c r="I216" s="31"/>
      <c r="J216" s="31"/>
    </row>
    <row r="217" spans="1:10" ht="14.4" x14ac:dyDescent="0.3">
      <c r="A217" s="28" t="str">
        <f>B217&amp;C217&amp;D217&amp;E217</f>
        <v>ОбувьАксессуары для обувиЧехлы и ледоступыЧехлы и ледоступы</v>
      </c>
      <c r="B217" s="29" t="s">
        <v>180</v>
      </c>
      <c r="C217" s="29" t="s">
        <v>1075</v>
      </c>
      <c r="D217" s="29" t="s">
        <v>2311</v>
      </c>
      <c r="E217" s="29" t="s">
        <v>2311</v>
      </c>
      <c r="F217" s="30">
        <v>0.3</v>
      </c>
      <c r="G217" s="31"/>
      <c r="H217" s="31"/>
      <c r="I217" s="31"/>
      <c r="J217" s="31"/>
    </row>
    <row r="218" spans="1:10" ht="14.4" x14ac:dyDescent="0.3">
      <c r="A218" s="28" t="str">
        <f>B218&amp;C218&amp;D218&amp;E218</f>
        <v>ЭлектроникаАксессуары для электроникиЗащита кабеляЗащита кабеля</v>
      </c>
      <c r="B218" s="29" t="s">
        <v>67</v>
      </c>
      <c r="C218" s="29" t="s">
        <v>885</v>
      </c>
      <c r="D218" s="29" t="s">
        <v>2312</v>
      </c>
      <c r="E218" s="29" t="s">
        <v>2312</v>
      </c>
      <c r="F218" s="30">
        <v>0.3</v>
      </c>
      <c r="G218" s="31"/>
      <c r="H218" s="31"/>
      <c r="I218" s="31"/>
      <c r="J218" s="31"/>
    </row>
    <row r="219" spans="1:10" ht="14.4" x14ac:dyDescent="0.3">
      <c r="A219" s="28" t="str">
        <f>B219&amp;C219&amp;D219&amp;E219</f>
        <v>ЭлектроникаСмартфоны и телефоныАксессуары для смартфоновДжойстики и триггеры для смартфонов</v>
      </c>
      <c r="B219" s="29" t="s">
        <v>67</v>
      </c>
      <c r="C219" s="29" t="s">
        <v>96</v>
      </c>
      <c r="D219" s="29" t="s">
        <v>97</v>
      </c>
      <c r="E219" s="29" t="s">
        <v>2322</v>
      </c>
      <c r="F219" s="30">
        <v>0.3</v>
      </c>
      <c r="G219" s="31"/>
      <c r="H219" s="31"/>
      <c r="I219" s="31"/>
      <c r="J219" s="31"/>
    </row>
    <row r="220" spans="1:10" ht="14.4" x14ac:dyDescent="0.3">
      <c r="A220" s="28" t="str">
        <f>B220&amp;C220&amp;D220&amp;E220</f>
        <v>ЭлектроникаСмартфоны и телефоныЗапчасти и ремонтЗапасные части для смартфонов</v>
      </c>
      <c r="B220" s="29" t="s">
        <v>67</v>
      </c>
      <c r="C220" s="29" t="s">
        <v>96</v>
      </c>
      <c r="D220" s="29" t="s">
        <v>1185</v>
      </c>
      <c r="E220" s="29" t="s">
        <v>2336</v>
      </c>
      <c r="F220" s="30">
        <v>0.3</v>
      </c>
      <c r="G220" s="31"/>
      <c r="H220" s="31"/>
      <c r="I220" s="31"/>
      <c r="J220" s="31"/>
    </row>
    <row r="221" spans="1:10" ht="14.4" x14ac:dyDescent="0.3">
      <c r="A221" s="28" t="str">
        <f>B221&amp;C221&amp;D221&amp;E221</f>
        <v>Товары для домаТовары для праздниковОформление праздникаПраздничный декор</v>
      </c>
      <c r="B221" s="29" t="s">
        <v>59</v>
      </c>
      <c r="C221" s="29" t="s">
        <v>85</v>
      </c>
      <c r="D221" s="29" t="s">
        <v>86</v>
      </c>
      <c r="E221" s="29" t="s">
        <v>2342</v>
      </c>
      <c r="F221" s="30">
        <v>0.3</v>
      </c>
      <c r="G221" s="31"/>
      <c r="H221" s="31"/>
      <c r="I221" s="31"/>
      <c r="J221" s="31"/>
    </row>
    <row r="222" spans="1:10" ht="14.4" x14ac:dyDescent="0.3">
      <c r="A222" s="28" t="str">
        <f>B222&amp;C222&amp;D222&amp;E222</f>
        <v>АксессуарыЖенские аксессуарыЮвелирные украшенияКольца</v>
      </c>
      <c r="B222" s="29" t="s">
        <v>88</v>
      </c>
      <c r="C222" s="29" t="s">
        <v>221</v>
      </c>
      <c r="D222" s="29" t="s">
        <v>306</v>
      </c>
      <c r="E222" s="29" t="s">
        <v>2366</v>
      </c>
      <c r="F222" s="30">
        <v>0.3</v>
      </c>
      <c r="G222" s="31"/>
      <c r="H222" s="31"/>
      <c r="I222" s="31"/>
      <c r="J222" s="31"/>
    </row>
    <row r="223" spans="1:10" ht="14.4" x14ac:dyDescent="0.3">
      <c r="A223" s="28" t="str">
        <f>B223&amp;C223&amp;D223&amp;E223</f>
        <v>ЗоотоварыДля собакАмуницияАмуниция</v>
      </c>
      <c r="B223" s="29" t="s">
        <v>214</v>
      </c>
      <c r="C223" s="29" t="s">
        <v>509</v>
      </c>
      <c r="D223" s="29" t="s">
        <v>832</v>
      </c>
      <c r="E223" s="29" t="s">
        <v>832</v>
      </c>
      <c r="F223" s="30">
        <v>0.3</v>
      </c>
      <c r="G223" s="31"/>
      <c r="H223" s="31"/>
      <c r="I223" s="31"/>
      <c r="J223" s="31"/>
    </row>
    <row r="224" spans="1:10" ht="14.4" x14ac:dyDescent="0.3">
      <c r="A224" s="28" t="str">
        <f>B224&amp;C224&amp;D224&amp;E224</f>
        <v>ЗоотоварыГигиенаПеленки и подгузникиПеленки и подгузники</v>
      </c>
      <c r="B224" s="29" t="s">
        <v>214</v>
      </c>
      <c r="C224" s="29" t="s">
        <v>911</v>
      </c>
      <c r="D224" s="29" t="s">
        <v>2382</v>
      </c>
      <c r="E224" s="29" t="s">
        <v>2382</v>
      </c>
      <c r="F224" s="30">
        <v>0.3</v>
      </c>
      <c r="G224" s="31"/>
      <c r="H224" s="31"/>
      <c r="I224" s="31"/>
      <c r="J224" s="31"/>
    </row>
    <row r="225" spans="1:10" ht="14.4" x14ac:dyDescent="0.3">
      <c r="A225" s="28" t="str">
        <f>B225&amp;C225&amp;D225&amp;E225</f>
        <v>АксессуарыАксессуары для путешествийАксессуары для чемодановБрелоки для чемоданов</v>
      </c>
      <c r="B225" s="29" t="s">
        <v>88</v>
      </c>
      <c r="C225" s="29" t="s">
        <v>573</v>
      </c>
      <c r="D225" s="29" t="s">
        <v>1978</v>
      </c>
      <c r="E225" s="29" t="s">
        <v>2418</v>
      </c>
      <c r="F225" s="30">
        <v>0.3</v>
      </c>
      <c r="G225" s="31"/>
      <c r="H225" s="31"/>
      <c r="I225" s="31"/>
      <c r="J225" s="31"/>
    </row>
    <row r="226" spans="1:10" ht="14.4" x14ac:dyDescent="0.3">
      <c r="A226" s="28" t="str">
        <f>B226&amp;C226&amp;D226&amp;E226</f>
        <v>Красота и уходМакияжАксессуары для макияжаЗажимы и расчески для ресниц и бровей</v>
      </c>
      <c r="B226" s="29" t="s">
        <v>56</v>
      </c>
      <c r="C226" s="29" t="s">
        <v>151</v>
      </c>
      <c r="D226" s="29" t="s">
        <v>188</v>
      </c>
      <c r="E226" s="29" t="s">
        <v>2439</v>
      </c>
      <c r="F226" s="30">
        <v>0.3</v>
      </c>
      <c r="G226" s="31"/>
      <c r="H226" s="31"/>
      <c r="I226" s="31"/>
      <c r="J226" s="31"/>
    </row>
    <row r="227" spans="1:10" ht="14.4" x14ac:dyDescent="0.3">
      <c r="A227" s="28" t="str">
        <f>B227&amp;C227&amp;D227&amp;E227</f>
        <v>ЭлектроникаСмартфоны и телефоныАксессуары для смартфоновЗащитные стекла и пленки</v>
      </c>
      <c r="B227" s="29" t="s">
        <v>67</v>
      </c>
      <c r="C227" s="29" t="s">
        <v>96</v>
      </c>
      <c r="D227" s="29" t="s">
        <v>97</v>
      </c>
      <c r="E227" s="29" t="s">
        <v>2446</v>
      </c>
      <c r="F227" s="30">
        <v>0.3</v>
      </c>
      <c r="G227" s="31"/>
      <c r="H227" s="31"/>
      <c r="I227" s="31"/>
      <c r="J227" s="31"/>
    </row>
    <row r="228" spans="1:10" ht="14.4" x14ac:dyDescent="0.3">
      <c r="A228" s="28" t="str">
        <f>B228&amp;C228&amp;D228&amp;E228</f>
        <v>ЗдоровьеОртопедические изделияКомпрессионный трикотажКомпрессионные гольфы, гетры, носки</v>
      </c>
      <c r="B228" s="29" t="s">
        <v>116</v>
      </c>
      <c r="C228" s="29" t="s">
        <v>117</v>
      </c>
      <c r="D228" s="29" t="s">
        <v>118</v>
      </c>
      <c r="E228" s="29" t="s">
        <v>2448</v>
      </c>
      <c r="F228" s="30">
        <v>0.3</v>
      </c>
      <c r="G228" s="31"/>
      <c r="H228" s="31"/>
      <c r="I228" s="31"/>
      <c r="J228" s="31"/>
    </row>
    <row r="229" spans="1:10" ht="14.4" x14ac:dyDescent="0.3">
      <c r="A229" s="28" t="str">
        <f>B229&amp;C229&amp;D229&amp;E229</f>
        <v>АксессуарыМужские аксессуарыБижутерные украшенияУкрашения на шею</v>
      </c>
      <c r="B229" s="29" t="s">
        <v>88</v>
      </c>
      <c r="C229" s="29" t="s">
        <v>89</v>
      </c>
      <c r="D229" s="29" t="s">
        <v>314</v>
      </c>
      <c r="E229" s="29" t="s">
        <v>1003</v>
      </c>
      <c r="F229" s="30">
        <v>0.3</v>
      </c>
      <c r="G229" s="31"/>
      <c r="H229" s="31"/>
      <c r="I229" s="31"/>
      <c r="J229" s="31"/>
    </row>
    <row r="230" spans="1:10" ht="14.4" x14ac:dyDescent="0.3">
      <c r="A230" s="28" t="str">
        <f>B230&amp;C230&amp;D230&amp;E230</f>
        <v>АксессуарыЖенские аксессуарыКошельки, ключницы и визитницыКошельки</v>
      </c>
      <c r="B230" s="29" t="s">
        <v>88</v>
      </c>
      <c r="C230" s="29" t="s">
        <v>221</v>
      </c>
      <c r="D230" s="29" t="s">
        <v>90</v>
      </c>
      <c r="E230" s="29" t="s">
        <v>1936</v>
      </c>
      <c r="F230" s="30">
        <v>0.3</v>
      </c>
      <c r="G230" s="31"/>
      <c r="H230" s="31"/>
      <c r="I230" s="31"/>
      <c r="J230" s="31"/>
    </row>
    <row r="231" spans="1:10" ht="14.4" x14ac:dyDescent="0.3">
      <c r="A231" s="28" t="str">
        <f>B231&amp;C231&amp;D231&amp;E231</f>
        <v>ЭлектроникаУмные часы и фитнес браслетыЗащита для часов и фитнес браслетовСтекла</v>
      </c>
      <c r="B231" s="29" t="s">
        <v>67</v>
      </c>
      <c r="C231" s="29" t="s">
        <v>356</v>
      </c>
      <c r="D231" s="29" t="s">
        <v>2488</v>
      </c>
      <c r="E231" s="29" t="s">
        <v>2489</v>
      </c>
      <c r="F231" s="30">
        <v>0.3</v>
      </c>
      <c r="G231" s="31"/>
      <c r="H231" s="31"/>
      <c r="I231" s="31"/>
      <c r="J231" s="31"/>
    </row>
    <row r="232" spans="1:10" ht="14.4" x14ac:dyDescent="0.3">
      <c r="A232" s="28" t="str">
        <f>B232&amp;C232&amp;D232&amp;E232</f>
        <v>ЭлектроникаАксессуары для электроникиСолнечные панели и батареиСолнечные панели и батареи</v>
      </c>
      <c r="B232" s="29" t="s">
        <v>67</v>
      </c>
      <c r="C232" s="29" t="s">
        <v>885</v>
      </c>
      <c r="D232" s="29" t="s">
        <v>2495</v>
      </c>
      <c r="E232" s="29" t="s">
        <v>2495</v>
      </c>
      <c r="F232" s="30">
        <v>0.3</v>
      </c>
      <c r="G232" s="31"/>
      <c r="H232" s="31"/>
      <c r="I232" s="31"/>
      <c r="J232" s="31"/>
    </row>
    <row r="233" spans="1:10" ht="14.4" x14ac:dyDescent="0.3">
      <c r="A233" s="28" t="str">
        <f>B233&amp;C233&amp;D233&amp;E233</f>
        <v>АксессуарыЖенские аксессуарыПлатки и шарфыНосовые платки</v>
      </c>
      <c r="B233" s="29" t="s">
        <v>88</v>
      </c>
      <c r="C233" s="29" t="s">
        <v>221</v>
      </c>
      <c r="D233" s="29" t="s">
        <v>1682</v>
      </c>
      <c r="E233" s="29" t="s">
        <v>2501</v>
      </c>
      <c r="F233" s="30">
        <v>0.3</v>
      </c>
      <c r="G233" s="31"/>
      <c r="H233" s="31"/>
      <c r="I233" s="31"/>
      <c r="J233" s="31"/>
    </row>
    <row r="234" spans="1:10" ht="14.4" x14ac:dyDescent="0.3">
      <c r="A234" s="28" t="str">
        <f>B234&amp;C234&amp;D234&amp;E234</f>
        <v>Детские товарыДетское творчествоЛепкаТесто для лепки</v>
      </c>
      <c r="B234" s="29" t="s">
        <v>105</v>
      </c>
      <c r="C234" s="29" t="s">
        <v>440</v>
      </c>
      <c r="D234" s="29" t="s">
        <v>578</v>
      </c>
      <c r="E234" s="29" t="s">
        <v>2502</v>
      </c>
      <c r="F234" s="30">
        <v>0.3</v>
      </c>
      <c r="G234" s="31"/>
      <c r="H234" s="31"/>
      <c r="I234" s="31"/>
      <c r="J234" s="31"/>
    </row>
    <row r="235" spans="1:10" ht="14.4" x14ac:dyDescent="0.3">
      <c r="A235" s="28" t="str">
        <f>B235&amp;C235&amp;D235&amp;E235</f>
        <v>АксессуарыЖенские аксессуарыОчкиФутляры и чехлы для очков</v>
      </c>
      <c r="B235" s="29" t="s">
        <v>88</v>
      </c>
      <c r="C235" s="29" t="s">
        <v>221</v>
      </c>
      <c r="D235" s="29" t="s">
        <v>613</v>
      </c>
      <c r="E235" s="29" t="s">
        <v>1109</v>
      </c>
      <c r="F235" s="30">
        <v>0.3</v>
      </c>
      <c r="G235" s="31"/>
      <c r="H235" s="31"/>
      <c r="I235" s="31"/>
      <c r="J235" s="31"/>
    </row>
    <row r="236" spans="1:10" ht="14.4" x14ac:dyDescent="0.3">
      <c r="A236" s="28" t="str">
        <f>B236&amp;C236&amp;D236&amp;E236</f>
        <v>Бытовая техникаКрупная бытовая техникаАксессуары для крупной бытовой техникиДля газовых плит</v>
      </c>
      <c r="B236" s="29" t="s">
        <v>160</v>
      </c>
      <c r="C236" s="29" t="s">
        <v>338</v>
      </c>
      <c r="D236" s="29" t="s">
        <v>1127</v>
      </c>
      <c r="E236" s="29" t="s">
        <v>2510</v>
      </c>
      <c r="F236" s="30">
        <v>0.3</v>
      </c>
      <c r="G236" s="31"/>
      <c r="H236" s="31"/>
      <c r="I236" s="31"/>
      <c r="J236" s="31"/>
    </row>
    <row r="237" spans="1:10" ht="14.4" x14ac:dyDescent="0.3">
      <c r="A237" s="28" t="str">
        <f>B237&amp;C237&amp;D237&amp;E237</f>
        <v>АксессуарыЖенские аксессуарыЗонты и веерыЗонты</v>
      </c>
      <c r="B237" s="29" t="s">
        <v>88</v>
      </c>
      <c r="C237" s="29" t="s">
        <v>221</v>
      </c>
      <c r="D237" s="29" t="s">
        <v>2513</v>
      </c>
      <c r="E237" s="29" t="s">
        <v>1169</v>
      </c>
      <c r="F237" s="30">
        <v>0.3</v>
      </c>
      <c r="G237" s="31"/>
      <c r="H237" s="31"/>
      <c r="I237" s="31"/>
      <c r="J237" s="31"/>
    </row>
    <row r="238" spans="1:10" ht="14.4" x14ac:dyDescent="0.3">
      <c r="A238" s="28" t="str">
        <f>B238&amp;C238&amp;D238&amp;E238</f>
        <v>ЗоотоварыГигиенаСредства по уходу за животнымиСредства для ухода</v>
      </c>
      <c r="B238" s="29" t="s">
        <v>214</v>
      </c>
      <c r="C238" s="29" t="s">
        <v>911</v>
      </c>
      <c r="D238" s="29" t="s">
        <v>1054</v>
      </c>
      <c r="E238" s="29" t="s">
        <v>2514</v>
      </c>
      <c r="F238" s="30">
        <v>0.3</v>
      </c>
      <c r="G238" s="31"/>
      <c r="H238" s="31"/>
      <c r="I238" s="31"/>
      <c r="J238" s="31"/>
    </row>
    <row r="239" spans="1:10" ht="14.4" x14ac:dyDescent="0.3">
      <c r="A239" s="28" t="str">
        <f>B239&amp;C239&amp;D239&amp;E239</f>
        <v>ЭлектроникаАксессуары для электроникиРазветвители электрическиеРазветвители электрические</v>
      </c>
      <c r="B239" s="29" t="s">
        <v>67</v>
      </c>
      <c r="C239" s="29" t="s">
        <v>885</v>
      </c>
      <c r="D239" s="29" t="s">
        <v>2520</v>
      </c>
      <c r="E239" s="29" t="s">
        <v>2520</v>
      </c>
      <c r="F239" s="30">
        <v>0.3</v>
      </c>
      <c r="G239" s="31"/>
      <c r="H239" s="31"/>
      <c r="I239" s="31"/>
      <c r="J239" s="31"/>
    </row>
    <row r="240" spans="1:10" ht="14.4" x14ac:dyDescent="0.3">
      <c r="A240" s="28" t="str">
        <f>B240&amp;C240&amp;D240&amp;E240</f>
        <v>АксессуарыЖенские аксессуарыГоловные уборыПовязки</v>
      </c>
      <c r="B240" s="29" t="s">
        <v>88</v>
      </c>
      <c r="C240" s="29" t="s">
        <v>221</v>
      </c>
      <c r="D240" s="29" t="s">
        <v>530</v>
      </c>
      <c r="E240" s="29" t="s">
        <v>2529</v>
      </c>
      <c r="F240" s="30">
        <v>0.3</v>
      </c>
      <c r="G240" s="31"/>
      <c r="H240" s="31"/>
      <c r="I240" s="31"/>
      <c r="J240" s="31"/>
    </row>
    <row r="241" spans="1:10" ht="14.4" x14ac:dyDescent="0.3">
      <c r="A241" s="28" t="str">
        <f>B241&amp;C241&amp;D241&amp;E241</f>
        <v>АвтотоварыШины и дискиНиппели, вентили и секреткиНиппели, вентили и секретки</v>
      </c>
      <c r="B241" s="29" t="s">
        <v>12</v>
      </c>
      <c r="C241" s="29" t="s">
        <v>407</v>
      </c>
      <c r="D241" s="29" t="s">
        <v>2532</v>
      </c>
      <c r="E241" s="29" t="s">
        <v>2532</v>
      </c>
      <c r="F241" s="30">
        <v>0.3</v>
      </c>
      <c r="G241" s="31"/>
      <c r="H241" s="31"/>
      <c r="I241" s="31"/>
      <c r="J241" s="31"/>
    </row>
    <row r="242" spans="1:10" ht="14.4" x14ac:dyDescent="0.3">
      <c r="A242" s="28" t="str">
        <f>B242&amp;C242&amp;D242&amp;E242</f>
        <v>АксессуарыЖенские аксессуарыГоловные уборыБереты</v>
      </c>
      <c r="B242" s="29" t="s">
        <v>88</v>
      </c>
      <c r="C242" s="29" t="s">
        <v>221</v>
      </c>
      <c r="D242" s="29" t="s">
        <v>530</v>
      </c>
      <c r="E242" s="29" t="s">
        <v>2535</v>
      </c>
      <c r="F242" s="30">
        <v>0.3</v>
      </c>
      <c r="G242" s="31"/>
      <c r="H242" s="31"/>
      <c r="I242" s="31"/>
      <c r="J242" s="31"/>
    </row>
    <row r="243" spans="1:10" ht="14.4" x14ac:dyDescent="0.3">
      <c r="A243" s="28" t="str">
        <f>B243&amp;C243&amp;D243&amp;E243</f>
        <v>АксессуарыЖенские аксессуарыГоловные уборыНаушники</v>
      </c>
      <c r="B243" s="29" t="s">
        <v>88</v>
      </c>
      <c r="C243" s="29" t="s">
        <v>221</v>
      </c>
      <c r="D243" s="29" t="s">
        <v>530</v>
      </c>
      <c r="E243" s="29" t="s">
        <v>75</v>
      </c>
      <c r="F243" s="30">
        <v>0.3</v>
      </c>
      <c r="G243" s="31"/>
      <c r="H243" s="31"/>
      <c r="I243" s="31"/>
      <c r="J243" s="31"/>
    </row>
    <row r="244" spans="1:10" ht="14.4" x14ac:dyDescent="0.3">
      <c r="A244" s="28" t="str">
        <f>B244&amp;C244&amp;D244&amp;E244</f>
        <v>АксессуарыАксессуары для путешествийАксессуары для чемодановЧехлы для чемоданов</v>
      </c>
      <c r="B244" s="29" t="s">
        <v>88</v>
      </c>
      <c r="C244" s="29" t="s">
        <v>573</v>
      </c>
      <c r="D244" s="29" t="s">
        <v>1978</v>
      </c>
      <c r="E244" s="29" t="s">
        <v>2547</v>
      </c>
      <c r="F244" s="30">
        <v>0.3</v>
      </c>
      <c r="G244" s="31"/>
      <c r="H244" s="31"/>
      <c r="I244" s="31"/>
      <c r="J244" s="31"/>
    </row>
    <row r="245" spans="1:10" ht="14.4" x14ac:dyDescent="0.3">
      <c r="A245" s="28" t="str">
        <f>B245&amp;C245&amp;D245&amp;E245</f>
        <v>Товары для домаТовары для праздниковФейерверки и салютыРакеты</v>
      </c>
      <c r="B245" s="29" t="s">
        <v>59</v>
      </c>
      <c r="C245" s="29" t="s">
        <v>85</v>
      </c>
      <c r="D245" s="29" t="s">
        <v>1619</v>
      </c>
      <c r="E245" s="29" t="s">
        <v>2551</v>
      </c>
      <c r="F245" s="30">
        <v>0.3</v>
      </c>
      <c r="G245" s="31"/>
      <c r="H245" s="31"/>
      <c r="I245" s="31"/>
      <c r="J245" s="31"/>
    </row>
    <row r="246" spans="1:10" ht="14.4" x14ac:dyDescent="0.3">
      <c r="A246" s="28" t="str">
        <f>B246&amp;C246&amp;D246&amp;E246</f>
        <v>АксессуарыЖенские аксессуарыЧасы и ремешкиРемешки для часов</v>
      </c>
      <c r="B246" s="29" t="s">
        <v>88</v>
      </c>
      <c r="C246" s="29" t="s">
        <v>221</v>
      </c>
      <c r="D246" s="29" t="s">
        <v>1418</v>
      </c>
      <c r="E246" s="29" t="s">
        <v>2557</v>
      </c>
      <c r="F246" s="30">
        <v>0.3</v>
      </c>
      <c r="G246" s="31"/>
      <c r="H246" s="31"/>
      <c r="I246" s="31"/>
      <c r="J246" s="31"/>
    </row>
    <row r="247" spans="1:10" ht="14.4" x14ac:dyDescent="0.3">
      <c r="A247" s="28" t="str">
        <f>B247&amp;C247&amp;D247&amp;E247</f>
        <v>ЗдоровьеОртопедические изделияКорсеты и корректоры осанкиКорсеты и корректоры осанки</v>
      </c>
      <c r="B247" s="29" t="s">
        <v>116</v>
      </c>
      <c r="C247" s="29" t="s">
        <v>117</v>
      </c>
      <c r="D247" s="29" t="s">
        <v>2588</v>
      </c>
      <c r="E247" s="29" t="s">
        <v>2588</v>
      </c>
      <c r="F247" s="30">
        <v>0.3</v>
      </c>
      <c r="G247" s="31"/>
      <c r="H247" s="31"/>
      <c r="I247" s="31"/>
      <c r="J247" s="31"/>
    </row>
    <row r="248" spans="1:10" ht="14.4" x14ac:dyDescent="0.3">
      <c r="A248" s="28" t="str">
        <f>B248&amp;C248&amp;D248&amp;E248</f>
        <v>ЭлектроникаСмартфоны и телефоныАксессуары для смартфоновНаборы аксессуаров</v>
      </c>
      <c r="B248" s="29" t="s">
        <v>67</v>
      </c>
      <c r="C248" s="29" t="s">
        <v>96</v>
      </c>
      <c r="D248" s="29" t="s">
        <v>97</v>
      </c>
      <c r="E248" s="29" t="s">
        <v>2590</v>
      </c>
      <c r="F248" s="30">
        <v>0.3</v>
      </c>
      <c r="G248" s="31"/>
      <c r="H248" s="31"/>
      <c r="I248" s="31"/>
      <c r="J248" s="31"/>
    </row>
    <row r="249" spans="1:10" ht="14.4" x14ac:dyDescent="0.3">
      <c r="A249" s="28" t="str">
        <f>B249&amp;C249&amp;D249&amp;E249</f>
        <v>ЭлектроникаОфисная техникаКомплектующие для офисной техникиКартриджи</v>
      </c>
      <c r="B249" s="29" t="s">
        <v>67</v>
      </c>
      <c r="C249" s="29" t="s">
        <v>68</v>
      </c>
      <c r="D249" s="29" t="s">
        <v>69</v>
      </c>
      <c r="E249" s="29" t="s">
        <v>1395</v>
      </c>
      <c r="F249" s="30">
        <v>0.3</v>
      </c>
      <c r="G249" s="31"/>
      <c r="H249" s="31"/>
      <c r="I249" s="31"/>
      <c r="J249" s="31"/>
    </row>
    <row r="250" spans="1:10" ht="14.4" x14ac:dyDescent="0.3">
      <c r="A250" s="28" t="str">
        <f>B250&amp;C250&amp;D250&amp;E250</f>
        <v>ЭлектроникаАксессуары для электроникиДержатели для кабелейДержатели для кабелей</v>
      </c>
      <c r="B250" s="29" t="s">
        <v>67</v>
      </c>
      <c r="C250" s="29" t="s">
        <v>885</v>
      </c>
      <c r="D250" s="29" t="s">
        <v>2611</v>
      </c>
      <c r="E250" s="29" t="s">
        <v>2611</v>
      </c>
      <c r="F250" s="30">
        <v>0.3</v>
      </c>
      <c r="G250" s="31"/>
      <c r="H250" s="31"/>
      <c r="I250" s="31"/>
      <c r="J250" s="31"/>
    </row>
    <row r="251" spans="1:10" ht="14.4" x14ac:dyDescent="0.3">
      <c r="A251" s="28" t="str">
        <f>B251&amp;C251&amp;D251&amp;E251</f>
        <v>АксессуарыМужские аксессуарыСумки и рюкзакиПоясные сумки</v>
      </c>
      <c r="B251" s="29" t="s">
        <v>88</v>
      </c>
      <c r="C251" s="29" t="s">
        <v>89</v>
      </c>
      <c r="D251" s="29" t="s">
        <v>406</v>
      </c>
      <c r="E251" s="29" t="s">
        <v>1201</v>
      </c>
      <c r="F251" s="30">
        <v>0.3</v>
      </c>
      <c r="G251" s="31"/>
      <c r="H251" s="31"/>
      <c r="I251" s="31"/>
      <c r="J251" s="31"/>
    </row>
    <row r="252" spans="1:10" ht="14.4" x14ac:dyDescent="0.3">
      <c r="A252" s="28" t="str">
        <f>B252&amp;C252&amp;D252&amp;E252</f>
        <v>ЭлектроникаСмартфоны и телефоныАксессуары для смартфоновBluetooth-метки, брелки и умные визитки</v>
      </c>
      <c r="B252" s="29" t="s">
        <v>67</v>
      </c>
      <c r="C252" s="29" t="s">
        <v>96</v>
      </c>
      <c r="D252" s="29" t="s">
        <v>97</v>
      </c>
      <c r="E252" s="29" t="s">
        <v>2617</v>
      </c>
      <c r="F252" s="30">
        <v>0.3</v>
      </c>
      <c r="G252" s="31"/>
      <c r="H252" s="31"/>
      <c r="I252" s="31"/>
      <c r="J252" s="31"/>
    </row>
    <row r="253" spans="1:10" ht="14.4" x14ac:dyDescent="0.3">
      <c r="A253" s="28" t="str">
        <f>B253&amp;C253&amp;D253&amp;E253</f>
        <v>АксессуарыМужские аксессуарыКошельки, ключницы и визитницыОбложки для документов</v>
      </c>
      <c r="B253" s="29" t="s">
        <v>88</v>
      </c>
      <c r="C253" s="29" t="s">
        <v>89</v>
      </c>
      <c r="D253" s="29" t="s">
        <v>90</v>
      </c>
      <c r="E253" s="29" t="s">
        <v>2091</v>
      </c>
      <c r="F253" s="30">
        <v>0.3</v>
      </c>
      <c r="G253" s="31"/>
      <c r="H253" s="31"/>
      <c r="I253" s="31"/>
      <c r="J253" s="31"/>
    </row>
    <row r="254" spans="1:10" ht="14.4" x14ac:dyDescent="0.3">
      <c r="A254" s="28" t="str">
        <f>B254&amp;C254&amp;D254&amp;E254</f>
        <v>Бытовая техникаКлиматическая техникаПогодные станцииПогодные станции</v>
      </c>
      <c r="B254" s="29" t="s">
        <v>160</v>
      </c>
      <c r="C254" s="29" t="s">
        <v>621</v>
      </c>
      <c r="D254" s="29" t="s">
        <v>2628</v>
      </c>
      <c r="E254" s="29" t="s">
        <v>2628</v>
      </c>
      <c r="F254" s="30">
        <v>0.3</v>
      </c>
      <c r="G254" s="31"/>
      <c r="H254" s="31"/>
      <c r="I254" s="31"/>
      <c r="J254" s="31"/>
    </row>
    <row r="255" spans="1:10" ht="14.4" x14ac:dyDescent="0.3">
      <c r="A255" s="28" t="str">
        <f>B255&amp;C255&amp;D255&amp;E255</f>
        <v>Товары для домаТовары для кухниОдноразовая посуда и упаковкаСтаканы и чашки одноразовые</v>
      </c>
      <c r="B255" s="29" t="s">
        <v>59</v>
      </c>
      <c r="C255" s="29" t="s">
        <v>60</v>
      </c>
      <c r="D255" s="29" t="s">
        <v>1459</v>
      </c>
      <c r="E255" s="29" t="s">
        <v>2635</v>
      </c>
      <c r="F255" s="30">
        <v>0.3</v>
      </c>
      <c r="G255" s="31"/>
      <c r="H255" s="31"/>
      <c r="I255" s="31"/>
      <c r="J255" s="31"/>
    </row>
    <row r="256" spans="1:10" ht="14.4" x14ac:dyDescent="0.3">
      <c r="A256" s="28" t="str">
        <f>B256&amp;C256&amp;D256&amp;E256</f>
        <v>ЭлектроникаНаушники и аудиотехникаНаушникиBluetooth-гарнитуры</v>
      </c>
      <c r="B256" s="29" t="s">
        <v>67</v>
      </c>
      <c r="C256" s="29" t="s">
        <v>74</v>
      </c>
      <c r="D256" s="29" t="s">
        <v>75</v>
      </c>
      <c r="E256" s="29" t="s">
        <v>2640</v>
      </c>
      <c r="F256" s="30">
        <v>0.3</v>
      </c>
      <c r="G256" s="31"/>
      <c r="H256" s="31"/>
      <c r="I256" s="31"/>
      <c r="J256" s="31"/>
    </row>
    <row r="257" spans="1:10" ht="14.4" x14ac:dyDescent="0.3">
      <c r="A257" s="28" t="str">
        <f>B257&amp;C257&amp;D257&amp;E257</f>
        <v>АвтотоварыШины и дискиФлипперы и эмблемыФлипперы и эмблемы</v>
      </c>
      <c r="B257" s="29" t="s">
        <v>12</v>
      </c>
      <c r="C257" s="29" t="s">
        <v>407</v>
      </c>
      <c r="D257" s="29" t="s">
        <v>2653</v>
      </c>
      <c r="E257" s="29" t="s">
        <v>2653</v>
      </c>
      <c r="F257" s="30">
        <v>0.3</v>
      </c>
      <c r="G257" s="31"/>
      <c r="H257" s="31"/>
      <c r="I257" s="31"/>
      <c r="J257" s="31"/>
    </row>
    <row r="258" spans="1:10" ht="14.4" x14ac:dyDescent="0.3">
      <c r="A258" s="28" t="str">
        <f>B258&amp;C258&amp;D258&amp;E258</f>
        <v>ЭлектроникаОфисная техникаАксессуары и уход за офисной техникойЧистящие средства</v>
      </c>
      <c r="B258" s="29" t="s">
        <v>67</v>
      </c>
      <c r="C258" s="29" t="s">
        <v>68</v>
      </c>
      <c r="D258" s="29" t="s">
        <v>348</v>
      </c>
      <c r="E258" s="29" t="s">
        <v>2666</v>
      </c>
      <c r="F258" s="30">
        <v>0.3</v>
      </c>
      <c r="G258" s="31"/>
      <c r="H258" s="31"/>
      <c r="I258" s="31"/>
      <c r="J258" s="31"/>
    </row>
    <row r="259" spans="1:10" ht="14.4" x14ac:dyDescent="0.3">
      <c r="A259" s="28" t="str">
        <f>B259&amp;C259&amp;D259&amp;E259</f>
        <v>АксессуарыЖенские аксессуарыЮвелирные украшенияБраслеты</v>
      </c>
      <c r="B259" s="29" t="s">
        <v>88</v>
      </c>
      <c r="C259" s="29" t="s">
        <v>221</v>
      </c>
      <c r="D259" s="29" t="s">
        <v>306</v>
      </c>
      <c r="E259" s="29" t="s">
        <v>307</v>
      </c>
      <c r="F259" s="30">
        <v>0.3</v>
      </c>
      <c r="G259" s="31"/>
      <c r="H259" s="31"/>
      <c r="I259" s="31"/>
      <c r="J259" s="31"/>
    </row>
    <row r="260" spans="1:10" ht="14.4" x14ac:dyDescent="0.3">
      <c r="A260" s="28" t="str">
        <f>B260&amp;C260&amp;D260&amp;E260</f>
        <v>ЗдоровьеМедицинские изделия и расходные материалыГрелкиГрелки</v>
      </c>
      <c r="B260" s="29" t="s">
        <v>116</v>
      </c>
      <c r="C260" s="29" t="s">
        <v>436</v>
      </c>
      <c r="D260" s="29" t="s">
        <v>2685</v>
      </c>
      <c r="E260" s="29" t="s">
        <v>2685</v>
      </c>
      <c r="F260" s="30">
        <v>0.3</v>
      </c>
      <c r="G260" s="31"/>
      <c r="H260" s="31"/>
      <c r="I260" s="31"/>
      <c r="J260" s="31"/>
    </row>
    <row r="261" spans="1:10" ht="14.4" x14ac:dyDescent="0.3">
      <c r="A261" s="28" t="str">
        <f>B261&amp;C261&amp;D261&amp;E261</f>
        <v>Товары для домаТовары для комнатных растенийЛейки и опрыскивателиЛейки и опрыскиватели</v>
      </c>
      <c r="B261" s="29" t="s">
        <v>59</v>
      </c>
      <c r="C261" s="29" t="s">
        <v>2044</v>
      </c>
      <c r="D261" s="29" t="s">
        <v>2687</v>
      </c>
      <c r="E261" s="29" t="s">
        <v>2687</v>
      </c>
      <c r="F261" s="30">
        <v>0.3</v>
      </c>
      <c r="G261" s="31"/>
      <c r="H261" s="31"/>
      <c r="I261" s="31"/>
      <c r="J261" s="31"/>
    </row>
    <row r="262" spans="1:10" ht="14.4" x14ac:dyDescent="0.3">
      <c r="A262" s="28" t="str">
        <f>B262&amp;C262&amp;D262&amp;E262</f>
        <v>АксессуарыЖенские аксессуарыСумки и рюкзакиРюкзаки</v>
      </c>
      <c r="B262" s="29" t="s">
        <v>88</v>
      </c>
      <c r="C262" s="29" t="s">
        <v>221</v>
      </c>
      <c r="D262" s="29" t="s">
        <v>406</v>
      </c>
      <c r="E262" s="29" t="s">
        <v>1346</v>
      </c>
      <c r="F262" s="30">
        <v>0.3</v>
      </c>
      <c r="G262" s="31"/>
      <c r="H262" s="31"/>
      <c r="I262" s="31"/>
      <c r="J262" s="31"/>
    </row>
    <row r="263" spans="1:10" ht="14.4" x14ac:dyDescent="0.3">
      <c r="A263" s="28" t="str">
        <f>B263&amp;C263&amp;D263&amp;E263</f>
        <v>ЭлектроникаТелевизоры и видеотехникаКабели и переходникиКабели для видео</v>
      </c>
      <c r="B263" s="29" t="s">
        <v>67</v>
      </c>
      <c r="C263" s="29" t="s">
        <v>136</v>
      </c>
      <c r="D263" s="29" t="s">
        <v>1905</v>
      </c>
      <c r="E263" s="29" t="s">
        <v>2700</v>
      </c>
      <c r="F263" s="30">
        <v>0.3</v>
      </c>
      <c r="G263" s="31"/>
      <c r="H263" s="31"/>
      <c r="I263" s="31"/>
      <c r="J263" s="31"/>
    </row>
    <row r="264" spans="1:10" ht="14.4" x14ac:dyDescent="0.3">
      <c r="A264" s="28" t="str">
        <f>B264&amp;C264&amp;D264&amp;E264</f>
        <v>АксессуарыЖенские аксессуарыПерчатки и варежкиРукава</v>
      </c>
      <c r="B264" s="29" t="s">
        <v>88</v>
      </c>
      <c r="C264" s="29" t="s">
        <v>221</v>
      </c>
      <c r="D264" s="29" t="s">
        <v>1004</v>
      </c>
      <c r="E264" s="29" t="s">
        <v>2722</v>
      </c>
      <c r="F264" s="30">
        <v>0.3</v>
      </c>
      <c r="G264" s="31"/>
      <c r="H264" s="31"/>
      <c r="I264" s="31"/>
      <c r="J264" s="31"/>
    </row>
    <row r="265" spans="1:10" ht="14.4" x14ac:dyDescent="0.3">
      <c r="A265" s="28" t="str">
        <f>B265&amp;C265&amp;D265&amp;E265</f>
        <v>Товары для домаТовары для праздниковКарнавальные товарыМаски</v>
      </c>
      <c r="B265" s="29" t="s">
        <v>59</v>
      </c>
      <c r="C265" s="29" t="s">
        <v>85</v>
      </c>
      <c r="D265" s="29" t="s">
        <v>534</v>
      </c>
      <c r="E265" s="29" t="s">
        <v>239</v>
      </c>
      <c r="F265" s="30">
        <v>0.3</v>
      </c>
      <c r="G265" s="31"/>
      <c r="H265" s="31"/>
      <c r="I265" s="31"/>
      <c r="J265" s="31"/>
    </row>
    <row r="266" spans="1:10" ht="14.4" x14ac:dyDescent="0.3">
      <c r="A266" s="28" t="str">
        <f>B266&amp;C266&amp;D266&amp;E266</f>
        <v>АксессуарыЖенские аксессуарыКлатчи и косметичкиКосметички</v>
      </c>
      <c r="B266" s="29" t="s">
        <v>88</v>
      </c>
      <c r="C266" s="29" t="s">
        <v>221</v>
      </c>
      <c r="D266" s="29" t="s">
        <v>2743</v>
      </c>
      <c r="E266" s="29" t="s">
        <v>2310</v>
      </c>
      <c r="F266" s="30">
        <v>0.3</v>
      </c>
      <c r="G266" s="31"/>
      <c r="H266" s="31"/>
      <c r="I266" s="31"/>
      <c r="J266" s="31"/>
    </row>
    <row r="267" spans="1:10" ht="14.4" x14ac:dyDescent="0.3">
      <c r="A267" s="28" t="str">
        <f>B267&amp;C267&amp;D267&amp;E267</f>
        <v>Спорт и отдыхБассейны и аксессуарыИнструменты для очисткиПоплавки для бассейнов</v>
      </c>
      <c r="B267" s="29" t="s">
        <v>101</v>
      </c>
      <c r="C267" s="29" t="s">
        <v>102</v>
      </c>
      <c r="D267" s="29" t="s">
        <v>2654</v>
      </c>
      <c r="E267" s="29" t="s">
        <v>2753</v>
      </c>
      <c r="F267" s="30">
        <v>0.3</v>
      </c>
      <c r="G267" s="31"/>
      <c r="H267" s="31"/>
      <c r="I267" s="31"/>
      <c r="J267" s="31"/>
    </row>
    <row r="268" spans="1:10" ht="14.4" x14ac:dyDescent="0.3">
      <c r="A268" s="28" t="str">
        <f>B268&amp;C268&amp;D268&amp;E268</f>
        <v>АксессуарыМужские аксессуарыГоловные уборыШапки</v>
      </c>
      <c r="B268" s="29" t="s">
        <v>88</v>
      </c>
      <c r="C268" s="29" t="s">
        <v>89</v>
      </c>
      <c r="D268" s="29" t="s">
        <v>530</v>
      </c>
      <c r="E268" s="29" t="s">
        <v>1491</v>
      </c>
      <c r="F268" s="30">
        <v>0.3</v>
      </c>
      <c r="G268" s="31"/>
      <c r="H268" s="31"/>
      <c r="I268" s="31"/>
      <c r="J268" s="31"/>
    </row>
    <row r="269" spans="1:10" ht="14.4" x14ac:dyDescent="0.3">
      <c r="A269" s="28" t="str">
        <f>B269&amp;C269&amp;D269&amp;E269</f>
        <v>АксессуарыМужские аксессуарыОчкиСолнцезащитные очки</v>
      </c>
      <c r="B269" s="29" t="s">
        <v>88</v>
      </c>
      <c r="C269" s="29" t="s">
        <v>89</v>
      </c>
      <c r="D269" s="29" t="s">
        <v>613</v>
      </c>
      <c r="E269" s="29" t="s">
        <v>2197</v>
      </c>
      <c r="F269" s="30">
        <v>0.3</v>
      </c>
      <c r="G269" s="31"/>
      <c r="H269" s="31"/>
      <c r="I269" s="31"/>
      <c r="J269" s="31"/>
    </row>
    <row r="270" spans="1:10" ht="14.4" x14ac:dyDescent="0.3">
      <c r="A270" s="28" t="str">
        <f>B270&amp;C270&amp;D270&amp;E270</f>
        <v>Товары для домаТовары для праздниковОформление праздникаСвечи для торта</v>
      </c>
      <c r="B270" s="29" t="s">
        <v>59</v>
      </c>
      <c r="C270" s="29" t="s">
        <v>85</v>
      </c>
      <c r="D270" s="29" t="s">
        <v>86</v>
      </c>
      <c r="E270" s="29" t="s">
        <v>2762</v>
      </c>
      <c r="F270" s="30">
        <v>0.3</v>
      </c>
      <c r="G270" s="31"/>
      <c r="H270" s="31"/>
      <c r="I270" s="31"/>
      <c r="J270" s="31"/>
    </row>
    <row r="271" spans="1:10" ht="14.4" x14ac:dyDescent="0.3">
      <c r="A271" s="28" t="str">
        <f>B271&amp;C271&amp;D271&amp;E271</f>
        <v>ЗдоровьеМедицинские изделия и расходные материалыГели, мазиГели, мази</v>
      </c>
      <c r="B271" s="29" t="s">
        <v>116</v>
      </c>
      <c r="C271" s="29" t="s">
        <v>436</v>
      </c>
      <c r="D271" s="29" t="s">
        <v>2766</v>
      </c>
      <c r="E271" s="29" t="s">
        <v>2766</v>
      </c>
      <c r="F271" s="30">
        <v>0.3</v>
      </c>
      <c r="G271" s="31"/>
      <c r="H271" s="31"/>
      <c r="I271" s="31"/>
      <c r="J271" s="31"/>
    </row>
    <row r="272" spans="1:10" ht="14.4" x14ac:dyDescent="0.3">
      <c r="A272" s="28" t="str">
        <f>B272&amp;C272&amp;D272&amp;E272</f>
        <v>АксессуарыЖенские аксессуарыЮвелирные украшенияБроши</v>
      </c>
      <c r="B272" s="29" t="s">
        <v>88</v>
      </c>
      <c r="C272" s="29" t="s">
        <v>221</v>
      </c>
      <c r="D272" s="29" t="s">
        <v>306</v>
      </c>
      <c r="E272" s="29" t="s">
        <v>315</v>
      </c>
      <c r="F272" s="30">
        <v>0.3</v>
      </c>
      <c r="G272" s="31"/>
      <c r="H272" s="31"/>
      <c r="I272" s="31"/>
      <c r="J272" s="31"/>
    </row>
    <row r="273" spans="1:10" ht="14.4" x14ac:dyDescent="0.3">
      <c r="A273" s="28" t="str">
        <f>B273&amp;C273&amp;D273&amp;E273</f>
        <v>АксессуарыМужские аксессуарыГоловные уборыБалаклавы</v>
      </c>
      <c r="B273" s="29" t="s">
        <v>88</v>
      </c>
      <c r="C273" s="29" t="s">
        <v>89</v>
      </c>
      <c r="D273" s="29" t="s">
        <v>530</v>
      </c>
      <c r="E273" s="29" t="s">
        <v>1504</v>
      </c>
      <c r="F273" s="30">
        <v>0.3</v>
      </c>
      <c r="G273" s="31"/>
      <c r="H273" s="32"/>
      <c r="I273" s="31"/>
      <c r="J273" s="31"/>
    </row>
    <row r="274" spans="1:10" ht="14.4" x14ac:dyDescent="0.3">
      <c r="A274" s="28" t="str">
        <f>B274&amp;C274&amp;D274&amp;E274</f>
        <v>ЭлектроникаСмартфоны и телефоныАксессуары для смартфоновКарты памяти для телефонов</v>
      </c>
      <c r="B274" s="29" t="s">
        <v>67</v>
      </c>
      <c r="C274" s="29" t="s">
        <v>96</v>
      </c>
      <c r="D274" s="29" t="s">
        <v>97</v>
      </c>
      <c r="E274" s="29" t="s">
        <v>2779</v>
      </c>
      <c r="F274" s="30">
        <v>0.3</v>
      </c>
      <c r="G274" s="31"/>
      <c r="H274" s="31"/>
      <c r="I274" s="31"/>
      <c r="J274" s="31"/>
    </row>
    <row r="275" spans="1:10" ht="14.4" x14ac:dyDescent="0.3">
      <c r="A275" s="28" t="str">
        <f>B275&amp;C275&amp;D275&amp;E275</f>
        <v>ЭлектроникаНоутбуки, планшеты и электронные книгиАксессуары для ноутбуковЗарядные устройства и блоки питания</v>
      </c>
      <c r="B275" s="29" t="s">
        <v>67</v>
      </c>
      <c r="C275" s="29" t="s">
        <v>276</v>
      </c>
      <c r="D275" s="29" t="s">
        <v>277</v>
      </c>
      <c r="E275" s="29" t="s">
        <v>2780</v>
      </c>
      <c r="F275" s="30">
        <v>0.3</v>
      </c>
      <c r="G275" s="31"/>
      <c r="H275" s="31"/>
      <c r="I275" s="31"/>
      <c r="J275" s="31"/>
    </row>
    <row r="276" spans="1:10" ht="14.4" x14ac:dyDescent="0.3">
      <c r="A276" s="28" t="str">
        <f>B276&amp;C276&amp;D276&amp;E276</f>
        <v>Бытовая техникаТехника для домаШвейные машины и аксессуарыРаспошивальные машины</v>
      </c>
      <c r="B276" s="29" t="s">
        <v>160</v>
      </c>
      <c r="C276" s="29" t="s">
        <v>229</v>
      </c>
      <c r="D276" s="29" t="s">
        <v>377</v>
      </c>
      <c r="E276" s="29" t="s">
        <v>2804</v>
      </c>
      <c r="F276" s="30">
        <v>0.3</v>
      </c>
      <c r="G276" s="31"/>
      <c r="H276" s="31"/>
      <c r="I276" s="31"/>
      <c r="J276" s="31"/>
    </row>
    <row r="277" spans="1:10" ht="14.4" x14ac:dyDescent="0.3">
      <c r="A277" s="28" t="str">
        <f>B277&amp;C277&amp;D277&amp;E277</f>
        <v>ЭлектроникаНаушники и аудиотехникаНаушникиАксессуары для наушников</v>
      </c>
      <c r="B277" s="29" t="s">
        <v>67</v>
      </c>
      <c r="C277" s="29" t="s">
        <v>74</v>
      </c>
      <c r="D277" s="29" t="s">
        <v>75</v>
      </c>
      <c r="E277" s="29" t="s">
        <v>2809</v>
      </c>
      <c r="F277" s="30">
        <v>0.3</v>
      </c>
      <c r="G277" s="31"/>
      <c r="H277" s="31"/>
      <c r="I277" s="31"/>
      <c r="J277" s="31"/>
    </row>
    <row r="278" spans="1:10" ht="14.4" x14ac:dyDescent="0.3">
      <c r="A278" s="28" t="str">
        <f>B278&amp;C278&amp;D278&amp;E278</f>
        <v>ЭлектроникаУмные часы и фитнес браслетыЗащита для часов и фитнес браслетовЧехлы</v>
      </c>
      <c r="B278" s="29" t="s">
        <v>67</v>
      </c>
      <c r="C278" s="29" t="s">
        <v>356</v>
      </c>
      <c r="D278" s="29" t="s">
        <v>2488</v>
      </c>
      <c r="E278" s="29" t="s">
        <v>1128</v>
      </c>
      <c r="F278" s="30">
        <v>0.3</v>
      </c>
      <c r="G278" s="31"/>
      <c r="H278" s="31"/>
      <c r="I278" s="31"/>
      <c r="J278" s="31"/>
    </row>
    <row r="279" spans="1:10" ht="14.4" x14ac:dyDescent="0.3">
      <c r="A279" s="28" t="str">
        <f>B279&amp;C279&amp;D279&amp;E279</f>
        <v>Бытовая техникаКлиматическая техникаДатчикиДатчики</v>
      </c>
      <c r="B279" s="29" t="s">
        <v>160</v>
      </c>
      <c r="C279" s="29" t="s">
        <v>621</v>
      </c>
      <c r="D279" s="29" t="s">
        <v>2827</v>
      </c>
      <c r="E279" s="29" t="s">
        <v>2827</v>
      </c>
      <c r="F279" s="30">
        <v>0.3</v>
      </c>
      <c r="G279" s="31"/>
      <c r="H279" s="31"/>
      <c r="I279" s="31"/>
      <c r="J279" s="31"/>
    </row>
    <row r="280" spans="1:10" ht="14.4" x14ac:dyDescent="0.3">
      <c r="A280" s="28" t="str">
        <f>B280&amp;C280&amp;D280&amp;E280</f>
        <v>Товары для домаТовары для кухниОдноразовая посуда и упаковкаПакеты фасовочные</v>
      </c>
      <c r="B280" s="29" t="s">
        <v>59</v>
      </c>
      <c r="C280" s="29" t="s">
        <v>60</v>
      </c>
      <c r="D280" s="29" t="s">
        <v>1459</v>
      </c>
      <c r="E280" s="29" t="s">
        <v>2882</v>
      </c>
      <c r="F280" s="30">
        <v>0.3</v>
      </c>
      <c r="G280" s="31"/>
      <c r="H280" s="31"/>
      <c r="I280" s="31"/>
      <c r="J280" s="31"/>
    </row>
    <row r="281" spans="1:10" ht="14.4" x14ac:dyDescent="0.3">
      <c r="A281" s="28" t="str">
        <f>B281&amp;C281&amp;D281&amp;E281</f>
        <v>Товары для домаТовары для праздниковНаграды, кубки, лентыНаграды, кубки, ленты</v>
      </c>
      <c r="B281" s="29" t="s">
        <v>59</v>
      </c>
      <c r="C281" s="29" t="s">
        <v>85</v>
      </c>
      <c r="D281" s="29" t="s">
        <v>2884</v>
      </c>
      <c r="E281" s="29" t="s">
        <v>2884</v>
      </c>
      <c r="F281" s="30">
        <v>0.3</v>
      </c>
      <c r="G281" s="31"/>
      <c r="H281" s="31"/>
      <c r="I281" s="31"/>
      <c r="J281" s="31"/>
    </row>
    <row r="282" spans="1:10" ht="14.4" x14ac:dyDescent="0.3">
      <c r="A282" s="28" t="str">
        <f>B282&amp;C282&amp;D282&amp;E282</f>
        <v>АксессуарыМужские аксессуарыРемни и подтяжкиРемни</v>
      </c>
      <c r="B282" s="29" t="s">
        <v>88</v>
      </c>
      <c r="C282" s="29" t="s">
        <v>89</v>
      </c>
      <c r="D282" s="29" t="s">
        <v>768</v>
      </c>
      <c r="E282" s="29" t="s">
        <v>1368</v>
      </c>
      <c r="F282" s="30">
        <v>0.3</v>
      </c>
      <c r="G282" s="31"/>
      <c r="H282" s="31"/>
      <c r="I282" s="31"/>
      <c r="J282" s="31"/>
    </row>
    <row r="283" spans="1:10" ht="14.4" x14ac:dyDescent="0.3">
      <c r="A283" s="28" t="str">
        <f>B283&amp;C283&amp;D283&amp;E283</f>
        <v>АксессуарыМужские аксессуарыПлатки и шарфыПлатки</v>
      </c>
      <c r="B283" s="29" t="s">
        <v>88</v>
      </c>
      <c r="C283" s="29" t="s">
        <v>89</v>
      </c>
      <c r="D283" s="29" t="s">
        <v>1682</v>
      </c>
      <c r="E283" s="29" t="s">
        <v>2903</v>
      </c>
      <c r="F283" s="30">
        <v>0.3</v>
      </c>
      <c r="G283" s="31"/>
      <c r="H283" s="31"/>
      <c r="I283" s="31"/>
      <c r="J283" s="31"/>
    </row>
    <row r="284" spans="1:10" ht="14.4" x14ac:dyDescent="0.3">
      <c r="A284" s="28" t="str">
        <f>B284&amp;C284&amp;D284&amp;E284</f>
        <v>Бытовая техникаКрупная бытовая техникаКулеры для воды и аксессуарыЧехлы и ручки для бутылей</v>
      </c>
      <c r="B284" s="29" t="s">
        <v>160</v>
      </c>
      <c r="C284" s="29" t="s">
        <v>338</v>
      </c>
      <c r="D284" s="29" t="s">
        <v>1084</v>
      </c>
      <c r="E284" s="29" t="s">
        <v>2904</v>
      </c>
      <c r="F284" s="30">
        <v>0.3</v>
      </c>
      <c r="G284" s="31"/>
      <c r="H284" s="31"/>
      <c r="I284" s="31"/>
      <c r="J284" s="31"/>
    </row>
    <row r="285" spans="1:10" ht="14.4" x14ac:dyDescent="0.3">
      <c r="A285" s="28" t="str">
        <f>B285&amp;C285&amp;D285&amp;E285</f>
        <v>Красота и уходМакияжАксессуары для макияжаТриммеры и ножницы для бровей</v>
      </c>
      <c r="B285" s="29" t="s">
        <v>56</v>
      </c>
      <c r="C285" s="29" t="s">
        <v>151</v>
      </c>
      <c r="D285" s="29" t="s">
        <v>188</v>
      </c>
      <c r="E285" s="29" t="s">
        <v>2906</v>
      </c>
      <c r="F285" s="30">
        <v>0.3</v>
      </c>
      <c r="G285" s="31"/>
      <c r="H285" s="31"/>
      <c r="I285" s="31"/>
      <c r="J285" s="31"/>
    </row>
    <row r="286" spans="1:10" ht="14.4" x14ac:dyDescent="0.3">
      <c r="A286" s="28" t="str">
        <f>B286&amp;C286&amp;D286&amp;E286</f>
        <v>Товары для домаТовары для праздниковПодарочная упаковка, открыткиОткрытки</v>
      </c>
      <c r="B286" s="29" t="s">
        <v>59</v>
      </c>
      <c r="C286" s="29" t="s">
        <v>85</v>
      </c>
      <c r="D286" s="29" t="s">
        <v>330</v>
      </c>
      <c r="E286" s="29" t="s">
        <v>2911</v>
      </c>
      <c r="F286" s="30">
        <v>0.3</v>
      </c>
      <c r="G286" s="31"/>
      <c r="H286" s="31"/>
      <c r="I286" s="31"/>
      <c r="J286" s="31"/>
    </row>
    <row r="287" spans="1:10" ht="14.4" x14ac:dyDescent="0.3">
      <c r="A287" s="28" t="str">
        <f>B287&amp;C287&amp;D287&amp;E287</f>
        <v>Строительство и ремонтОтделочные материалыПрочие облицовочные материалыПрочие облицовочные материалы</v>
      </c>
      <c r="B287" s="29" t="s">
        <v>77</v>
      </c>
      <c r="C287" s="29" t="s">
        <v>241</v>
      </c>
      <c r="D287" s="29" t="s">
        <v>2912</v>
      </c>
      <c r="E287" s="29" t="s">
        <v>2912</v>
      </c>
      <c r="F287" s="30">
        <v>0.3</v>
      </c>
      <c r="G287" s="31"/>
      <c r="H287" s="31"/>
      <c r="I287" s="31"/>
      <c r="J287" s="31"/>
    </row>
    <row r="288" spans="1:10" ht="14.4" x14ac:dyDescent="0.3">
      <c r="A288" s="28" t="str">
        <f>B288&amp;C288&amp;D288&amp;E288</f>
        <v>АксессуарыЖенские аксессуарыПерчатки и варежкиМитенки</v>
      </c>
      <c r="B288" s="29" t="s">
        <v>88</v>
      </c>
      <c r="C288" s="29" t="s">
        <v>221</v>
      </c>
      <c r="D288" s="29" t="s">
        <v>1004</v>
      </c>
      <c r="E288" s="29" t="s">
        <v>2940</v>
      </c>
      <c r="F288" s="30">
        <v>0.3</v>
      </c>
      <c r="G288" s="31"/>
      <c r="H288" s="31"/>
      <c r="I288" s="31"/>
      <c r="J288" s="31"/>
    </row>
    <row r="289" spans="1:10" ht="14.4" x14ac:dyDescent="0.3">
      <c r="A289" s="28" t="str">
        <f>B289&amp;C289&amp;D289&amp;E289</f>
        <v>ЭлектроникаТелевизоры и видеотехникаКабели и переходникиПереходники и адаптеры для видео</v>
      </c>
      <c r="B289" s="29" t="s">
        <v>67</v>
      </c>
      <c r="C289" s="29" t="s">
        <v>136</v>
      </c>
      <c r="D289" s="29" t="s">
        <v>1905</v>
      </c>
      <c r="E289" s="29" t="s">
        <v>2949</v>
      </c>
      <c r="F289" s="30">
        <v>0.3</v>
      </c>
      <c r="G289" s="31"/>
      <c r="H289" s="31"/>
      <c r="I289" s="31"/>
      <c r="J289" s="31"/>
    </row>
    <row r="290" spans="1:10" ht="14.4" x14ac:dyDescent="0.3">
      <c r="A290" s="28" t="str">
        <f>B290&amp;C290&amp;D290&amp;E290</f>
        <v>ЭлектроникаСмартфоны и телефоныАксессуары для смартфоновКлючи и адаптеры для SIM карт</v>
      </c>
      <c r="B290" s="29" t="s">
        <v>67</v>
      </c>
      <c r="C290" s="29" t="s">
        <v>96</v>
      </c>
      <c r="D290" s="29" t="s">
        <v>97</v>
      </c>
      <c r="E290" s="29" t="s">
        <v>2952</v>
      </c>
      <c r="F290" s="30">
        <v>0.3</v>
      </c>
      <c r="G290" s="31"/>
      <c r="H290" s="31"/>
      <c r="I290" s="31"/>
      <c r="J290" s="31"/>
    </row>
    <row r="291" spans="1:10" ht="14.4" x14ac:dyDescent="0.3">
      <c r="A291" s="28" t="str">
        <f>B291&amp;C291&amp;D291&amp;E291</f>
        <v>Красота и уходМакияжАксессуары для макияжаМиксеры и разбавители косметики</v>
      </c>
      <c r="B291" s="29" t="s">
        <v>56</v>
      </c>
      <c r="C291" s="29" t="s">
        <v>151</v>
      </c>
      <c r="D291" s="29" t="s">
        <v>188</v>
      </c>
      <c r="E291" s="29" t="s">
        <v>2970</v>
      </c>
      <c r="F291" s="30">
        <v>0.3</v>
      </c>
      <c r="G291" s="31"/>
      <c r="H291" s="31"/>
      <c r="I291" s="31"/>
      <c r="J291" s="31"/>
    </row>
    <row r="292" spans="1:10" ht="14.4" x14ac:dyDescent="0.3">
      <c r="A292" s="28" t="str">
        <f>B292&amp;C292&amp;D292&amp;E292</f>
        <v>АксессуарыМужские аксессуарыОчкиИмиджевые очки</v>
      </c>
      <c r="B292" s="29" t="s">
        <v>88</v>
      </c>
      <c r="C292" s="29" t="s">
        <v>89</v>
      </c>
      <c r="D292" s="29" t="s">
        <v>613</v>
      </c>
      <c r="E292" s="29" t="s">
        <v>1207</v>
      </c>
      <c r="F292" s="30">
        <v>0.3</v>
      </c>
      <c r="G292" s="31"/>
      <c r="H292" s="31"/>
      <c r="I292" s="31"/>
      <c r="J292" s="31"/>
    </row>
    <row r="293" spans="1:10" ht="14.4" x14ac:dyDescent="0.3">
      <c r="A293" s="28" t="str">
        <f>B293&amp;C293&amp;D293&amp;E293</f>
        <v>ОбувьАксессуары для обувиИзмерители стопыИзмерители стопы</v>
      </c>
      <c r="B293" s="29" t="s">
        <v>180</v>
      </c>
      <c r="C293" s="29" t="s">
        <v>1075</v>
      </c>
      <c r="D293" s="29" t="s">
        <v>2980</v>
      </c>
      <c r="E293" s="29" t="s">
        <v>2980</v>
      </c>
      <c r="F293" s="30">
        <v>0.3</v>
      </c>
      <c r="G293" s="31"/>
      <c r="H293" s="31"/>
      <c r="I293" s="31"/>
      <c r="J293" s="31"/>
    </row>
    <row r="294" spans="1:10" ht="14.4" x14ac:dyDescent="0.3">
      <c r="A294" s="28" t="str">
        <f>B294&amp;C294&amp;D294&amp;E294</f>
        <v>АксессуарыЖенские аксессуарыРемни, пояса и портупеиПояса</v>
      </c>
      <c r="B294" s="29" t="s">
        <v>88</v>
      </c>
      <c r="C294" s="29" t="s">
        <v>221</v>
      </c>
      <c r="D294" s="29" t="s">
        <v>1367</v>
      </c>
      <c r="E294" s="29" t="s">
        <v>2983</v>
      </c>
      <c r="F294" s="30">
        <v>0.3</v>
      </c>
      <c r="G294" s="31"/>
      <c r="H294" s="31"/>
      <c r="I294" s="31"/>
      <c r="J294" s="31"/>
    </row>
    <row r="295" spans="1:10" ht="14.4" x14ac:dyDescent="0.3">
      <c r="A295" s="28" t="str">
        <f>B295&amp;C295&amp;D295&amp;E295</f>
        <v>Строительство и ремонтЭлектрикаУдлинители и пилотыУдлинители и пилоты</v>
      </c>
      <c r="B295" s="29" t="s">
        <v>77</v>
      </c>
      <c r="C295" s="29" t="s">
        <v>600</v>
      </c>
      <c r="D295" s="29" t="s">
        <v>3005</v>
      </c>
      <c r="E295" s="29" t="s">
        <v>3005</v>
      </c>
      <c r="F295" s="30">
        <v>0.3</v>
      </c>
      <c r="G295" s="31"/>
      <c r="H295" s="31"/>
      <c r="I295" s="31"/>
      <c r="J295" s="31"/>
    </row>
    <row r="296" spans="1:10" ht="14.4" x14ac:dyDescent="0.3">
      <c r="A296" s="28" t="str">
        <f>B296&amp;C296&amp;D296&amp;E296</f>
        <v>Детские товарыДетская комнатаЗащита и безопасностьНакладки и крышки на углы и розетки</v>
      </c>
      <c r="B296" s="29" t="s">
        <v>105</v>
      </c>
      <c r="C296" s="29" t="s">
        <v>397</v>
      </c>
      <c r="D296" s="29" t="s">
        <v>398</v>
      </c>
      <c r="E296" s="29" t="s">
        <v>3014</v>
      </c>
      <c r="F296" s="30">
        <v>0.3</v>
      </c>
      <c r="G296" s="31"/>
      <c r="H296" s="31"/>
      <c r="I296" s="31"/>
      <c r="J296" s="31"/>
    </row>
    <row r="297" spans="1:10" ht="14.4" x14ac:dyDescent="0.3">
      <c r="A297" s="28" t="str">
        <f>B297&amp;C297&amp;D297&amp;E297</f>
        <v>Товары для домаТовары для кухниОдноразовая посуда и упаковкаСтоловые приборы одноразовые</v>
      </c>
      <c r="B297" s="29" t="s">
        <v>59</v>
      </c>
      <c r="C297" s="29" t="s">
        <v>60</v>
      </c>
      <c r="D297" s="29" t="s">
        <v>1459</v>
      </c>
      <c r="E297" s="29" t="s">
        <v>3017</v>
      </c>
      <c r="F297" s="30">
        <v>0.3</v>
      </c>
      <c r="G297" s="31"/>
      <c r="H297" s="31"/>
      <c r="I297" s="31"/>
      <c r="J297" s="31"/>
    </row>
    <row r="298" spans="1:10" ht="14.4" x14ac:dyDescent="0.3">
      <c r="A298" s="28" t="str">
        <f>B298&amp;C298&amp;D298&amp;E298</f>
        <v>ЗдоровьеМедицинские изделия и расходные материалыАптечки, таблетницы и медицинские сумкиАптечки, таблетницы и медицинские сумки</v>
      </c>
      <c r="B298" s="29" t="s">
        <v>116</v>
      </c>
      <c r="C298" s="29" t="s">
        <v>436</v>
      </c>
      <c r="D298" s="29" t="s">
        <v>3024</v>
      </c>
      <c r="E298" s="29" t="s">
        <v>3024</v>
      </c>
      <c r="F298" s="30">
        <v>0.3</v>
      </c>
      <c r="G298" s="31"/>
      <c r="H298" s="31"/>
      <c r="I298" s="31"/>
      <c r="J298" s="31"/>
    </row>
    <row r="299" spans="1:10" ht="14.4" x14ac:dyDescent="0.3">
      <c r="A299" s="28" t="str">
        <f>B299&amp;C299&amp;D299&amp;E299</f>
        <v>АксессуарыМужские аксессуарыПлатки и шарфыНосовые платки</v>
      </c>
      <c r="B299" s="29" t="s">
        <v>88</v>
      </c>
      <c r="C299" s="29" t="s">
        <v>89</v>
      </c>
      <c r="D299" s="29" t="s">
        <v>1682</v>
      </c>
      <c r="E299" s="29" t="s">
        <v>2501</v>
      </c>
      <c r="F299" s="30">
        <v>0.3</v>
      </c>
      <c r="G299" s="31"/>
      <c r="H299" s="31"/>
      <c r="I299" s="31"/>
      <c r="J299" s="31"/>
    </row>
    <row r="300" spans="1:10" ht="14.4" x14ac:dyDescent="0.3">
      <c r="A300" s="28" t="str">
        <f>B300&amp;C300&amp;D300&amp;E300</f>
        <v>АксессуарыАксессуары для путешествийАксессуары для чемодановЗамки для чемоданов</v>
      </c>
      <c r="B300" s="29" t="s">
        <v>88</v>
      </c>
      <c r="C300" s="29" t="s">
        <v>573</v>
      </c>
      <c r="D300" s="29" t="s">
        <v>1978</v>
      </c>
      <c r="E300" s="29" t="s">
        <v>3045</v>
      </c>
      <c r="F300" s="30">
        <v>0.3</v>
      </c>
      <c r="G300" s="31"/>
      <c r="H300" s="31"/>
      <c r="I300" s="31"/>
      <c r="J300" s="31"/>
    </row>
    <row r="301" spans="1:10" ht="14.4" x14ac:dyDescent="0.3">
      <c r="A301" s="28" t="str">
        <f>B301&amp;C301&amp;D301&amp;E301</f>
        <v>ЗдоровьеОртопедические изделияБинты эластичныеБинты эластичные</v>
      </c>
      <c r="B301" s="29" t="s">
        <v>116</v>
      </c>
      <c r="C301" s="29" t="s">
        <v>117</v>
      </c>
      <c r="D301" s="29" t="s">
        <v>3048</v>
      </c>
      <c r="E301" s="29" t="s">
        <v>3048</v>
      </c>
      <c r="F301" s="30">
        <v>0.3</v>
      </c>
      <c r="G301" s="31"/>
      <c r="H301" s="31"/>
      <c r="I301" s="31"/>
      <c r="J301" s="31"/>
    </row>
    <row r="302" spans="1:10" ht="14.4" x14ac:dyDescent="0.3">
      <c r="A302" s="28" t="str">
        <f>B302&amp;C302&amp;D302&amp;E302</f>
        <v>ЭлектроникаСмартфоны и телефоныАксессуары для смартфоновНаклейки для телефонов</v>
      </c>
      <c r="B302" s="29" t="s">
        <v>67</v>
      </c>
      <c r="C302" s="29" t="s">
        <v>96</v>
      </c>
      <c r="D302" s="29" t="s">
        <v>97</v>
      </c>
      <c r="E302" s="29" t="s">
        <v>3061</v>
      </c>
      <c r="F302" s="30">
        <v>0.3</v>
      </c>
      <c r="G302" s="31"/>
      <c r="H302" s="31"/>
      <c r="I302" s="31"/>
      <c r="J302" s="31"/>
    </row>
    <row r="303" spans="1:10" ht="14.4" x14ac:dyDescent="0.3">
      <c r="A303" s="28" t="str">
        <f>B303&amp;C303&amp;D303&amp;E303</f>
        <v>ЭлектроникаОфисная техникаКомплектующие для офисной техникиТонеры</v>
      </c>
      <c r="B303" s="29" t="s">
        <v>67</v>
      </c>
      <c r="C303" s="29" t="s">
        <v>68</v>
      </c>
      <c r="D303" s="29" t="s">
        <v>69</v>
      </c>
      <c r="E303" s="29" t="s">
        <v>1522</v>
      </c>
      <c r="F303" s="30">
        <v>0.3</v>
      </c>
      <c r="G303" s="31"/>
      <c r="H303" s="31"/>
      <c r="I303" s="31"/>
      <c r="J303" s="31"/>
    </row>
    <row r="304" spans="1:10" ht="14.4" x14ac:dyDescent="0.3">
      <c r="A304" s="28" t="str">
        <f>B304&amp;C304&amp;D304&amp;E304</f>
        <v>АксессуарыРелигиозные аксессуарыХиджабы и тюрбаныХиджабы и тюрбаны</v>
      </c>
      <c r="B304" s="29" t="s">
        <v>88</v>
      </c>
      <c r="C304" s="29" t="s">
        <v>1117</v>
      </c>
      <c r="D304" s="29" t="s">
        <v>3087</v>
      </c>
      <c r="E304" s="29" t="s">
        <v>3087</v>
      </c>
      <c r="F304" s="30">
        <v>0.3</v>
      </c>
      <c r="G304" s="31"/>
      <c r="H304" s="31"/>
      <c r="I304" s="31"/>
      <c r="J304" s="31"/>
    </row>
    <row r="305" spans="1:10" ht="14.4" x14ac:dyDescent="0.3">
      <c r="A305" s="28" t="str">
        <f>B305&amp;C305&amp;D305&amp;E305</f>
        <v>АксессуарыМужские аксессуарыГоловные уборыБанданы</v>
      </c>
      <c r="B305" s="29" t="s">
        <v>88</v>
      </c>
      <c r="C305" s="29" t="s">
        <v>89</v>
      </c>
      <c r="D305" s="29" t="s">
        <v>530</v>
      </c>
      <c r="E305" s="29" t="s">
        <v>1463</v>
      </c>
      <c r="F305" s="30">
        <v>0.3</v>
      </c>
      <c r="G305" s="31"/>
      <c r="H305" s="31"/>
      <c r="I305" s="31"/>
      <c r="J305" s="31"/>
    </row>
    <row r="306" spans="1:10" ht="14.4" x14ac:dyDescent="0.3">
      <c r="A306" s="28" t="str">
        <f>B306&amp;C306&amp;D306&amp;E306</f>
        <v>АксессуарыМужские аксессуарыГоловные уборыШляпы</v>
      </c>
      <c r="B306" s="29" t="s">
        <v>88</v>
      </c>
      <c r="C306" s="29" t="s">
        <v>89</v>
      </c>
      <c r="D306" s="29" t="s">
        <v>530</v>
      </c>
      <c r="E306" s="29" t="s">
        <v>745</v>
      </c>
      <c r="F306" s="30">
        <v>0.3</v>
      </c>
      <c r="G306" s="31"/>
      <c r="H306" s="31"/>
      <c r="I306" s="31"/>
      <c r="J306" s="31"/>
    </row>
    <row r="307" spans="1:10" ht="14.4" x14ac:dyDescent="0.3">
      <c r="A307" s="28" t="str">
        <f>B307&amp;C307&amp;D307&amp;E307</f>
        <v>Товары для домаТовары для кухниОдноразовая посуда и упаковкаШпажки, канапе</v>
      </c>
      <c r="B307" s="29" t="s">
        <v>59</v>
      </c>
      <c r="C307" s="29" t="s">
        <v>60</v>
      </c>
      <c r="D307" s="29" t="s">
        <v>1459</v>
      </c>
      <c r="E307" s="29" t="s">
        <v>3092</v>
      </c>
      <c r="F307" s="30">
        <v>0.3</v>
      </c>
      <c r="G307" s="31"/>
      <c r="H307" s="31"/>
      <c r="I307" s="31"/>
      <c r="J307" s="31"/>
    </row>
    <row r="308" spans="1:10" ht="14.4" x14ac:dyDescent="0.3">
      <c r="A308" s="28" t="str">
        <f>B308&amp;C308&amp;D308&amp;E308</f>
        <v>АксессуарыЖенские аксессуарыБижутерные украшенияПирсинг</v>
      </c>
      <c r="B308" s="29" t="s">
        <v>88</v>
      </c>
      <c r="C308" s="29" t="s">
        <v>221</v>
      </c>
      <c r="D308" s="29" t="s">
        <v>314</v>
      </c>
      <c r="E308" s="29" t="s">
        <v>3096</v>
      </c>
      <c r="F308" s="30">
        <v>0.3</v>
      </c>
      <c r="G308" s="31"/>
      <c r="H308" s="31"/>
      <c r="I308" s="31"/>
      <c r="J308" s="31"/>
    </row>
    <row r="309" spans="1:10" ht="14.4" x14ac:dyDescent="0.3">
      <c r="A309" s="28" t="str">
        <f>B309&amp;C309&amp;D309&amp;E309</f>
        <v>ЗоотоварыГигиенаСпреи и уничтожители запахаСпреи и уничтожители запаха</v>
      </c>
      <c r="B309" s="29" t="s">
        <v>214</v>
      </c>
      <c r="C309" s="29" t="s">
        <v>911</v>
      </c>
      <c r="D309" s="29" t="s">
        <v>3100</v>
      </c>
      <c r="E309" s="29" t="s">
        <v>3100</v>
      </c>
      <c r="F309" s="30">
        <v>0.3</v>
      </c>
      <c r="G309" s="31"/>
      <c r="H309" s="31"/>
      <c r="I309" s="31"/>
      <c r="J309" s="31"/>
    </row>
    <row r="310" spans="1:10" ht="14.4" x14ac:dyDescent="0.3">
      <c r="A310" s="28" t="str">
        <f>B310&amp;C310&amp;D310&amp;E310</f>
        <v>АксессуарыЖенские аксессуарыКлатчи и косметичкиКлатчи</v>
      </c>
      <c r="B310" s="29" t="s">
        <v>88</v>
      </c>
      <c r="C310" s="29" t="s">
        <v>221</v>
      </c>
      <c r="D310" s="29" t="s">
        <v>2743</v>
      </c>
      <c r="E310" s="29" t="s">
        <v>3116</v>
      </c>
      <c r="F310" s="30">
        <v>0.3</v>
      </c>
      <c r="G310" s="31"/>
      <c r="H310" s="31"/>
      <c r="I310" s="31"/>
      <c r="J310" s="31"/>
    </row>
    <row r="311" spans="1:10" ht="14.4" x14ac:dyDescent="0.3">
      <c r="A311" s="28" t="str">
        <f>B311&amp;C311&amp;D311&amp;E311</f>
        <v>Товары для домаТовары для кухниОдноразовая посуда и упаковкаКоробки и контейнеры</v>
      </c>
      <c r="B311" s="29" t="s">
        <v>59</v>
      </c>
      <c r="C311" s="29" t="s">
        <v>60</v>
      </c>
      <c r="D311" s="29" t="s">
        <v>1459</v>
      </c>
      <c r="E311" s="29" t="s">
        <v>3121</v>
      </c>
      <c r="F311" s="30">
        <v>0.3</v>
      </c>
      <c r="G311" s="31"/>
      <c r="H311" s="31"/>
      <c r="I311" s="31"/>
      <c r="J311" s="31"/>
    </row>
    <row r="312" spans="1:10" ht="14.4" x14ac:dyDescent="0.3">
      <c r="A312" s="28" t="str">
        <f>B312&amp;C312&amp;D312&amp;E312</f>
        <v>ЭлектроникаСмартфоны и телефоныАксессуары для смартфоновЧехлы</v>
      </c>
      <c r="B312" s="29" t="s">
        <v>67</v>
      </c>
      <c r="C312" s="29" t="s">
        <v>96</v>
      </c>
      <c r="D312" s="29" t="s">
        <v>97</v>
      </c>
      <c r="E312" s="29" t="s">
        <v>1128</v>
      </c>
      <c r="F312" s="30">
        <v>0.3</v>
      </c>
      <c r="G312" s="31"/>
      <c r="H312" s="31"/>
      <c r="I312" s="31"/>
      <c r="J312" s="31"/>
    </row>
    <row r="313" spans="1:10" ht="14.4" x14ac:dyDescent="0.3">
      <c r="A313" s="28" t="str">
        <f>B313&amp;C313&amp;D313&amp;E313</f>
        <v>ЭлектроникаКомпьютерная техникаКомпьютерная периферияKVM-консоли и кабели</v>
      </c>
      <c r="B313" s="29" t="s">
        <v>67</v>
      </c>
      <c r="C313" s="29" t="s">
        <v>234</v>
      </c>
      <c r="D313" s="29" t="s">
        <v>794</v>
      </c>
      <c r="E313" s="29" t="s">
        <v>3128</v>
      </c>
      <c r="F313" s="30">
        <v>0.3</v>
      </c>
      <c r="G313" s="31"/>
      <c r="H313" s="31"/>
      <c r="I313" s="31"/>
      <c r="J313" s="31"/>
    </row>
    <row r="314" spans="1:10" ht="14.4" x14ac:dyDescent="0.3">
      <c r="A314" s="28" t="str">
        <f>B314&amp;C314&amp;D314&amp;E314</f>
        <v>АксессуарыМужские аксессуарыСумки и рюкзакиПортфели</v>
      </c>
      <c r="B314" s="29" t="s">
        <v>88</v>
      </c>
      <c r="C314" s="29" t="s">
        <v>89</v>
      </c>
      <c r="D314" s="29" t="s">
        <v>406</v>
      </c>
      <c r="E314" s="29" t="s">
        <v>3138</v>
      </c>
      <c r="F314" s="30">
        <v>0.3</v>
      </c>
      <c r="G314" s="31"/>
      <c r="H314" s="31"/>
      <c r="I314" s="31"/>
      <c r="J314" s="31"/>
    </row>
    <row r="315" spans="1:10" ht="14.4" x14ac:dyDescent="0.3">
      <c r="A315" s="28" t="str">
        <f>B315&amp;C315&amp;D315&amp;E315</f>
        <v>ЭлектроникаСмартфоны и телефоныАксессуары для смартфоновЗарядные устройства</v>
      </c>
      <c r="B315" s="29" t="s">
        <v>67</v>
      </c>
      <c r="C315" s="29" t="s">
        <v>96</v>
      </c>
      <c r="D315" s="29" t="s">
        <v>97</v>
      </c>
      <c r="E315" s="29" t="s">
        <v>478</v>
      </c>
      <c r="F315" s="30">
        <v>0.28000000000000003</v>
      </c>
      <c r="G315" s="31"/>
      <c r="H315" s="31"/>
      <c r="I315" s="31"/>
      <c r="J315" s="31"/>
    </row>
    <row r="316" spans="1:10" ht="14.4" x14ac:dyDescent="0.3">
      <c r="A316" s="28" t="str">
        <f>B316&amp;C316&amp;D316&amp;E316</f>
        <v>Товары для домаХранение вещейЧехлы для одеждыЧехлы для одежды</v>
      </c>
      <c r="B316" s="29" t="s">
        <v>59</v>
      </c>
      <c r="C316" s="29" t="s">
        <v>172</v>
      </c>
      <c r="D316" s="29" t="s">
        <v>173</v>
      </c>
      <c r="E316" s="29" t="s">
        <v>173</v>
      </c>
      <c r="F316" s="30">
        <v>0.27</v>
      </c>
      <c r="G316" s="31"/>
      <c r="H316" s="31"/>
      <c r="I316" s="31"/>
      <c r="J316" s="31"/>
    </row>
    <row r="317" spans="1:10" ht="14.4" x14ac:dyDescent="0.3">
      <c r="A317" s="28" t="str">
        <f>B317&amp;C317&amp;D317&amp;E317</f>
        <v>АксессуарыЖенские аксессуарыАксессуары для волосШпильки и невидимки</v>
      </c>
      <c r="B317" s="29" t="s">
        <v>88</v>
      </c>
      <c r="C317" s="29" t="s">
        <v>221</v>
      </c>
      <c r="D317" s="29" t="s">
        <v>222</v>
      </c>
      <c r="E317" s="29" t="s">
        <v>223</v>
      </c>
      <c r="F317" s="30">
        <v>0.27</v>
      </c>
      <c r="G317" s="31"/>
      <c r="H317" s="31"/>
      <c r="I317" s="31"/>
      <c r="J317" s="31"/>
    </row>
    <row r="318" spans="1:10" ht="14.4" x14ac:dyDescent="0.3">
      <c r="A318" s="28" t="str">
        <f>B318&amp;C318&amp;D318&amp;E318</f>
        <v>Товары для домаХранение вещейВешалкиВешалки-плечики</v>
      </c>
      <c r="B318" s="29" t="s">
        <v>59</v>
      </c>
      <c r="C318" s="29" t="s">
        <v>172</v>
      </c>
      <c r="D318" s="29" t="s">
        <v>289</v>
      </c>
      <c r="E318" s="29" t="s">
        <v>290</v>
      </c>
      <c r="F318" s="30">
        <v>0.27</v>
      </c>
      <c r="G318" s="31"/>
      <c r="H318" s="31"/>
      <c r="I318" s="31"/>
      <c r="J318" s="31"/>
    </row>
    <row r="319" spans="1:10" ht="14.4" x14ac:dyDescent="0.3">
      <c r="A319" s="28" t="str">
        <f>B319&amp;C319&amp;D319&amp;E319</f>
        <v>Товары для домаДекор и интерьерАроматы для домаАроматы для дома</v>
      </c>
      <c r="B319" s="29" t="s">
        <v>59</v>
      </c>
      <c r="C319" s="29" t="s">
        <v>723</v>
      </c>
      <c r="D319" s="29" t="s">
        <v>724</v>
      </c>
      <c r="E319" s="29" t="s">
        <v>724</v>
      </c>
      <c r="F319" s="30">
        <v>0.27</v>
      </c>
      <c r="G319" s="31"/>
      <c r="H319" s="31"/>
      <c r="I319" s="31"/>
      <c r="J319" s="31"/>
    </row>
    <row r="320" spans="1:10" ht="14.4" x14ac:dyDescent="0.3">
      <c r="A320" s="28" t="str">
        <f>B320&amp;C320&amp;D320&amp;E320</f>
        <v>Товары для домаДекор и интерьерОформление интерьераШкатулки</v>
      </c>
      <c r="B320" s="29" t="s">
        <v>59</v>
      </c>
      <c r="C320" s="29" t="s">
        <v>723</v>
      </c>
      <c r="D320" s="29" t="s">
        <v>879</v>
      </c>
      <c r="E320" s="29" t="s">
        <v>880</v>
      </c>
      <c r="F320" s="30">
        <v>0.27</v>
      </c>
      <c r="G320" s="31"/>
      <c r="H320" s="31"/>
      <c r="I320" s="31"/>
      <c r="J320" s="31"/>
    </row>
    <row r="321" spans="1:10" ht="14.4" x14ac:dyDescent="0.3">
      <c r="A321" s="28" t="str">
        <f>B321&amp;C321&amp;D321&amp;E321</f>
        <v>Товары для домаТовары для праздниковНовогодние товарыГирлянды</v>
      </c>
      <c r="B321" s="29" t="s">
        <v>59</v>
      </c>
      <c r="C321" s="29" t="s">
        <v>85</v>
      </c>
      <c r="D321" s="29" t="s">
        <v>1037</v>
      </c>
      <c r="E321" s="29" t="s">
        <v>1038</v>
      </c>
      <c r="F321" s="30">
        <v>0.27</v>
      </c>
      <c r="G321" s="31"/>
      <c r="H321" s="31"/>
      <c r="I321" s="31"/>
      <c r="J321" s="31"/>
    </row>
    <row r="322" spans="1:10" ht="14.4" x14ac:dyDescent="0.3">
      <c r="A322" s="28" t="str">
        <f>B322&amp;C322&amp;D322&amp;E322</f>
        <v>Товары для домаДекор и интерьерОформление интерьераУкрашение интерьера</v>
      </c>
      <c r="B322" s="29" t="s">
        <v>59</v>
      </c>
      <c r="C322" s="29" t="s">
        <v>723</v>
      </c>
      <c r="D322" s="29" t="s">
        <v>879</v>
      </c>
      <c r="E322" s="29" t="s">
        <v>1190</v>
      </c>
      <c r="F322" s="30">
        <v>0.27</v>
      </c>
      <c r="G322" s="31"/>
      <c r="H322" s="31"/>
      <c r="I322" s="31"/>
      <c r="J322" s="31"/>
    </row>
    <row r="323" spans="1:10" ht="14.4" x14ac:dyDescent="0.3">
      <c r="A323" s="28" t="str">
        <f>B323&amp;C323&amp;D323&amp;E323</f>
        <v>Товары для домаДекор и интерьерЧасы и метеостанцииЧасы и метеостанции</v>
      </c>
      <c r="B323" s="29" t="s">
        <v>59</v>
      </c>
      <c r="C323" s="29" t="s">
        <v>723</v>
      </c>
      <c r="D323" s="29" t="s">
        <v>1280</v>
      </c>
      <c r="E323" s="29" t="s">
        <v>1280</v>
      </c>
      <c r="F323" s="30">
        <v>0.27</v>
      </c>
      <c r="G323" s="31"/>
      <c r="H323" s="31"/>
      <c r="I323" s="31"/>
      <c r="J323" s="31"/>
    </row>
    <row r="324" spans="1:10" ht="14.4" x14ac:dyDescent="0.3">
      <c r="A324" s="28" t="str">
        <f>B324&amp;C324&amp;D324&amp;E324</f>
        <v>Товары для домаДекор и интерьерКартины и панноКартины и панно</v>
      </c>
      <c r="B324" s="29" t="s">
        <v>59</v>
      </c>
      <c r="C324" s="29" t="s">
        <v>723</v>
      </c>
      <c r="D324" s="29" t="s">
        <v>1300</v>
      </c>
      <c r="E324" s="29" t="s">
        <v>1300</v>
      </c>
      <c r="F324" s="30">
        <v>0.27</v>
      </c>
      <c r="G324" s="31"/>
      <c r="H324" s="31"/>
      <c r="I324" s="31"/>
      <c r="J324" s="31"/>
    </row>
    <row r="325" spans="1:10" ht="14.4" x14ac:dyDescent="0.3">
      <c r="A325" s="28" t="str">
        <f>B325&amp;C325&amp;D325&amp;E325</f>
        <v>Товары для домаТовары для праздниковНовогодние товарыИскусственный снег</v>
      </c>
      <c r="B325" s="29" t="s">
        <v>59</v>
      </c>
      <c r="C325" s="29" t="s">
        <v>85</v>
      </c>
      <c r="D325" s="29" t="s">
        <v>1037</v>
      </c>
      <c r="E325" s="29" t="s">
        <v>1398</v>
      </c>
      <c r="F325" s="30">
        <v>0.27</v>
      </c>
      <c r="G325" s="31"/>
      <c r="H325" s="31"/>
      <c r="I325" s="31"/>
      <c r="J325" s="31"/>
    </row>
    <row r="326" spans="1:10" ht="14.4" x14ac:dyDescent="0.3">
      <c r="A326" s="28" t="str">
        <f>B326&amp;C326&amp;D326&amp;E326</f>
        <v>Товары для домаТовары для бани и сауныШайки и ушатыШайки и ушаты</v>
      </c>
      <c r="B326" s="29" t="s">
        <v>59</v>
      </c>
      <c r="C326" s="29" t="s">
        <v>323</v>
      </c>
      <c r="D326" s="29" t="s">
        <v>1558</v>
      </c>
      <c r="E326" s="29" t="s">
        <v>1558</v>
      </c>
      <c r="F326" s="30">
        <v>0.27</v>
      </c>
      <c r="G326" s="31"/>
      <c r="H326" s="31"/>
      <c r="I326" s="31"/>
      <c r="J326" s="31"/>
    </row>
    <row r="327" spans="1:10" ht="14.4" x14ac:dyDescent="0.3">
      <c r="A327" s="28" t="str">
        <f>B327&amp;C327&amp;D327&amp;E327</f>
        <v>Товары для домаДекор и интерьерСувениры и подаркиСувениры и подарки</v>
      </c>
      <c r="B327" s="29" t="s">
        <v>59</v>
      </c>
      <c r="C327" s="29" t="s">
        <v>723</v>
      </c>
      <c r="D327" s="29" t="s">
        <v>1567</v>
      </c>
      <c r="E327" s="29" t="s">
        <v>1567</v>
      </c>
      <c r="F327" s="30">
        <v>0.27</v>
      </c>
      <c r="G327" s="31"/>
      <c r="H327" s="31"/>
      <c r="I327" s="31"/>
      <c r="J327" s="31"/>
    </row>
    <row r="328" spans="1:10" ht="14.4" x14ac:dyDescent="0.3">
      <c r="A328" s="28" t="str">
        <f>B328&amp;C328&amp;D328&amp;E328</f>
        <v>Товары для домаТовары для праздниковНовогодние товарыЮбки под елку</v>
      </c>
      <c r="B328" s="29" t="s">
        <v>59</v>
      </c>
      <c r="C328" s="29" t="s">
        <v>85</v>
      </c>
      <c r="D328" s="29" t="s">
        <v>1037</v>
      </c>
      <c r="E328" s="29" t="s">
        <v>1579</v>
      </c>
      <c r="F328" s="30">
        <v>0.27</v>
      </c>
      <c r="G328" s="31"/>
      <c r="H328" s="31"/>
      <c r="I328" s="31"/>
      <c r="J328" s="31"/>
    </row>
    <row r="329" spans="1:10" ht="14.4" x14ac:dyDescent="0.3">
      <c r="A329" s="28" t="str">
        <f>B329&amp;C329&amp;D329&amp;E329</f>
        <v>Товары для домаДекор и интерьерЗеркалаЗеркала</v>
      </c>
      <c r="B329" s="29" t="s">
        <v>59</v>
      </c>
      <c r="C329" s="29" t="s">
        <v>723</v>
      </c>
      <c r="D329" s="29" t="s">
        <v>1615</v>
      </c>
      <c r="E329" s="29" t="s">
        <v>1615</v>
      </c>
      <c r="F329" s="30">
        <v>0.27</v>
      </c>
      <c r="G329" s="31"/>
      <c r="H329" s="31"/>
      <c r="I329" s="31"/>
      <c r="J329" s="31"/>
    </row>
    <row r="330" spans="1:10" ht="14.4" x14ac:dyDescent="0.3">
      <c r="A330" s="28" t="str">
        <f>B330&amp;C330&amp;D330&amp;E330</f>
        <v>Товары для домаДекор и интерьерФоторамки и фотоальбомыФоторамки и фотоальбомы</v>
      </c>
      <c r="B330" s="29" t="s">
        <v>59</v>
      </c>
      <c r="C330" s="29" t="s">
        <v>723</v>
      </c>
      <c r="D330" s="29" t="s">
        <v>1694</v>
      </c>
      <c r="E330" s="29" t="s">
        <v>1694</v>
      </c>
      <c r="F330" s="30">
        <v>0.27</v>
      </c>
      <c r="G330" s="31"/>
      <c r="H330" s="31"/>
      <c r="I330" s="31"/>
      <c r="J330" s="31"/>
    </row>
    <row r="331" spans="1:10" ht="14.4" x14ac:dyDescent="0.3">
      <c r="A331" s="28" t="str">
        <f>B331&amp;C331&amp;D331&amp;E331</f>
        <v>Товары для домаДекор и интерьерТаблички, номера и крючкиТаблички, номера и крючки</v>
      </c>
      <c r="B331" s="29" t="s">
        <v>59</v>
      </c>
      <c r="C331" s="29" t="s">
        <v>723</v>
      </c>
      <c r="D331" s="29" t="s">
        <v>1748</v>
      </c>
      <c r="E331" s="29" t="s">
        <v>1748</v>
      </c>
      <c r="F331" s="30">
        <v>0.27</v>
      </c>
      <c r="G331" s="31"/>
      <c r="H331" s="31"/>
      <c r="I331" s="31"/>
      <c r="J331" s="31"/>
    </row>
    <row r="332" spans="1:10" ht="14.4" x14ac:dyDescent="0.3">
      <c r="A332" s="28" t="str">
        <f>B332&amp;C332&amp;D332&amp;E332</f>
        <v>АксессуарыЖенские аксессуарыАксессуары для волосЗаколки и гребни</v>
      </c>
      <c r="B332" s="29" t="s">
        <v>88</v>
      </c>
      <c r="C332" s="29" t="s">
        <v>221</v>
      </c>
      <c r="D332" s="29" t="s">
        <v>222</v>
      </c>
      <c r="E332" s="29" t="s">
        <v>1801</v>
      </c>
      <c r="F332" s="30">
        <v>0.27</v>
      </c>
      <c r="G332" s="31"/>
      <c r="H332" s="31"/>
      <c r="I332" s="31"/>
      <c r="J332" s="31"/>
    </row>
    <row r="333" spans="1:10" ht="14.4" x14ac:dyDescent="0.3">
      <c r="A333" s="28" t="str">
        <f>B333&amp;C333&amp;D333&amp;E333</f>
        <v>Товары для домаТовары для праздниковНовогодние товарыНовогодние сувениры и подарки</v>
      </c>
      <c r="B333" s="29" t="s">
        <v>59</v>
      </c>
      <c r="C333" s="29" t="s">
        <v>85</v>
      </c>
      <c r="D333" s="29" t="s">
        <v>1037</v>
      </c>
      <c r="E333" s="29" t="s">
        <v>1844</v>
      </c>
      <c r="F333" s="30">
        <v>0.27</v>
      </c>
      <c r="G333" s="31"/>
      <c r="H333" s="31"/>
      <c r="I333" s="31"/>
      <c r="J333" s="31"/>
    </row>
    <row r="334" spans="1:10" ht="14.4" x14ac:dyDescent="0.3">
      <c r="A334" s="28" t="str">
        <f>B334&amp;C334&amp;D334&amp;E334</f>
        <v>ЗдоровьеИнтимная косметикаСредства для интимной косметикиСредства для интимной косметики</v>
      </c>
      <c r="B334" s="29" t="s">
        <v>116</v>
      </c>
      <c r="C334" s="29" t="s">
        <v>1598</v>
      </c>
      <c r="D334" s="29" t="s">
        <v>1857</v>
      </c>
      <c r="E334" s="29" t="s">
        <v>1857</v>
      </c>
      <c r="F334" s="30">
        <v>0.27</v>
      </c>
      <c r="G334" s="31"/>
      <c r="H334" s="31"/>
      <c r="I334" s="31"/>
      <c r="J334" s="31"/>
    </row>
    <row r="335" spans="1:10" ht="14.4" x14ac:dyDescent="0.3">
      <c r="A335" s="28" t="str">
        <f>B335&amp;C335&amp;D335&amp;E335</f>
        <v>Товары для домаХранение вещейОрганайзеры и разделителиОрганайзеры и разделители</v>
      </c>
      <c r="B335" s="29" t="s">
        <v>59</v>
      </c>
      <c r="C335" s="29" t="s">
        <v>172</v>
      </c>
      <c r="D335" s="29" t="s">
        <v>1875</v>
      </c>
      <c r="E335" s="29" t="s">
        <v>1875</v>
      </c>
      <c r="F335" s="30">
        <v>0.27</v>
      </c>
      <c r="G335" s="31"/>
      <c r="H335" s="31"/>
      <c r="I335" s="31"/>
      <c r="J335" s="31"/>
    </row>
    <row r="336" spans="1:10" ht="14.4" x14ac:dyDescent="0.3">
      <c r="A336" s="28" t="str">
        <f>B336&amp;C336&amp;D336&amp;E336</f>
        <v>Товары для домаХранение вещейВешалкиНапольные вешалки</v>
      </c>
      <c r="B336" s="29" t="s">
        <v>59</v>
      </c>
      <c r="C336" s="29" t="s">
        <v>172</v>
      </c>
      <c r="D336" s="29" t="s">
        <v>289</v>
      </c>
      <c r="E336" s="29" t="s">
        <v>2003</v>
      </c>
      <c r="F336" s="30">
        <v>0.27</v>
      </c>
      <c r="G336" s="31"/>
      <c r="H336" s="31"/>
      <c r="I336" s="31"/>
      <c r="J336" s="31"/>
    </row>
    <row r="337" spans="1:10" ht="14.4" x14ac:dyDescent="0.3">
      <c r="A337" s="28" t="str">
        <f>B337&amp;C337&amp;D337&amp;E337</f>
        <v>ЗдоровьеИнтимная косметикаВозбуждающие средства и пролонгаторыВозбуждающие средства и пролонгаторы</v>
      </c>
      <c r="B337" s="29" t="s">
        <v>116</v>
      </c>
      <c r="C337" s="29" t="s">
        <v>1598</v>
      </c>
      <c r="D337" s="29" t="s">
        <v>2007</v>
      </c>
      <c r="E337" s="29" t="s">
        <v>2007</v>
      </c>
      <c r="F337" s="30">
        <v>0.27</v>
      </c>
      <c r="G337" s="31"/>
      <c r="H337" s="31"/>
      <c r="I337" s="31"/>
      <c r="J337" s="31"/>
    </row>
    <row r="338" spans="1:10" ht="14.4" x14ac:dyDescent="0.3">
      <c r="A338" s="28" t="str">
        <f>B338&amp;C338&amp;D338&amp;E338</f>
        <v>Товары для домаХранение вещейВешалкиНастенные вешалки и крючки</v>
      </c>
      <c r="B338" s="29" t="s">
        <v>59</v>
      </c>
      <c r="C338" s="29" t="s">
        <v>172</v>
      </c>
      <c r="D338" s="29" t="s">
        <v>289</v>
      </c>
      <c r="E338" s="29" t="s">
        <v>2098</v>
      </c>
      <c r="F338" s="30">
        <v>0.27</v>
      </c>
      <c r="G338" s="31"/>
      <c r="H338" s="31"/>
      <c r="I338" s="31"/>
      <c r="J338" s="31"/>
    </row>
    <row r="339" spans="1:10" ht="14.4" x14ac:dyDescent="0.3">
      <c r="A339" s="28" t="str">
        <f>B339&amp;C339&amp;D339&amp;E339</f>
        <v>Товары для домаТовары для бани и сауныПолки и скамьиПолки и скамьи</v>
      </c>
      <c r="B339" s="29" t="s">
        <v>59</v>
      </c>
      <c r="C339" s="29" t="s">
        <v>323</v>
      </c>
      <c r="D339" s="29" t="s">
        <v>2148</v>
      </c>
      <c r="E339" s="29" t="s">
        <v>2148</v>
      </c>
      <c r="F339" s="30">
        <v>0.27</v>
      </c>
      <c r="G339" s="31"/>
      <c r="H339" s="31"/>
      <c r="I339" s="31"/>
      <c r="J339" s="31"/>
    </row>
    <row r="340" spans="1:10" ht="14.4" x14ac:dyDescent="0.3">
      <c r="A340" s="28" t="str">
        <f>B340&amp;C340&amp;D340&amp;E340</f>
        <v>Товары для домаДекор и интерьерКопилкиКопилки</v>
      </c>
      <c r="B340" s="29" t="s">
        <v>59</v>
      </c>
      <c r="C340" s="29" t="s">
        <v>723</v>
      </c>
      <c r="D340" s="29" t="s">
        <v>2179</v>
      </c>
      <c r="E340" s="29" t="s">
        <v>2179</v>
      </c>
      <c r="F340" s="30">
        <v>0.27</v>
      </c>
      <c r="G340" s="31"/>
      <c r="H340" s="31"/>
      <c r="I340" s="31"/>
      <c r="J340" s="31"/>
    </row>
    <row r="341" spans="1:10" ht="14.4" x14ac:dyDescent="0.3">
      <c r="A341" s="28" t="str">
        <f>B341&amp;C341&amp;D341&amp;E341</f>
        <v>Товары для домаТовары для бани и сауныБанный текстильБанный текстиль</v>
      </c>
      <c r="B341" s="29" t="s">
        <v>59</v>
      </c>
      <c r="C341" s="29" t="s">
        <v>323</v>
      </c>
      <c r="D341" s="29" t="s">
        <v>2253</v>
      </c>
      <c r="E341" s="29" t="s">
        <v>2253</v>
      </c>
      <c r="F341" s="30">
        <v>0.27</v>
      </c>
      <c r="G341" s="31"/>
      <c r="H341" s="31"/>
      <c r="I341" s="31"/>
      <c r="J341" s="31"/>
    </row>
    <row r="342" spans="1:10" ht="14.4" x14ac:dyDescent="0.3">
      <c r="A342" s="28" t="str">
        <f>B342&amp;C342&amp;D342&amp;E342</f>
        <v>Товары для домаДекор и интерьерДержатели, подставки и подносыДержатели, подставки и подносы</v>
      </c>
      <c r="B342" s="29" t="s">
        <v>59</v>
      </c>
      <c r="C342" s="29" t="s">
        <v>723</v>
      </c>
      <c r="D342" s="29" t="s">
        <v>2266</v>
      </c>
      <c r="E342" s="29" t="s">
        <v>2266</v>
      </c>
      <c r="F342" s="30">
        <v>0.27</v>
      </c>
      <c r="G342" s="31"/>
      <c r="H342" s="31"/>
      <c r="I342" s="31"/>
      <c r="J342" s="31"/>
    </row>
    <row r="343" spans="1:10" ht="14.4" x14ac:dyDescent="0.3">
      <c r="A343" s="28" t="str">
        <f>B343&amp;C343&amp;D343&amp;E343</f>
        <v>Товары для домаДекор и интерьерТермометры, барометрыТермометры, барометры</v>
      </c>
      <c r="B343" s="29" t="s">
        <v>59</v>
      </c>
      <c r="C343" s="29" t="s">
        <v>723</v>
      </c>
      <c r="D343" s="29" t="s">
        <v>2346</v>
      </c>
      <c r="E343" s="29" t="s">
        <v>2346</v>
      </c>
      <c r="F343" s="30">
        <v>0.27</v>
      </c>
      <c r="G343" s="31"/>
      <c r="H343" s="31"/>
      <c r="I343" s="31"/>
      <c r="J343" s="31"/>
    </row>
    <row r="344" spans="1:10" ht="14.4" x14ac:dyDescent="0.3">
      <c r="A344" s="28" t="str">
        <f>B344&amp;C344&amp;D344&amp;E344</f>
        <v>Товары для домаХранение вещейВакуумные пакеты и запайщикиВакуумные пакеты и запайщики</v>
      </c>
      <c r="B344" s="29" t="s">
        <v>59</v>
      </c>
      <c r="C344" s="29" t="s">
        <v>172</v>
      </c>
      <c r="D344" s="29" t="s">
        <v>2384</v>
      </c>
      <c r="E344" s="29" t="s">
        <v>2384</v>
      </c>
      <c r="F344" s="30">
        <v>0.27</v>
      </c>
      <c r="G344" s="31"/>
      <c r="H344" s="31"/>
      <c r="I344" s="31"/>
      <c r="J344" s="31"/>
    </row>
    <row r="345" spans="1:10" ht="14.4" x14ac:dyDescent="0.3">
      <c r="A345" s="28" t="str">
        <f>B345&amp;C345&amp;D345&amp;E345</f>
        <v>Товары для домаТовары для бани и сауныВеники для баньВеники для бань</v>
      </c>
      <c r="B345" s="29" t="s">
        <v>59</v>
      </c>
      <c r="C345" s="29" t="s">
        <v>323</v>
      </c>
      <c r="D345" s="29" t="s">
        <v>2420</v>
      </c>
      <c r="E345" s="29" t="s">
        <v>2420</v>
      </c>
      <c r="F345" s="30">
        <v>0.27</v>
      </c>
      <c r="G345" s="31"/>
      <c r="H345" s="31"/>
      <c r="I345" s="31"/>
      <c r="J345" s="31"/>
    </row>
    <row r="346" spans="1:10" ht="14.4" x14ac:dyDescent="0.3">
      <c r="A346" s="28" t="str">
        <f>B346&amp;C346&amp;D346&amp;E346</f>
        <v>Товары для домаДекор и интерьерРитуальные товарыРитуальные товары</v>
      </c>
      <c r="B346" s="29" t="s">
        <v>59</v>
      </c>
      <c r="C346" s="29" t="s">
        <v>723</v>
      </c>
      <c r="D346" s="29" t="s">
        <v>2438</v>
      </c>
      <c r="E346" s="29" t="s">
        <v>2438</v>
      </c>
      <c r="F346" s="30">
        <v>0.27</v>
      </c>
      <c r="G346" s="31"/>
      <c r="H346" s="31"/>
      <c r="I346" s="31"/>
      <c r="J346" s="31"/>
    </row>
    <row r="347" spans="1:10" ht="14.4" x14ac:dyDescent="0.3">
      <c r="A347" s="28" t="str">
        <f>B347&amp;C347&amp;D347&amp;E347</f>
        <v>Товары для домаТовары для праздниковНовогодние товарыЕлочные игрушки и украшения</v>
      </c>
      <c r="B347" s="29" t="s">
        <v>59</v>
      </c>
      <c r="C347" s="29" t="s">
        <v>85</v>
      </c>
      <c r="D347" s="29" t="s">
        <v>1037</v>
      </c>
      <c r="E347" s="29" t="s">
        <v>2481</v>
      </c>
      <c r="F347" s="30">
        <v>0.27</v>
      </c>
      <c r="G347" s="31"/>
      <c r="H347" s="31"/>
      <c r="I347" s="31"/>
      <c r="J347" s="31"/>
    </row>
    <row r="348" spans="1:10" ht="14.4" x14ac:dyDescent="0.3">
      <c r="A348" s="28" t="str">
        <f>B348&amp;C348&amp;D348&amp;E348</f>
        <v>Спорт и отдыхСпортивные бутылки и шейкерыСпортивные бутылки и шейкерыСпортивные бутылки и шейкеры</v>
      </c>
      <c r="B348" s="29" t="s">
        <v>101</v>
      </c>
      <c r="C348" s="29" t="s">
        <v>2483</v>
      </c>
      <c r="D348" s="29" t="s">
        <v>2483</v>
      </c>
      <c r="E348" s="29" t="s">
        <v>2483</v>
      </c>
      <c r="F348" s="30">
        <v>0.27</v>
      </c>
      <c r="G348" s="31"/>
      <c r="H348" s="31"/>
      <c r="I348" s="31"/>
      <c r="J348" s="31"/>
    </row>
    <row r="349" spans="1:10" ht="14.4" x14ac:dyDescent="0.3">
      <c r="A349" s="28" t="str">
        <f>B349&amp;C349&amp;D349&amp;E349</f>
        <v>Товары для домаДекор и интерьерВазыВазы</v>
      </c>
      <c r="B349" s="29" t="s">
        <v>59</v>
      </c>
      <c r="C349" s="29" t="s">
        <v>723</v>
      </c>
      <c r="D349" s="29" t="s">
        <v>2541</v>
      </c>
      <c r="E349" s="29" t="s">
        <v>2541</v>
      </c>
      <c r="F349" s="30">
        <v>0.27</v>
      </c>
      <c r="G349" s="31"/>
      <c r="H349" s="31"/>
      <c r="I349" s="31"/>
      <c r="J349" s="31"/>
    </row>
    <row r="350" spans="1:10" ht="14.4" x14ac:dyDescent="0.3">
      <c r="A350" s="28" t="str">
        <f>B350&amp;C350&amp;D350&amp;E350</f>
        <v>АксессуарыЖенские аксессуарыАксессуары для волосРезинки</v>
      </c>
      <c r="B350" s="29" t="s">
        <v>88</v>
      </c>
      <c r="C350" s="29" t="s">
        <v>221</v>
      </c>
      <c r="D350" s="29" t="s">
        <v>222</v>
      </c>
      <c r="E350" s="29" t="s">
        <v>2553</v>
      </c>
      <c r="F350" s="30">
        <v>0.27</v>
      </c>
      <c r="G350" s="31"/>
      <c r="H350" s="31"/>
      <c r="I350" s="31"/>
      <c r="J350" s="31"/>
    </row>
    <row r="351" spans="1:10" ht="14.4" x14ac:dyDescent="0.3">
      <c r="A351" s="28" t="str">
        <f>B351&amp;C351&amp;D351&amp;E351</f>
        <v>Товары для домаДекор и интерьерОформление интерьераСтатуэтки и фигурки</v>
      </c>
      <c r="B351" s="29" t="s">
        <v>59</v>
      </c>
      <c r="C351" s="29" t="s">
        <v>723</v>
      </c>
      <c r="D351" s="29" t="s">
        <v>879</v>
      </c>
      <c r="E351" s="29" t="s">
        <v>2576</v>
      </c>
      <c r="F351" s="30">
        <v>0.27</v>
      </c>
      <c r="G351" s="31"/>
      <c r="H351" s="31"/>
      <c r="I351" s="31"/>
      <c r="J351" s="31"/>
    </row>
    <row r="352" spans="1:10" ht="14.4" x14ac:dyDescent="0.3">
      <c r="A352" s="28" t="str">
        <f>B352&amp;C352&amp;D352&amp;E352</f>
        <v>АксессуарыЖенские аксессуарыАксессуары для волосОбодки и диадемы</v>
      </c>
      <c r="B352" s="29" t="s">
        <v>88</v>
      </c>
      <c r="C352" s="29" t="s">
        <v>221</v>
      </c>
      <c r="D352" s="29" t="s">
        <v>222</v>
      </c>
      <c r="E352" s="29" t="s">
        <v>2607</v>
      </c>
      <c r="F352" s="30">
        <v>0.27</v>
      </c>
      <c r="G352" s="31"/>
      <c r="H352" s="31"/>
      <c r="I352" s="31"/>
      <c r="J352" s="31"/>
    </row>
    <row r="353" spans="1:10" ht="14.4" x14ac:dyDescent="0.3">
      <c r="A353" s="28" t="str">
        <f>B353&amp;C353&amp;D353&amp;E353</f>
        <v>Товары для домаХранение вещейБаки для бельяБаки для белья</v>
      </c>
      <c r="B353" s="29" t="s">
        <v>59</v>
      </c>
      <c r="C353" s="29" t="s">
        <v>172</v>
      </c>
      <c r="D353" s="29" t="s">
        <v>2708</v>
      </c>
      <c r="E353" s="29" t="s">
        <v>2708</v>
      </c>
      <c r="F353" s="30">
        <v>0.27</v>
      </c>
      <c r="G353" s="31"/>
      <c r="H353" s="31"/>
      <c r="I353" s="31"/>
      <c r="J353" s="31"/>
    </row>
    <row r="354" spans="1:10" ht="14.4" x14ac:dyDescent="0.3">
      <c r="A354" s="28" t="str">
        <f>B354&amp;C354&amp;D354&amp;E354</f>
        <v>АксессуарыЖенские аксессуарыАксессуары для волосНаборы аксессуаров для волос</v>
      </c>
      <c r="B354" s="29" t="s">
        <v>88</v>
      </c>
      <c r="C354" s="29" t="s">
        <v>221</v>
      </c>
      <c r="D354" s="29" t="s">
        <v>222</v>
      </c>
      <c r="E354" s="29" t="s">
        <v>2798</v>
      </c>
      <c r="F354" s="30">
        <v>0.27</v>
      </c>
      <c r="G354" s="31"/>
      <c r="H354" s="31"/>
      <c r="I354" s="31"/>
      <c r="J354" s="31"/>
    </row>
    <row r="355" spans="1:10" ht="14.4" x14ac:dyDescent="0.3">
      <c r="A355" s="28" t="str">
        <f>B355&amp;C355&amp;D355&amp;E355</f>
        <v>Товары для домаДекор и интерьерИскусственные цветыИскусственные цветы</v>
      </c>
      <c r="B355" s="29" t="s">
        <v>59</v>
      </c>
      <c r="C355" s="29" t="s">
        <v>723</v>
      </c>
      <c r="D355" s="29" t="s">
        <v>2863</v>
      </c>
      <c r="E355" s="29" t="s">
        <v>2863</v>
      </c>
      <c r="F355" s="30">
        <v>0.27</v>
      </c>
      <c r="G355" s="31"/>
      <c r="H355" s="31"/>
      <c r="I355" s="31"/>
      <c r="J355" s="31"/>
    </row>
    <row r="356" spans="1:10" ht="14.4" x14ac:dyDescent="0.3">
      <c r="A356" s="28" t="str">
        <f>B356&amp;C356&amp;D356&amp;E356</f>
        <v>Товары для домаТовары для бани и сауныВедра и кадкиВедра и кадки</v>
      </c>
      <c r="B356" s="29" t="s">
        <v>59</v>
      </c>
      <c r="C356" s="29" t="s">
        <v>323</v>
      </c>
      <c r="D356" s="29" t="s">
        <v>2887</v>
      </c>
      <c r="E356" s="29" t="s">
        <v>2887</v>
      </c>
      <c r="F356" s="30">
        <v>0.27</v>
      </c>
      <c r="G356" s="31"/>
      <c r="H356" s="31"/>
      <c r="I356" s="31"/>
      <c r="J356" s="31"/>
    </row>
    <row r="357" spans="1:10" ht="14.4" x14ac:dyDescent="0.3">
      <c r="A357" s="28" t="str">
        <f>B357&amp;C357&amp;D357&amp;E357</f>
        <v>Товары для домаХранение вещейКоробки, корзины, контейнерыКоробки, корзины, контейнеры</v>
      </c>
      <c r="B357" s="29" t="s">
        <v>59</v>
      </c>
      <c r="C357" s="29" t="s">
        <v>172</v>
      </c>
      <c r="D357" s="29" t="s">
        <v>2891</v>
      </c>
      <c r="E357" s="29" t="s">
        <v>2891</v>
      </c>
      <c r="F357" s="30">
        <v>0.27</v>
      </c>
      <c r="G357" s="31"/>
      <c r="H357" s="31"/>
      <c r="I357" s="31"/>
      <c r="J357" s="31"/>
    </row>
    <row r="358" spans="1:10" ht="14.4" x14ac:dyDescent="0.3">
      <c r="A358" s="28" t="str">
        <f>B358&amp;C358&amp;D358&amp;E358</f>
        <v>Товары для домаТовары для праздниковНовогодние товарыМишура, дождик, растяжки</v>
      </c>
      <c r="B358" s="29" t="s">
        <v>59</v>
      </c>
      <c r="C358" s="29" t="s">
        <v>85</v>
      </c>
      <c r="D358" s="29" t="s">
        <v>1037</v>
      </c>
      <c r="E358" s="29" t="s">
        <v>2923</v>
      </c>
      <c r="F358" s="30">
        <v>0.27</v>
      </c>
      <c r="G358" s="31"/>
      <c r="H358" s="31"/>
      <c r="I358" s="31"/>
      <c r="J358" s="31"/>
    </row>
    <row r="359" spans="1:10" ht="14.4" x14ac:dyDescent="0.3">
      <c r="A359" s="28" t="str">
        <f>B359&amp;C359&amp;D359&amp;E359</f>
        <v>Товары для домаДекор и интерьерСвечи и подсвечникиСвечи и подсвечники</v>
      </c>
      <c r="B359" s="29" t="s">
        <v>59</v>
      </c>
      <c r="C359" s="29" t="s">
        <v>723</v>
      </c>
      <c r="D359" s="29" t="s">
        <v>3042</v>
      </c>
      <c r="E359" s="29" t="s">
        <v>3042</v>
      </c>
      <c r="F359" s="30">
        <v>0.27</v>
      </c>
      <c r="G359" s="31"/>
      <c r="H359" s="31"/>
      <c r="I359" s="31"/>
      <c r="J359" s="31"/>
    </row>
    <row r="360" spans="1:10" ht="14.4" x14ac:dyDescent="0.3">
      <c r="A360" s="28" t="str">
        <f>B360&amp;C360&amp;D360&amp;E360</f>
        <v>Товары для домаТовары для бани и сауныПредметы интерьера баниПредметы интерьера бани</v>
      </c>
      <c r="B360" s="29" t="s">
        <v>59</v>
      </c>
      <c r="C360" s="29" t="s">
        <v>323</v>
      </c>
      <c r="D360" s="29" t="s">
        <v>3083</v>
      </c>
      <c r="E360" s="29" t="s">
        <v>3083</v>
      </c>
      <c r="F360" s="30">
        <v>0.27</v>
      </c>
      <c r="G360" s="31"/>
      <c r="H360" s="31"/>
      <c r="I360" s="31"/>
      <c r="J360" s="31"/>
    </row>
    <row r="361" spans="1:10" ht="14.4" x14ac:dyDescent="0.3">
      <c r="A361" s="28" t="str">
        <f>B361&amp;C361&amp;D361&amp;E361</f>
        <v>Товары для домаХранение вещейЧехлы для обувиЧехлы для обуви</v>
      </c>
      <c r="B361" s="29" t="s">
        <v>59</v>
      </c>
      <c r="C361" s="29" t="s">
        <v>172</v>
      </c>
      <c r="D361" s="29" t="s">
        <v>3129</v>
      </c>
      <c r="E361" s="29" t="s">
        <v>3129</v>
      </c>
      <c r="F361" s="30">
        <v>0.27</v>
      </c>
      <c r="G361" s="31"/>
      <c r="H361" s="31"/>
      <c r="I361" s="31"/>
      <c r="J361" s="31"/>
    </row>
    <row r="362" spans="1:10" ht="14.4" x14ac:dyDescent="0.3">
      <c r="A362" s="28" t="str">
        <f>B362&amp;C362&amp;D362&amp;E362</f>
        <v>Красота и уходМаникюр и педикюрБазы и топыБазы и топы</v>
      </c>
      <c r="B362" s="29" t="s">
        <v>56</v>
      </c>
      <c r="C362" s="29" t="s">
        <v>57</v>
      </c>
      <c r="D362" s="29" t="s">
        <v>58</v>
      </c>
      <c r="E362" s="29" t="s">
        <v>58</v>
      </c>
      <c r="F362" s="30">
        <v>0.25</v>
      </c>
      <c r="G362" s="31"/>
      <c r="H362" s="31"/>
      <c r="I362" s="31"/>
      <c r="J362" s="31"/>
    </row>
    <row r="363" spans="1:10" ht="14.4" x14ac:dyDescent="0.3">
      <c r="A363" s="28" t="str">
        <f>B363&amp;C363&amp;D363&amp;E363</f>
        <v>Товары для домаТовары для кухниФормы для приготовленияФормы для пельменей</v>
      </c>
      <c r="B363" s="29" t="s">
        <v>59</v>
      </c>
      <c r="C363" s="29" t="s">
        <v>60</v>
      </c>
      <c r="D363" s="29" t="s">
        <v>61</v>
      </c>
      <c r="E363" s="29" t="s">
        <v>62</v>
      </c>
      <c r="F363" s="30">
        <v>0.25</v>
      </c>
      <c r="G363" s="31"/>
      <c r="H363" s="31"/>
      <c r="I363" s="31"/>
      <c r="J363" s="31"/>
    </row>
    <row r="364" spans="1:10" ht="14.4" x14ac:dyDescent="0.3">
      <c r="A364" s="28" t="str">
        <f>B364&amp;C364&amp;D364&amp;E364</f>
        <v>Строительство и ремонтИнструментыСварочное оборудованиеКомплектующие для сварки</v>
      </c>
      <c r="B364" s="29" t="s">
        <v>77</v>
      </c>
      <c r="C364" s="29" t="s">
        <v>78</v>
      </c>
      <c r="D364" s="29" t="s">
        <v>79</v>
      </c>
      <c r="E364" s="29" t="s">
        <v>80</v>
      </c>
      <c r="F364" s="30">
        <v>0.25</v>
      </c>
      <c r="G364" s="31"/>
      <c r="H364" s="31"/>
      <c r="I364" s="31"/>
      <c r="J364" s="31"/>
    </row>
    <row r="365" spans="1:10" ht="14.4" x14ac:dyDescent="0.3">
      <c r="A365" s="28" t="str">
        <f>B365&amp;C365&amp;D365&amp;E365</f>
        <v>Строительство и ремонтИнструментыСварочное оборудованиеМаски и краги сварщика</v>
      </c>
      <c r="B365" s="29" t="s">
        <v>77</v>
      </c>
      <c r="C365" s="29" t="s">
        <v>78</v>
      </c>
      <c r="D365" s="29" t="s">
        <v>79</v>
      </c>
      <c r="E365" s="29" t="s">
        <v>84</v>
      </c>
      <c r="F365" s="30">
        <v>0.25</v>
      </c>
      <c r="G365" s="31"/>
      <c r="H365" s="31"/>
      <c r="I365" s="31"/>
      <c r="J365" s="31"/>
    </row>
    <row r="366" spans="1:10" ht="14.4" x14ac:dyDescent="0.3">
      <c r="A366" s="28" t="str">
        <f>B366&amp;C366&amp;D366&amp;E366</f>
        <v>ОдеждаЖенская одеждаПлатья и сарафаныПлатья-футболки</v>
      </c>
      <c r="B366" s="29" t="s">
        <v>92</v>
      </c>
      <c r="C366" s="29" t="s">
        <v>93</v>
      </c>
      <c r="D366" s="29" t="s">
        <v>94</v>
      </c>
      <c r="E366" s="29" t="s">
        <v>95</v>
      </c>
      <c r="F366" s="30">
        <v>0.25</v>
      </c>
      <c r="G366" s="31"/>
      <c r="H366" s="31"/>
      <c r="I366" s="31"/>
      <c r="J366" s="31"/>
    </row>
    <row r="367" spans="1:10" ht="14.4" x14ac:dyDescent="0.3">
      <c r="A367" s="28" t="str">
        <f>B367&amp;C367&amp;D367&amp;E367</f>
        <v>Спорт и отдыхБассейны и аксессуарыАксессуары для бассейновРемонтные комплекты</v>
      </c>
      <c r="B367" s="29" t="s">
        <v>101</v>
      </c>
      <c r="C367" s="29" t="s">
        <v>102</v>
      </c>
      <c r="D367" s="29" t="s">
        <v>103</v>
      </c>
      <c r="E367" s="29" t="s">
        <v>104</v>
      </c>
      <c r="F367" s="30">
        <v>0.25</v>
      </c>
      <c r="G367" s="31"/>
      <c r="H367" s="31"/>
      <c r="I367" s="31"/>
      <c r="J367" s="31"/>
    </row>
    <row r="368" spans="1:10" ht="14.4" x14ac:dyDescent="0.3">
      <c r="A368" s="28" t="str">
        <f>B368&amp;C368&amp;D368&amp;E368</f>
        <v>Красота и уходУход за волосамиАксессуары для ухода за волосамиШапочки для душа</v>
      </c>
      <c r="B368" s="29" t="s">
        <v>56</v>
      </c>
      <c r="C368" s="29" t="s">
        <v>109</v>
      </c>
      <c r="D368" s="29" t="s">
        <v>110</v>
      </c>
      <c r="E368" s="29" t="s">
        <v>111</v>
      </c>
      <c r="F368" s="30">
        <v>0.25</v>
      </c>
      <c r="G368" s="31"/>
      <c r="H368" s="31"/>
      <c r="I368" s="31"/>
      <c r="J368" s="31"/>
    </row>
    <row r="369" spans="1:10" ht="14.4" x14ac:dyDescent="0.3">
      <c r="A369" s="28" t="str">
        <f>B369&amp;C369&amp;D369&amp;E369</f>
        <v>ОдеждаМужская одеждаНижнее бельёОткровенное бельё и костюмы</v>
      </c>
      <c r="B369" s="29" t="s">
        <v>92</v>
      </c>
      <c r="C369" s="29" t="s">
        <v>112</v>
      </c>
      <c r="D369" s="29" t="s">
        <v>113</v>
      </c>
      <c r="E369" s="29" t="s">
        <v>114</v>
      </c>
      <c r="F369" s="30">
        <v>0.25</v>
      </c>
      <c r="G369" s="31"/>
      <c r="H369" s="31"/>
      <c r="I369" s="31"/>
      <c r="J369" s="31"/>
    </row>
    <row r="370" spans="1:10" ht="14.4" x14ac:dyDescent="0.3">
      <c r="A370" s="28" t="str">
        <f>B370&amp;C370&amp;D370&amp;E370</f>
        <v>Строительство и ремонтРучной инструмент и оснасткаМалярные и отделочные инструментыВалики и малярные ванночки</v>
      </c>
      <c r="B370" s="29" t="s">
        <v>77</v>
      </c>
      <c r="C370" s="29" t="s">
        <v>127</v>
      </c>
      <c r="D370" s="29" t="s">
        <v>128</v>
      </c>
      <c r="E370" s="29" t="s">
        <v>129</v>
      </c>
      <c r="F370" s="30">
        <v>0.25</v>
      </c>
      <c r="G370" s="31"/>
      <c r="H370" s="31"/>
      <c r="I370" s="31"/>
      <c r="J370" s="31"/>
    </row>
    <row r="371" spans="1:10" ht="14.4" x14ac:dyDescent="0.3">
      <c r="A371" s="28" t="str">
        <f>B371&amp;C371&amp;D371&amp;E371</f>
        <v>Товары для домаТовары для кухниТовары для консервированияЗакаточные машинки</v>
      </c>
      <c r="B371" s="29" t="s">
        <v>59</v>
      </c>
      <c r="C371" s="29" t="s">
        <v>60</v>
      </c>
      <c r="D371" s="29" t="s">
        <v>130</v>
      </c>
      <c r="E371" s="29" t="s">
        <v>131</v>
      </c>
      <c r="F371" s="30">
        <v>0.25</v>
      </c>
      <c r="G371" s="31"/>
      <c r="H371" s="31"/>
      <c r="I371" s="31"/>
      <c r="J371" s="31"/>
    </row>
    <row r="372" spans="1:10" ht="14.4" x14ac:dyDescent="0.3">
      <c r="A372" s="28" t="str">
        <f>B372&amp;C372&amp;D372&amp;E372</f>
        <v>Строительство и ремонтРучной инструмент и оснасткаСтолярно-слесарные инструментыМетчики</v>
      </c>
      <c r="B372" s="29" t="s">
        <v>77</v>
      </c>
      <c r="C372" s="29" t="s">
        <v>127</v>
      </c>
      <c r="D372" s="29" t="s">
        <v>139</v>
      </c>
      <c r="E372" s="29" t="s">
        <v>140</v>
      </c>
      <c r="F372" s="30">
        <v>0.25</v>
      </c>
      <c r="G372" s="31"/>
      <c r="H372" s="31"/>
      <c r="I372" s="31"/>
      <c r="J372" s="31"/>
    </row>
    <row r="373" spans="1:10" ht="14.4" x14ac:dyDescent="0.3">
      <c r="A373" s="28" t="str">
        <f>B373&amp;C373&amp;D373&amp;E373</f>
        <v>ОдеждаЖенская одеждаВерхняя одеждаПлащи и тренчи</v>
      </c>
      <c r="B373" s="29" t="s">
        <v>92</v>
      </c>
      <c r="C373" s="29" t="s">
        <v>93</v>
      </c>
      <c r="D373" s="29" t="s">
        <v>144</v>
      </c>
      <c r="E373" s="29" t="s">
        <v>145</v>
      </c>
      <c r="F373" s="30">
        <v>0.25</v>
      </c>
      <c r="G373" s="31"/>
      <c r="H373" s="31"/>
      <c r="I373" s="31"/>
      <c r="J373" s="31"/>
    </row>
    <row r="374" spans="1:10" ht="14.4" x14ac:dyDescent="0.3">
      <c r="A374" s="28" t="str">
        <f>B374&amp;C374&amp;D374&amp;E374</f>
        <v>Строительство и ремонтРучной инструмент и оснасткаМонтажные инструментыНож строительный</v>
      </c>
      <c r="B374" s="29" t="s">
        <v>77</v>
      </c>
      <c r="C374" s="29" t="s">
        <v>127</v>
      </c>
      <c r="D374" s="29" t="s">
        <v>149</v>
      </c>
      <c r="E374" s="29" t="s">
        <v>150</v>
      </c>
      <c r="F374" s="30">
        <v>0.25</v>
      </c>
      <c r="G374" s="31"/>
      <c r="H374" s="31"/>
      <c r="I374" s="31"/>
      <c r="J374" s="31"/>
    </row>
    <row r="375" spans="1:10" ht="14.4" x14ac:dyDescent="0.3">
      <c r="A375" s="28" t="str">
        <f>B375&amp;C375&amp;D375&amp;E375</f>
        <v>Товары для домаТовары для кухниИзмельчители и соковыжималкиПрессы для картофеля</v>
      </c>
      <c r="B375" s="29" t="s">
        <v>59</v>
      </c>
      <c r="C375" s="29" t="s">
        <v>60</v>
      </c>
      <c r="D375" s="29" t="s">
        <v>154</v>
      </c>
      <c r="E375" s="29" t="s">
        <v>155</v>
      </c>
      <c r="F375" s="30">
        <v>0.25</v>
      </c>
      <c r="G375" s="31"/>
      <c r="H375" s="31"/>
      <c r="I375" s="31"/>
      <c r="J375" s="31"/>
    </row>
    <row r="376" spans="1:10" ht="14.4" x14ac:dyDescent="0.3">
      <c r="A376" s="28" t="str">
        <f>B376&amp;C376&amp;D376&amp;E376</f>
        <v>ОдеждаМужская одеждаСпортивная одеждаСпортивные майки</v>
      </c>
      <c r="B376" s="29" t="s">
        <v>92</v>
      </c>
      <c r="C376" s="29" t="s">
        <v>112</v>
      </c>
      <c r="D376" s="29" t="s">
        <v>158</v>
      </c>
      <c r="E376" s="29" t="s">
        <v>159</v>
      </c>
      <c r="F376" s="30">
        <v>0.25</v>
      </c>
      <c r="G376" s="31"/>
      <c r="H376" s="31"/>
      <c r="I376" s="31"/>
      <c r="J376" s="31"/>
    </row>
    <row r="377" spans="1:10" ht="14.4" x14ac:dyDescent="0.3">
      <c r="A377" s="28" t="str">
        <f>B377&amp;C377&amp;D377&amp;E377</f>
        <v>ОдеждаМужская одеждаСпортивная одеждаСпортивные костюмы</v>
      </c>
      <c r="B377" s="29" t="s">
        <v>92</v>
      </c>
      <c r="C377" s="29" t="s">
        <v>112</v>
      </c>
      <c r="D377" s="29" t="s">
        <v>158</v>
      </c>
      <c r="E377" s="29" t="s">
        <v>192</v>
      </c>
      <c r="F377" s="30">
        <v>0.25</v>
      </c>
      <c r="G377" s="31"/>
      <c r="H377" s="31"/>
      <c r="I377" s="31"/>
      <c r="J377" s="31"/>
    </row>
    <row r="378" spans="1:10" ht="14.4" x14ac:dyDescent="0.3">
      <c r="A378" s="28" t="str">
        <f>B378&amp;C378&amp;D378&amp;E378</f>
        <v>Товары для домаТовары для кухниСтоловые приборыПалочки для еды</v>
      </c>
      <c r="B378" s="29" t="s">
        <v>59</v>
      </c>
      <c r="C378" s="29" t="s">
        <v>60</v>
      </c>
      <c r="D378" s="29" t="s">
        <v>196</v>
      </c>
      <c r="E378" s="29" t="s">
        <v>197</v>
      </c>
      <c r="F378" s="30">
        <v>0.25</v>
      </c>
      <c r="G378" s="31"/>
      <c r="H378" s="31"/>
      <c r="I378" s="31"/>
      <c r="J378" s="31"/>
    </row>
    <row r="379" spans="1:10" ht="14.4" x14ac:dyDescent="0.3">
      <c r="A379" s="28" t="str">
        <f>B379&amp;C379&amp;D379&amp;E379</f>
        <v>Красота и уходМаникюр и педикюрИнструменты для маникюраПемза, терки</v>
      </c>
      <c r="B379" s="29" t="s">
        <v>56</v>
      </c>
      <c r="C379" s="29" t="s">
        <v>57</v>
      </c>
      <c r="D379" s="29" t="s">
        <v>199</v>
      </c>
      <c r="E379" s="29" t="s">
        <v>200</v>
      </c>
      <c r="F379" s="30">
        <v>0.25</v>
      </c>
      <c r="G379" s="31"/>
      <c r="H379" s="31"/>
      <c r="I379" s="31"/>
      <c r="J379" s="31"/>
    </row>
    <row r="380" spans="1:10" ht="14.4" x14ac:dyDescent="0.3">
      <c r="A380" s="28" t="str">
        <f>B380&amp;C380&amp;D380&amp;E380</f>
        <v>АвтотоварыУход за автомобилемАвтомобильные пылесосыАвтомобильные пылесосы</v>
      </c>
      <c r="B380" s="29" t="s">
        <v>12</v>
      </c>
      <c r="C380" s="29" t="s">
        <v>201</v>
      </c>
      <c r="D380" s="29" t="s">
        <v>202</v>
      </c>
      <c r="E380" s="29" t="s">
        <v>202</v>
      </c>
      <c r="F380" s="30">
        <v>0.25</v>
      </c>
      <c r="G380" s="31"/>
      <c r="H380" s="31"/>
      <c r="I380" s="31"/>
      <c r="J380" s="31"/>
    </row>
    <row r="381" spans="1:10" ht="14.4" x14ac:dyDescent="0.3">
      <c r="A381" s="28" t="str">
        <f>B381&amp;C381&amp;D381&amp;E381</f>
        <v>ОдеждаЖенская одеждаНижнее бельёТермобельё</v>
      </c>
      <c r="B381" s="29" t="s">
        <v>92</v>
      </c>
      <c r="C381" s="29" t="s">
        <v>93</v>
      </c>
      <c r="D381" s="29" t="s">
        <v>113</v>
      </c>
      <c r="E381" s="29" t="s">
        <v>203</v>
      </c>
      <c r="F381" s="30">
        <v>0.25</v>
      </c>
      <c r="G381" s="31"/>
      <c r="H381" s="31"/>
      <c r="I381" s="31"/>
      <c r="J381" s="31"/>
    </row>
    <row r="382" spans="1:10" ht="14.4" x14ac:dyDescent="0.3">
      <c r="A382" s="28" t="str">
        <f>B382&amp;C382&amp;D382&amp;E382</f>
        <v>Спорт и отдыхОтдых на природе, рыбалка и охотаТуризм и отдых на природеПалатки, тенты и шатры</v>
      </c>
      <c r="B382" s="29" t="s">
        <v>101</v>
      </c>
      <c r="C382" s="29" t="s">
        <v>166</v>
      </c>
      <c r="D382" s="29" t="s">
        <v>204</v>
      </c>
      <c r="E382" s="29" t="s">
        <v>205</v>
      </c>
      <c r="F382" s="30">
        <v>0.25</v>
      </c>
      <c r="G382" s="31"/>
      <c r="H382" s="31"/>
      <c r="I382" s="31"/>
      <c r="J382" s="31"/>
    </row>
    <row r="383" spans="1:10" ht="14.4" x14ac:dyDescent="0.3">
      <c r="A383" s="28" t="str">
        <f>B383&amp;C383&amp;D383&amp;E383</f>
        <v>Красота и уходУход за волосамиАксессуары для ухода за волосамиФлаконы дорожные</v>
      </c>
      <c r="B383" s="29" t="s">
        <v>56</v>
      </c>
      <c r="C383" s="29" t="s">
        <v>109</v>
      </c>
      <c r="D383" s="29" t="s">
        <v>110</v>
      </c>
      <c r="E383" s="29" t="s">
        <v>206</v>
      </c>
      <c r="F383" s="30">
        <v>0.25</v>
      </c>
      <c r="G383" s="31"/>
      <c r="H383" s="31"/>
      <c r="I383" s="31"/>
      <c r="J383" s="31"/>
    </row>
    <row r="384" spans="1:10" ht="14.4" x14ac:dyDescent="0.3">
      <c r="A384" s="28" t="str">
        <f>B384&amp;C384&amp;D384&amp;E384</f>
        <v>ЭлектроникаКомпьютерная техникаАксессуары для компьютеровГрафические планшеты и аксессуары</v>
      </c>
      <c r="B384" s="29" t="s">
        <v>67</v>
      </c>
      <c r="C384" s="29" t="s">
        <v>234</v>
      </c>
      <c r="D384" s="29" t="s">
        <v>235</v>
      </c>
      <c r="E384" s="29" t="s">
        <v>236</v>
      </c>
      <c r="F384" s="30">
        <v>0.25</v>
      </c>
      <c r="G384" s="31"/>
      <c r="H384" s="31"/>
      <c r="I384" s="31"/>
      <c r="J384" s="31"/>
    </row>
    <row r="385" spans="1:10" ht="14.4" x14ac:dyDescent="0.3">
      <c r="A385" s="28" t="str">
        <f>B385&amp;C385&amp;D385&amp;E385</f>
        <v>Строительство и ремонтОтделочные материалыАксессуары и расходные материалы для отделочных работАксессуары и расходные материалы для отделочных работ</v>
      </c>
      <c r="B385" s="29" t="s">
        <v>77</v>
      </c>
      <c r="C385" s="29" t="s">
        <v>241</v>
      </c>
      <c r="D385" s="29" t="s">
        <v>242</v>
      </c>
      <c r="E385" s="29" t="s">
        <v>242</v>
      </c>
      <c r="F385" s="30">
        <v>0.25</v>
      </c>
      <c r="G385" s="31"/>
      <c r="H385" s="31"/>
      <c r="I385" s="31"/>
      <c r="J385" s="31"/>
    </row>
    <row r="386" spans="1:10" ht="14.4" x14ac:dyDescent="0.3">
      <c r="A386" s="28" t="str">
        <f>B386&amp;C386&amp;D386&amp;E386</f>
        <v>АвтотоварыАксессуары и принадлежностиТюнинг и внешний декорРамки для номеров</v>
      </c>
      <c r="B386" s="29" t="s">
        <v>12</v>
      </c>
      <c r="C386" s="29" t="s">
        <v>253</v>
      </c>
      <c r="D386" s="29" t="s">
        <v>254</v>
      </c>
      <c r="E386" s="29" t="s">
        <v>255</v>
      </c>
      <c r="F386" s="30">
        <v>0.25</v>
      </c>
      <c r="G386" s="31"/>
      <c r="H386" s="31"/>
      <c r="I386" s="31"/>
      <c r="J386" s="31"/>
    </row>
    <row r="387" spans="1:10" ht="14.4" x14ac:dyDescent="0.3">
      <c r="A387" s="28" t="str">
        <f>B387&amp;C387&amp;D387&amp;E387</f>
        <v>АвтотоварыАксессуары и принадлежностиОбустройство салонаКоврики на торпеду</v>
      </c>
      <c r="B387" s="29" t="s">
        <v>12</v>
      </c>
      <c r="C387" s="29" t="s">
        <v>253</v>
      </c>
      <c r="D387" s="29" t="s">
        <v>256</v>
      </c>
      <c r="E387" s="29" t="s">
        <v>257</v>
      </c>
      <c r="F387" s="30">
        <v>0.25</v>
      </c>
      <c r="G387" s="31"/>
      <c r="H387" s="31"/>
      <c r="I387" s="31"/>
      <c r="J387" s="31"/>
    </row>
    <row r="388" spans="1:10" ht="14.4" x14ac:dyDescent="0.3">
      <c r="A388" s="28" t="str">
        <f>B388&amp;C388&amp;D388&amp;E388</f>
        <v>Спорт и отдыхОтдых на природе, рыбалка и охотаТуризм и отдых на природеСпальные мешки</v>
      </c>
      <c r="B388" s="29" t="s">
        <v>101</v>
      </c>
      <c r="C388" s="29" t="s">
        <v>166</v>
      </c>
      <c r="D388" s="29" t="s">
        <v>204</v>
      </c>
      <c r="E388" s="29" t="s">
        <v>267</v>
      </c>
      <c r="F388" s="30">
        <v>0.25</v>
      </c>
      <c r="G388" s="31"/>
      <c r="H388" s="31"/>
      <c r="I388" s="31"/>
      <c r="J388" s="31"/>
    </row>
    <row r="389" spans="1:10" ht="14.4" x14ac:dyDescent="0.3">
      <c r="A389" s="28" t="str">
        <f>B389&amp;C389&amp;D389&amp;E389</f>
        <v>АвтотоварыАксессуары и принадлежностиПеревозка багажаРемни и резинки</v>
      </c>
      <c r="B389" s="29" t="s">
        <v>12</v>
      </c>
      <c r="C389" s="29" t="s">
        <v>253</v>
      </c>
      <c r="D389" s="29" t="s">
        <v>271</v>
      </c>
      <c r="E389" s="29" t="s">
        <v>272</v>
      </c>
      <c r="F389" s="30">
        <v>0.25</v>
      </c>
      <c r="G389" s="31"/>
      <c r="H389" s="31"/>
      <c r="I389" s="31"/>
      <c r="J389" s="31"/>
    </row>
    <row r="390" spans="1:10" ht="14.4" x14ac:dyDescent="0.3">
      <c r="A390" s="28" t="str">
        <f>B390&amp;C390&amp;D390&amp;E390</f>
        <v>Товары для домаТовары для кухниКухонные аксессуарыСкатерти и подставки под горячее</v>
      </c>
      <c r="B390" s="29" t="s">
        <v>59</v>
      </c>
      <c r="C390" s="29" t="s">
        <v>60</v>
      </c>
      <c r="D390" s="29" t="s">
        <v>273</v>
      </c>
      <c r="E390" s="29" t="s">
        <v>274</v>
      </c>
      <c r="F390" s="30">
        <v>0.25</v>
      </c>
      <c r="G390" s="31"/>
      <c r="H390" s="31"/>
      <c r="I390" s="31"/>
      <c r="J390" s="31"/>
    </row>
    <row r="391" spans="1:10" ht="14.4" x14ac:dyDescent="0.3">
      <c r="A391" s="28" t="str">
        <f>B391&amp;C391&amp;D391&amp;E391</f>
        <v>Красота и уходУход за теломАксессуары для ухода за теломЩетки для сухого массажа</v>
      </c>
      <c r="B391" s="29" t="s">
        <v>56</v>
      </c>
      <c r="C391" s="29" t="s">
        <v>100</v>
      </c>
      <c r="D391" s="29" t="s">
        <v>295</v>
      </c>
      <c r="E391" s="29" t="s">
        <v>296</v>
      </c>
      <c r="F391" s="30">
        <v>0.25</v>
      </c>
      <c r="G391" s="31"/>
      <c r="H391" s="31"/>
      <c r="I391" s="31"/>
      <c r="J391" s="31"/>
    </row>
    <row r="392" spans="1:10" ht="14.4" x14ac:dyDescent="0.3">
      <c r="A392" s="28" t="str">
        <f>B392&amp;C392&amp;D392&amp;E392</f>
        <v>Товары для домаТовары для кухниПорядок на кухнеПодставки для зубочисток</v>
      </c>
      <c r="B392" s="29" t="s">
        <v>59</v>
      </c>
      <c r="C392" s="29" t="s">
        <v>60</v>
      </c>
      <c r="D392" s="29" t="s">
        <v>300</v>
      </c>
      <c r="E392" s="29" t="s">
        <v>301</v>
      </c>
      <c r="F392" s="30">
        <v>0.25</v>
      </c>
      <c r="G392" s="31"/>
      <c r="H392" s="31"/>
      <c r="I392" s="31"/>
      <c r="J392" s="31"/>
    </row>
    <row r="393" spans="1:10" ht="14.4" x14ac:dyDescent="0.3">
      <c r="A393" s="28" t="str">
        <f>B393&amp;C393&amp;D393&amp;E393</f>
        <v>ЗоотоварыДля сельскохозяйственных животныхДля лошадейДля лошадей</v>
      </c>
      <c r="B393" s="29" t="s">
        <v>214</v>
      </c>
      <c r="C393" s="29" t="s">
        <v>316</v>
      </c>
      <c r="D393" s="29" t="s">
        <v>317</v>
      </c>
      <c r="E393" s="29" t="s">
        <v>317</v>
      </c>
      <c r="F393" s="30">
        <v>0.25</v>
      </c>
      <c r="G393" s="31"/>
      <c r="H393" s="31"/>
      <c r="I393" s="31"/>
      <c r="J393" s="31"/>
    </row>
    <row r="394" spans="1:10" ht="14.4" x14ac:dyDescent="0.3">
      <c r="A394" s="28" t="str">
        <f>B394&amp;C394&amp;D394&amp;E394</f>
        <v>Товары для домаТовары для кухниАксессуары для напитковВедерки для льда</v>
      </c>
      <c r="B394" s="29" t="s">
        <v>59</v>
      </c>
      <c r="C394" s="29" t="s">
        <v>60</v>
      </c>
      <c r="D394" s="29" t="s">
        <v>346</v>
      </c>
      <c r="E394" s="29" t="s">
        <v>347</v>
      </c>
      <c r="F394" s="30">
        <v>0.25</v>
      </c>
      <c r="G394" s="31"/>
      <c r="H394" s="31"/>
      <c r="I394" s="31"/>
      <c r="J394" s="31"/>
    </row>
    <row r="395" spans="1:10" ht="14.4" x14ac:dyDescent="0.3">
      <c r="A395" s="28" t="str">
        <f>B395&amp;C395&amp;D395&amp;E395</f>
        <v>Строительство и ремонтРучной инструмент и оснасткаКрепежВинты и болты</v>
      </c>
      <c r="B395" s="29" t="s">
        <v>77</v>
      </c>
      <c r="C395" s="29" t="s">
        <v>127</v>
      </c>
      <c r="D395" s="29" t="s">
        <v>350</v>
      </c>
      <c r="E395" s="29" t="s">
        <v>351</v>
      </c>
      <c r="F395" s="30">
        <v>0.25</v>
      </c>
      <c r="G395" s="31"/>
      <c r="H395" s="31"/>
      <c r="I395" s="31"/>
      <c r="J395" s="31"/>
    </row>
    <row r="396" spans="1:10" ht="14.4" x14ac:dyDescent="0.3">
      <c r="A396" s="28" t="str">
        <f>B396&amp;C396&amp;D396&amp;E396</f>
        <v>Дача, сад и огородСадовый инструментУход за территориейТовары для полива</v>
      </c>
      <c r="B396" s="29" t="s">
        <v>352</v>
      </c>
      <c r="C396" s="29" t="s">
        <v>353</v>
      </c>
      <c r="D396" s="29" t="s">
        <v>354</v>
      </c>
      <c r="E396" s="29" t="s">
        <v>355</v>
      </c>
      <c r="F396" s="30">
        <v>0.25</v>
      </c>
      <c r="G396" s="31"/>
      <c r="H396" s="31"/>
      <c r="I396" s="31"/>
      <c r="J396" s="31"/>
    </row>
    <row r="397" spans="1:10" ht="14.4" x14ac:dyDescent="0.3">
      <c r="A397" s="28" t="str">
        <f>B397&amp;C397&amp;D397&amp;E397</f>
        <v>ОдеждаЖенская одеждаСпортивная одеждаСпортивные комбинезоны</v>
      </c>
      <c r="B397" s="29" t="s">
        <v>92</v>
      </c>
      <c r="C397" s="29" t="s">
        <v>93</v>
      </c>
      <c r="D397" s="29" t="s">
        <v>158</v>
      </c>
      <c r="E397" s="29" t="s">
        <v>376</v>
      </c>
      <c r="F397" s="30">
        <v>0.25</v>
      </c>
      <c r="G397" s="31"/>
      <c r="H397" s="31"/>
      <c r="I397" s="31"/>
      <c r="J397" s="31"/>
    </row>
    <row r="398" spans="1:10" ht="14.4" x14ac:dyDescent="0.3">
      <c r="A398" s="28" t="str">
        <f>B398&amp;C398&amp;D398&amp;E398</f>
        <v>Строительство и ремонтОсвещениеНочникиНочники</v>
      </c>
      <c r="B398" s="29" t="s">
        <v>77</v>
      </c>
      <c r="C398" s="29" t="s">
        <v>386</v>
      </c>
      <c r="D398" s="29" t="s">
        <v>387</v>
      </c>
      <c r="E398" s="29" t="s">
        <v>387</v>
      </c>
      <c r="F398" s="30">
        <v>0.25</v>
      </c>
      <c r="G398" s="31"/>
      <c r="H398" s="31"/>
      <c r="I398" s="31"/>
      <c r="J398" s="31"/>
    </row>
    <row r="399" spans="1:10" ht="14.4" x14ac:dyDescent="0.3">
      <c r="A399" s="28" t="str">
        <f>B399&amp;C399&amp;D399&amp;E399</f>
        <v>Строительство и ремонтСантехникаКомплектующие для душевых кабинКомплектующие для душевых кабин</v>
      </c>
      <c r="B399" s="29" t="s">
        <v>77</v>
      </c>
      <c r="C399" s="29" t="s">
        <v>388</v>
      </c>
      <c r="D399" s="29" t="s">
        <v>389</v>
      </c>
      <c r="E399" s="29" t="s">
        <v>389</v>
      </c>
      <c r="F399" s="30">
        <v>0.25</v>
      </c>
      <c r="G399" s="31"/>
      <c r="H399" s="31"/>
      <c r="I399" s="31"/>
      <c r="J399" s="31"/>
    </row>
    <row r="400" spans="1:10" ht="14.4" x14ac:dyDescent="0.3">
      <c r="A400" s="28" t="str">
        <f>B400&amp;C400&amp;D400&amp;E400</f>
        <v>Дача, сад и огородСадовый инструментОбработка почвыВилы, кирки, культиваторы</v>
      </c>
      <c r="B400" s="29" t="s">
        <v>352</v>
      </c>
      <c r="C400" s="29" t="s">
        <v>353</v>
      </c>
      <c r="D400" s="29" t="s">
        <v>393</v>
      </c>
      <c r="E400" s="29" t="s">
        <v>394</v>
      </c>
      <c r="F400" s="30">
        <v>0.25</v>
      </c>
      <c r="G400" s="31"/>
      <c r="H400" s="31"/>
      <c r="I400" s="31"/>
      <c r="J400" s="31"/>
    </row>
    <row r="401" spans="1:10" ht="14.4" x14ac:dyDescent="0.3">
      <c r="A401" s="28" t="str">
        <f>B401&amp;C401&amp;D401&amp;E401</f>
        <v>Детские товарыДетская комнатаЗащита и безопасностьБлокираторы</v>
      </c>
      <c r="B401" s="29" t="s">
        <v>105</v>
      </c>
      <c r="C401" s="29" t="s">
        <v>397</v>
      </c>
      <c r="D401" s="29" t="s">
        <v>398</v>
      </c>
      <c r="E401" s="29" t="s">
        <v>399</v>
      </c>
      <c r="F401" s="30">
        <v>0.25</v>
      </c>
      <c r="G401" s="31"/>
      <c r="H401" s="31"/>
      <c r="I401" s="31"/>
      <c r="J401" s="31"/>
    </row>
    <row r="402" spans="1:10" ht="14.4" x14ac:dyDescent="0.3">
      <c r="A402" s="28" t="str">
        <f>B402&amp;C402&amp;D402&amp;E402</f>
        <v>Товары для домаТовары для кухниЧайники и кофейникиСитечки для заварки</v>
      </c>
      <c r="B402" s="29" t="s">
        <v>59</v>
      </c>
      <c r="C402" s="29" t="s">
        <v>60</v>
      </c>
      <c r="D402" s="29" t="s">
        <v>400</v>
      </c>
      <c r="E402" s="29" t="s">
        <v>401</v>
      </c>
      <c r="F402" s="30">
        <v>0.25</v>
      </c>
      <c r="G402" s="31"/>
      <c r="H402" s="31"/>
      <c r="I402" s="31"/>
      <c r="J402" s="31"/>
    </row>
    <row r="403" spans="1:10" ht="14.4" x14ac:dyDescent="0.3">
      <c r="A403" s="28" t="str">
        <f>B403&amp;C403&amp;D403&amp;E403</f>
        <v>ОдеждаМужская одеждаСпортивная одеждаСпортивные брюки</v>
      </c>
      <c r="B403" s="29" t="s">
        <v>92</v>
      </c>
      <c r="C403" s="29" t="s">
        <v>112</v>
      </c>
      <c r="D403" s="29" t="s">
        <v>158</v>
      </c>
      <c r="E403" s="29" t="s">
        <v>405</v>
      </c>
      <c r="F403" s="30">
        <v>0.25</v>
      </c>
      <c r="G403" s="31"/>
      <c r="H403" s="31"/>
      <c r="I403" s="31"/>
      <c r="J403" s="31"/>
    </row>
    <row r="404" spans="1:10" ht="14.4" x14ac:dyDescent="0.3">
      <c r="A404" s="28" t="str">
        <f>B404&amp;C404&amp;D404&amp;E404</f>
        <v>ОдеждаЖенская одеждаНижнее бельёОткровенное бельё и костюмы</v>
      </c>
      <c r="B404" s="29" t="s">
        <v>92</v>
      </c>
      <c r="C404" s="29" t="s">
        <v>93</v>
      </c>
      <c r="D404" s="29" t="s">
        <v>113</v>
      </c>
      <c r="E404" s="29" t="s">
        <v>114</v>
      </c>
      <c r="F404" s="30">
        <v>0.25</v>
      </c>
      <c r="G404" s="31"/>
      <c r="H404" s="31"/>
      <c r="I404" s="31"/>
      <c r="J404" s="31"/>
    </row>
    <row r="405" spans="1:10" ht="14.4" x14ac:dyDescent="0.3">
      <c r="A405" s="28" t="str">
        <f>B405&amp;C405&amp;D405&amp;E405</f>
        <v>Товары для домаТовары для кухниИзмельчители и соковыжималкиРучные измельчители</v>
      </c>
      <c r="B405" s="29" t="s">
        <v>59</v>
      </c>
      <c r="C405" s="29" t="s">
        <v>60</v>
      </c>
      <c r="D405" s="29" t="s">
        <v>154</v>
      </c>
      <c r="E405" s="29" t="s">
        <v>417</v>
      </c>
      <c r="F405" s="30">
        <v>0.25</v>
      </c>
      <c r="G405" s="31"/>
      <c r="H405" s="31"/>
      <c r="I405" s="31"/>
      <c r="J405" s="31"/>
    </row>
    <row r="406" spans="1:10" ht="14.4" x14ac:dyDescent="0.3">
      <c r="A406" s="28" t="str">
        <f>B406&amp;C406&amp;D406&amp;E406</f>
        <v>ОдеждаЖенская одеждаТуникиТуники</v>
      </c>
      <c r="B406" s="29" t="s">
        <v>92</v>
      </c>
      <c r="C406" s="29" t="s">
        <v>93</v>
      </c>
      <c r="D406" s="29" t="s">
        <v>423</v>
      </c>
      <c r="E406" s="29" t="s">
        <v>423</v>
      </c>
      <c r="F406" s="30">
        <v>0.25</v>
      </c>
      <c r="G406" s="31"/>
      <c r="H406" s="31"/>
      <c r="I406" s="31"/>
      <c r="J406" s="31"/>
    </row>
    <row r="407" spans="1:10" ht="14.4" x14ac:dyDescent="0.3">
      <c r="A407" s="28" t="str">
        <f>B407&amp;C407&amp;D407&amp;E407</f>
        <v>ОдеждаМужская одеждаДжемперы, свитеры и кардиганыДжемперы и пуловеры</v>
      </c>
      <c r="B407" s="29" t="s">
        <v>92</v>
      </c>
      <c r="C407" s="29" t="s">
        <v>112</v>
      </c>
      <c r="D407" s="29" t="s">
        <v>424</v>
      </c>
      <c r="E407" s="29" t="s">
        <v>425</v>
      </c>
      <c r="F407" s="30">
        <v>0.25</v>
      </c>
      <c r="G407" s="31"/>
      <c r="H407" s="31"/>
      <c r="I407" s="31"/>
      <c r="J407" s="31"/>
    </row>
    <row r="408" spans="1:10" ht="14.4" x14ac:dyDescent="0.3">
      <c r="A408" s="28" t="str">
        <f>B408&amp;C408&amp;D408&amp;E408</f>
        <v>Спорт и отдыхВиды спортаБаскетболБаскетбольные мячи</v>
      </c>
      <c r="B408" s="29" t="s">
        <v>101</v>
      </c>
      <c r="C408" s="29" t="s">
        <v>446</v>
      </c>
      <c r="D408" s="29" t="s">
        <v>447</v>
      </c>
      <c r="E408" s="29" t="s">
        <v>448</v>
      </c>
      <c r="F408" s="30">
        <v>0.25</v>
      </c>
      <c r="G408" s="31"/>
      <c r="H408" s="31"/>
      <c r="I408" s="31"/>
      <c r="J408" s="31"/>
    </row>
    <row r="409" spans="1:10" ht="14.4" x14ac:dyDescent="0.3">
      <c r="A409" s="28" t="str">
        <f>B409&amp;C409&amp;D409&amp;E409</f>
        <v>ОдеждаМужская одеждаФутболки и полоКомплекты футболок и поло</v>
      </c>
      <c r="B409" s="29" t="s">
        <v>92</v>
      </c>
      <c r="C409" s="29" t="s">
        <v>112</v>
      </c>
      <c r="D409" s="29" t="s">
        <v>457</v>
      </c>
      <c r="E409" s="29" t="s">
        <v>458</v>
      </c>
      <c r="F409" s="30">
        <v>0.25</v>
      </c>
      <c r="G409" s="31"/>
      <c r="H409" s="31"/>
      <c r="I409" s="31"/>
      <c r="J409" s="31"/>
    </row>
    <row r="410" spans="1:10" ht="14.4" x14ac:dyDescent="0.3">
      <c r="A410" s="28" t="str">
        <f>B410&amp;C410&amp;D410&amp;E410</f>
        <v>ОдеждаМужская одеждаБрюкиКлассические брюки</v>
      </c>
      <c r="B410" s="29" t="s">
        <v>92</v>
      </c>
      <c r="C410" s="29" t="s">
        <v>112</v>
      </c>
      <c r="D410" s="29" t="s">
        <v>460</v>
      </c>
      <c r="E410" s="29" t="s">
        <v>461</v>
      </c>
      <c r="F410" s="30">
        <v>0.25</v>
      </c>
      <c r="G410" s="31"/>
      <c r="H410" s="31"/>
      <c r="I410" s="31"/>
      <c r="J410" s="31"/>
    </row>
    <row r="411" spans="1:10" ht="14.4" x14ac:dyDescent="0.3">
      <c r="A411" s="28" t="str">
        <f>B411&amp;C411&amp;D411&amp;E411</f>
        <v>Строительство и ремонтРучной инструмент и оснасткаКлючиДинамометрические ключи</v>
      </c>
      <c r="B411" s="29" t="s">
        <v>77</v>
      </c>
      <c r="C411" s="29" t="s">
        <v>127</v>
      </c>
      <c r="D411" s="29" t="s">
        <v>462</v>
      </c>
      <c r="E411" s="29" t="s">
        <v>463</v>
      </c>
      <c r="F411" s="30">
        <v>0.25</v>
      </c>
      <c r="G411" s="31"/>
      <c r="H411" s="31"/>
      <c r="I411" s="31"/>
      <c r="J411" s="31"/>
    </row>
    <row r="412" spans="1:10" ht="14.4" x14ac:dyDescent="0.3">
      <c r="A412" s="28" t="str">
        <f>B412&amp;C412&amp;D412&amp;E412</f>
        <v>ОдеждаМужская одеждаДомашняя одеждаДомашние брюки и шорты</v>
      </c>
      <c r="B412" s="29" t="s">
        <v>92</v>
      </c>
      <c r="C412" s="29" t="s">
        <v>112</v>
      </c>
      <c r="D412" s="29" t="s">
        <v>469</v>
      </c>
      <c r="E412" s="29" t="s">
        <v>470</v>
      </c>
      <c r="F412" s="30">
        <v>0.25</v>
      </c>
      <c r="G412" s="31"/>
      <c r="H412" s="31"/>
      <c r="I412" s="31"/>
      <c r="J412" s="31"/>
    </row>
    <row r="413" spans="1:10" ht="14.4" x14ac:dyDescent="0.3">
      <c r="A413" s="28" t="str">
        <f>B413&amp;C413&amp;D413&amp;E413</f>
        <v>ОдеждаМужская одеждаВерхняя одеждаБомберы</v>
      </c>
      <c r="B413" s="29" t="s">
        <v>92</v>
      </c>
      <c r="C413" s="29" t="s">
        <v>112</v>
      </c>
      <c r="D413" s="29" t="s">
        <v>144</v>
      </c>
      <c r="E413" s="29" t="s">
        <v>471</v>
      </c>
      <c r="F413" s="30">
        <v>0.25</v>
      </c>
      <c r="G413" s="31"/>
      <c r="H413" s="31"/>
      <c r="I413" s="31"/>
      <c r="J413" s="31"/>
    </row>
    <row r="414" spans="1:10" ht="14.4" x14ac:dyDescent="0.3">
      <c r="A414" s="28" t="str">
        <f>B414&amp;C414&amp;D414&amp;E414</f>
        <v>Товары для домаТовары для кухниАксессуары для напитковДиспенсеры для напитков</v>
      </c>
      <c r="B414" s="29" t="s">
        <v>59</v>
      </c>
      <c r="C414" s="29" t="s">
        <v>60</v>
      </c>
      <c r="D414" s="29" t="s">
        <v>346</v>
      </c>
      <c r="E414" s="29" t="s">
        <v>472</v>
      </c>
      <c r="F414" s="30">
        <v>0.25</v>
      </c>
      <c r="G414" s="31"/>
      <c r="H414" s="31"/>
      <c r="I414" s="31"/>
      <c r="J414" s="31"/>
    </row>
    <row r="415" spans="1:10" ht="14.4" x14ac:dyDescent="0.3">
      <c r="A415" s="28" t="str">
        <f>B415&amp;C415&amp;D415&amp;E415</f>
        <v>ОдеждаЖенская одеждаФутболки и полоФутболки</v>
      </c>
      <c r="B415" s="29" t="s">
        <v>92</v>
      </c>
      <c r="C415" s="29" t="s">
        <v>93</v>
      </c>
      <c r="D415" s="29" t="s">
        <v>457</v>
      </c>
      <c r="E415" s="29" t="s">
        <v>485</v>
      </c>
      <c r="F415" s="30">
        <v>0.25</v>
      </c>
      <c r="G415" s="31"/>
      <c r="H415" s="31"/>
      <c r="I415" s="31"/>
      <c r="J415" s="31"/>
    </row>
    <row r="416" spans="1:10" ht="14.4" x14ac:dyDescent="0.3">
      <c r="A416" s="28" t="str">
        <f>B416&amp;C416&amp;D416&amp;E416</f>
        <v>АвтотоварыАксессуары и принадлежностиОбустройство салонаВешалки автомобильные</v>
      </c>
      <c r="B416" s="29" t="s">
        <v>12</v>
      </c>
      <c r="C416" s="29" t="s">
        <v>253</v>
      </c>
      <c r="D416" s="29" t="s">
        <v>256</v>
      </c>
      <c r="E416" s="29" t="s">
        <v>489</v>
      </c>
      <c r="F416" s="30">
        <v>0.25</v>
      </c>
      <c r="G416" s="31"/>
      <c r="H416" s="31"/>
      <c r="I416" s="31"/>
      <c r="J416" s="31"/>
    </row>
    <row r="417" spans="1:10" ht="14.4" x14ac:dyDescent="0.3">
      <c r="A417" s="28" t="str">
        <f>B417&amp;C417&amp;D417&amp;E417</f>
        <v>ЗдоровьеМассажеры и массажное оборудованиеБанки массажныеБанки массажные</v>
      </c>
      <c r="B417" s="29" t="s">
        <v>116</v>
      </c>
      <c r="C417" s="29" t="s">
        <v>495</v>
      </c>
      <c r="D417" s="29" t="s">
        <v>496</v>
      </c>
      <c r="E417" s="29" t="s">
        <v>496</v>
      </c>
      <c r="F417" s="30">
        <v>0.25</v>
      </c>
      <c r="G417" s="31"/>
      <c r="H417" s="31"/>
      <c r="I417" s="31"/>
      <c r="J417" s="31"/>
    </row>
    <row r="418" spans="1:10" ht="14.4" x14ac:dyDescent="0.3">
      <c r="A418" s="28" t="str">
        <f>B418&amp;C418&amp;D418&amp;E418</f>
        <v>Товары для домаТовары для кухниТермосы и термокружкиТермосы</v>
      </c>
      <c r="B418" s="29" t="s">
        <v>59</v>
      </c>
      <c r="C418" s="29" t="s">
        <v>60</v>
      </c>
      <c r="D418" s="29" t="s">
        <v>501</v>
      </c>
      <c r="E418" s="29" t="s">
        <v>502</v>
      </c>
      <c r="F418" s="30">
        <v>0.25</v>
      </c>
      <c r="G418" s="31"/>
      <c r="H418" s="31"/>
      <c r="I418" s="31"/>
      <c r="J418" s="31"/>
    </row>
    <row r="419" spans="1:10" ht="14.4" x14ac:dyDescent="0.3">
      <c r="A419" s="28" t="str">
        <f>B419&amp;C419&amp;D419&amp;E419</f>
        <v>ОдеждаЖенская одеждаФутболки и полоКомплекты футболок и поло</v>
      </c>
      <c r="B419" s="29" t="s">
        <v>92</v>
      </c>
      <c r="C419" s="29" t="s">
        <v>93</v>
      </c>
      <c r="D419" s="29" t="s">
        <v>457</v>
      </c>
      <c r="E419" s="29" t="s">
        <v>458</v>
      </c>
      <c r="F419" s="30">
        <v>0.25</v>
      </c>
      <c r="G419" s="31"/>
      <c r="H419" s="31"/>
      <c r="I419" s="31"/>
      <c r="J419" s="31"/>
    </row>
    <row r="420" spans="1:10" ht="14.4" x14ac:dyDescent="0.3">
      <c r="A420" s="28" t="str">
        <f>B420&amp;C420&amp;D420&amp;E420</f>
        <v>ОдеждаМужская одеждаБрюкиПовседневные брюки</v>
      </c>
      <c r="B420" s="29" t="s">
        <v>92</v>
      </c>
      <c r="C420" s="29" t="s">
        <v>112</v>
      </c>
      <c r="D420" s="29" t="s">
        <v>460</v>
      </c>
      <c r="E420" s="29" t="s">
        <v>520</v>
      </c>
      <c r="F420" s="30">
        <v>0.25</v>
      </c>
      <c r="G420" s="31"/>
      <c r="H420" s="31"/>
      <c r="I420" s="31"/>
      <c r="J420" s="31"/>
    </row>
    <row r="421" spans="1:10" ht="14.4" x14ac:dyDescent="0.3">
      <c r="A421" s="28" t="str">
        <f>B421&amp;C421&amp;D421&amp;E421</f>
        <v>АвтотоварыАксессуары и принадлежностиАварийные принадлежностиАвтомобильные фонари</v>
      </c>
      <c r="B421" s="29" t="s">
        <v>12</v>
      </c>
      <c r="C421" s="29" t="s">
        <v>253</v>
      </c>
      <c r="D421" s="29" t="s">
        <v>528</v>
      </c>
      <c r="E421" s="29" t="s">
        <v>529</v>
      </c>
      <c r="F421" s="30">
        <v>0.25</v>
      </c>
      <c r="G421" s="31"/>
      <c r="H421" s="31"/>
      <c r="I421" s="31"/>
      <c r="J421" s="31"/>
    </row>
    <row r="422" spans="1:10" ht="14.4" x14ac:dyDescent="0.3">
      <c r="A422" s="28" t="str">
        <f>B422&amp;C422&amp;D422&amp;E422</f>
        <v>ОдеждаМужская одеждаОдежда больших размеровМайки</v>
      </c>
      <c r="B422" s="29" t="s">
        <v>92</v>
      </c>
      <c r="C422" s="29" t="s">
        <v>112</v>
      </c>
      <c r="D422" s="29" t="s">
        <v>532</v>
      </c>
      <c r="E422" s="29" t="s">
        <v>533</v>
      </c>
      <c r="F422" s="30">
        <v>0.25</v>
      </c>
      <c r="G422" s="31"/>
      <c r="H422" s="31"/>
      <c r="I422" s="31"/>
      <c r="J422" s="31"/>
    </row>
    <row r="423" spans="1:10" ht="14.4" x14ac:dyDescent="0.3">
      <c r="A423" s="28" t="str">
        <f>B423&amp;C423&amp;D423&amp;E423</f>
        <v>АвтотоварыАксессуары и принадлежностиТюнинг и внешний декорНакладки на задний бампер</v>
      </c>
      <c r="B423" s="29" t="s">
        <v>12</v>
      </c>
      <c r="C423" s="29" t="s">
        <v>253</v>
      </c>
      <c r="D423" s="29" t="s">
        <v>254</v>
      </c>
      <c r="E423" s="29" t="s">
        <v>536</v>
      </c>
      <c r="F423" s="30">
        <v>0.25</v>
      </c>
      <c r="G423" s="31"/>
      <c r="H423" s="31"/>
      <c r="I423" s="31"/>
      <c r="J423" s="31"/>
    </row>
    <row r="424" spans="1:10" ht="14.4" x14ac:dyDescent="0.3">
      <c r="A424" s="28" t="str">
        <f>B424&amp;C424&amp;D424&amp;E424</f>
        <v>Строительство и ремонтРучной инструмент и оснасткаЗажимные инструментыСтеклодомкрат</v>
      </c>
      <c r="B424" s="29" t="s">
        <v>77</v>
      </c>
      <c r="C424" s="29" t="s">
        <v>127</v>
      </c>
      <c r="D424" s="29" t="s">
        <v>541</v>
      </c>
      <c r="E424" s="29" t="s">
        <v>542</v>
      </c>
      <c r="F424" s="30">
        <v>0.25</v>
      </c>
      <c r="G424" s="31"/>
      <c r="H424" s="31"/>
      <c r="I424" s="31"/>
      <c r="J424" s="31"/>
    </row>
    <row r="425" spans="1:10" ht="14.4" x14ac:dyDescent="0.3">
      <c r="A425" s="28" t="str">
        <f>B425&amp;C425&amp;D425&amp;E425</f>
        <v>ОдеждаЖенская одеждаПлатья и сарафаныПлатья-футляр</v>
      </c>
      <c r="B425" s="29" t="s">
        <v>92</v>
      </c>
      <c r="C425" s="29" t="s">
        <v>93</v>
      </c>
      <c r="D425" s="29" t="s">
        <v>94</v>
      </c>
      <c r="E425" s="29" t="s">
        <v>543</v>
      </c>
      <c r="F425" s="30">
        <v>0.25</v>
      </c>
      <c r="G425" s="31"/>
      <c r="H425" s="31"/>
      <c r="I425" s="31"/>
      <c r="J425" s="31"/>
    </row>
    <row r="426" spans="1:10" ht="14.4" x14ac:dyDescent="0.3">
      <c r="A426" s="28" t="str">
        <f>B426&amp;C426&amp;D426&amp;E426</f>
        <v>ОдеждаМужская одеждаДжинсыЗауженные джинсы</v>
      </c>
      <c r="B426" s="29" t="s">
        <v>92</v>
      </c>
      <c r="C426" s="29" t="s">
        <v>112</v>
      </c>
      <c r="D426" s="29" t="s">
        <v>544</v>
      </c>
      <c r="E426" s="29" t="s">
        <v>545</v>
      </c>
      <c r="F426" s="30">
        <v>0.25</v>
      </c>
      <c r="G426" s="31"/>
      <c r="H426" s="31"/>
      <c r="I426" s="31"/>
      <c r="J426" s="31"/>
    </row>
    <row r="427" spans="1:10" ht="14.4" x14ac:dyDescent="0.3">
      <c r="A427" s="28" t="str">
        <f>B427&amp;C427&amp;D427&amp;E427</f>
        <v>Строительство и ремонтОсвещениеОсвещение для садаОсвещение для сада</v>
      </c>
      <c r="B427" s="29" t="s">
        <v>77</v>
      </c>
      <c r="C427" s="29" t="s">
        <v>386</v>
      </c>
      <c r="D427" s="29" t="s">
        <v>547</v>
      </c>
      <c r="E427" s="29" t="s">
        <v>547</v>
      </c>
      <c r="F427" s="30">
        <v>0.25</v>
      </c>
      <c r="G427" s="31"/>
      <c r="H427" s="31"/>
      <c r="I427" s="31"/>
      <c r="J427" s="31"/>
    </row>
    <row r="428" spans="1:10" ht="14.4" x14ac:dyDescent="0.3">
      <c r="A428" s="28" t="str">
        <f>B428&amp;C428&amp;D428&amp;E428</f>
        <v>Строительство и ремонтВентиляцияКанальные вентиляторыКанальные вентиляторы</v>
      </c>
      <c r="B428" s="29" t="s">
        <v>77</v>
      </c>
      <c r="C428" s="29" t="s">
        <v>548</v>
      </c>
      <c r="D428" s="29" t="s">
        <v>549</v>
      </c>
      <c r="E428" s="29" t="s">
        <v>549</v>
      </c>
      <c r="F428" s="30">
        <v>0.25</v>
      </c>
      <c r="G428" s="31"/>
      <c r="H428" s="31"/>
      <c r="I428" s="31"/>
      <c r="J428" s="31"/>
    </row>
    <row r="429" spans="1:10" ht="14.4" x14ac:dyDescent="0.3">
      <c r="A429" s="28" t="str">
        <f>B429&amp;C429&amp;D429&amp;E429</f>
        <v>ОдеждаЖенская одеждаТопы и майкиТопы на бретелях</v>
      </c>
      <c r="B429" s="29" t="s">
        <v>92</v>
      </c>
      <c r="C429" s="29" t="s">
        <v>93</v>
      </c>
      <c r="D429" s="29" t="s">
        <v>550</v>
      </c>
      <c r="E429" s="29" t="s">
        <v>551</v>
      </c>
      <c r="F429" s="30">
        <v>0.25</v>
      </c>
      <c r="G429" s="31"/>
      <c r="H429" s="31"/>
      <c r="I429" s="31"/>
      <c r="J429" s="31"/>
    </row>
    <row r="430" spans="1:10" ht="14.4" x14ac:dyDescent="0.3">
      <c r="A430" s="28" t="str">
        <f>B430&amp;C430&amp;D430&amp;E430</f>
        <v>Спорт и отдыхВиды спортаТеннис и бадминтонНастольный теннис</v>
      </c>
      <c r="B430" s="29" t="s">
        <v>101</v>
      </c>
      <c r="C430" s="29" t="s">
        <v>446</v>
      </c>
      <c r="D430" s="29" t="s">
        <v>563</v>
      </c>
      <c r="E430" s="29" t="s">
        <v>564</v>
      </c>
      <c r="F430" s="30">
        <v>0.25</v>
      </c>
      <c r="G430" s="31"/>
      <c r="H430" s="31"/>
      <c r="I430" s="31"/>
      <c r="J430" s="31"/>
    </row>
    <row r="431" spans="1:10" ht="14.4" x14ac:dyDescent="0.3">
      <c r="A431" s="28" t="str">
        <f>B431&amp;C431&amp;D431&amp;E431</f>
        <v>ОдеждаЖенская одеждаЮбкиКожаные юбки</v>
      </c>
      <c r="B431" s="29" t="s">
        <v>92</v>
      </c>
      <c r="C431" s="29" t="s">
        <v>93</v>
      </c>
      <c r="D431" s="29" t="s">
        <v>570</v>
      </c>
      <c r="E431" s="29" t="s">
        <v>571</v>
      </c>
      <c r="F431" s="30">
        <v>0.25</v>
      </c>
      <c r="G431" s="31"/>
      <c r="H431" s="31"/>
      <c r="I431" s="31"/>
      <c r="J431" s="31"/>
    </row>
    <row r="432" spans="1:10" ht="14.4" x14ac:dyDescent="0.3">
      <c r="A432" s="28" t="str">
        <f>B432&amp;C432&amp;D432&amp;E432</f>
        <v>Строительство и ремонтРучной инструмент и оснасткаКлючиШестигранные ключи</v>
      </c>
      <c r="B432" s="29" t="s">
        <v>77</v>
      </c>
      <c r="C432" s="29" t="s">
        <v>127</v>
      </c>
      <c r="D432" s="29" t="s">
        <v>462</v>
      </c>
      <c r="E432" s="29" t="s">
        <v>577</v>
      </c>
      <c r="F432" s="30">
        <v>0.25</v>
      </c>
      <c r="G432" s="31"/>
      <c r="H432" s="31"/>
      <c r="I432" s="31"/>
      <c r="J432" s="31"/>
    </row>
    <row r="433" spans="1:10" ht="14.4" x14ac:dyDescent="0.3">
      <c r="A433" s="28" t="str">
        <f>B433&amp;C433&amp;D433&amp;E433</f>
        <v>ЗоотоварыДля грызуновМиски, поилки и кормушки для грызуновКормушки</v>
      </c>
      <c r="B433" s="29" t="s">
        <v>214</v>
      </c>
      <c r="C433" s="29" t="s">
        <v>215</v>
      </c>
      <c r="D433" s="29" t="s">
        <v>584</v>
      </c>
      <c r="E433" s="29" t="s">
        <v>585</v>
      </c>
      <c r="F433" s="30">
        <v>0.25</v>
      </c>
      <c r="G433" s="31"/>
      <c r="H433" s="31"/>
      <c r="I433" s="31"/>
      <c r="J433" s="31"/>
    </row>
    <row r="434" spans="1:10" ht="14.4" x14ac:dyDescent="0.3">
      <c r="A434" s="28" t="str">
        <f>B434&amp;C434&amp;D434&amp;E434</f>
        <v>Строительство и ремонтОсвещениеОсвещение для жилого помещенияОсвещение для жилого помещения</v>
      </c>
      <c r="B434" s="29" t="s">
        <v>77</v>
      </c>
      <c r="C434" s="29" t="s">
        <v>386</v>
      </c>
      <c r="D434" s="29" t="s">
        <v>589</v>
      </c>
      <c r="E434" s="29" t="s">
        <v>589</v>
      </c>
      <c r="F434" s="30">
        <v>0.25</v>
      </c>
      <c r="G434" s="31"/>
      <c r="H434" s="31"/>
      <c r="I434" s="31"/>
      <c r="J434" s="31"/>
    </row>
    <row r="435" spans="1:10" ht="14.4" x14ac:dyDescent="0.3">
      <c r="A435" s="28" t="str">
        <f>B435&amp;C435&amp;D435&amp;E435</f>
        <v>ОдеждаМужская одеждаВерхняя одеждаШубы и дубленки</v>
      </c>
      <c r="B435" s="29" t="s">
        <v>92</v>
      </c>
      <c r="C435" s="29" t="s">
        <v>112</v>
      </c>
      <c r="D435" s="29" t="s">
        <v>144</v>
      </c>
      <c r="E435" s="29" t="s">
        <v>592</v>
      </c>
      <c r="F435" s="30">
        <v>0.25</v>
      </c>
      <c r="G435" s="31"/>
      <c r="H435" s="31"/>
      <c r="I435" s="31"/>
      <c r="J435" s="31"/>
    </row>
    <row r="436" spans="1:10" ht="14.4" x14ac:dyDescent="0.3">
      <c r="A436" s="28" t="str">
        <f>B436&amp;C436&amp;D436&amp;E436</f>
        <v>ОдеждаЖенская одеждаОдежда больших размеровБлузы и рубашки</v>
      </c>
      <c r="B436" s="29" t="s">
        <v>92</v>
      </c>
      <c r="C436" s="29" t="s">
        <v>93</v>
      </c>
      <c r="D436" s="29" t="s">
        <v>532</v>
      </c>
      <c r="E436" s="29" t="s">
        <v>599</v>
      </c>
      <c r="F436" s="30">
        <v>0.25</v>
      </c>
      <c r="G436" s="31"/>
      <c r="H436" s="31"/>
      <c r="I436" s="31"/>
      <c r="J436" s="31"/>
    </row>
    <row r="437" spans="1:10" ht="14.4" x14ac:dyDescent="0.3">
      <c r="A437" s="28" t="str">
        <f>B437&amp;C437&amp;D437&amp;E437</f>
        <v>ОдеждаЖенская одеждаДомашняя одеждаДомашние комплекты</v>
      </c>
      <c r="B437" s="29" t="s">
        <v>92</v>
      </c>
      <c r="C437" s="29" t="s">
        <v>93</v>
      </c>
      <c r="D437" s="29" t="s">
        <v>469</v>
      </c>
      <c r="E437" s="29" t="s">
        <v>604</v>
      </c>
      <c r="F437" s="30">
        <v>0.25</v>
      </c>
      <c r="G437" s="31"/>
      <c r="H437" s="31"/>
      <c r="I437" s="31"/>
      <c r="J437" s="31"/>
    </row>
    <row r="438" spans="1:10" ht="14.4" x14ac:dyDescent="0.3">
      <c r="A438" s="28" t="str">
        <f>B438&amp;C438&amp;D438&amp;E438</f>
        <v>ОдеждаЖенская одеждаВерхняя одеждаДжинсовые куртки</v>
      </c>
      <c r="B438" s="29" t="s">
        <v>92</v>
      </c>
      <c r="C438" s="29" t="s">
        <v>93</v>
      </c>
      <c r="D438" s="29" t="s">
        <v>144</v>
      </c>
      <c r="E438" s="29" t="s">
        <v>608</v>
      </c>
      <c r="F438" s="30">
        <v>0.25</v>
      </c>
      <c r="G438" s="31"/>
      <c r="H438" s="31"/>
      <c r="I438" s="31"/>
      <c r="J438" s="31"/>
    </row>
    <row r="439" spans="1:10" ht="14.4" x14ac:dyDescent="0.3">
      <c r="A439" s="28" t="str">
        <f>B439&amp;C439&amp;D439&amp;E439</f>
        <v>Спорт и отдыхВиды спортаСпортивная гимнастикаОборудование для гимнастики</v>
      </c>
      <c r="B439" s="29" t="s">
        <v>101</v>
      </c>
      <c r="C439" s="29" t="s">
        <v>446</v>
      </c>
      <c r="D439" s="29" t="s">
        <v>611</v>
      </c>
      <c r="E439" s="29" t="s">
        <v>612</v>
      </c>
      <c r="F439" s="30">
        <v>0.25</v>
      </c>
      <c r="G439" s="31"/>
      <c r="H439" s="31"/>
      <c r="I439" s="31"/>
      <c r="J439" s="31"/>
    </row>
    <row r="440" spans="1:10" ht="14.4" x14ac:dyDescent="0.3">
      <c r="A440" s="28" t="str">
        <f>B440&amp;C440&amp;D440&amp;E440</f>
        <v>Строительство и ремонтРучной инструмент и оснасткаСредства индивидуальной защитыОчки строительные</v>
      </c>
      <c r="B440" s="29" t="s">
        <v>77</v>
      </c>
      <c r="C440" s="29" t="s">
        <v>127</v>
      </c>
      <c r="D440" s="29" t="s">
        <v>619</v>
      </c>
      <c r="E440" s="29" t="s">
        <v>620</v>
      </c>
      <c r="F440" s="30">
        <v>0.25</v>
      </c>
      <c r="G440" s="31"/>
      <c r="H440" s="31"/>
      <c r="I440" s="31"/>
      <c r="J440" s="31"/>
    </row>
    <row r="441" spans="1:10" ht="14.4" x14ac:dyDescent="0.3">
      <c r="A441" s="28" t="str">
        <f>B441&amp;C441&amp;D441&amp;E441</f>
        <v>Бытовая техникаКлиматическая техникаВентиляторыМини-Вентиляторы</v>
      </c>
      <c r="B441" s="29" t="s">
        <v>160</v>
      </c>
      <c r="C441" s="29" t="s">
        <v>621</v>
      </c>
      <c r="D441" s="29" t="s">
        <v>622</v>
      </c>
      <c r="E441" s="29" t="s">
        <v>623</v>
      </c>
      <c r="F441" s="30">
        <v>0.25</v>
      </c>
      <c r="G441" s="31"/>
      <c r="H441" s="31"/>
      <c r="I441" s="31"/>
      <c r="J441" s="31"/>
    </row>
    <row r="442" spans="1:10" ht="14.4" x14ac:dyDescent="0.3">
      <c r="A442" s="28" t="str">
        <f>B442&amp;C442&amp;D442&amp;E442</f>
        <v>Строительство и ремонтИнструментыРежущие и пильные инструментыСтамески и долота</v>
      </c>
      <c r="B442" s="29" t="s">
        <v>77</v>
      </c>
      <c r="C442" s="29" t="s">
        <v>78</v>
      </c>
      <c r="D442" s="29" t="s">
        <v>628</v>
      </c>
      <c r="E442" s="29" t="s">
        <v>629</v>
      </c>
      <c r="F442" s="30">
        <v>0.25</v>
      </c>
      <c r="G442" s="31"/>
      <c r="H442" s="31"/>
      <c r="I442" s="31"/>
      <c r="J442" s="31"/>
    </row>
    <row r="443" spans="1:10" ht="14.4" x14ac:dyDescent="0.3">
      <c r="A443" s="28" t="str">
        <f>B443&amp;C443&amp;D443&amp;E443</f>
        <v>АвтотоварыАксессуары и принадлежностиПеревозка багажаРейлинги</v>
      </c>
      <c r="B443" s="29" t="s">
        <v>12</v>
      </c>
      <c r="C443" s="29" t="s">
        <v>253</v>
      </c>
      <c r="D443" s="29" t="s">
        <v>271</v>
      </c>
      <c r="E443" s="29" t="s">
        <v>638</v>
      </c>
      <c r="F443" s="30">
        <v>0.25</v>
      </c>
      <c r="G443" s="31"/>
      <c r="H443" s="31"/>
      <c r="I443" s="31"/>
      <c r="J443" s="31"/>
    </row>
    <row r="444" spans="1:10" ht="14.4" x14ac:dyDescent="0.3">
      <c r="A444" s="28" t="str">
        <f>B444&amp;C444&amp;D444&amp;E444</f>
        <v>Спорт и отдыхВиды спортаБегАксессуары для бега</v>
      </c>
      <c r="B444" s="29" t="s">
        <v>101</v>
      </c>
      <c r="C444" s="29" t="s">
        <v>446</v>
      </c>
      <c r="D444" s="29" t="s">
        <v>642</v>
      </c>
      <c r="E444" s="29" t="s">
        <v>643</v>
      </c>
      <c r="F444" s="30">
        <v>0.25</v>
      </c>
      <c r="G444" s="31"/>
      <c r="H444" s="31"/>
      <c r="I444" s="31"/>
      <c r="J444" s="31"/>
    </row>
    <row r="445" spans="1:10" ht="14.4" x14ac:dyDescent="0.3">
      <c r="A445" s="28" t="str">
        <f>B445&amp;C445&amp;D445&amp;E445</f>
        <v>ЭлектроникаУмные часы и фитнес браслетыУмные гаджетыУмные гаджеты</v>
      </c>
      <c r="B445" s="29" t="s">
        <v>67</v>
      </c>
      <c r="C445" s="29" t="s">
        <v>356</v>
      </c>
      <c r="D445" s="29" t="s">
        <v>644</v>
      </c>
      <c r="E445" s="29" t="s">
        <v>644</v>
      </c>
      <c r="F445" s="30">
        <v>0.25</v>
      </c>
      <c r="G445" s="31"/>
      <c r="H445" s="31"/>
      <c r="I445" s="31"/>
      <c r="J445" s="31"/>
    </row>
    <row r="446" spans="1:10" ht="14.4" x14ac:dyDescent="0.3">
      <c r="A446" s="28" t="str">
        <f>B446&amp;C446&amp;D446&amp;E446</f>
        <v>ЭлектроникаФото и видеотехникаФото- и видеокамерыКомпактные фотоаппараты</v>
      </c>
      <c r="B446" s="29" t="s">
        <v>67</v>
      </c>
      <c r="C446" s="29" t="s">
        <v>174</v>
      </c>
      <c r="D446" s="29" t="s">
        <v>648</v>
      </c>
      <c r="E446" s="29" t="s">
        <v>649</v>
      </c>
      <c r="F446" s="30">
        <v>0.25</v>
      </c>
      <c r="G446" s="31"/>
      <c r="H446" s="31"/>
      <c r="I446" s="31"/>
      <c r="J446" s="31"/>
    </row>
    <row r="447" spans="1:10" ht="14.4" x14ac:dyDescent="0.3">
      <c r="A447" s="28" t="str">
        <f>B447&amp;C447&amp;D447&amp;E447</f>
        <v>ОдеждаМужская одеждаМайкиМайки</v>
      </c>
      <c r="B447" s="29" t="s">
        <v>92</v>
      </c>
      <c r="C447" s="29" t="s">
        <v>112</v>
      </c>
      <c r="D447" s="29" t="s">
        <v>533</v>
      </c>
      <c r="E447" s="29" t="s">
        <v>533</v>
      </c>
      <c r="F447" s="30">
        <v>0.25</v>
      </c>
      <c r="G447" s="31"/>
      <c r="H447" s="31"/>
      <c r="I447" s="31"/>
      <c r="J447" s="31"/>
    </row>
    <row r="448" spans="1:10" ht="14.4" x14ac:dyDescent="0.3">
      <c r="A448" s="28" t="str">
        <f>B448&amp;C448&amp;D448&amp;E448</f>
        <v>Строительство и ремонтИнструментыРежущие и пильные инструментыСтеклорезы</v>
      </c>
      <c r="B448" s="29" t="s">
        <v>77</v>
      </c>
      <c r="C448" s="29" t="s">
        <v>78</v>
      </c>
      <c r="D448" s="29" t="s">
        <v>628</v>
      </c>
      <c r="E448" s="29" t="s">
        <v>662</v>
      </c>
      <c r="F448" s="30">
        <v>0.25</v>
      </c>
      <c r="G448" s="31"/>
      <c r="H448" s="31"/>
      <c r="I448" s="31"/>
      <c r="J448" s="31"/>
    </row>
    <row r="449" spans="1:10" ht="14.4" x14ac:dyDescent="0.3">
      <c r="A449" s="28" t="str">
        <f>B449&amp;C449&amp;D449&amp;E449</f>
        <v>Товары для домаТовары для кухниФильтры для водыСменные картриджи для фильтров-кувшинов</v>
      </c>
      <c r="B449" s="29" t="s">
        <v>59</v>
      </c>
      <c r="C449" s="29" t="s">
        <v>60</v>
      </c>
      <c r="D449" s="29" t="s">
        <v>670</v>
      </c>
      <c r="E449" s="29" t="s">
        <v>671</v>
      </c>
      <c r="F449" s="30">
        <v>0.25</v>
      </c>
      <c r="G449" s="31"/>
      <c r="H449" s="31"/>
      <c r="I449" s="31"/>
      <c r="J449" s="31"/>
    </row>
    <row r="450" spans="1:10" ht="14.4" x14ac:dyDescent="0.3">
      <c r="A450" s="28" t="str">
        <f>B450&amp;C450&amp;D450&amp;E450</f>
        <v>АвтотоварыАксессуары и принадлежностиОбустройство салонаЗеркала заднего вида</v>
      </c>
      <c r="B450" s="29" t="s">
        <v>12</v>
      </c>
      <c r="C450" s="29" t="s">
        <v>253</v>
      </c>
      <c r="D450" s="29" t="s">
        <v>256</v>
      </c>
      <c r="E450" s="29" t="s">
        <v>672</v>
      </c>
      <c r="F450" s="30">
        <v>0.25</v>
      </c>
      <c r="G450" s="31"/>
      <c r="H450" s="31"/>
      <c r="I450" s="31"/>
      <c r="J450" s="31"/>
    </row>
    <row r="451" spans="1:10" ht="14.4" x14ac:dyDescent="0.3">
      <c r="A451" s="28" t="str">
        <f>B451&amp;C451&amp;D451&amp;E451</f>
        <v>Дача, сад и огородСадовый инструментАксессуары и расходные материалыМешки и сумки</v>
      </c>
      <c r="B451" s="29" t="s">
        <v>352</v>
      </c>
      <c r="C451" s="29" t="s">
        <v>353</v>
      </c>
      <c r="D451" s="29" t="s">
        <v>673</v>
      </c>
      <c r="E451" s="29" t="s">
        <v>674</v>
      </c>
      <c r="F451" s="30">
        <v>0.25</v>
      </c>
      <c r="G451" s="31"/>
      <c r="H451" s="31"/>
      <c r="I451" s="31"/>
      <c r="J451" s="31"/>
    </row>
    <row r="452" spans="1:10" ht="14.4" x14ac:dyDescent="0.3">
      <c r="A452" s="28" t="str">
        <f>B452&amp;C452&amp;D452&amp;E452</f>
        <v>Товары для домаТовары для кухниАксессуары для выпечкиРолики для теста</v>
      </c>
      <c r="B452" s="29" t="s">
        <v>59</v>
      </c>
      <c r="C452" s="29" t="s">
        <v>60</v>
      </c>
      <c r="D452" s="29" t="s">
        <v>686</v>
      </c>
      <c r="E452" s="29" t="s">
        <v>687</v>
      </c>
      <c r="F452" s="30">
        <v>0.25</v>
      </c>
      <c r="G452" s="31"/>
      <c r="H452" s="31"/>
      <c r="I452" s="31"/>
      <c r="J452" s="31"/>
    </row>
    <row r="453" spans="1:10" ht="14.4" x14ac:dyDescent="0.3">
      <c r="A453" s="28" t="str">
        <f>B453&amp;C453&amp;D453&amp;E453</f>
        <v>ЭлектроникаКомпьютерная техникаХранение данныхКарты памяти и флешки</v>
      </c>
      <c r="B453" s="29" t="s">
        <v>67</v>
      </c>
      <c r="C453" s="29" t="s">
        <v>234</v>
      </c>
      <c r="D453" s="29" t="s">
        <v>432</v>
      </c>
      <c r="E453" s="29" t="s">
        <v>688</v>
      </c>
      <c r="F453" s="30">
        <v>0.25</v>
      </c>
      <c r="G453" s="31"/>
      <c r="H453" s="31"/>
      <c r="I453" s="31"/>
      <c r="J453" s="31"/>
    </row>
    <row r="454" spans="1:10" ht="14.4" x14ac:dyDescent="0.3">
      <c r="A454" s="28" t="str">
        <f>B454&amp;C454&amp;D454&amp;E454</f>
        <v>ОдеждаЖенская одеждаДжинсыШирокие и расклешенные джинсы</v>
      </c>
      <c r="B454" s="29" t="s">
        <v>92</v>
      </c>
      <c r="C454" s="29" t="s">
        <v>93</v>
      </c>
      <c r="D454" s="29" t="s">
        <v>544</v>
      </c>
      <c r="E454" s="29" t="s">
        <v>689</v>
      </c>
      <c r="F454" s="30">
        <v>0.25</v>
      </c>
      <c r="G454" s="31"/>
      <c r="H454" s="31"/>
      <c r="I454" s="31"/>
      <c r="J454" s="31"/>
    </row>
    <row r="455" spans="1:10" ht="14.4" x14ac:dyDescent="0.3">
      <c r="A455" s="28" t="str">
        <f>B455&amp;C455&amp;D455&amp;E455</f>
        <v>ОдеждаЖенская одеждаБрюкиЛеггинсы и лосины</v>
      </c>
      <c r="B455" s="29" t="s">
        <v>92</v>
      </c>
      <c r="C455" s="29" t="s">
        <v>93</v>
      </c>
      <c r="D455" s="29" t="s">
        <v>460</v>
      </c>
      <c r="E455" s="29" t="s">
        <v>692</v>
      </c>
      <c r="F455" s="30">
        <v>0.25</v>
      </c>
      <c r="G455" s="31"/>
      <c r="H455" s="31"/>
      <c r="I455" s="31"/>
      <c r="J455" s="31"/>
    </row>
    <row r="456" spans="1:10" ht="14.4" x14ac:dyDescent="0.3">
      <c r="A456" s="28" t="str">
        <f>B456&amp;C456&amp;D456&amp;E456</f>
        <v>Спорт и отдыхОтдых на природе, рыбалка и охотаТуризм и отдых на природеГорелки, походные печи и газовые обогреватели</v>
      </c>
      <c r="B456" s="29" t="s">
        <v>101</v>
      </c>
      <c r="C456" s="29" t="s">
        <v>166</v>
      </c>
      <c r="D456" s="29" t="s">
        <v>204</v>
      </c>
      <c r="E456" s="29" t="s">
        <v>700</v>
      </c>
      <c r="F456" s="30">
        <v>0.25</v>
      </c>
      <c r="G456" s="31"/>
      <c r="H456" s="31"/>
      <c r="I456" s="31"/>
      <c r="J456" s="31"/>
    </row>
    <row r="457" spans="1:10" ht="14.4" x14ac:dyDescent="0.3">
      <c r="A457" s="28" t="str">
        <f>B457&amp;C457&amp;D457&amp;E457</f>
        <v>АвтотоварыУход за автомобилемРазмораживатели замков и стеколРазмораживатели замков и стекол</v>
      </c>
      <c r="B457" s="29" t="s">
        <v>12</v>
      </c>
      <c r="C457" s="29" t="s">
        <v>201</v>
      </c>
      <c r="D457" s="29" t="s">
        <v>709</v>
      </c>
      <c r="E457" s="29" t="s">
        <v>709</v>
      </c>
      <c r="F457" s="30">
        <v>0.25</v>
      </c>
      <c r="G457" s="31"/>
      <c r="H457" s="31"/>
      <c r="I457" s="31"/>
      <c r="J457" s="31"/>
    </row>
    <row r="458" spans="1:10" ht="14.4" x14ac:dyDescent="0.3">
      <c r="A458" s="28" t="str">
        <f>B458&amp;C458&amp;D458&amp;E458</f>
        <v>ОдеждаЖенская одеждаНижнее бельёАксессуары для бюстгальтеров</v>
      </c>
      <c r="B458" s="29" t="s">
        <v>92</v>
      </c>
      <c r="C458" s="29" t="s">
        <v>93</v>
      </c>
      <c r="D458" s="29" t="s">
        <v>113</v>
      </c>
      <c r="E458" s="29" t="s">
        <v>714</v>
      </c>
      <c r="F458" s="30">
        <v>0.25</v>
      </c>
      <c r="G458" s="31"/>
      <c r="H458" s="31"/>
      <c r="I458" s="31"/>
      <c r="J458" s="31"/>
    </row>
    <row r="459" spans="1:10" ht="14.4" x14ac:dyDescent="0.3">
      <c r="A459" s="28" t="str">
        <f>B459&amp;C459&amp;D459&amp;E459</f>
        <v>Строительство и ремонтОсвещениеЛампочкиЛампочки</v>
      </c>
      <c r="B459" s="29" t="s">
        <v>77</v>
      </c>
      <c r="C459" s="29" t="s">
        <v>386</v>
      </c>
      <c r="D459" s="29" t="s">
        <v>717</v>
      </c>
      <c r="E459" s="29" t="s">
        <v>717</v>
      </c>
      <c r="F459" s="30">
        <v>0.25</v>
      </c>
      <c r="G459" s="31"/>
      <c r="H459" s="31"/>
      <c r="I459" s="31"/>
      <c r="J459" s="31"/>
    </row>
    <row r="460" spans="1:10" ht="14.4" x14ac:dyDescent="0.3">
      <c r="A460" s="28" t="str">
        <f>B460&amp;C460&amp;D460&amp;E460</f>
        <v>АвтотоварыУход за автомобилемУход за стеклами и фарамиУход за стеклами и фарами</v>
      </c>
      <c r="B460" s="29" t="s">
        <v>12</v>
      </c>
      <c r="C460" s="29" t="s">
        <v>201</v>
      </c>
      <c r="D460" s="29" t="s">
        <v>726</v>
      </c>
      <c r="E460" s="29" t="s">
        <v>726</v>
      </c>
      <c r="F460" s="30">
        <v>0.25</v>
      </c>
      <c r="G460" s="31"/>
      <c r="H460" s="31"/>
      <c r="I460" s="31"/>
      <c r="J460" s="31"/>
    </row>
    <row r="461" spans="1:10" ht="14.4" x14ac:dyDescent="0.3">
      <c r="A461" s="28" t="str">
        <f>B461&amp;C461&amp;D461&amp;E461</f>
        <v>ЗдоровьеОптикаРастворы для контактных линзРастворы для контактных линз</v>
      </c>
      <c r="B461" s="29" t="s">
        <v>116</v>
      </c>
      <c r="C461" s="29" t="s">
        <v>741</v>
      </c>
      <c r="D461" s="29" t="s">
        <v>742</v>
      </c>
      <c r="E461" s="29" t="s">
        <v>742</v>
      </c>
      <c r="F461" s="30">
        <v>0.25</v>
      </c>
      <c r="G461" s="31"/>
      <c r="H461" s="31"/>
      <c r="I461" s="31"/>
      <c r="J461" s="31"/>
    </row>
    <row r="462" spans="1:10" ht="14.4" x14ac:dyDescent="0.3">
      <c r="A462" s="28" t="str">
        <f>B462&amp;C462&amp;D462&amp;E462</f>
        <v>Спорт и отдыхВелоспортАксессуары для велоспортаАксессуары для велоспорта</v>
      </c>
      <c r="B462" s="29" t="s">
        <v>101</v>
      </c>
      <c r="C462" s="29" t="s">
        <v>743</v>
      </c>
      <c r="D462" s="29" t="s">
        <v>744</v>
      </c>
      <c r="E462" s="29" t="s">
        <v>744</v>
      </c>
      <c r="F462" s="30">
        <v>0.25</v>
      </c>
      <c r="G462" s="31"/>
      <c r="H462" s="31"/>
      <c r="I462" s="31"/>
      <c r="J462" s="31"/>
    </row>
    <row r="463" spans="1:10" ht="14.4" x14ac:dyDescent="0.3">
      <c r="A463" s="28" t="str">
        <f>B463&amp;C463&amp;D463&amp;E463</f>
        <v>Товары для домаТовары для кухниХранение продуктовКоробки</v>
      </c>
      <c r="B463" s="29" t="s">
        <v>59</v>
      </c>
      <c r="C463" s="29" t="s">
        <v>60</v>
      </c>
      <c r="D463" s="29" t="s">
        <v>749</v>
      </c>
      <c r="E463" s="29" t="s">
        <v>538</v>
      </c>
      <c r="F463" s="30">
        <v>0.25</v>
      </c>
      <c r="G463" s="31"/>
      <c r="H463" s="31"/>
      <c r="I463" s="31"/>
      <c r="J463" s="31"/>
    </row>
    <row r="464" spans="1:10" ht="14.4" x14ac:dyDescent="0.3">
      <c r="A464" s="28" t="str">
        <f>B464&amp;C464&amp;D464&amp;E464</f>
        <v>Товары для домаТовары для кухниИзмельчители и соковыжималкиОрехоколы</v>
      </c>
      <c r="B464" s="29" t="s">
        <v>59</v>
      </c>
      <c r="C464" s="29" t="s">
        <v>60</v>
      </c>
      <c r="D464" s="29" t="s">
        <v>154</v>
      </c>
      <c r="E464" s="29" t="s">
        <v>758</v>
      </c>
      <c r="F464" s="30">
        <v>0.25</v>
      </c>
      <c r="G464" s="31"/>
      <c r="H464" s="31"/>
      <c r="I464" s="31"/>
      <c r="J464" s="31"/>
    </row>
    <row r="465" spans="1:10" ht="14.4" x14ac:dyDescent="0.3">
      <c r="A465" s="28" t="str">
        <f>B465&amp;C465&amp;D465&amp;E465</f>
        <v>ОдеждаЖенская одеждаКупальники и пляжная одеждаРаздельные купальники</v>
      </c>
      <c r="B465" s="29" t="s">
        <v>92</v>
      </c>
      <c r="C465" s="29" t="s">
        <v>93</v>
      </c>
      <c r="D465" s="29" t="s">
        <v>760</v>
      </c>
      <c r="E465" s="29" t="s">
        <v>761</v>
      </c>
      <c r="F465" s="30">
        <v>0.25</v>
      </c>
      <c r="G465" s="31"/>
      <c r="H465" s="31"/>
      <c r="I465" s="31"/>
      <c r="J465" s="31"/>
    </row>
    <row r="466" spans="1:10" ht="14.4" x14ac:dyDescent="0.3">
      <c r="A466" s="28" t="str">
        <f>B466&amp;C466&amp;D466&amp;E466</f>
        <v>АвтотоварыАксессуары и принадлежностиТюнинг и внешний декорБрызговики</v>
      </c>
      <c r="B466" s="29" t="s">
        <v>12</v>
      </c>
      <c r="C466" s="29" t="s">
        <v>253</v>
      </c>
      <c r="D466" s="29" t="s">
        <v>254</v>
      </c>
      <c r="E466" s="29" t="s">
        <v>765</v>
      </c>
      <c r="F466" s="30">
        <v>0.25</v>
      </c>
      <c r="G466" s="31"/>
      <c r="H466" s="31"/>
      <c r="I466" s="31"/>
      <c r="J466" s="31"/>
    </row>
    <row r="467" spans="1:10" ht="14.4" x14ac:dyDescent="0.3">
      <c r="A467" s="28" t="str">
        <f>B467&amp;C467&amp;D467&amp;E467</f>
        <v>Товары для домаТовары для кухниХранение продуктовВакуумные насосы</v>
      </c>
      <c r="B467" s="29" t="s">
        <v>59</v>
      </c>
      <c r="C467" s="29" t="s">
        <v>60</v>
      </c>
      <c r="D467" s="29" t="s">
        <v>749</v>
      </c>
      <c r="E467" s="29" t="s">
        <v>766</v>
      </c>
      <c r="F467" s="30">
        <v>0.25</v>
      </c>
      <c r="G467" s="31"/>
      <c r="H467" s="31"/>
      <c r="I467" s="31"/>
      <c r="J467" s="31"/>
    </row>
    <row r="468" spans="1:10" ht="14.4" x14ac:dyDescent="0.3">
      <c r="A468" s="28" t="str">
        <f>B468&amp;C468&amp;D468&amp;E468</f>
        <v>ОдеждаМужская одеждаОдежда больших размеровСпортивные костюмы</v>
      </c>
      <c r="B468" s="29" t="s">
        <v>92</v>
      </c>
      <c r="C468" s="29" t="s">
        <v>112</v>
      </c>
      <c r="D468" s="29" t="s">
        <v>532</v>
      </c>
      <c r="E468" s="29" t="s">
        <v>192</v>
      </c>
      <c r="F468" s="30">
        <v>0.25</v>
      </c>
      <c r="G468" s="31"/>
      <c r="H468" s="31"/>
      <c r="I468" s="31"/>
      <c r="J468" s="31"/>
    </row>
    <row r="469" spans="1:10" ht="14.4" x14ac:dyDescent="0.3">
      <c r="A469" s="28" t="str">
        <f>B469&amp;C469&amp;D469&amp;E469</f>
        <v>Спорт и отдыхВодный спорт и отдых на водеПлаваниеТрубки для плавания</v>
      </c>
      <c r="B469" s="29" t="s">
        <v>101</v>
      </c>
      <c r="C469" s="29" t="s">
        <v>771</v>
      </c>
      <c r="D469" s="29" t="s">
        <v>772</v>
      </c>
      <c r="E469" s="29" t="s">
        <v>773</v>
      </c>
      <c r="F469" s="30">
        <v>0.25</v>
      </c>
      <c r="G469" s="31"/>
      <c r="H469" s="31"/>
      <c r="I469" s="31"/>
      <c r="J469" s="31"/>
    </row>
    <row r="470" spans="1:10" ht="14.4" x14ac:dyDescent="0.3">
      <c r="A470" s="28" t="str">
        <f>B470&amp;C470&amp;D470&amp;E470</f>
        <v>ОдеждаЖенская одеждаКупальники и пляжная одеждаПарео</v>
      </c>
      <c r="B470" s="29" t="s">
        <v>92</v>
      </c>
      <c r="C470" s="29" t="s">
        <v>93</v>
      </c>
      <c r="D470" s="29" t="s">
        <v>760</v>
      </c>
      <c r="E470" s="29" t="s">
        <v>775</v>
      </c>
      <c r="F470" s="30">
        <v>0.25</v>
      </c>
      <c r="G470" s="31"/>
      <c r="H470" s="31"/>
      <c r="I470" s="31"/>
      <c r="J470" s="31"/>
    </row>
    <row r="471" spans="1:10" ht="14.4" x14ac:dyDescent="0.3">
      <c r="A471" s="28" t="str">
        <f>B471&amp;C471&amp;D471&amp;E471</f>
        <v>Строительство и ремонтОсвещениеСветодиодное освещениеСветодиодное освещение</v>
      </c>
      <c r="B471" s="29" t="s">
        <v>77</v>
      </c>
      <c r="C471" s="29" t="s">
        <v>386</v>
      </c>
      <c r="D471" s="29" t="s">
        <v>778</v>
      </c>
      <c r="E471" s="29" t="s">
        <v>778</v>
      </c>
      <c r="F471" s="30">
        <v>0.25</v>
      </c>
      <c r="G471" s="31"/>
      <c r="H471" s="31"/>
      <c r="I471" s="31"/>
      <c r="J471" s="31"/>
    </row>
    <row r="472" spans="1:10" ht="14.4" x14ac:dyDescent="0.3">
      <c r="A472" s="28" t="str">
        <f>B472&amp;C472&amp;D472&amp;E472</f>
        <v>Товары для домаТовары для кухниАксессуары для напитковЩипцы для льда</v>
      </c>
      <c r="B472" s="29" t="s">
        <v>59</v>
      </c>
      <c r="C472" s="29" t="s">
        <v>60</v>
      </c>
      <c r="D472" s="29" t="s">
        <v>346</v>
      </c>
      <c r="E472" s="29" t="s">
        <v>779</v>
      </c>
      <c r="F472" s="30">
        <v>0.25</v>
      </c>
      <c r="G472" s="31"/>
      <c r="H472" s="31"/>
      <c r="I472" s="31"/>
      <c r="J472" s="31"/>
    </row>
    <row r="473" spans="1:10" ht="14.4" x14ac:dyDescent="0.3">
      <c r="A473" s="28" t="str">
        <f>B473&amp;C473&amp;D473&amp;E473</f>
        <v>ОдеждаЖенская одеждаСпецодеждаВлагозащитная одежда</v>
      </c>
      <c r="B473" s="29" t="s">
        <v>92</v>
      </c>
      <c r="C473" s="29" t="s">
        <v>93</v>
      </c>
      <c r="D473" s="29" t="s">
        <v>780</v>
      </c>
      <c r="E473" s="29" t="s">
        <v>781</v>
      </c>
      <c r="F473" s="30">
        <v>0.25</v>
      </c>
      <c r="G473" s="31"/>
      <c r="H473" s="31"/>
      <c r="I473" s="31"/>
      <c r="J473" s="31"/>
    </row>
    <row r="474" spans="1:10" ht="14.4" x14ac:dyDescent="0.3">
      <c r="A474" s="28" t="str">
        <f>B474&amp;C474&amp;D474&amp;E474</f>
        <v>Строительство и ремонтОсвещениеНастольные светильникиНастольные светильники</v>
      </c>
      <c r="B474" s="29" t="s">
        <v>77</v>
      </c>
      <c r="C474" s="29" t="s">
        <v>386</v>
      </c>
      <c r="D474" s="29" t="s">
        <v>786</v>
      </c>
      <c r="E474" s="29" t="s">
        <v>786</v>
      </c>
      <c r="F474" s="30">
        <v>0.25</v>
      </c>
      <c r="G474" s="31"/>
      <c r="H474" s="31"/>
      <c r="I474" s="31"/>
      <c r="J474" s="31"/>
    </row>
    <row r="475" spans="1:10" ht="14.4" x14ac:dyDescent="0.3">
      <c r="A475" s="28" t="str">
        <f>B475&amp;C475&amp;D475&amp;E475</f>
        <v>ЭлектроникаСмартфоны и телефоныАксессуары для смартфоновВнешние аккумуляторы</v>
      </c>
      <c r="B475" s="29" t="s">
        <v>67</v>
      </c>
      <c r="C475" s="29" t="s">
        <v>96</v>
      </c>
      <c r="D475" s="29" t="s">
        <v>97</v>
      </c>
      <c r="E475" s="29" t="s">
        <v>789</v>
      </c>
      <c r="F475" s="30">
        <v>0.25</v>
      </c>
      <c r="G475" s="31"/>
      <c r="H475" s="31"/>
      <c r="I475" s="31"/>
      <c r="J475" s="31"/>
    </row>
    <row r="476" spans="1:10" ht="14.4" x14ac:dyDescent="0.3">
      <c r="A476" s="28" t="str">
        <f>B476&amp;C476&amp;D476&amp;E476</f>
        <v>Красота и уходОборудование и материалы для тату-салонаТату-наборыТату-наборы</v>
      </c>
      <c r="B476" s="29" t="s">
        <v>56</v>
      </c>
      <c r="C476" s="29" t="s">
        <v>791</v>
      </c>
      <c r="D476" s="29" t="s">
        <v>792</v>
      </c>
      <c r="E476" s="29" t="s">
        <v>792</v>
      </c>
      <c r="F476" s="30">
        <v>0.25</v>
      </c>
      <c r="G476" s="31"/>
      <c r="H476" s="31"/>
      <c r="I476" s="31"/>
      <c r="J476" s="31"/>
    </row>
    <row r="477" spans="1:10" ht="14.4" x14ac:dyDescent="0.3">
      <c r="A477" s="28" t="str">
        <f>B477&amp;C477&amp;D477&amp;E477</f>
        <v>Товары для домаХранение вещейПодставки для зонтовПодставки для зонтов</v>
      </c>
      <c r="B477" s="29" t="s">
        <v>59</v>
      </c>
      <c r="C477" s="29" t="s">
        <v>172</v>
      </c>
      <c r="D477" s="29" t="s">
        <v>796</v>
      </c>
      <c r="E477" s="29" t="s">
        <v>796</v>
      </c>
      <c r="F477" s="30">
        <v>0.25</v>
      </c>
      <c r="G477" s="31"/>
      <c r="H477" s="31"/>
      <c r="I477" s="31"/>
      <c r="J477" s="31"/>
    </row>
    <row r="478" spans="1:10" ht="14.4" x14ac:dyDescent="0.3">
      <c r="A478" s="28" t="str">
        <f>B478&amp;C478&amp;D478&amp;E478</f>
        <v>Детские товарыТовары для кормленияНагрудники и слюнявчикиНагрудники и слюнявчики</v>
      </c>
      <c r="B478" s="29" t="s">
        <v>105</v>
      </c>
      <c r="C478" s="29" t="s">
        <v>639</v>
      </c>
      <c r="D478" s="29" t="s">
        <v>799</v>
      </c>
      <c r="E478" s="29" t="s">
        <v>799</v>
      </c>
      <c r="F478" s="30">
        <v>0.25</v>
      </c>
      <c r="G478" s="31"/>
      <c r="H478" s="31"/>
      <c r="I478" s="31"/>
      <c r="J478" s="31"/>
    </row>
    <row r="479" spans="1:10" ht="14.4" x14ac:dyDescent="0.3">
      <c r="A479" s="28" t="str">
        <f>B479&amp;C479&amp;D479&amp;E479</f>
        <v>Товары для домаТовары для кухниТермосы и термокружкиТермокружки</v>
      </c>
      <c r="B479" s="29" t="s">
        <v>59</v>
      </c>
      <c r="C479" s="29" t="s">
        <v>60</v>
      </c>
      <c r="D479" s="29" t="s">
        <v>501</v>
      </c>
      <c r="E479" s="29" t="s">
        <v>802</v>
      </c>
      <c r="F479" s="30">
        <v>0.25</v>
      </c>
      <c r="G479" s="31"/>
      <c r="H479" s="31"/>
      <c r="I479" s="31"/>
      <c r="J479" s="31"/>
    </row>
    <row r="480" spans="1:10" ht="14.4" x14ac:dyDescent="0.3">
      <c r="A480" s="28" t="str">
        <f>B480&amp;C480&amp;D480&amp;E480</f>
        <v>АвтотоварыАксессуары и принадлежностиТюнинг и внешний декорПрочие элементы тюнинга</v>
      </c>
      <c r="B480" s="29" t="s">
        <v>12</v>
      </c>
      <c r="C480" s="29" t="s">
        <v>253</v>
      </c>
      <c r="D480" s="29" t="s">
        <v>254</v>
      </c>
      <c r="E480" s="29" t="s">
        <v>806</v>
      </c>
      <c r="F480" s="30">
        <v>0.25</v>
      </c>
      <c r="G480" s="31"/>
      <c r="H480" s="31"/>
      <c r="I480" s="31"/>
      <c r="J480" s="31"/>
    </row>
    <row r="481" spans="1:10" ht="14.4" x14ac:dyDescent="0.3">
      <c r="A481" s="28" t="str">
        <f>B481&amp;C481&amp;D481&amp;E481</f>
        <v>Строительство и ремонтРучной инструмент и оснасткаСтраховочное оборудованиеСтраховочное оборудование</v>
      </c>
      <c r="B481" s="29" t="s">
        <v>77</v>
      </c>
      <c r="C481" s="29" t="s">
        <v>127</v>
      </c>
      <c r="D481" s="29" t="s">
        <v>813</v>
      </c>
      <c r="E481" s="29" t="s">
        <v>813</v>
      </c>
      <c r="F481" s="30">
        <v>0.25</v>
      </c>
      <c r="G481" s="31"/>
      <c r="H481" s="31"/>
      <c r="I481" s="31"/>
      <c r="J481" s="31"/>
    </row>
    <row r="482" spans="1:10" ht="14.4" x14ac:dyDescent="0.3">
      <c r="A482" s="28" t="str">
        <f>B482&amp;C482&amp;D482&amp;E482</f>
        <v>Товары для домаТовары для кухниТарелки и блюдаТарелки</v>
      </c>
      <c r="B482" s="29" t="s">
        <v>59</v>
      </c>
      <c r="C482" s="29" t="s">
        <v>60</v>
      </c>
      <c r="D482" s="29" t="s">
        <v>814</v>
      </c>
      <c r="E482" s="29" t="s">
        <v>815</v>
      </c>
      <c r="F482" s="30">
        <v>0.25</v>
      </c>
      <c r="G482" s="31"/>
      <c r="H482" s="31"/>
      <c r="I482" s="31"/>
      <c r="J482" s="31"/>
    </row>
    <row r="483" spans="1:10" ht="14.4" x14ac:dyDescent="0.3">
      <c r="A483" s="28" t="str">
        <f>B483&amp;C483&amp;D483&amp;E483</f>
        <v>ОдеждаЖенская одеждаОдежда для беременныхФутболки и поло</v>
      </c>
      <c r="B483" s="29" t="s">
        <v>92</v>
      </c>
      <c r="C483" s="29" t="s">
        <v>93</v>
      </c>
      <c r="D483" s="29" t="s">
        <v>816</v>
      </c>
      <c r="E483" s="29" t="s">
        <v>457</v>
      </c>
      <c r="F483" s="30">
        <v>0.25</v>
      </c>
      <c r="G483" s="31"/>
      <c r="H483" s="31"/>
      <c r="I483" s="31"/>
      <c r="J483" s="31"/>
    </row>
    <row r="484" spans="1:10" ht="14.4" x14ac:dyDescent="0.3">
      <c r="A484" s="28" t="str">
        <f>B484&amp;C484&amp;D484&amp;E484</f>
        <v>ОдеждаЖенская одеждаШортыДжинсовые шорты</v>
      </c>
      <c r="B484" s="29" t="s">
        <v>92</v>
      </c>
      <c r="C484" s="29" t="s">
        <v>93</v>
      </c>
      <c r="D484" s="29" t="s">
        <v>818</v>
      </c>
      <c r="E484" s="29" t="s">
        <v>819</v>
      </c>
      <c r="F484" s="30">
        <v>0.25</v>
      </c>
      <c r="G484" s="31"/>
      <c r="H484" s="31"/>
      <c r="I484" s="31"/>
      <c r="J484" s="31"/>
    </row>
    <row r="485" spans="1:10" ht="14.4" x14ac:dyDescent="0.3">
      <c r="A485" s="28" t="str">
        <f>B485&amp;C485&amp;D485&amp;E485</f>
        <v>ОдеждаЖенская одеждаОдежда для беременныхДомашняя одежда</v>
      </c>
      <c r="B485" s="29" t="s">
        <v>92</v>
      </c>
      <c r="C485" s="29" t="s">
        <v>93</v>
      </c>
      <c r="D485" s="29" t="s">
        <v>816</v>
      </c>
      <c r="E485" s="29" t="s">
        <v>469</v>
      </c>
      <c r="F485" s="30">
        <v>0.25</v>
      </c>
      <c r="G485" s="31"/>
      <c r="H485" s="31"/>
      <c r="I485" s="31"/>
      <c r="J485" s="31"/>
    </row>
    <row r="486" spans="1:10" ht="14.4" x14ac:dyDescent="0.3">
      <c r="A486" s="28" t="str">
        <f>B486&amp;C486&amp;D486&amp;E486</f>
        <v>ОдеждаЖенская одеждаНациональная одеждаКомплекты национальной одежды</v>
      </c>
      <c r="B486" s="29" t="s">
        <v>92</v>
      </c>
      <c r="C486" s="29" t="s">
        <v>93</v>
      </c>
      <c r="D486" s="29" t="s">
        <v>835</v>
      </c>
      <c r="E486" s="29" t="s">
        <v>836</v>
      </c>
      <c r="F486" s="30">
        <v>0.25</v>
      </c>
      <c r="G486" s="31"/>
      <c r="H486" s="31"/>
      <c r="I486" s="31"/>
      <c r="J486" s="31"/>
    </row>
    <row r="487" spans="1:10" ht="14.4" x14ac:dyDescent="0.3">
      <c r="A487" s="28" t="str">
        <f>B487&amp;C487&amp;D487&amp;E487</f>
        <v>АвтотоварыАксессуары и принадлежностиОбустройство салонаКонсоли в авто</v>
      </c>
      <c r="B487" s="29" t="s">
        <v>12</v>
      </c>
      <c r="C487" s="29" t="s">
        <v>253</v>
      </c>
      <c r="D487" s="29" t="s">
        <v>256</v>
      </c>
      <c r="E487" s="29" t="s">
        <v>837</v>
      </c>
      <c r="F487" s="30">
        <v>0.25</v>
      </c>
      <c r="G487" s="31"/>
      <c r="H487" s="31"/>
      <c r="I487" s="31"/>
      <c r="J487" s="31"/>
    </row>
    <row r="488" spans="1:10" ht="14.4" x14ac:dyDescent="0.3">
      <c r="A488" s="28" t="str">
        <f>B488&amp;C488&amp;D488&amp;E488</f>
        <v>Строительство и ремонтРучной инструмент и оснасткаУдарно-рычажные инструментыКувалда</v>
      </c>
      <c r="B488" s="29" t="s">
        <v>77</v>
      </c>
      <c r="C488" s="29" t="s">
        <v>127</v>
      </c>
      <c r="D488" s="29" t="s">
        <v>842</v>
      </c>
      <c r="E488" s="29" t="s">
        <v>843</v>
      </c>
      <c r="F488" s="30">
        <v>0.25</v>
      </c>
      <c r="G488" s="31"/>
      <c r="H488" s="31"/>
      <c r="I488" s="31"/>
      <c r="J488" s="31"/>
    </row>
    <row r="489" spans="1:10" ht="14.4" x14ac:dyDescent="0.3">
      <c r="A489" s="28" t="str">
        <f>B489&amp;C489&amp;D489&amp;E489</f>
        <v>Строительство и ремонтРучной инструмент и оснасткаКрепежГвозди</v>
      </c>
      <c r="B489" s="29" t="s">
        <v>77</v>
      </c>
      <c r="C489" s="29" t="s">
        <v>127</v>
      </c>
      <c r="D489" s="29" t="s">
        <v>350</v>
      </c>
      <c r="E489" s="29" t="s">
        <v>845</v>
      </c>
      <c r="F489" s="30">
        <v>0.25</v>
      </c>
      <c r="G489" s="31"/>
      <c r="H489" s="31"/>
      <c r="I489" s="31"/>
      <c r="J489" s="31"/>
    </row>
    <row r="490" spans="1:10" ht="14.4" x14ac:dyDescent="0.3">
      <c r="A490" s="28" t="str">
        <f>B490&amp;C490&amp;D490&amp;E490</f>
        <v>АвтотоварыМасла и автохимияСмазкиСмазки</v>
      </c>
      <c r="B490" s="29" t="s">
        <v>12</v>
      </c>
      <c r="C490" s="29" t="s">
        <v>848</v>
      </c>
      <c r="D490" s="29" t="s">
        <v>849</v>
      </c>
      <c r="E490" s="29" t="s">
        <v>849</v>
      </c>
      <c r="F490" s="30">
        <v>0.25</v>
      </c>
      <c r="G490" s="31"/>
      <c r="H490" s="31"/>
      <c r="I490" s="31"/>
      <c r="J490" s="31"/>
    </row>
    <row r="491" spans="1:10" ht="14.4" x14ac:dyDescent="0.3">
      <c r="A491" s="28" t="str">
        <f>B491&amp;C491&amp;D491&amp;E491</f>
        <v>ОдеждаЖенская одеждаСпортивная одеждаСпортивные футболки и лонгсливы</v>
      </c>
      <c r="B491" s="29" t="s">
        <v>92</v>
      </c>
      <c r="C491" s="29" t="s">
        <v>93</v>
      </c>
      <c r="D491" s="29" t="s">
        <v>158</v>
      </c>
      <c r="E491" s="29" t="s">
        <v>852</v>
      </c>
      <c r="F491" s="30">
        <v>0.25</v>
      </c>
      <c r="G491" s="31"/>
      <c r="H491" s="31"/>
      <c r="I491" s="31"/>
      <c r="J491" s="31"/>
    </row>
    <row r="492" spans="1:10" ht="14.4" x14ac:dyDescent="0.3">
      <c r="A492" s="28" t="str">
        <f>B492&amp;C492&amp;D492&amp;E492</f>
        <v>Строительство и ремонтРучной инструмент и оснасткаМалярные и отделочные инструментыМалярные кисти</v>
      </c>
      <c r="B492" s="29" t="s">
        <v>77</v>
      </c>
      <c r="C492" s="29" t="s">
        <v>127</v>
      </c>
      <c r="D492" s="29" t="s">
        <v>128</v>
      </c>
      <c r="E492" s="29" t="s">
        <v>859</v>
      </c>
      <c r="F492" s="30">
        <v>0.25</v>
      </c>
      <c r="G492" s="31"/>
      <c r="H492" s="31"/>
      <c r="I492" s="31"/>
      <c r="J492" s="31"/>
    </row>
    <row r="493" spans="1:10" ht="14.4" x14ac:dyDescent="0.3">
      <c r="A493" s="28" t="str">
        <f>B493&amp;C493&amp;D493&amp;E493</f>
        <v>ОдеждаЖенская одеждаОдежда больших размеровФутболки</v>
      </c>
      <c r="B493" s="29" t="s">
        <v>92</v>
      </c>
      <c r="C493" s="29" t="s">
        <v>93</v>
      </c>
      <c r="D493" s="29" t="s">
        <v>532</v>
      </c>
      <c r="E493" s="29" t="s">
        <v>485</v>
      </c>
      <c r="F493" s="30">
        <v>0.25</v>
      </c>
      <c r="G493" s="31"/>
      <c r="H493" s="31"/>
      <c r="I493" s="31"/>
      <c r="J493" s="31"/>
    </row>
    <row r="494" spans="1:10" ht="14.4" x14ac:dyDescent="0.3">
      <c r="A494" s="28" t="str">
        <f>B494&amp;C494&amp;D494&amp;E494</f>
        <v>ОдеждаЖенская одеждаНижнее бельёКорректирующее бельё</v>
      </c>
      <c r="B494" s="29" t="s">
        <v>92</v>
      </c>
      <c r="C494" s="29" t="s">
        <v>93</v>
      </c>
      <c r="D494" s="29" t="s">
        <v>113</v>
      </c>
      <c r="E494" s="29" t="s">
        <v>865</v>
      </c>
      <c r="F494" s="30">
        <v>0.25</v>
      </c>
      <c r="G494" s="31"/>
      <c r="H494" s="31"/>
      <c r="I494" s="31"/>
      <c r="J494" s="31"/>
    </row>
    <row r="495" spans="1:10" ht="14.4" x14ac:dyDescent="0.3">
      <c r="A495" s="28" t="str">
        <f>B495&amp;C495&amp;D495&amp;E495</f>
        <v>ЗдоровьеОптикаКонтактные линзыКонтактные линзы</v>
      </c>
      <c r="B495" s="29" t="s">
        <v>116</v>
      </c>
      <c r="C495" s="29" t="s">
        <v>741</v>
      </c>
      <c r="D495" s="29" t="s">
        <v>867</v>
      </c>
      <c r="E495" s="29" t="s">
        <v>867</v>
      </c>
      <c r="F495" s="30">
        <v>0.25</v>
      </c>
      <c r="G495" s="31"/>
      <c r="H495" s="31"/>
      <c r="I495" s="31"/>
      <c r="J495" s="31"/>
    </row>
    <row r="496" spans="1:10" ht="14.4" x14ac:dyDescent="0.3">
      <c r="A496" s="28" t="str">
        <f>B496&amp;C496&amp;D496&amp;E496</f>
        <v>Спорт и отдыхВиды спортаХудожественная гимнастика и танцыГимнастические мячи</v>
      </c>
      <c r="B496" s="29" t="s">
        <v>101</v>
      </c>
      <c r="C496" s="29" t="s">
        <v>446</v>
      </c>
      <c r="D496" s="29" t="s">
        <v>875</v>
      </c>
      <c r="E496" s="29" t="s">
        <v>876</v>
      </c>
      <c r="F496" s="30">
        <v>0.25</v>
      </c>
      <c r="G496" s="31"/>
      <c r="H496" s="31"/>
      <c r="I496" s="31"/>
      <c r="J496" s="31"/>
    </row>
    <row r="497" spans="1:10" ht="14.4" x14ac:dyDescent="0.3">
      <c r="A497" s="28" t="str">
        <f>B497&amp;C497&amp;D497&amp;E497</f>
        <v>ОдеждаЖенская одеждаДжемперы, свитеры и кардиганыЖилеты</v>
      </c>
      <c r="B497" s="29" t="s">
        <v>92</v>
      </c>
      <c r="C497" s="29" t="s">
        <v>93</v>
      </c>
      <c r="D497" s="29" t="s">
        <v>424</v>
      </c>
      <c r="E497" s="29" t="s">
        <v>891</v>
      </c>
      <c r="F497" s="30">
        <v>0.25</v>
      </c>
      <c r="G497" s="31"/>
      <c r="H497" s="31"/>
      <c r="I497" s="31"/>
      <c r="J497" s="31"/>
    </row>
    <row r="498" spans="1:10" ht="14.4" x14ac:dyDescent="0.3">
      <c r="A498" s="28" t="str">
        <f>B498&amp;C498&amp;D498&amp;E498</f>
        <v>ОдеждаЖенская одеждаНижнее бельёКомплекты нижнего белья</v>
      </c>
      <c r="B498" s="29" t="s">
        <v>92</v>
      </c>
      <c r="C498" s="29" t="s">
        <v>93</v>
      </c>
      <c r="D498" s="29" t="s">
        <v>113</v>
      </c>
      <c r="E498" s="29" t="s">
        <v>901</v>
      </c>
      <c r="F498" s="30">
        <v>0.25</v>
      </c>
      <c r="G498" s="31"/>
      <c r="H498" s="31"/>
      <c r="I498" s="31"/>
      <c r="J498" s="31"/>
    </row>
    <row r="499" spans="1:10" ht="14.4" x14ac:dyDescent="0.3">
      <c r="A499" s="28" t="str">
        <f>B499&amp;C499&amp;D499&amp;E499</f>
        <v>АвтотоварыАксессуары и принадлежностиТюнинг и внешний декорЗвуковые сигналы</v>
      </c>
      <c r="B499" s="29" t="s">
        <v>12</v>
      </c>
      <c r="C499" s="29" t="s">
        <v>253</v>
      </c>
      <c r="D499" s="29" t="s">
        <v>254</v>
      </c>
      <c r="E499" s="29" t="s">
        <v>907</v>
      </c>
      <c r="F499" s="30">
        <v>0.25</v>
      </c>
      <c r="G499" s="31"/>
      <c r="H499" s="31"/>
      <c r="I499" s="31"/>
      <c r="J499" s="31"/>
    </row>
    <row r="500" spans="1:10" ht="14.4" x14ac:dyDescent="0.3">
      <c r="A500" s="28" t="str">
        <f>B500&amp;C500&amp;D500&amp;E500</f>
        <v>ОдеждаЖенская одеждаДжемперы, свитеры и кардиганыДжемперы и пуловеры</v>
      </c>
      <c r="B500" s="29" t="s">
        <v>92</v>
      </c>
      <c r="C500" s="29" t="s">
        <v>93</v>
      </c>
      <c r="D500" s="29" t="s">
        <v>424</v>
      </c>
      <c r="E500" s="29" t="s">
        <v>425</v>
      </c>
      <c r="F500" s="30">
        <v>0.25</v>
      </c>
      <c r="G500" s="31"/>
      <c r="H500" s="31"/>
      <c r="I500" s="31"/>
      <c r="J500" s="31"/>
    </row>
    <row r="501" spans="1:10" ht="14.4" x14ac:dyDescent="0.3">
      <c r="A501" s="28" t="str">
        <f>B501&amp;C501&amp;D501&amp;E501</f>
        <v>ЗдоровьеМедицинские приборыТермометры медицинскиеТермометры медицинские</v>
      </c>
      <c r="B501" s="29" t="s">
        <v>116</v>
      </c>
      <c r="C501" s="29" t="s">
        <v>381</v>
      </c>
      <c r="D501" s="29" t="s">
        <v>916</v>
      </c>
      <c r="E501" s="29" t="s">
        <v>916</v>
      </c>
      <c r="F501" s="30">
        <v>0.25</v>
      </c>
      <c r="G501" s="31"/>
      <c r="H501" s="31"/>
      <c r="I501" s="31"/>
      <c r="J501" s="31"/>
    </row>
    <row r="502" spans="1:10" ht="14.4" x14ac:dyDescent="0.3">
      <c r="A502" s="28" t="str">
        <f>B502&amp;C502&amp;D502&amp;E502</f>
        <v>Строительство и ремонтИнструментыРежущие и пильные инструментыПилы и ножовки</v>
      </c>
      <c r="B502" s="29" t="s">
        <v>77</v>
      </c>
      <c r="C502" s="29" t="s">
        <v>78</v>
      </c>
      <c r="D502" s="29" t="s">
        <v>628</v>
      </c>
      <c r="E502" s="29" t="s">
        <v>921</v>
      </c>
      <c r="F502" s="30">
        <v>0.25</v>
      </c>
      <c r="G502" s="31"/>
      <c r="H502" s="31"/>
      <c r="I502" s="31"/>
      <c r="J502" s="31"/>
    </row>
    <row r="503" spans="1:10" ht="14.4" x14ac:dyDescent="0.3">
      <c r="A503" s="28" t="str">
        <f>B503&amp;C503&amp;D503&amp;E503</f>
        <v>Товары для домаТовары для кухниХранение продуктовКоврики в холодильник</v>
      </c>
      <c r="B503" s="29" t="s">
        <v>59</v>
      </c>
      <c r="C503" s="29" t="s">
        <v>60</v>
      </c>
      <c r="D503" s="29" t="s">
        <v>749</v>
      </c>
      <c r="E503" s="29" t="s">
        <v>923</v>
      </c>
      <c r="F503" s="30">
        <v>0.25</v>
      </c>
      <c r="G503" s="31"/>
      <c r="H503" s="31"/>
      <c r="I503" s="31"/>
      <c r="J503" s="31"/>
    </row>
    <row r="504" spans="1:10" ht="14.4" x14ac:dyDescent="0.3">
      <c r="A504" s="28" t="str">
        <f>B504&amp;C504&amp;D504&amp;E504</f>
        <v>ОдеждаЖенская одеждаНоски, чулки и колготкиНоски</v>
      </c>
      <c r="B504" s="29" t="s">
        <v>92</v>
      </c>
      <c r="C504" s="29" t="s">
        <v>93</v>
      </c>
      <c r="D504" s="29" t="s">
        <v>925</v>
      </c>
      <c r="E504" s="29" t="s">
        <v>926</v>
      </c>
      <c r="F504" s="30">
        <v>0.25</v>
      </c>
      <c r="G504" s="31"/>
      <c r="H504" s="31"/>
      <c r="I504" s="31"/>
      <c r="J504" s="31"/>
    </row>
    <row r="505" spans="1:10" ht="14.4" x14ac:dyDescent="0.3">
      <c r="A505" s="28" t="str">
        <f>B505&amp;C505&amp;D505&amp;E505</f>
        <v>ОдеждаЖенская одеждаСпортивная одеждаСпортивные куртки</v>
      </c>
      <c r="B505" s="29" t="s">
        <v>92</v>
      </c>
      <c r="C505" s="29" t="s">
        <v>93</v>
      </c>
      <c r="D505" s="29" t="s">
        <v>158</v>
      </c>
      <c r="E505" s="29" t="s">
        <v>933</v>
      </c>
      <c r="F505" s="30">
        <v>0.25</v>
      </c>
      <c r="G505" s="31"/>
      <c r="H505" s="31"/>
      <c r="I505" s="31"/>
      <c r="J505" s="31"/>
    </row>
    <row r="506" spans="1:10" ht="14.4" x14ac:dyDescent="0.3">
      <c r="A506" s="28" t="str">
        <f>B506&amp;C506&amp;D506&amp;E506</f>
        <v>Спорт и отдыхВелоспортВелозапчастиЦепи велосипедные</v>
      </c>
      <c r="B506" s="29" t="s">
        <v>101</v>
      </c>
      <c r="C506" s="29" t="s">
        <v>743</v>
      </c>
      <c r="D506" s="29" t="s">
        <v>935</v>
      </c>
      <c r="E506" s="29" t="s">
        <v>936</v>
      </c>
      <c r="F506" s="30">
        <v>0.25</v>
      </c>
      <c r="G506" s="31"/>
      <c r="H506" s="31"/>
      <c r="I506" s="31"/>
      <c r="J506" s="31"/>
    </row>
    <row r="507" spans="1:10" ht="14.4" x14ac:dyDescent="0.3">
      <c r="A507" s="28" t="str">
        <f>B507&amp;C507&amp;D507&amp;E507</f>
        <v>Спорт и отдыхАктивные виды отдыхаИнвентарь для активного отдыхаИнвентарь для активного отдыха</v>
      </c>
      <c r="B507" s="29" t="s">
        <v>101</v>
      </c>
      <c r="C507" s="29" t="s">
        <v>941</v>
      </c>
      <c r="D507" s="29" t="s">
        <v>942</v>
      </c>
      <c r="E507" s="29" t="s">
        <v>942</v>
      </c>
      <c r="F507" s="30">
        <v>0.25</v>
      </c>
      <c r="G507" s="31"/>
      <c r="H507" s="31"/>
      <c r="I507" s="31"/>
      <c r="J507" s="31"/>
    </row>
    <row r="508" spans="1:10" ht="14.4" x14ac:dyDescent="0.3">
      <c r="A508" s="28" t="str">
        <f>B508&amp;C508&amp;D508&amp;E508</f>
        <v>ЗдоровьеПрезервативы и лубрикантыЛубрикантыЛубриканты</v>
      </c>
      <c r="B508" s="29" t="s">
        <v>116</v>
      </c>
      <c r="C508" s="29" t="s">
        <v>945</v>
      </c>
      <c r="D508" s="29" t="s">
        <v>946</v>
      </c>
      <c r="E508" s="29" t="s">
        <v>946</v>
      </c>
      <c r="F508" s="30">
        <v>0.25</v>
      </c>
      <c r="G508" s="31"/>
      <c r="H508" s="31"/>
      <c r="I508" s="31"/>
      <c r="J508" s="31"/>
    </row>
    <row r="509" spans="1:10" ht="14.4" x14ac:dyDescent="0.3">
      <c r="A509" s="28" t="str">
        <f>B509&amp;C509&amp;D509&amp;E509</f>
        <v>АвтотоварыАксессуары и принадлежностиАварийные принадлежностиСветоотражащие жилеты</v>
      </c>
      <c r="B509" s="29" t="s">
        <v>12</v>
      </c>
      <c r="C509" s="29" t="s">
        <v>253</v>
      </c>
      <c r="D509" s="29" t="s">
        <v>528</v>
      </c>
      <c r="E509" s="29" t="s">
        <v>953</v>
      </c>
      <c r="F509" s="30">
        <v>0.25</v>
      </c>
      <c r="G509" s="31"/>
      <c r="H509" s="31"/>
      <c r="I509" s="31"/>
      <c r="J509" s="31"/>
    </row>
    <row r="510" spans="1:10" ht="14.4" x14ac:dyDescent="0.3">
      <c r="A510" s="28" t="str">
        <f>B510&amp;C510&amp;D510&amp;E510</f>
        <v>ОдеждаМужская одеждаВерхняя одеждаЖилеты</v>
      </c>
      <c r="B510" s="29" t="s">
        <v>92</v>
      </c>
      <c r="C510" s="29" t="s">
        <v>112</v>
      </c>
      <c r="D510" s="29" t="s">
        <v>144</v>
      </c>
      <c r="E510" s="29" t="s">
        <v>891</v>
      </c>
      <c r="F510" s="30">
        <v>0.25</v>
      </c>
      <c r="G510" s="31"/>
      <c r="H510" s="31"/>
      <c r="I510" s="31"/>
      <c r="J510" s="31"/>
    </row>
    <row r="511" spans="1:10" ht="14.4" x14ac:dyDescent="0.3">
      <c r="A511" s="28" t="str">
        <f>B511&amp;C511&amp;D511&amp;E511</f>
        <v>ОдеждаЖенская одеждаОдежда для беременныхДжемперы и кардиганы</v>
      </c>
      <c r="B511" s="29" t="s">
        <v>92</v>
      </c>
      <c r="C511" s="29" t="s">
        <v>93</v>
      </c>
      <c r="D511" s="29" t="s">
        <v>816</v>
      </c>
      <c r="E511" s="29" t="s">
        <v>958</v>
      </c>
      <c r="F511" s="30">
        <v>0.25</v>
      </c>
      <c r="G511" s="31"/>
      <c r="H511" s="31"/>
      <c r="I511" s="31"/>
      <c r="J511" s="31"/>
    </row>
    <row r="512" spans="1:10" ht="14.4" x14ac:dyDescent="0.3">
      <c r="A512" s="28" t="str">
        <f>B512&amp;C512&amp;D512&amp;E512</f>
        <v>ЗдоровьеМассажеры и массажное оборудованиеМассажные подушки для автоМассажные подушки для авто</v>
      </c>
      <c r="B512" s="29" t="s">
        <v>116</v>
      </c>
      <c r="C512" s="29" t="s">
        <v>495</v>
      </c>
      <c r="D512" s="29" t="s">
        <v>960</v>
      </c>
      <c r="E512" s="29" t="s">
        <v>960</v>
      </c>
      <c r="F512" s="30">
        <v>0.25</v>
      </c>
      <c r="G512" s="31"/>
      <c r="H512" s="31"/>
      <c r="I512" s="31"/>
      <c r="J512" s="31"/>
    </row>
    <row r="513" spans="1:10" ht="14.4" x14ac:dyDescent="0.3">
      <c r="A513" s="28" t="str">
        <f>B513&amp;C513&amp;D513&amp;E513</f>
        <v>Товары для домаТовары для кухниАксессуары для напитковДозаторы для напитков</v>
      </c>
      <c r="B513" s="29" t="s">
        <v>59</v>
      </c>
      <c r="C513" s="29" t="s">
        <v>60</v>
      </c>
      <c r="D513" s="29" t="s">
        <v>346</v>
      </c>
      <c r="E513" s="29" t="s">
        <v>961</v>
      </c>
      <c r="F513" s="30">
        <v>0.25</v>
      </c>
      <c r="G513" s="31"/>
      <c r="H513" s="31"/>
      <c r="I513" s="31"/>
      <c r="J513" s="31"/>
    </row>
    <row r="514" spans="1:10" ht="14.4" x14ac:dyDescent="0.3">
      <c r="A514" s="28" t="str">
        <f>B514&amp;C514&amp;D514&amp;E514</f>
        <v>Дача, сад и огородСадовый инструментОбработка почвыТяпки, мотыги, совки садовые</v>
      </c>
      <c r="B514" s="29" t="s">
        <v>352</v>
      </c>
      <c r="C514" s="29" t="s">
        <v>353</v>
      </c>
      <c r="D514" s="29" t="s">
        <v>393</v>
      </c>
      <c r="E514" s="29" t="s">
        <v>968</v>
      </c>
      <c r="F514" s="30">
        <v>0.25</v>
      </c>
      <c r="G514" s="31"/>
      <c r="H514" s="31"/>
      <c r="I514" s="31"/>
      <c r="J514" s="31"/>
    </row>
    <row r="515" spans="1:10" ht="14.4" x14ac:dyDescent="0.3">
      <c r="A515" s="28" t="str">
        <f>B515&amp;C515&amp;D515&amp;E515</f>
        <v>Спорт и отдыхОтдых на природе, рыбалка и охотаТуризм и отдых на природеСредства ориентирования</v>
      </c>
      <c r="B515" s="29" t="s">
        <v>101</v>
      </c>
      <c r="C515" s="29" t="s">
        <v>166</v>
      </c>
      <c r="D515" s="29" t="s">
        <v>204</v>
      </c>
      <c r="E515" s="29" t="s">
        <v>972</v>
      </c>
      <c r="F515" s="30">
        <v>0.25</v>
      </c>
      <c r="G515" s="31"/>
      <c r="H515" s="31"/>
      <c r="I515" s="31"/>
      <c r="J515" s="31"/>
    </row>
    <row r="516" spans="1:10" ht="14.4" x14ac:dyDescent="0.3">
      <c r="A516" s="28" t="str">
        <f>B516&amp;C516&amp;D516&amp;E516</f>
        <v>ОдеждаМужская одеждаБрюкиЗауженные брюки</v>
      </c>
      <c r="B516" s="29" t="s">
        <v>92</v>
      </c>
      <c r="C516" s="29" t="s">
        <v>112</v>
      </c>
      <c r="D516" s="29" t="s">
        <v>460</v>
      </c>
      <c r="E516" s="29" t="s">
        <v>976</v>
      </c>
      <c r="F516" s="30">
        <v>0.25</v>
      </c>
      <c r="G516" s="31"/>
      <c r="H516" s="31"/>
      <c r="I516" s="31"/>
      <c r="J516" s="31"/>
    </row>
    <row r="517" spans="1:10" ht="14.4" x14ac:dyDescent="0.3">
      <c r="A517" s="28" t="str">
        <f>B517&amp;C517&amp;D517&amp;E517</f>
        <v>АвтотоварыМасла и автохимияНаборы автохимииНаборы автохимии</v>
      </c>
      <c r="B517" s="29" t="s">
        <v>12</v>
      </c>
      <c r="C517" s="29" t="s">
        <v>848</v>
      </c>
      <c r="D517" s="29" t="s">
        <v>981</v>
      </c>
      <c r="E517" s="29" t="s">
        <v>981</v>
      </c>
      <c r="F517" s="30">
        <v>0.25</v>
      </c>
      <c r="G517" s="31"/>
      <c r="H517" s="31"/>
      <c r="I517" s="31"/>
      <c r="J517" s="31"/>
    </row>
    <row r="518" spans="1:10" ht="14.4" x14ac:dyDescent="0.3">
      <c r="A518" s="28" t="str">
        <f>B518&amp;C518&amp;D518&amp;E518</f>
        <v>Строительство и ремонтРучной инструмент и оснасткаМалярные и отделочные инструментыКраскопульты и аэрографы</v>
      </c>
      <c r="B518" s="29" t="s">
        <v>77</v>
      </c>
      <c r="C518" s="29" t="s">
        <v>127</v>
      </c>
      <c r="D518" s="29" t="s">
        <v>128</v>
      </c>
      <c r="E518" s="29" t="s">
        <v>982</v>
      </c>
      <c r="F518" s="30">
        <v>0.25</v>
      </c>
      <c r="G518" s="31"/>
      <c r="H518" s="31"/>
      <c r="I518" s="31"/>
      <c r="J518" s="31"/>
    </row>
    <row r="519" spans="1:10" ht="14.4" x14ac:dyDescent="0.3">
      <c r="A519" s="28" t="str">
        <f>B519&amp;C519&amp;D519&amp;E519</f>
        <v>Бытовая техникаТовары для кухниПриготовление кофеСредства по уходу для кофемашин</v>
      </c>
      <c r="B519" s="29" t="s">
        <v>160</v>
      </c>
      <c r="C519" s="29" t="s">
        <v>60</v>
      </c>
      <c r="D519" s="29" t="s">
        <v>358</v>
      </c>
      <c r="E519" s="29" t="s">
        <v>983</v>
      </c>
      <c r="F519" s="30">
        <v>0.25</v>
      </c>
      <c r="G519" s="31"/>
      <c r="H519" s="31"/>
      <c r="I519" s="31"/>
      <c r="J519" s="31"/>
    </row>
    <row r="520" spans="1:10" ht="14.4" x14ac:dyDescent="0.3">
      <c r="A520" s="28" t="str">
        <f>B520&amp;C520&amp;D520&amp;E520</f>
        <v>ОдеждаЖенская одеждаНоски, чулки и колготкиЧулки</v>
      </c>
      <c r="B520" s="29" t="s">
        <v>92</v>
      </c>
      <c r="C520" s="29" t="s">
        <v>93</v>
      </c>
      <c r="D520" s="29" t="s">
        <v>925</v>
      </c>
      <c r="E520" s="29" t="s">
        <v>984</v>
      </c>
      <c r="F520" s="30">
        <v>0.25</v>
      </c>
      <c r="G520" s="31"/>
      <c r="H520" s="31"/>
      <c r="I520" s="31"/>
      <c r="J520" s="31"/>
    </row>
    <row r="521" spans="1:10" ht="14.4" x14ac:dyDescent="0.3">
      <c r="A521" s="28" t="str">
        <f>B521&amp;C521&amp;D521&amp;E521</f>
        <v>Товары для домаТовары для кухниПорядок на кухнеПринадлежности для мытья посуды</v>
      </c>
      <c r="B521" s="29" t="s">
        <v>59</v>
      </c>
      <c r="C521" s="29" t="s">
        <v>60</v>
      </c>
      <c r="D521" s="29" t="s">
        <v>300</v>
      </c>
      <c r="E521" s="29" t="s">
        <v>985</v>
      </c>
      <c r="F521" s="30">
        <v>0.25</v>
      </c>
      <c r="G521" s="31"/>
      <c r="H521" s="31"/>
      <c r="I521" s="31"/>
      <c r="J521" s="31"/>
    </row>
    <row r="522" spans="1:10" ht="14.4" x14ac:dyDescent="0.3">
      <c r="A522" s="28" t="str">
        <f>B522&amp;C522&amp;D522&amp;E522</f>
        <v>Строительство и ремонтРучной инструмент и оснасткаСтолярно-слесарные инструментыКернер</v>
      </c>
      <c r="B522" s="29" t="s">
        <v>77</v>
      </c>
      <c r="C522" s="29" t="s">
        <v>127</v>
      </c>
      <c r="D522" s="29" t="s">
        <v>139</v>
      </c>
      <c r="E522" s="29" t="s">
        <v>990</v>
      </c>
      <c r="F522" s="30">
        <v>0.25</v>
      </c>
      <c r="G522" s="31"/>
      <c r="H522" s="31"/>
      <c r="I522" s="31"/>
      <c r="J522" s="31"/>
    </row>
    <row r="523" spans="1:10" ht="14.4" x14ac:dyDescent="0.3">
      <c r="A523" s="28" t="str">
        <f>B523&amp;C523&amp;D523&amp;E523</f>
        <v>ОдеждаЖенская одеждаПлатья и сарафаныПлатья-толстовки</v>
      </c>
      <c r="B523" s="29" t="s">
        <v>92</v>
      </c>
      <c r="C523" s="29" t="s">
        <v>93</v>
      </c>
      <c r="D523" s="29" t="s">
        <v>94</v>
      </c>
      <c r="E523" s="29" t="s">
        <v>991</v>
      </c>
      <c r="F523" s="30">
        <v>0.25</v>
      </c>
      <c r="G523" s="31"/>
      <c r="H523" s="31"/>
      <c r="I523" s="31"/>
      <c r="J523" s="31"/>
    </row>
    <row r="524" spans="1:10" ht="14.4" x14ac:dyDescent="0.3">
      <c r="A524" s="28" t="str">
        <f>B524&amp;C524&amp;D524&amp;E524</f>
        <v>Строительство и ремонтРучной инструмент и оснасткаХранение инструментов и инвентаряХранение инструментов и инвентаря</v>
      </c>
      <c r="B524" s="29" t="s">
        <v>77</v>
      </c>
      <c r="C524" s="29" t="s">
        <v>127</v>
      </c>
      <c r="D524" s="29" t="s">
        <v>993</v>
      </c>
      <c r="E524" s="29" t="s">
        <v>993</v>
      </c>
      <c r="F524" s="30">
        <v>0.25</v>
      </c>
      <c r="G524" s="31"/>
      <c r="H524" s="31"/>
      <c r="I524" s="31"/>
      <c r="J524" s="31"/>
    </row>
    <row r="525" spans="1:10" ht="14.4" x14ac:dyDescent="0.3">
      <c r="A525" s="28" t="str">
        <f>B525&amp;C525&amp;D525&amp;E525</f>
        <v>АвтотоварыАксессуары и принадлежностиОбустройство салонаРучки и опоры</v>
      </c>
      <c r="B525" s="29" t="s">
        <v>12</v>
      </c>
      <c r="C525" s="29" t="s">
        <v>253</v>
      </c>
      <c r="D525" s="29" t="s">
        <v>256</v>
      </c>
      <c r="E525" s="29" t="s">
        <v>994</v>
      </c>
      <c r="F525" s="30">
        <v>0.25</v>
      </c>
      <c r="G525" s="31"/>
      <c r="H525" s="31"/>
      <c r="I525" s="31"/>
      <c r="J525" s="31"/>
    </row>
    <row r="526" spans="1:10" ht="14.4" x14ac:dyDescent="0.3">
      <c r="A526" s="28" t="str">
        <f>B526&amp;C526&amp;D526&amp;E526</f>
        <v>АвтотоварыАксессуары и принадлежностиАварийные принадлежностиБуксировочные тросы</v>
      </c>
      <c r="B526" s="29" t="s">
        <v>12</v>
      </c>
      <c r="C526" s="29" t="s">
        <v>253</v>
      </c>
      <c r="D526" s="29" t="s">
        <v>528</v>
      </c>
      <c r="E526" s="29" t="s">
        <v>995</v>
      </c>
      <c r="F526" s="30">
        <v>0.25</v>
      </c>
      <c r="G526" s="31"/>
      <c r="H526" s="31"/>
      <c r="I526" s="31"/>
      <c r="J526" s="31"/>
    </row>
    <row r="527" spans="1:10" ht="14.4" x14ac:dyDescent="0.3">
      <c r="A527" s="28" t="str">
        <f>B527&amp;C527&amp;D527&amp;E527</f>
        <v>Товары для домаТовары для кухниСтоловые приборыНаборы столовых приборов</v>
      </c>
      <c r="B527" s="29" t="s">
        <v>59</v>
      </c>
      <c r="C527" s="29" t="s">
        <v>60</v>
      </c>
      <c r="D527" s="29" t="s">
        <v>196</v>
      </c>
      <c r="E527" s="29" t="s">
        <v>996</v>
      </c>
      <c r="F527" s="30">
        <v>0.25</v>
      </c>
      <c r="G527" s="31"/>
      <c r="H527" s="31"/>
      <c r="I527" s="31"/>
      <c r="J527" s="31"/>
    </row>
    <row r="528" spans="1:10" ht="14.4" x14ac:dyDescent="0.3">
      <c r="A528" s="28" t="str">
        <f>B528&amp;C528&amp;D528&amp;E528</f>
        <v>АвтотоварыАксессуары и принадлежностиОбустройство салонаКозырьки солнцезащитные</v>
      </c>
      <c r="B528" s="29" t="s">
        <v>12</v>
      </c>
      <c r="C528" s="29" t="s">
        <v>253</v>
      </c>
      <c r="D528" s="29" t="s">
        <v>256</v>
      </c>
      <c r="E528" s="29" t="s">
        <v>997</v>
      </c>
      <c r="F528" s="30">
        <v>0.25</v>
      </c>
      <c r="G528" s="31"/>
      <c r="H528" s="31"/>
      <c r="I528" s="31"/>
      <c r="J528" s="31"/>
    </row>
    <row r="529" spans="1:10" ht="14.4" x14ac:dyDescent="0.3">
      <c r="A529" s="28" t="str">
        <f>B529&amp;C529&amp;D529&amp;E529</f>
        <v>Бытовая техникаКлиматическая техникаВентиляторыНастольные вентиляторы</v>
      </c>
      <c r="B529" s="29" t="s">
        <v>160</v>
      </c>
      <c r="C529" s="29" t="s">
        <v>621</v>
      </c>
      <c r="D529" s="29" t="s">
        <v>622</v>
      </c>
      <c r="E529" s="29" t="s">
        <v>998</v>
      </c>
      <c r="F529" s="30">
        <v>0.25</v>
      </c>
      <c r="G529" s="31"/>
      <c r="H529" s="31"/>
      <c r="I529" s="31"/>
      <c r="J529" s="31"/>
    </row>
    <row r="530" spans="1:10" ht="14.4" x14ac:dyDescent="0.3">
      <c r="A530" s="28" t="str">
        <f>B530&amp;C530&amp;D530&amp;E530</f>
        <v>АвтотоварыМасла и автохимияСредства для очистки рукСредства для очистки рук</v>
      </c>
      <c r="B530" s="29" t="s">
        <v>12</v>
      </c>
      <c r="C530" s="29" t="s">
        <v>848</v>
      </c>
      <c r="D530" s="29" t="s">
        <v>1000</v>
      </c>
      <c r="E530" s="29" t="s">
        <v>1000</v>
      </c>
      <c r="F530" s="30">
        <v>0.25</v>
      </c>
      <c r="G530" s="31"/>
      <c r="H530" s="31"/>
      <c r="I530" s="31"/>
      <c r="J530" s="31"/>
    </row>
    <row r="531" spans="1:10" ht="14.4" x14ac:dyDescent="0.3">
      <c r="A531" s="28" t="str">
        <f>B531&amp;C531&amp;D531&amp;E531</f>
        <v>АвтотоварыАксессуары и принадлежностиЗащита кузова автоЗащита картера и КПП</v>
      </c>
      <c r="B531" s="29" t="s">
        <v>12</v>
      </c>
      <c r="C531" s="29" t="s">
        <v>253</v>
      </c>
      <c r="D531" s="29" t="s">
        <v>1001</v>
      </c>
      <c r="E531" s="29" t="s">
        <v>1002</v>
      </c>
      <c r="F531" s="30">
        <v>0.25</v>
      </c>
      <c r="G531" s="31"/>
      <c r="H531" s="31"/>
      <c r="I531" s="31"/>
      <c r="J531" s="31"/>
    </row>
    <row r="532" spans="1:10" ht="14.4" x14ac:dyDescent="0.3">
      <c r="A532" s="28" t="str">
        <f>B532&amp;C532&amp;D532&amp;E532</f>
        <v>Товары для домаТовары для кухниКухонные инструментыЛожки кулинарные</v>
      </c>
      <c r="B532" s="29" t="s">
        <v>59</v>
      </c>
      <c r="C532" s="29" t="s">
        <v>60</v>
      </c>
      <c r="D532" s="29" t="s">
        <v>1006</v>
      </c>
      <c r="E532" s="29" t="s">
        <v>1007</v>
      </c>
      <c r="F532" s="30">
        <v>0.25</v>
      </c>
      <c r="G532" s="31"/>
      <c r="H532" s="31"/>
      <c r="I532" s="31"/>
      <c r="J532" s="31"/>
    </row>
    <row r="533" spans="1:10" ht="14.4" x14ac:dyDescent="0.3">
      <c r="A533" s="28" t="str">
        <f>B533&amp;C533&amp;D533&amp;E533</f>
        <v>Товары для домаТовары для кухниКухонные инструментыДуршлаги и сита</v>
      </c>
      <c r="B533" s="29" t="s">
        <v>59</v>
      </c>
      <c r="C533" s="29" t="s">
        <v>60</v>
      </c>
      <c r="D533" s="29" t="s">
        <v>1006</v>
      </c>
      <c r="E533" s="29" t="s">
        <v>1009</v>
      </c>
      <c r="F533" s="30">
        <v>0.25</v>
      </c>
      <c r="G533" s="31"/>
      <c r="H533" s="31"/>
      <c r="I533" s="31"/>
      <c r="J533" s="31"/>
    </row>
    <row r="534" spans="1:10" ht="14.4" x14ac:dyDescent="0.3">
      <c r="A534" s="28" t="str">
        <f>B534&amp;C534&amp;D534&amp;E534</f>
        <v>Красота и уходОборудование и материалы для тату-салонаУход за татуировкамиУход за татуировками</v>
      </c>
      <c r="B534" s="29" t="s">
        <v>56</v>
      </c>
      <c r="C534" s="29" t="s">
        <v>791</v>
      </c>
      <c r="D534" s="29" t="s">
        <v>1010</v>
      </c>
      <c r="E534" s="29" t="s">
        <v>1010</v>
      </c>
      <c r="F534" s="30">
        <v>0.25</v>
      </c>
      <c r="G534" s="31"/>
      <c r="H534" s="31"/>
      <c r="I534" s="31"/>
      <c r="J534" s="31"/>
    </row>
    <row r="535" spans="1:10" ht="14.4" x14ac:dyDescent="0.3">
      <c r="A535" s="28" t="str">
        <f>B535&amp;C535&amp;D535&amp;E535</f>
        <v>ЭлектроникаФото и видеотехникаОборудование для фотографовШтативы</v>
      </c>
      <c r="B535" s="29" t="s">
        <v>67</v>
      </c>
      <c r="C535" s="29" t="s">
        <v>174</v>
      </c>
      <c r="D535" s="29" t="s">
        <v>575</v>
      </c>
      <c r="E535" s="29" t="s">
        <v>1014</v>
      </c>
      <c r="F535" s="30">
        <v>0.25</v>
      </c>
      <c r="G535" s="31"/>
      <c r="H535" s="31"/>
      <c r="I535" s="31"/>
      <c r="J535" s="31"/>
    </row>
    <row r="536" spans="1:10" ht="14.4" x14ac:dyDescent="0.3">
      <c r="A536" s="28" t="str">
        <f>B536&amp;C536&amp;D536&amp;E536</f>
        <v>ОдеждаЖенская одеждаПиджаки и костюмыКостюмы с брюками</v>
      </c>
      <c r="B536" s="29" t="s">
        <v>92</v>
      </c>
      <c r="C536" s="29" t="s">
        <v>93</v>
      </c>
      <c r="D536" s="29" t="s">
        <v>1015</v>
      </c>
      <c r="E536" s="29" t="s">
        <v>1016</v>
      </c>
      <c r="F536" s="30">
        <v>0.25</v>
      </c>
      <c r="G536" s="31"/>
      <c r="H536" s="31"/>
      <c r="I536" s="31"/>
      <c r="J536" s="31"/>
    </row>
    <row r="537" spans="1:10" ht="14.4" x14ac:dyDescent="0.3">
      <c r="A537" s="28" t="str">
        <f>B537&amp;C537&amp;D537&amp;E537</f>
        <v>Товары для домаТовары для кухниКухонные инструментыКухонные наборы</v>
      </c>
      <c r="B537" s="29" t="s">
        <v>59</v>
      </c>
      <c r="C537" s="29" t="s">
        <v>60</v>
      </c>
      <c r="D537" s="29" t="s">
        <v>1006</v>
      </c>
      <c r="E537" s="29" t="s">
        <v>1017</v>
      </c>
      <c r="F537" s="30">
        <v>0.25</v>
      </c>
      <c r="G537" s="31"/>
      <c r="H537" s="31"/>
      <c r="I537" s="31"/>
      <c r="J537" s="31"/>
    </row>
    <row r="538" spans="1:10" ht="14.4" x14ac:dyDescent="0.3">
      <c r="A538" s="28" t="str">
        <f>B538&amp;C538&amp;D538&amp;E538</f>
        <v>ОдеждаМужская одеждаВерхняя одеждаКожаные куртки и косухи</v>
      </c>
      <c r="B538" s="29" t="s">
        <v>92</v>
      </c>
      <c r="C538" s="29" t="s">
        <v>112</v>
      </c>
      <c r="D538" s="29" t="s">
        <v>144</v>
      </c>
      <c r="E538" s="29" t="s">
        <v>1018</v>
      </c>
      <c r="F538" s="30">
        <v>0.25</v>
      </c>
      <c r="G538" s="31"/>
      <c r="H538" s="31"/>
      <c r="I538" s="31"/>
      <c r="J538" s="31"/>
    </row>
    <row r="539" spans="1:10" ht="14.4" x14ac:dyDescent="0.3">
      <c r="A539" s="28" t="str">
        <f>B539&amp;C539&amp;D539&amp;E539</f>
        <v>ЭлектроникаФото и видеотехникаФото- и видеокамерыБеззеркальные фотоаппараты</v>
      </c>
      <c r="B539" s="29" t="s">
        <v>67</v>
      </c>
      <c r="C539" s="29" t="s">
        <v>174</v>
      </c>
      <c r="D539" s="29" t="s">
        <v>648</v>
      </c>
      <c r="E539" s="29" t="s">
        <v>1021</v>
      </c>
      <c r="F539" s="30">
        <v>0.25</v>
      </c>
      <c r="G539" s="31"/>
      <c r="H539" s="31"/>
      <c r="I539" s="31"/>
      <c r="J539" s="31"/>
    </row>
    <row r="540" spans="1:10" ht="14.4" x14ac:dyDescent="0.3">
      <c r="A540" s="28" t="str">
        <f>B540&amp;C540&amp;D540&amp;E540</f>
        <v>Строительство и ремонтОтоплениеШаровые краныШаровые краны</v>
      </c>
      <c r="B540" s="29" t="s">
        <v>77</v>
      </c>
      <c r="C540" s="29" t="s">
        <v>1022</v>
      </c>
      <c r="D540" s="29" t="s">
        <v>1023</v>
      </c>
      <c r="E540" s="29" t="s">
        <v>1023</v>
      </c>
      <c r="F540" s="30">
        <v>0.25</v>
      </c>
      <c r="G540" s="31"/>
      <c r="H540" s="31"/>
      <c r="I540" s="31"/>
      <c r="J540" s="31"/>
    </row>
    <row r="541" spans="1:10" ht="14.4" x14ac:dyDescent="0.3">
      <c r="A541" s="28" t="str">
        <f>B541&amp;C541&amp;D541&amp;E541</f>
        <v>АвтотоварыАксессуары и принадлежностиОбустройство салонаРемни безопасности</v>
      </c>
      <c r="B541" s="29" t="s">
        <v>12</v>
      </c>
      <c r="C541" s="29" t="s">
        <v>253</v>
      </c>
      <c r="D541" s="29" t="s">
        <v>256</v>
      </c>
      <c r="E541" s="29" t="s">
        <v>1034</v>
      </c>
      <c r="F541" s="30">
        <v>0.25</v>
      </c>
      <c r="G541" s="31"/>
      <c r="H541" s="31"/>
      <c r="I541" s="31"/>
      <c r="J541" s="31"/>
    </row>
    <row r="542" spans="1:10" ht="14.4" x14ac:dyDescent="0.3">
      <c r="A542" s="28" t="str">
        <f>B542&amp;C542&amp;D542&amp;E542</f>
        <v>Красота и уходМаникюр и педикюрИнструменты для маникюраАксессуары для маникюра и педикюра</v>
      </c>
      <c r="B542" s="29" t="s">
        <v>56</v>
      </c>
      <c r="C542" s="29" t="s">
        <v>57</v>
      </c>
      <c r="D542" s="29" t="s">
        <v>199</v>
      </c>
      <c r="E542" s="29" t="s">
        <v>1043</v>
      </c>
      <c r="F542" s="30">
        <v>0.25</v>
      </c>
      <c r="G542" s="31"/>
      <c r="H542" s="31"/>
      <c r="I542" s="31"/>
      <c r="J542" s="31"/>
    </row>
    <row r="543" spans="1:10" ht="14.4" x14ac:dyDescent="0.3">
      <c r="A543" s="28" t="str">
        <f>B543&amp;C543&amp;D543&amp;E543</f>
        <v>ОдеждаМужская одеждаВерхняя одеждаДемисезонные куртки</v>
      </c>
      <c r="B543" s="29" t="s">
        <v>92</v>
      </c>
      <c r="C543" s="29" t="s">
        <v>112</v>
      </c>
      <c r="D543" s="29" t="s">
        <v>144</v>
      </c>
      <c r="E543" s="29" t="s">
        <v>1045</v>
      </c>
      <c r="F543" s="30">
        <v>0.25</v>
      </c>
      <c r="G543" s="31"/>
      <c r="H543" s="31"/>
      <c r="I543" s="31"/>
      <c r="J543" s="31"/>
    </row>
    <row r="544" spans="1:10" ht="14.4" x14ac:dyDescent="0.3">
      <c r="A544" s="28" t="str">
        <f>B544&amp;C544&amp;D544&amp;E544</f>
        <v>АвтотоварыАксессуары и принадлежностиАварийные принадлежностиАвтомобильные аптечки</v>
      </c>
      <c r="B544" s="29" t="s">
        <v>12</v>
      </c>
      <c r="C544" s="29" t="s">
        <v>253</v>
      </c>
      <c r="D544" s="29" t="s">
        <v>528</v>
      </c>
      <c r="E544" s="29" t="s">
        <v>1047</v>
      </c>
      <c r="F544" s="30">
        <v>0.25</v>
      </c>
      <c r="G544" s="31"/>
      <c r="H544" s="31"/>
      <c r="I544" s="31"/>
      <c r="J544" s="31"/>
    </row>
    <row r="545" spans="1:10" ht="14.4" x14ac:dyDescent="0.3">
      <c r="A545" s="28" t="str">
        <f>B545&amp;C545&amp;D545&amp;E545</f>
        <v>Товары для домаТовары для кухниКухонные инструментыЛопатки кулинарные</v>
      </c>
      <c r="B545" s="29" t="s">
        <v>59</v>
      </c>
      <c r="C545" s="29" t="s">
        <v>60</v>
      </c>
      <c r="D545" s="29" t="s">
        <v>1006</v>
      </c>
      <c r="E545" s="29" t="s">
        <v>1056</v>
      </c>
      <c r="F545" s="30">
        <v>0.25</v>
      </c>
      <c r="G545" s="31"/>
      <c r="H545" s="31"/>
      <c r="I545" s="31"/>
      <c r="J545" s="31"/>
    </row>
    <row r="546" spans="1:10" ht="14.4" x14ac:dyDescent="0.3">
      <c r="A546" s="28" t="str">
        <f>B546&amp;C546&amp;D546&amp;E546</f>
        <v>Товары для домаТовары для кухниПорядок на кухнеЛотки для столовых приборов</v>
      </c>
      <c r="B546" s="29" t="s">
        <v>59</v>
      </c>
      <c r="C546" s="29" t="s">
        <v>60</v>
      </c>
      <c r="D546" s="29" t="s">
        <v>300</v>
      </c>
      <c r="E546" s="29" t="s">
        <v>1057</v>
      </c>
      <c r="F546" s="30">
        <v>0.25</v>
      </c>
      <c r="G546" s="31"/>
      <c r="H546" s="31"/>
      <c r="I546" s="31"/>
      <c r="J546" s="31"/>
    </row>
    <row r="547" spans="1:10" ht="14.4" x14ac:dyDescent="0.3">
      <c r="A547" s="28" t="str">
        <f>B547&amp;C547&amp;D547&amp;E547</f>
        <v>ОдеждаЖенская одеждаСпортивная одеждаСпортивные леггинсы</v>
      </c>
      <c r="B547" s="29" t="s">
        <v>92</v>
      </c>
      <c r="C547" s="29" t="s">
        <v>93</v>
      </c>
      <c r="D547" s="29" t="s">
        <v>158</v>
      </c>
      <c r="E547" s="29" t="s">
        <v>1058</v>
      </c>
      <c r="F547" s="30">
        <v>0.25</v>
      </c>
      <c r="G547" s="31"/>
      <c r="H547" s="31"/>
      <c r="I547" s="31"/>
      <c r="J547" s="31"/>
    </row>
    <row r="548" spans="1:10" ht="14.4" x14ac:dyDescent="0.3">
      <c r="A548" s="28" t="str">
        <f>B548&amp;C548&amp;D548&amp;E548</f>
        <v>ОдеждаМужская одеждаБрюкиТайтсы</v>
      </c>
      <c r="B548" s="29" t="s">
        <v>92</v>
      </c>
      <c r="C548" s="29" t="s">
        <v>112</v>
      </c>
      <c r="D548" s="29" t="s">
        <v>460</v>
      </c>
      <c r="E548" s="29" t="s">
        <v>1060</v>
      </c>
      <c r="F548" s="30">
        <v>0.25</v>
      </c>
      <c r="G548" s="31"/>
      <c r="H548" s="31"/>
      <c r="I548" s="31"/>
      <c r="J548" s="31"/>
    </row>
    <row r="549" spans="1:10" ht="14.4" x14ac:dyDescent="0.3">
      <c r="A549" s="28" t="str">
        <f>B549&amp;C549&amp;D549&amp;E549</f>
        <v>ОдеждаМужская одеждаПиджаки и костюмыПиджаки</v>
      </c>
      <c r="B549" s="29" t="s">
        <v>92</v>
      </c>
      <c r="C549" s="29" t="s">
        <v>112</v>
      </c>
      <c r="D549" s="29" t="s">
        <v>1015</v>
      </c>
      <c r="E549" s="29" t="s">
        <v>1061</v>
      </c>
      <c r="F549" s="30">
        <v>0.25</v>
      </c>
      <c r="G549" s="31"/>
      <c r="H549" s="31"/>
      <c r="I549" s="31"/>
      <c r="J549" s="31"/>
    </row>
    <row r="550" spans="1:10" ht="14.4" x14ac:dyDescent="0.3">
      <c r="A550" s="28" t="str">
        <f>B550&amp;C550&amp;D550&amp;E550</f>
        <v>ОдеждаЖенская одеждаДжинсыДжинсы-бойфренды</v>
      </c>
      <c r="B550" s="29" t="s">
        <v>92</v>
      </c>
      <c r="C550" s="29" t="s">
        <v>93</v>
      </c>
      <c r="D550" s="29" t="s">
        <v>544</v>
      </c>
      <c r="E550" s="29" t="s">
        <v>1064</v>
      </c>
      <c r="F550" s="30">
        <v>0.25</v>
      </c>
      <c r="G550" s="31"/>
      <c r="H550" s="31"/>
      <c r="I550" s="31"/>
      <c r="J550" s="31"/>
    </row>
    <row r="551" spans="1:10" ht="14.4" x14ac:dyDescent="0.3">
      <c r="A551" s="28" t="str">
        <f>B551&amp;C551&amp;D551&amp;E551</f>
        <v>Товары для домаТовары для кухниАксессуары для выпечкиТрафареты для выпечки</v>
      </c>
      <c r="B551" s="29" t="s">
        <v>59</v>
      </c>
      <c r="C551" s="29" t="s">
        <v>60</v>
      </c>
      <c r="D551" s="29" t="s">
        <v>686</v>
      </c>
      <c r="E551" s="29" t="s">
        <v>1067</v>
      </c>
      <c r="F551" s="30">
        <v>0.25</v>
      </c>
      <c r="G551" s="31"/>
      <c r="H551" s="31"/>
      <c r="I551" s="31"/>
      <c r="J551" s="31"/>
    </row>
    <row r="552" spans="1:10" ht="14.4" x14ac:dyDescent="0.3">
      <c r="A552" s="28" t="str">
        <f>B552&amp;C552&amp;D552&amp;E552</f>
        <v>Спорт и отдыхВиды спортаБокс и единоборстваИнвентарь для борьбы</v>
      </c>
      <c r="B552" s="29" t="s">
        <v>101</v>
      </c>
      <c r="C552" s="29" t="s">
        <v>446</v>
      </c>
      <c r="D552" s="29" t="s">
        <v>1068</v>
      </c>
      <c r="E552" s="29" t="s">
        <v>1069</v>
      </c>
      <c r="F552" s="30">
        <v>0.25</v>
      </c>
      <c r="G552" s="31"/>
      <c r="H552" s="31"/>
      <c r="I552" s="31"/>
      <c r="J552" s="31"/>
    </row>
    <row r="553" spans="1:10" ht="14.4" x14ac:dyDescent="0.3">
      <c r="A553" s="28" t="str">
        <f>B553&amp;C553&amp;D553&amp;E553</f>
        <v>Строительство и ремонтСтроительное оборудованиеПрочее строительное оборудованиеПрочее строительное оборудование</v>
      </c>
      <c r="B553" s="29" t="s">
        <v>77</v>
      </c>
      <c r="C553" s="29" t="s">
        <v>1072</v>
      </c>
      <c r="D553" s="29" t="s">
        <v>1073</v>
      </c>
      <c r="E553" s="29" t="s">
        <v>1073</v>
      </c>
      <c r="F553" s="30">
        <v>0.25</v>
      </c>
      <c r="G553" s="31"/>
      <c r="H553" s="31"/>
      <c r="I553" s="31"/>
      <c r="J553" s="31"/>
    </row>
    <row r="554" spans="1:10" ht="14.4" x14ac:dyDescent="0.3">
      <c r="A554" s="28" t="str">
        <f>B554&amp;C554&amp;D554&amp;E554</f>
        <v>Дача, сад и огородПикник, барбекю, грильРешетки и аксессуары для мангала, коптильниРешетки и аксессуары для мангала, коптильни</v>
      </c>
      <c r="B554" s="29" t="s">
        <v>352</v>
      </c>
      <c r="C554" s="29" t="s">
        <v>1048</v>
      </c>
      <c r="D554" s="29" t="s">
        <v>1077</v>
      </c>
      <c r="E554" s="29" t="s">
        <v>1077</v>
      </c>
      <c r="F554" s="30">
        <v>0.25</v>
      </c>
      <c r="G554" s="31"/>
      <c r="H554" s="31"/>
      <c r="I554" s="31"/>
      <c r="J554" s="31"/>
    </row>
    <row r="555" spans="1:10" ht="14.4" x14ac:dyDescent="0.3">
      <c r="A555" s="28" t="str">
        <f>B555&amp;C555&amp;D555&amp;E555</f>
        <v>Строительство и ремонтСантехникаАксессуары для ванной и кухниАксессуары для ванной и кухни</v>
      </c>
      <c r="B555" s="29" t="s">
        <v>77</v>
      </c>
      <c r="C555" s="29" t="s">
        <v>388</v>
      </c>
      <c r="D555" s="29" t="s">
        <v>1090</v>
      </c>
      <c r="E555" s="29" t="s">
        <v>1090</v>
      </c>
      <c r="F555" s="30">
        <v>0.25</v>
      </c>
      <c r="G555" s="31"/>
      <c r="H555" s="31"/>
      <c r="I555" s="31"/>
      <c r="J555" s="31"/>
    </row>
    <row r="556" spans="1:10" ht="14.4" x14ac:dyDescent="0.3">
      <c r="A556" s="28" t="str">
        <f>B556&amp;C556&amp;D556&amp;E556</f>
        <v>ОдеждаЖенская одеждаОдежда больших размеровВерхняя одежда</v>
      </c>
      <c r="B556" s="29" t="s">
        <v>92</v>
      </c>
      <c r="C556" s="29" t="s">
        <v>93</v>
      </c>
      <c r="D556" s="29" t="s">
        <v>532</v>
      </c>
      <c r="E556" s="29" t="s">
        <v>144</v>
      </c>
      <c r="F556" s="30">
        <v>0.25</v>
      </c>
      <c r="G556" s="31"/>
      <c r="H556" s="31"/>
      <c r="I556" s="31"/>
      <c r="J556" s="31"/>
    </row>
    <row r="557" spans="1:10" ht="14.4" x14ac:dyDescent="0.3">
      <c r="A557" s="28" t="str">
        <f>B557&amp;C557&amp;D557&amp;E557</f>
        <v>Спорт и отдыхВодный спорт и отдых на водеПлаваниеШапочки</v>
      </c>
      <c r="B557" s="29" t="s">
        <v>101</v>
      </c>
      <c r="C557" s="29" t="s">
        <v>771</v>
      </c>
      <c r="D557" s="29" t="s">
        <v>772</v>
      </c>
      <c r="E557" s="29" t="s">
        <v>1094</v>
      </c>
      <c r="F557" s="30">
        <v>0.25</v>
      </c>
      <c r="G557" s="31"/>
      <c r="H557" s="31"/>
      <c r="I557" s="31"/>
      <c r="J557" s="31"/>
    </row>
    <row r="558" spans="1:10" ht="14.4" x14ac:dyDescent="0.3">
      <c r="A558" s="28" t="str">
        <f>B558&amp;C558&amp;D558&amp;E558</f>
        <v>ОдеждаЖенская одеждаПиджаки и костюмыБолеро</v>
      </c>
      <c r="B558" s="29" t="s">
        <v>92</v>
      </c>
      <c r="C558" s="29" t="s">
        <v>93</v>
      </c>
      <c r="D558" s="29" t="s">
        <v>1015</v>
      </c>
      <c r="E558" s="29" t="s">
        <v>1106</v>
      </c>
      <c r="F558" s="30">
        <v>0.25</v>
      </c>
      <c r="G558" s="31"/>
      <c r="H558" s="31"/>
      <c r="I558" s="31"/>
      <c r="J558" s="31"/>
    </row>
    <row r="559" spans="1:10" ht="14.4" x14ac:dyDescent="0.3">
      <c r="A559" s="28" t="str">
        <f>B559&amp;C559&amp;D559&amp;E559</f>
        <v>Строительство и ремонтРучной инструмент и оснасткаРасходные материалыИзолента</v>
      </c>
      <c r="B559" s="29" t="s">
        <v>77</v>
      </c>
      <c r="C559" s="29" t="s">
        <v>127</v>
      </c>
      <c r="D559" s="29" t="s">
        <v>1110</v>
      </c>
      <c r="E559" s="29" t="s">
        <v>1111</v>
      </c>
      <c r="F559" s="30">
        <v>0.25</v>
      </c>
      <c r="G559" s="31"/>
      <c r="H559" s="31"/>
      <c r="I559" s="31"/>
      <c r="J559" s="31"/>
    </row>
    <row r="560" spans="1:10" ht="14.4" x14ac:dyDescent="0.3">
      <c r="A560" s="28" t="str">
        <f>B560&amp;C560&amp;D560&amp;E560</f>
        <v>ОдеждаЖенская одеждаБрюкиКюлоты</v>
      </c>
      <c r="B560" s="29" t="s">
        <v>92</v>
      </c>
      <c r="C560" s="29" t="s">
        <v>93</v>
      </c>
      <c r="D560" s="29" t="s">
        <v>460</v>
      </c>
      <c r="E560" s="29" t="s">
        <v>1113</v>
      </c>
      <c r="F560" s="30">
        <v>0.25</v>
      </c>
      <c r="G560" s="31"/>
      <c r="H560" s="31"/>
      <c r="I560" s="31"/>
      <c r="J560" s="31"/>
    </row>
    <row r="561" spans="1:10" ht="14.4" x14ac:dyDescent="0.3">
      <c r="A561" s="28" t="str">
        <f>B561&amp;C561&amp;D561&amp;E561</f>
        <v>Спорт и отдыхВиды спортаБокс и единоборстваЗащита тела</v>
      </c>
      <c r="B561" s="29" t="s">
        <v>101</v>
      </c>
      <c r="C561" s="29" t="s">
        <v>446</v>
      </c>
      <c r="D561" s="29" t="s">
        <v>1068</v>
      </c>
      <c r="E561" s="29" t="s">
        <v>1114</v>
      </c>
      <c r="F561" s="30">
        <v>0.25</v>
      </c>
      <c r="G561" s="31"/>
      <c r="H561" s="31"/>
      <c r="I561" s="31"/>
      <c r="J561" s="31"/>
    </row>
    <row r="562" spans="1:10" ht="14.4" x14ac:dyDescent="0.3">
      <c r="A562" s="28" t="str">
        <f>B562&amp;C562&amp;D562&amp;E562</f>
        <v>ОдеждаЖенская одеждаТопы и майкиКорсеты</v>
      </c>
      <c r="B562" s="29" t="s">
        <v>92</v>
      </c>
      <c r="C562" s="29" t="s">
        <v>93</v>
      </c>
      <c r="D562" s="29" t="s">
        <v>550</v>
      </c>
      <c r="E562" s="29" t="s">
        <v>1121</v>
      </c>
      <c r="F562" s="30">
        <v>0.25</v>
      </c>
      <c r="G562" s="31"/>
      <c r="H562" s="31"/>
      <c r="I562" s="31"/>
      <c r="J562" s="31"/>
    </row>
    <row r="563" spans="1:10" ht="14.4" x14ac:dyDescent="0.3">
      <c r="A563" s="28" t="str">
        <f>B563&amp;C563&amp;D563&amp;E563</f>
        <v>ЗдоровьеОртопедические изделияАнатомические и ортопедические подушкиАнатомические и ортопедические подушки</v>
      </c>
      <c r="B563" s="29" t="s">
        <v>116</v>
      </c>
      <c r="C563" s="29" t="s">
        <v>117</v>
      </c>
      <c r="D563" s="29" t="s">
        <v>1123</v>
      </c>
      <c r="E563" s="29" t="s">
        <v>1123</v>
      </c>
      <c r="F563" s="30">
        <v>0.25</v>
      </c>
      <c r="G563" s="31"/>
      <c r="H563" s="31"/>
      <c r="I563" s="31"/>
      <c r="J563" s="31"/>
    </row>
    <row r="564" spans="1:10" ht="14.4" x14ac:dyDescent="0.3">
      <c r="A564" s="28" t="str">
        <f>B564&amp;C564&amp;D564&amp;E564</f>
        <v>Детские товарыДетская комнатаДекор и освещениеКоврики для детской</v>
      </c>
      <c r="B564" s="29" t="s">
        <v>105</v>
      </c>
      <c r="C564" s="29" t="s">
        <v>397</v>
      </c>
      <c r="D564" s="29" t="s">
        <v>455</v>
      </c>
      <c r="E564" s="29" t="s">
        <v>1124</v>
      </c>
      <c r="F564" s="30">
        <v>0.25</v>
      </c>
      <c r="G564" s="31"/>
      <c r="H564" s="31"/>
      <c r="I564" s="31"/>
      <c r="J564" s="31"/>
    </row>
    <row r="565" spans="1:10" ht="14.4" x14ac:dyDescent="0.3">
      <c r="A565" s="28" t="str">
        <f>B565&amp;C565&amp;D565&amp;E565</f>
        <v>ОдеждаЖенская одеждаСпортивная одеждаСпортивные платья и юбки</v>
      </c>
      <c r="B565" s="29" t="s">
        <v>92</v>
      </c>
      <c r="C565" s="29" t="s">
        <v>93</v>
      </c>
      <c r="D565" s="29" t="s">
        <v>158</v>
      </c>
      <c r="E565" s="29" t="s">
        <v>1129</v>
      </c>
      <c r="F565" s="30">
        <v>0.25</v>
      </c>
      <c r="G565" s="31"/>
      <c r="H565" s="31"/>
      <c r="I565" s="31"/>
      <c r="J565" s="31"/>
    </row>
    <row r="566" spans="1:10" ht="14.4" x14ac:dyDescent="0.3">
      <c r="A566" s="28" t="str">
        <f>B566&amp;C566&amp;D566&amp;E566</f>
        <v>ОдеждаЖенская одеждаДомашняя одеждаПижамы</v>
      </c>
      <c r="B566" s="29" t="s">
        <v>92</v>
      </c>
      <c r="C566" s="29" t="s">
        <v>93</v>
      </c>
      <c r="D566" s="29" t="s">
        <v>469</v>
      </c>
      <c r="E566" s="29" t="s">
        <v>1133</v>
      </c>
      <c r="F566" s="30">
        <v>0.25</v>
      </c>
      <c r="G566" s="31"/>
      <c r="H566" s="31"/>
      <c r="I566" s="31"/>
      <c r="J566" s="31"/>
    </row>
    <row r="567" spans="1:10" ht="14.4" x14ac:dyDescent="0.3">
      <c r="A567" s="28" t="str">
        <f>B567&amp;C567&amp;D567&amp;E567</f>
        <v>Товары для домаТовары для кухниКухонные аксессуарыАроматизаторы кухонные</v>
      </c>
      <c r="B567" s="29" t="s">
        <v>59</v>
      </c>
      <c r="C567" s="29" t="s">
        <v>60</v>
      </c>
      <c r="D567" s="29" t="s">
        <v>273</v>
      </c>
      <c r="E567" s="29" t="s">
        <v>1145</v>
      </c>
      <c r="F567" s="30">
        <v>0.25</v>
      </c>
      <c r="G567" s="31"/>
      <c r="H567" s="31"/>
      <c r="I567" s="31"/>
      <c r="J567" s="31"/>
    </row>
    <row r="568" spans="1:10" ht="14.4" x14ac:dyDescent="0.3">
      <c r="A568" s="28" t="str">
        <f>B568&amp;C568&amp;D568&amp;E568</f>
        <v>ОдеждаЖенская одеждаОдежда больших размеровХуди и свитшоты</v>
      </c>
      <c r="B568" s="29" t="s">
        <v>92</v>
      </c>
      <c r="C568" s="29" t="s">
        <v>93</v>
      </c>
      <c r="D568" s="29" t="s">
        <v>532</v>
      </c>
      <c r="E568" s="29" t="s">
        <v>1149</v>
      </c>
      <c r="F568" s="30">
        <v>0.25</v>
      </c>
      <c r="G568" s="31"/>
      <c r="H568" s="31"/>
      <c r="I568" s="31"/>
      <c r="J568" s="31"/>
    </row>
    <row r="569" spans="1:10" ht="14.4" x14ac:dyDescent="0.3">
      <c r="A569" s="28" t="str">
        <f>B569&amp;C569&amp;D569&amp;E569</f>
        <v>ОдеждаЖенская одеждаОдежда больших размеровНижнее бельё</v>
      </c>
      <c r="B569" s="29" t="s">
        <v>92</v>
      </c>
      <c r="C569" s="29" t="s">
        <v>93</v>
      </c>
      <c r="D569" s="29" t="s">
        <v>532</v>
      </c>
      <c r="E569" s="29" t="s">
        <v>113</v>
      </c>
      <c r="F569" s="30">
        <v>0.25</v>
      </c>
      <c r="G569" s="31"/>
      <c r="H569" s="31"/>
      <c r="I569" s="31"/>
      <c r="J569" s="31"/>
    </row>
    <row r="570" spans="1:10" ht="14.4" x14ac:dyDescent="0.3">
      <c r="A570" s="28" t="str">
        <f>B570&amp;C570&amp;D570&amp;E570</f>
        <v>ОдеждаМужская одеждаБрюкиПрямые брюки</v>
      </c>
      <c r="B570" s="29" t="s">
        <v>92</v>
      </c>
      <c r="C570" s="29" t="s">
        <v>112</v>
      </c>
      <c r="D570" s="29" t="s">
        <v>460</v>
      </c>
      <c r="E570" s="29" t="s">
        <v>1159</v>
      </c>
      <c r="F570" s="30">
        <v>0.25</v>
      </c>
      <c r="G570" s="31"/>
      <c r="H570" s="31"/>
      <c r="I570" s="31"/>
      <c r="J570" s="31"/>
    </row>
    <row r="571" spans="1:10" ht="14.4" x14ac:dyDescent="0.3">
      <c r="A571" s="28" t="str">
        <f>B571&amp;C571&amp;D571&amp;E571</f>
        <v>ЗоотоварыДля грызуновКлетки и домикиКлетки</v>
      </c>
      <c r="B571" s="29" t="s">
        <v>214</v>
      </c>
      <c r="C571" s="29" t="s">
        <v>215</v>
      </c>
      <c r="D571" s="29" t="s">
        <v>1165</v>
      </c>
      <c r="E571" s="29" t="s">
        <v>1166</v>
      </c>
      <c r="F571" s="30">
        <v>0.25</v>
      </c>
      <c r="G571" s="31"/>
      <c r="H571" s="31"/>
      <c r="I571" s="31"/>
      <c r="J571" s="31"/>
    </row>
    <row r="572" spans="1:10" ht="14.4" x14ac:dyDescent="0.3">
      <c r="A572" s="28" t="str">
        <f>B572&amp;C572&amp;D572&amp;E572</f>
        <v>Товары для домаТовары для кухниАксессуары для напитковСифоны для газирования</v>
      </c>
      <c r="B572" s="29" t="s">
        <v>59</v>
      </c>
      <c r="C572" s="29" t="s">
        <v>60</v>
      </c>
      <c r="D572" s="29" t="s">
        <v>346</v>
      </c>
      <c r="E572" s="29" t="s">
        <v>1168</v>
      </c>
      <c r="F572" s="30">
        <v>0.25</v>
      </c>
      <c r="G572" s="31"/>
      <c r="H572" s="31"/>
      <c r="I572" s="31"/>
      <c r="J572" s="31"/>
    </row>
    <row r="573" spans="1:10" ht="14.4" x14ac:dyDescent="0.3">
      <c r="A573" s="28" t="str">
        <f>B573&amp;C573&amp;D573&amp;E573</f>
        <v>Строительство и ремонтВентиляцияВоздуховоды и комплектующиеВоздуховоды и комплектующие</v>
      </c>
      <c r="B573" s="29" t="s">
        <v>77</v>
      </c>
      <c r="C573" s="29" t="s">
        <v>548</v>
      </c>
      <c r="D573" s="29" t="s">
        <v>1170</v>
      </c>
      <c r="E573" s="29" t="s">
        <v>1170</v>
      </c>
      <c r="F573" s="30">
        <v>0.25</v>
      </c>
      <c r="G573" s="31"/>
      <c r="H573" s="31"/>
      <c r="I573" s="31"/>
      <c r="J573" s="31"/>
    </row>
    <row r="574" spans="1:10" ht="14.4" x14ac:dyDescent="0.3">
      <c r="A574" s="28" t="str">
        <f>B574&amp;C574&amp;D574&amp;E574</f>
        <v>ОдеждаЖенская одеждаДомашняя одеждаДомашние рубашки</v>
      </c>
      <c r="B574" s="29" t="s">
        <v>92</v>
      </c>
      <c r="C574" s="29" t="s">
        <v>93</v>
      </c>
      <c r="D574" s="29" t="s">
        <v>469</v>
      </c>
      <c r="E574" s="29" t="s">
        <v>1180</v>
      </c>
      <c r="F574" s="30">
        <v>0.25</v>
      </c>
      <c r="G574" s="31"/>
      <c r="H574" s="31"/>
      <c r="I574" s="31"/>
      <c r="J574" s="31"/>
    </row>
    <row r="575" spans="1:10" ht="14.4" x14ac:dyDescent="0.3">
      <c r="A575" s="28" t="str">
        <f>B575&amp;C575&amp;D575&amp;E575</f>
        <v>ОдеждаМужская одеждаХуди и свитшотыСвитшоты</v>
      </c>
      <c r="B575" s="29" t="s">
        <v>92</v>
      </c>
      <c r="C575" s="29" t="s">
        <v>112</v>
      </c>
      <c r="D575" s="29" t="s">
        <v>1149</v>
      </c>
      <c r="E575" s="29" t="s">
        <v>1192</v>
      </c>
      <c r="F575" s="30">
        <v>0.25</v>
      </c>
      <c r="G575" s="31"/>
      <c r="H575" s="31"/>
      <c r="I575" s="31"/>
      <c r="J575" s="31"/>
    </row>
    <row r="576" spans="1:10" ht="14.4" x14ac:dyDescent="0.3">
      <c r="A576" s="28" t="str">
        <f>B576&amp;C576&amp;D576&amp;E576</f>
        <v>АвтотоварыУход за автомобилемАроматизаторы автомобильныеАроматизаторы автомобильные</v>
      </c>
      <c r="B576" s="29" t="s">
        <v>12</v>
      </c>
      <c r="C576" s="29" t="s">
        <v>201</v>
      </c>
      <c r="D576" s="29" t="s">
        <v>1199</v>
      </c>
      <c r="E576" s="29" t="s">
        <v>1199</v>
      </c>
      <c r="F576" s="30">
        <v>0.25</v>
      </c>
      <c r="G576" s="31"/>
      <c r="H576" s="31"/>
      <c r="I576" s="31"/>
      <c r="J576" s="31"/>
    </row>
    <row r="577" spans="1:10" ht="14.4" x14ac:dyDescent="0.3">
      <c r="A577" s="28" t="str">
        <f>B577&amp;C577&amp;D577&amp;E577</f>
        <v>Красота и уходУход за волосамиАксессуары для ухода за волосамиПарики и шиньоны</v>
      </c>
      <c r="B577" s="29" t="s">
        <v>56</v>
      </c>
      <c r="C577" s="29" t="s">
        <v>109</v>
      </c>
      <c r="D577" s="29" t="s">
        <v>110</v>
      </c>
      <c r="E577" s="29" t="s">
        <v>1200</v>
      </c>
      <c r="F577" s="30">
        <v>0.25</v>
      </c>
      <c r="G577" s="31"/>
      <c r="H577" s="31"/>
      <c r="I577" s="31"/>
      <c r="J577" s="31"/>
    </row>
    <row r="578" spans="1:10" ht="14.4" x14ac:dyDescent="0.3">
      <c r="A578" s="28" t="str">
        <f>B578&amp;C578&amp;D578&amp;E578</f>
        <v>Строительство и ремонтИнструментыСварочное оборудованиеЭлектроды и проволки</v>
      </c>
      <c r="B578" s="29" t="s">
        <v>77</v>
      </c>
      <c r="C578" s="29" t="s">
        <v>78</v>
      </c>
      <c r="D578" s="29" t="s">
        <v>79</v>
      </c>
      <c r="E578" s="29" t="s">
        <v>1208</v>
      </c>
      <c r="F578" s="30">
        <v>0.25</v>
      </c>
      <c r="G578" s="31"/>
      <c r="H578" s="31"/>
      <c r="I578" s="31"/>
      <c r="J578" s="31"/>
    </row>
    <row r="579" spans="1:10" ht="14.4" x14ac:dyDescent="0.3">
      <c r="A579" s="28" t="str">
        <f>B579&amp;C579&amp;D579&amp;E579</f>
        <v>ОдеждаМужская одеждаСпецодеждаСигнальная одежда</v>
      </c>
      <c r="B579" s="29" t="s">
        <v>92</v>
      </c>
      <c r="C579" s="29" t="s">
        <v>112</v>
      </c>
      <c r="D579" s="29" t="s">
        <v>780</v>
      </c>
      <c r="E579" s="29" t="s">
        <v>1213</v>
      </c>
      <c r="F579" s="30">
        <v>0.25</v>
      </c>
      <c r="G579" s="31"/>
      <c r="H579" s="31"/>
      <c r="I579" s="31"/>
      <c r="J579" s="31"/>
    </row>
    <row r="580" spans="1:10" ht="14.4" x14ac:dyDescent="0.3">
      <c r="A580" s="28" t="str">
        <f>B580&amp;C580&amp;D580&amp;E580</f>
        <v>Спорт и отдыхОтдых на природе, рыбалка и охотаТуризм и отдых на природеПоходная посуда</v>
      </c>
      <c r="B580" s="29" t="s">
        <v>101</v>
      </c>
      <c r="C580" s="29" t="s">
        <v>166</v>
      </c>
      <c r="D580" s="29" t="s">
        <v>204</v>
      </c>
      <c r="E580" s="29" t="s">
        <v>1214</v>
      </c>
      <c r="F580" s="30">
        <v>0.25</v>
      </c>
      <c r="G580" s="31"/>
      <c r="H580" s="31"/>
      <c r="I580" s="31"/>
      <c r="J580" s="31"/>
    </row>
    <row r="581" spans="1:10" ht="14.4" x14ac:dyDescent="0.3">
      <c r="A581" s="28" t="str">
        <f>B581&amp;C581&amp;D581&amp;E581</f>
        <v>АвтотоварыМасла и автохимияТрансмиссионные маслаТрансмиссионные масла</v>
      </c>
      <c r="B581" s="29" t="s">
        <v>12</v>
      </c>
      <c r="C581" s="29" t="s">
        <v>848</v>
      </c>
      <c r="D581" s="29" t="s">
        <v>1216</v>
      </c>
      <c r="E581" s="29" t="s">
        <v>1216</v>
      </c>
      <c r="F581" s="30">
        <v>0.25</v>
      </c>
      <c r="G581" s="31"/>
      <c r="H581" s="31"/>
      <c r="I581" s="31"/>
      <c r="J581" s="31"/>
    </row>
    <row r="582" spans="1:10" ht="14.4" x14ac:dyDescent="0.3">
      <c r="A582" s="28" t="str">
        <f>B582&amp;C582&amp;D582&amp;E582</f>
        <v>Товары для домаТовары для кухниХранение продуктовКонтейнеры и ланч-боксы</v>
      </c>
      <c r="B582" s="29" t="s">
        <v>59</v>
      </c>
      <c r="C582" s="29" t="s">
        <v>60</v>
      </c>
      <c r="D582" s="29" t="s">
        <v>749</v>
      </c>
      <c r="E582" s="29" t="s">
        <v>1218</v>
      </c>
      <c r="F582" s="30">
        <v>0.25</v>
      </c>
      <c r="G582" s="31"/>
      <c r="H582" s="31"/>
      <c r="I582" s="31"/>
      <c r="J582" s="31"/>
    </row>
    <row r="583" spans="1:10" ht="14.4" x14ac:dyDescent="0.3">
      <c r="A583" s="28" t="str">
        <f>B583&amp;C583&amp;D583&amp;E583</f>
        <v>АвтотоварыАксессуары и принадлежностиЧехлы и органайзерыЧехлы и накидки на сиденья</v>
      </c>
      <c r="B583" s="29" t="s">
        <v>12</v>
      </c>
      <c r="C583" s="29" t="s">
        <v>253</v>
      </c>
      <c r="D583" s="29" t="s">
        <v>1219</v>
      </c>
      <c r="E583" s="29" t="s">
        <v>1220</v>
      </c>
      <c r="F583" s="30">
        <v>0.25</v>
      </c>
      <c r="G583" s="31"/>
      <c r="H583" s="31"/>
      <c r="I583" s="31"/>
      <c r="J583" s="31"/>
    </row>
    <row r="584" spans="1:10" ht="14.4" x14ac:dyDescent="0.3">
      <c r="A584" s="28" t="str">
        <f>B584&amp;C584&amp;D584&amp;E584</f>
        <v>ЭлектроникаКомпьютерная техникаКомпьютерная периферияСетевые экраны и шлюзы</v>
      </c>
      <c r="B584" s="29" t="s">
        <v>67</v>
      </c>
      <c r="C584" s="29" t="s">
        <v>234</v>
      </c>
      <c r="D584" s="29" t="s">
        <v>794</v>
      </c>
      <c r="E584" s="29" t="s">
        <v>1227</v>
      </c>
      <c r="F584" s="30">
        <v>0.25</v>
      </c>
      <c r="G584" s="31"/>
      <c r="H584" s="31"/>
      <c r="I584" s="31"/>
      <c r="J584" s="31"/>
    </row>
    <row r="585" spans="1:10" ht="14.4" x14ac:dyDescent="0.3">
      <c r="A585" s="28" t="str">
        <f>B585&amp;C585&amp;D585&amp;E585</f>
        <v>АвтотоварыАксессуары и принадлежностиПеревозка багажаБагажные системы</v>
      </c>
      <c r="B585" s="29" t="s">
        <v>12</v>
      </c>
      <c r="C585" s="29" t="s">
        <v>253</v>
      </c>
      <c r="D585" s="29" t="s">
        <v>271</v>
      </c>
      <c r="E585" s="29" t="s">
        <v>1228</v>
      </c>
      <c r="F585" s="30">
        <v>0.25</v>
      </c>
      <c r="G585" s="31"/>
      <c r="H585" s="31"/>
      <c r="I585" s="31"/>
      <c r="J585" s="31"/>
    </row>
    <row r="586" spans="1:10" ht="14.4" x14ac:dyDescent="0.3">
      <c r="A586" s="28" t="str">
        <f>B586&amp;C586&amp;D586&amp;E586</f>
        <v>Товары для домаТовары для кухниКухонные инструментыРыбочистки и зажимы</v>
      </c>
      <c r="B586" s="29" t="s">
        <v>59</v>
      </c>
      <c r="C586" s="29" t="s">
        <v>60</v>
      </c>
      <c r="D586" s="29" t="s">
        <v>1006</v>
      </c>
      <c r="E586" s="29" t="s">
        <v>1231</v>
      </c>
      <c r="F586" s="30">
        <v>0.25</v>
      </c>
      <c r="G586" s="31"/>
      <c r="H586" s="31"/>
      <c r="I586" s="31"/>
      <c r="J586" s="31"/>
    </row>
    <row r="587" spans="1:10" ht="14.4" x14ac:dyDescent="0.3">
      <c r="A587" s="28" t="str">
        <f>B587&amp;C587&amp;D587&amp;E587</f>
        <v>ОдеждаЖенская одеждаПлатья и сарафаныПлатья-рубашки</v>
      </c>
      <c r="B587" s="29" t="s">
        <v>92</v>
      </c>
      <c r="C587" s="29" t="s">
        <v>93</v>
      </c>
      <c r="D587" s="29" t="s">
        <v>94</v>
      </c>
      <c r="E587" s="29" t="s">
        <v>1233</v>
      </c>
      <c r="F587" s="30">
        <v>0.25</v>
      </c>
      <c r="G587" s="31"/>
      <c r="H587" s="31"/>
      <c r="I587" s="31"/>
      <c r="J587" s="31"/>
    </row>
    <row r="588" spans="1:10" ht="14.4" x14ac:dyDescent="0.3">
      <c r="A588" s="28" t="str">
        <f>B588&amp;C588&amp;D588&amp;E588</f>
        <v>Товары для домаТовары для кухниТовары для консервированияКрышки</v>
      </c>
      <c r="B588" s="29" t="s">
        <v>59</v>
      </c>
      <c r="C588" s="29" t="s">
        <v>60</v>
      </c>
      <c r="D588" s="29" t="s">
        <v>130</v>
      </c>
      <c r="E588" s="29" t="s">
        <v>1235</v>
      </c>
      <c r="F588" s="30">
        <v>0.25</v>
      </c>
      <c r="G588" s="31"/>
      <c r="H588" s="31"/>
      <c r="I588" s="31"/>
      <c r="J588" s="31"/>
    </row>
    <row r="589" spans="1:10" ht="14.4" x14ac:dyDescent="0.3">
      <c r="A589" s="28" t="str">
        <f>B589&amp;C589&amp;D589&amp;E589</f>
        <v>ОдеждаМужская одеждаВерхняя одеждаПуховики и зимние куртки</v>
      </c>
      <c r="B589" s="29" t="s">
        <v>92</v>
      </c>
      <c r="C589" s="29" t="s">
        <v>112</v>
      </c>
      <c r="D589" s="29" t="s">
        <v>144</v>
      </c>
      <c r="E589" s="29" t="s">
        <v>1236</v>
      </c>
      <c r="F589" s="30">
        <v>0.25</v>
      </c>
      <c r="G589" s="31"/>
      <c r="H589" s="31"/>
      <c r="I589" s="31"/>
      <c r="J589" s="31"/>
    </row>
    <row r="590" spans="1:10" ht="14.4" x14ac:dyDescent="0.3">
      <c r="A590" s="28" t="str">
        <f>B590&amp;C590&amp;D590&amp;E590</f>
        <v>ОдеждаМужская одеждаТермобельёНиз термобелья</v>
      </c>
      <c r="B590" s="29" t="s">
        <v>92</v>
      </c>
      <c r="C590" s="29" t="s">
        <v>112</v>
      </c>
      <c r="D590" s="29" t="s">
        <v>203</v>
      </c>
      <c r="E590" s="29" t="s">
        <v>1238</v>
      </c>
      <c r="F590" s="30">
        <v>0.25</v>
      </c>
      <c r="G590" s="31"/>
      <c r="H590" s="31"/>
      <c r="I590" s="31"/>
      <c r="J590" s="31"/>
    </row>
    <row r="591" spans="1:10" ht="14.4" x14ac:dyDescent="0.3">
      <c r="A591" s="28" t="str">
        <f>B591&amp;C591&amp;D591&amp;E591</f>
        <v>АвтотоварыУход за автомобилемЩетки, губки, салфеткиЩетки, губки, салфетки</v>
      </c>
      <c r="B591" s="29" t="s">
        <v>12</v>
      </c>
      <c r="C591" s="29" t="s">
        <v>201</v>
      </c>
      <c r="D591" s="29" t="s">
        <v>1246</v>
      </c>
      <c r="E591" s="29" t="s">
        <v>1246</v>
      </c>
      <c r="F591" s="30">
        <v>0.25</v>
      </c>
      <c r="G591" s="31"/>
      <c r="H591" s="31"/>
      <c r="I591" s="31"/>
      <c r="J591" s="31"/>
    </row>
    <row r="592" spans="1:10" ht="14.4" x14ac:dyDescent="0.3">
      <c r="A592" s="28" t="str">
        <f>B592&amp;C592&amp;D592&amp;E592</f>
        <v>ОдеждаЖенская одеждаНоски, чулки и колготкиГольфы и гетры</v>
      </c>
      <c r="B592" s="29" t="s">
        <v>92</v>
      </c>
      <c r="C592" s="29" t="s">
        <v>93</v>
      </c>
      <c r="D592" s="29" t="s">
        <v>925</v>
      </c>
      <c r="E592" s="29" t="s">
        <v>1247</v>
      </c>
      <c r="F592" s="30">
        <v>0.25</v>
      </c>
      <c r="G592" s="31"/>
      <c r="H592" s="31"/>
      <c r="I592" s="31"/>
      <c r="J592" s="31"/>
    </row>
    <row r="593" spans="1:10" ht="14.4" x14ac:dyDescent="0.3">
      <c r="A593" s="28" t="str">
        <f>B593&amp;C593&amp;D593&amp;E593</f>
        <v>Дача, сад и огородСадовый инструментАксессуары и расходные материалыВеревки, шпагаты</v>
      </c>
      <c r="B593" s="29" t="s">
        <v>352</v>
      </c>
      <c r="C593" s="29" t="s">
        <v>353</v>
      </c>
      <c r="D593" s="29" t="s">
        <v>673</v>
      </c>
      <c r="E593" s="29" t="s">
        <v>1254</v>
      </c>
      <c r="F593" s="30">
        <v>0.25</v>
      </c>
      <c r="G593" s="31"/>
      <c r="H593" s="31"/>
      <c r="I593" s="31"/>
      <c r="J593" s="31"/>
    </row>
    <row r="594" spans="1:10" ht="14.4" x14ac:dyDescent="0.3">
      <c r="A594" s="28" t="str">
        <f>B594&amp;C594&amp;D594&amp;E594</f>
        <v>ОдеждаМужская одеждаОдежда больших размеровФутболки и поло</v>
      </c>
      <c r="B594" s="29" t="s">
        <v>92</v>
      </c>
      <c r="C594" s="29" t="s">
        <v>112</v>
      </c>
      <c r="D594" s="29" t="s">
        <v>532</v>
      </c>
      <c r="E594" s="29" t="s">
        <v>457</v>
      </c>
      <c r="F594" s="30">
        <v>0.25</v>
      </c>
      <c r="G594" s="31"/>
      <c r="H594" s="31"/>
      <c r="I594" s="31"/>
      <c r="J594" s="31"/>
    </row>
    <row r="595" spans="1:10" ht="14.4" x14ac:dyDescent="0.3">
      <c r="A595" s="28" t="str">
        <f>B595&amp;C595&amp;D595&amp;E595</f>
        <v>ОдеждаМужская одеждаПлавки и шорты для плаванияПлавки</v>
      </c>
      <c r="B595" s="29" t="s">
        <v>92</v>
      </c>
      <c r="C595" s="29" t="s">
        <v>112</v>
      </c>
      <c r="D595" s="29" t="s">
        <v>1257</v>
      </c>
      <c r="E595" s="29" t="s">
        <v>1258</v>
      </c>
      <c r="F595" s="30">
        <v>0.25</v>
      </c>
      <c r="G595" s="31"/>
      <c r="H595" s="31"/>
      <c r="I595" s="31"/>
      <c r="J595" s="31"/>
    </row>
    <row r="596" spans="1:10" ht="14.4" x14ac:dyDescent="0.3">
      <c r="A596" s="28" t="str">
        <f>B596&amp;C596&amp;D596&amp;E596</f>
        <v>Спорт и отдыхВелоспортВелозапчастиТормоза велосипедные</v>
      </c>
      <c r="B596" s="29" t="s">
        <v>101</v>
      </c>
      <c r="C596" s="29" t="s">
        <v>743</v>
      </c>
      <c r="D596" s="29" t="s">
        <v>935</v>
      </c>
      <c r="E596" s="29" t="s">
        <v>1261</v>
      </c>
      <c r="F596" s="30">
        <v>0.25</v>
      </c>
      <c r="G596" s="31"/>
      <c r="H596" s="31"/>
      <c r="I596" s="31"/>
      <c r="J596" s="31"/>
    </row>
    <row r="597" spans="1:10" ht="14.4" x14ac:dyDescent="0.3">
      <c r="A597" s="28" t="str">
        <f>B597&amp;C597&amp;D597&amp;E597</f>
        <v>ОдеждаЖенская одеждаСпортивная одеждаСпортивные шорты</v>
      </c>
      <c r="B597" s="29" t="s">
        <v>92</v>
      </c>
      <c r="C597" s="29" t="s">
        <v>93</v>
      </c>
      <c r="D597" s="29" t="s">
        <v>158</v>
      </c>
      <c r="E597" s="29" t="s">
        <v>1263</v>
      </c>
      <c r="F597" s="30">
        <v>0.25</v>
      </c>
      <c r="G597" s="31"/>
      <c r="H597" s="31"/>
      <c r="I597" s="31"/>
      <c r="J597" s="31"/>
    </row>
    <row r="598" spans="1:10" ht="14.4" x14ac:dyDescent="0.3">
      <c r="A598" s="28" t="str">
        <f>B598&amp;C598&amp;D598&amp;E598</f>
        <v>ОдеждаЖенская одеждаВерхняя одеждаПуховики и зимние куртки</v>
      </c>
      <c r="B598" s="29" t="s">
        <v>92</v>
      </c>
      <c r="C598" s="29" t="s">
        <v>93</v>
      </c>
      <c r="D598" s="29" t="s">
        <v>144</v>
      </c>
      <c r="E598" s="29" t="s">
        <v>1236</v>
      </c>
      <c r="F598" s="30">
        <v>0.25</v>
      </c>
      <c r="G598" s="31"/>
      <c r="H598" s="31"/>
      <c r="I598" s="31"/>
      <c r="J598" s="31"/>
    </row>
    <row r="599" spans="1:10" ht="14.4" x14ac:dyDescent="0.3">
      <c r="A599" s="28" t="str">
        <f>B599&amp;C599&amp;D599&amp;E599</f>
        <v>Красота и уходМаникюр и педикюрГель-лакиГель-лаки</v>
      </c>
      <c r="B599" s="29" t="s">
        <v>56</v>
      </c>
      <c r="C599" s="29" t="s">
        <v>57</v>
      </c>
      <c r="D599" s="29" t="s">
        <v>1274</v>
      </c>
      <c r="E599" s="29" t="s">
        <v>1274</v>
      </c>
      <c r="F599" s="30">
        <v>0.25</v>
      </c>
      <c r="G599" s="31"/>
      <c r="H599" s="31"/>
      <c r="I599" s="31"/>
      <c r="J599" s="31"/>
    </row>
    <row r="600" spans="1:10" ht="14.4" x14ac:dyDescent="0.3">
      <c r="A600" s="28" t="str">
        <f>B600&amp;C600&amp;D600&amp;E600</f>
        <v>ОдеждаЖенская одеждаДжемперы, свитеры и кардиганыВодолазки</v>
      </c>
      <c r="B600" s="29" t="s">
        <v>92</v>
      </c>
      <c r="C600" s="29" t="s">
        <v>93</v>
      </c>
      <c r="D600" s="29" t="s">
        <v>424</v>
      </c>
      <c r="E600" s="29" t="s">
        <v>1278</v>
      </c>
      <c r="F600" s="30">
        <v>0.25</v>
      </c>
      <c r="G600" s="31"/>
      <c r="H600" s="31"/>
      <c r="I600" s="31"/>
      <c r="J600" s="31"/>
    </row>
    <row r="601" spans="1:10" ht="14.4" x14ac:dyDescent="0.3">
      <c r="A601" s="28" t="str">
        <f>B601&amp;C601&amp;D601&amp;E601</f>
        <v>Товары для домаТовары для кухниАксессуары для выпечкиНаборы аксессуаров для выпечки</v>
      </c>
      <c r="B601" s="29" t="s">
        <v>59</v>
      </c>
      <c r="C601" s="29" t="s">
        <v>60</v>
      </c>
      <c r="D601" s="29" t="s">
        <v>686</v>
      </c>
      <c r="E601" s="29" t="s">
        <v>1279</v>
      </c>
      <c r="F601" s="30">
        <v>0.25</v>
      </c>
      <c r="G601" s="31"/>
      <c r="H601" s="31"/>
      <c r="I601" s="31"/>
      <c r="J601" s="31"/>
    </row>
    <row r="602" spans="1:10" ht="14.4" x14ac:dyDescent="0.3">
      <c r="A602" s="28" t="str">
        <f>B602&amp;C602&amp;D602&amp;E602</f>
        <v>Товары для домаТовары для кухниАксессуары для выпечкиКремеры и баллоны</v>
      </c>
      <c r="B602" s="29" t="s">
        <v>59</v>
      </c>
      <c r="C602" s="29" t="s">
        <v>60</v>
      </c>
      <c r="D602" s="29" t="s">
        <v>686</v>
      </c>
      <c r="E602" s="29" t="s">
        <v>1292</v>
      </c>
      <c r="F602" s="30">
        <v>0.25</v>
      </c>
      <c r="G602" s="31"/>
      <c r="H602" s="31"/>
      <c r="I602" s="31"/>
      <c r="J602" s="31"/>
    </row>
    <row r="603" spans="1:10" ht="14.4" x14ac:dyDescent="0.3">
      <c r="A603" s="28" t="str">
        <f>B603&amp;C603&amp;D603&amp;E603</f>
        <v>Товары для домаТовары для кухниПосуда для приготовленияМолоковарки</v>
      </c>
      <c r="B603" s="29" t="s">
        <v>59</v>
      </c>
      <c r="C603" s="29" t="s">
        <v>60</v>
      </c>
      <c r="D603" s="29" t="s">
        <v>487</v>
      </c>
      <c r="E603" s="29" t="s">
        <v>1293</v>
      </c>
      <c r="F603" s="30">
        <v>0.25</v>
      </c>
      <c r="G603" s="31"/>
      <c r="H603" s="31"/>
      <c r="I603" s="31"/>
      <c r="J603" s="31"/>
    </row>
    <row r="604" spans="1:10" ht="14.4" x14ac:dyDescent="0.3">
      <c r="A604" s="28" t="str">
        <f>B604&amp;C604&amp;D604&amp;E604</f>
        <v>Спорт и отдыхБассейны и аксессуарыАксессуары для бассейновАксессуары для бассейнов</v>
      </c>
      <c r="B604" s="29" t="s">
        <v>101</v>
      </c>
      <c r="C604" s="29" t="s">
        <v>102</v>
      </c>
      <c r="D604" s="29" t="s">
        <v>103</v>
      </c>
      <c r="E604" s="29" t="s">
        <v>103</v>
      </c>
      <c r="F604" s="30">
        <v>0.25</v>
      </c>
      <c r="G604" s="31"/>
      <c r="H604" s="31"/>
      <c r="I604" s="31"/>
      <c r="J604" s="31"/>
    </row>
    <row r="605" spans="1:10" ht="14.4" x14ac:dyDescent="0.3">
      <c r="A605" s="28" t="str">
        <f>B605&amp;C605&amp;D605&amp;E605</f>
        <v>АвтотоварыАксессуары и принадлежностиОбустройство салонаУплотнители между сидениями</v>
      </c>
      <c r="B605" s="29" t="s">
        <v>12</v>
      </c>
      <c r="C605" s="29" t="s">
        <v>253</v>
      </c>
      <c r="D605" s="29" t="s">
        <v>256</v>
      </c>
      <c r="E605" s="29" t="s">
        <v>1309</v>
      </c>
      <c r="F605" s="30">
        <v>0.25</v>
      </c>
      <c r="G605" s="31"/>
      <c r="H605" s="31"/>
      <c r="I605" s="31"/>
      <c r="J605" s="31"/>
    </row>
    <row r="606" spans="1:10" ht="14.4" x14ac:dyDescent="0.3">
      <c r="A606" s="28" t="str">
        <f>B606&amp;C606&amp;D606&amp;E606</f>
        <v>Спорт и отдыхСамокаты и аксессуарыЗапчасти для самокатовЗапчасти для самокатов</v>
      </c>
      <c r="B606" s="29" t="s">
        <v>101</v>
      </c>
      <c r="C606" s="29" t="s">
        <v>1311</v>
      </c>
      <c r="D606" s="29" t="s">
        <v>1312</v>
      </c>
      <c r="E606" s="29" t="s">
        <v>1312</v>
      </c>
      <c r="F606" s="30">
        <v>0.25</v>
      </c>
      <c r="G606" s="31"/>
      <c r="H606" s="31"/>
      <c r="I606" s="31"/>
      <c r="J606" s="31"/>
    </row>
    <row r="607" spans="1:10" ht="14.4" x14ac:dyDescent="0.3">
      <c r="A607" s="28" t="str">
        <f>B607&amp;C607&amp;D607&amp;E607</f>
        <v>Дача, сад и огородСадовая мебель и декорСадовый декорСадовый декор</v>
      </c>
      <c r="B607" s="29" t="s">
        <v>352</v>
      </c>
      <c r="C607" s="29" t="s">
        <v>1313</v>
      </c>
      <c r="D607" s="29" t="s">
        <v>1314</v>
      </c>
      <c r="E607" s="29" t="s">
        <v>1314</v>
      </c>
      <c r="F607" s="30">
        <v>0.25</v>
      </c>
      <c r="G607" s="31"/>
      <c r="H607" s="31"/>
      <c r="I607" s="31"/>
      <c r="J607" s="31"/>
    </row>
    <row r="608" spans="1:10" ht="14.4" x14ac:dyDescent="0.3">
      <c r="A608" s="28" t="str">
        <f>B608&amp;C608&amp;D608&amp;E608</f>
        <v>ОдеждаЖенская одеждаОдежда больших размеровПлатья и сарафаны</v>
      </c>
      <c r="B608" s="29" t="s">
        <v>92</v>
      </c>
      <c r="C608" s="29" t="s">
        <v>93</v>
      </c>
      <c r="D608" s="29" t="s">
        <v>532</v>
      </c>
      <c r="E608" s="29" t="s">
        <v>94</v>
      </c>
      <c r="F608" s="30">
        <v>0.25</v>
      </c>
      <c r="G608" s="31"/>
      <c r="H608" s="31"/>
      <c r="I608" s="31"/>
      <c r="J608" s="31"/>
    </row>
    <row r="609" spans="1:10" ht="14.4" x14ac:dyDescent="0.3">
      <c r="A609" s="28" t="str">
        <f>B609&amp;C609&amp;D609&amp;E609</f>
        <v>Спорт и отдыхРоликовые коньки, экипировка и запчастиАксессуары и запчасти для роликовых коньковАксессуары и запчасти для роликовых коньков</v>
      </c>
      <c r="B609" s="29" t="s">
        <v>101</v>
      </c>
      <c r="C609" s="29" t="s">
        <v>904</v>
      </c>
      <c r="D609" s="29" t="s">
        <v>1316</v>
      </c>
      <c r="E609" s="29" t="s">
        <v>1316</v>
      </c>
      <c r="F609" s="30">
        <v>0.25</v>
      </c>
      <c r="G609" s="31"/>
      <c r="H609" s="31"/>
      <c r="I609" s="31"/>
      <c r="J609" s="31"/>
    </row>
    <row r="610" spans="1:10" ht="14.4" x14ac:dyDescent="0.3">
      <c r="A610" s="28" t="str">
        <f>B610&amp;C610&amp;D610&amp;E610</f>
        <v>ОдеждаЖенская одеждаОдежда для беременныхБлузы и рубашки</v>
      </c>
      <c r="B610" s="29" t="s">
        <v>92</v>
      </c>
      <c r="C610" s="29" t="s">
        <v>93</v>
      </c>
      <c r="D610" s="29" t="s">
        <v>816</v>
      </c>
      <c r="E610" s="29" t="s">
        <v>599</v>
      </c>
      <c r="F610" s="30">
        <v>0.25</v>
      </c>
      <c r="G610" s="31"/>
      <c r="H610" s="31"/>
      <c r="I610" s="31"/>
      <c r="J610" s="31"/>
    </row>
    <row r="611" spans="1:10" ht="14.4" x14ac:dyDescent="0.3">
      <c r="A611" s="28" t="str">
        <f>B611&amp;C611&amp;D611&amp;E611</f>
        <v>Спорт и отдыхВодный спорт и отдых на водеПлаваниеОчки и маски для плавания</v>
      </c>
      <c r="B611" s="29" t="s">
        <v>101</v>
      </c>
      <c r="C611" s="29" t="s">
        <v>771</v>
      </c>
      <c r="D611" s="29" t="s">
        <v>772</v>
      </c>
      <c r="E611" s="29" t="s">
        <v>1319</v>
      </c>
      <c r="F611" s="30">
        <v>0.25</v>
      </c>
      <c r="G611" s="31"/>
      <c r="H611" s="31"/>
      <c r="I611" s="31"/>
      <c r="J611" s="31"/>
    </row>
    <row r="612" spans="1:10" ht="14.4" x14ac:dyDescent="0.3">
      <c r="A612" s="28" t="str">
        <f>B612&amp;C612&amp;D612&amp;E612</f>
        <v>Детские товарыДетское творчествоДетские музыкальные инструментыДетские музыкальные инструменты</v>
      </c>
      <c r="B612" s="29" t="s">
        <v>105</v>
      </c>
      <c r="C612" s="29" t="s">
        <v>440</v>
      </c>
      <c r="D612" s="29" t="s">
        <v>1320</v>
      </c>
      <c r="E612" s="29" t="s">
        <v>1320</v>
      </c>
      <c r="F612" s="30">
        <v>0.25</v>
      </c>
      <c r="G612" s="31"/>
      <c r="H612" s="31"/>
      <c r="I612" s="31"/>
      <c r="J612" s="31"/>
    </row>
    <row r="613" spans="1:10" ht="14.4" x14ac:dyDescent="0.3">
      <c r="A613" s="28" t="str">
        <f>B613&amp;C613&amp;D613&amp;E613</f>
        <v>Спорт и отдыхВиды спортаХудожественная гимнастика и танцыНаколенники гимнастические</v>
      </c>
      <c r="B613" s="29" t="s">
        <v>101</v>
      </c>
      <c r="C613" s="29" t="s">
        <v>446</v>
      </c>
      <c r="D613" s="29" t="s">
        <v>875</v>
      </c>
      <c r="E613" s="29" t="s">
        <v>1322</v>
      </c>
      <c r="F613" s="30">
        <v>0.25</v>
      </c>
      <c r="G613" s="31"/>
      <c r="H613" s="31"/>
      <c r="I613" s="31"/>
      <c r="J613" s="31"/>
    </row>
    <row r="614" spans="1:10" ht="14.4" x14ac:dyDescent="0.3">
      <c r="A614" s="28" t="str">
        <f>B614&amp;C614&amp;D614&amp;E614</f>
        <v>Дача, сад и огородПикник, барбекю, грильСредства для розжигаСредства для розжига</v>
      </c>
      <c r="B614" s="29" t="s">
        <v>352</v>
      </c>
      <c r="C614" s="29" t="s">
        <v>1048</v>
      </c>
      <c r="D614" s="29" t="s">
        <v>1326</v>
      </c>
      <c r="E614" s="29" t="s">
        <v>1326</v>
      </c>
      <c r="F614" s="30">
        <v>0.25</v>
      </c>
      <c r="G614" s="31"/>
      <c r="H614" s="31"/>
      <c r="I614" s="31"/>
      <c r="J614" s="31"/>
    </row>
    <row r="615" spans="1:10" ht="14.4" x14ac:dyDescent="0.3">
      <c r="A615" s="28" t="str">
        <f>B615&amp;C615&amp;D615&amp;E615</f>
        <v>Строительство и ремонтИнструментыРежущие и пильные инструментыРубанки</v>
      </c>
      <c r="B615" s="29" t="s">
        <v>77</v>
      </c>
      <c r="C615" s="29" t="s">
        <v>78</v>
      </c>
      <c r="D615" s="29" t="s">
        <v>628</v>
      </c>
      <c r="E615" s="29" t="s">
        <v>1328</v>
      </c>
      <c r="F615" s="30">
        <v>0.25</v>
      </c>
      <c r="G615" s="31"/>
      <c r="H615" s="31"/>
      <c r="I615" s="31"/>
      <c r="J615" s="31"/>
    </row>
    <row r="616" spans="1:10" ht="14.4" x14ac:dyDescent="0.3">
      <c r="A616" s="28" t="str">
        <f>B616&amp;C616&amp;D616&amp;E616</f>
        <v>Спорт и отдыхВиды спортаФутболТренировочный инвентарь и аксессуары</v>
      </c>
      <c r="B616" s="29" t="s">
        <v>101</v>
      </c>
      <c r="C616" s="29" t="s">
        <v>446</v>
      </c>
      <c r="D616" s="29" t="s">
        <v>1329</v>
      </c>
      <c r="E616" s="29" t="s">
        <v>1330</v>
      </c>
      <c r="F616" s="30">
        <v>0.25</v>
      </c>
      <c r="G616" s="31"/>
      <c r="H616" s="31"/>
      <c r="I616" s="31"/>
      <c r="J616" s="31"/>
    </row>
    <row r="617" spans="1:10" ht="14.4" x14ac:dyDescent="0.3">
      <c r="A617" s="28" t="str">
        <f>B617&amp;C617&amp;D617&amp;E617</f>
        <v>Детские товарыДетский спорт и активный отдыхИгры на улицеФрисби</v>
      </c>
      <c r="B617" s="29" t="s">
        <v>105</v>
      </c>
      <c r="C617" s="29" t="s">
        <v>427</v>
      </c>
      <c r="D617" s="29" t="s">
        <v>1343</v>
      </c>
      <c r="E617" s="29" t="s">
        <v>1344</v>
      </c>
      <c r="F617" s="30">
        <v>0.25</v>
      </c>
      <c r="G617" s="31"/>
      <c r="H617" s="31"/>
      <c r="I617" s="31"/>
      <c r="J617" s="31"/>
    </row>
    <row r="618" spans="1:10" ht="14.4" x14ac:dyDescent="0.3">
      <c r="A618" s="28" t="str">
        <f>B618&amp;C618&amp;D618&amp;E618</f>
        <v>Красота и уходПарфюмерияПарфюмерная водаПарфюмерная вода</v>
      </c>
      <c r="B618" s="29" t="s">
        <v>56</v>
      </c>
      <c r="C618" s="29" t="s">
        <v>824</v>
      </c>
      <c r="D618" s="29" t="s">
        <v>1345</v>
      </c>
      <c r="E618" s="29" t="s">
        <v>1345</v>
      </c>
      <c r="F618" s="30">
        <v>0.25</v>
      </c>
      <c r="G618" s="31"/>
      <c r="H618" s="31"/>
      <c r="I618" s="31"/>
      <c r="J618" s="31"/>
    </row>
    <row r="619" spans="1:10" ht="14.4" x14ac:dyDescent="0.3">
      <c r="A619" s="28" t="str">
        <f>B619&amp;C619&amp;D619&amp;E619</f>
        <v>ОдеждаМужская одеждаВерхняя одеждаПальто</v>
      </c>
      <c r="B619" s="29" t="s">
        <v>92</v>
      </c>
      <c r="C619" s="29" t="s">
        <v>112</v>
      </c>
      <c r="D619" s="29" t="s">
        <v>144</v>
      </c>
      <c r="E619" s="29" t="s">
        <v>1348</v>
      </c>
      <c r="F619" s="30">
        <v>0.25</v>
      </c>
      <c r="G619" s="31"/>
      <c r="H619" s="31"/>
      <c r="I619" s="31"/>
      <c r="J619" s="31"/>
    </row>
    <row r="620" spans="1:10" ht="14.4" x14ac:dyDescent="0.3">
      <c r="A620" s="28" t="str">
        <f>B620&amp;C620&amp;D620&amp;E620</f>
        <v>АвтотоварыАксессуары и принадлежностиТюнинг и внешний декорДефлекторы капота</v>
      </c>
      <c r="B620" s="29" t="s">
        <v>12</v>
      </c>
      <c r="C620" s="29" t="s">
        <v>253</v>
      </c>
      <c r="D620" s="29" t="s">
        <v>254</v>
      </c>
      <c r="E620" s="29" t="s">
        <v>1357</v>
      </c>
      <c r="F620" s="30">
        <v>0.25</v>
      </c>
      <c r="G620" s="31"/>
      <c r="H620" s="31"/>
      <c r="I620" s="31"/>
      <c r="J620" s="31"/>
    </row>
    <row r="621" spans="1:10" ht="14.4" x14ac:dyDescent="0.3">
      <c r="A621" s="28" t="str">
        <f>B621&amp;C621&amp;D621&amp;E621</f>
        <v>Спорт и отдыхВелоспортВелозапчастиГрипсы и ручки</v>
      </c>
      <c r="B621" s="29" t="s">
        <v>101</v>
      </c>
      <c r="C621" s="29" t="s">
        <v>743</v>
      </c>
      <c r="D621" s="29" t="s">
        <v>935</v>
      </c>
      <c r="E621" s="29" t="s">
        <v>1359</v>
      </c>
      <c r="F621" s="30">
        <v>0.25</v>
      </c>
      <c r="G621" s="31"/>
      <c r="H621" s="31"/>
      <c r="I621" s="31"/>
      <c r="J621" s="31"/>
    </row>
    <row r="622" spans="1:10" ht="14.4" x14ac:dyDescent="0.3">
      <c r="A622" s="28" t="str">
        <f>B622&amp;C622&amp;D622&amp;E622</f>
        <v>ОдеждаМужская одеждаОдежда больших размеровРубашки</v>
      </c>
      <c r="B622" s="29" t="s">
        <v>92</v>
      </c>
      <c r="C622" s="29" t="s">
        <v>112</v>
      </c>
      <c r="D622" s="29" t="s">
        <v>532</v>
      </c>
      <c r="E622" s="29" t="s">
        <v>1362</v>
      </c>
      <c r="F622" s="30">
        <v>0.25</v>
      </c>
      <c r="G622" s="31"/>
      <c r="H622" s="31"/>
      <c r="I622" s="31"/>
      <c r="J622" s="31"/>
    </row>
    <row r="623" spans="1:10" ht="14.4" x14ac:dyDescent="0.3">
      <c r="A623" s="28" t="str">
        <f>B623&amp;C623&amp;D623&amp;E623</f>
        <v>Строительство и ремонтРучной инструмент и оснасткаСредства индивидуальной защитыРеспираторы</v>
      </c>
      <c r="B623" s="29" t="s">
        <v>77</v>
      </c>
      <c r="C623" s="29" t="s">
        <v>127</v>
      </c>
      <c r="D623" s="29" t="s">
        <v>619</v>
      </c>
      <c r="E623" s="29" t="s">
        <v>1363</v>
      </c>
      <c r="F623" s="30">
        <v>0.25</v>
      </c>
      <c r="G623" s="31"/>
      <c r="H623" s="31"/>
      <c r="I623" s="31"/>
      <c r="J623" s="31"/>
    </row>
    <row r="624" spans="1:10" ht="14.4" x14ac:dyDescent="0.3">
      <c r="A624" s="28" t="str">
        <f>B624&amp;C624&amp;D624&amp;E624</f>
        <v>АвтотоварыАксессуары и принадлежностиАварийные принадлежностиАвтомобильные ведра</v>
      </c>
      <c r="B624" s="29" t="s">
        <v>12</v>
      </c>
      <c r="C624" s="29" t="s">
        <v>253</v>
      </c>
      <c r="D624" s="29" t="s">
        <v>528</v>
      </c>
      <c r="E624" s="29" t="s">
        <v>1370</v>
      </c>
      <c r="F624" s="30">
        <v>0.25</v>
      </c>
      <c r="G624" s="31"/>
      <c r="H624" s="31"/>
      <c r="I624" s="31"/>
      <c r="J624" s="31"/>
    </row>
    <row r="625" spans="1:10" ht="14.4" x14ac:dyDescent="0.3">
      <c r="A625" s="28" t="str">
        <f>B625&amp;C625&amp;D625&amp;E625</f>
        <v>Товары для домаТовары для кухниСтоловые приборыВилки</v>
      </c>
      <c r="B625" s="29" t="s">
        <v>59</v>
      </c>
      <c r="C625" s="29" t="s">
        <v>60</v>
      </c>
      <c r="D625" s="29" t="s">
        <v>196</v>
      </c>
      <c r="E625" s="29" t="s">
        <v>1374</v>
      </c>
      <c r="F625" s="30">
        <v>0.25</v>
      </c>
      <c r="G625" s="31"/>
      <c r="H625" s="31"/>
      <c r="I625" s="31"/>
      <c r="J625" s="31"/>
    </row>
    <row r="626" spans="1:10" ht="14.4" x14ac:dyDescent="0.3">
      <c r="A626" s="28" t="str">
        <f>B626&amp;C626&amp;D626&amp;E626</f>
        <v>ОдеждаЖенская одеждаТопы и майкиТопы в бельевом стиле</v>
      </c>
      <c r="B626" s="29" t="s">
        <v>92</v>
      </c>
      <c r="C626" s="29" t="s">
        <v>93</v>
      </c>
      <c r="D626" s="29" t="s">
        <v>550</v>
      </c>
      <c r="E626" s="29" t="s">
        <v>1375</v>
      </c>
      <c r="F626" s="30">
        <v>0.25</v>
      </c>
      <c r="G626" s="31"/>
      <c r="H626" s="31"/>
      <c r="I626" s="31"/>
      <c r="J626" s="31"/>
    </row>
    <row r="627" spans="1:10" ht="14.4" x14ac:dyDescent="0.3">
      <c r="A627" s="28" t="str">
        <f>B627&amp;C627&amp;D627&amp;E627</f>
        <v>ЗдоровьеМассажеры и массажное оборудованиеМассажные матрасыМассажные матрасы</v>
      </c>
      <c r="B627" s="29" t="s">
        <v>116</v>
      </c>
      <c r="C627" s="29" t="s">
        <v>495</v>
      </c>
      <c r="D627" s="29" t="s">
        <v>1382</v>
      </c>
      <c r="E627" s="29" t="s">
        <v>1382</v>
      </c>
      <c r="F627" s="30">
        <v>0.25</v>
      </c>
      <c r="G627" s="31"/>
      <c r="H627" s="31"/>
      <c r="I627" s="31"/>
      <c r="J627" s="31"/>
    </row>
    <row r="628" spans="1:10" ht="14.4" x14ac:dyDescent="0.3">
      <c r="A628" s="28" t="str">
        <f>B628&amp;C628&amp;D628&amp;E628</f>
        <v>ЗдоровьеОптикаОчки для компьютераОчки для компьютера</v>
      </c>
      <c r="B628" s="29" t="s">
        <v>116</v>
      </c>
      <c r="C628" s="29" t="s">
        <v>741</v>
      </c>
      <c r="D628" s="29" t="s">
        <v>614</v>
      </c>
      <c r="E628" s="29" t="s">
        <v>614</v>
      </c>
      <c r="F628" s="30">
        <v>0.25</v>
      </c>
      <c r="G628" s="31"/>
      <c r="H628" s="31"/>
      <c r="I628" s="31"/>
      <c r="J628" s="31"/>
    </row>
    <row r="629" spans="1:10" ht="14.4" x14ac:dyDescent="0.3">
      <c r="A629" s="28" t="str">
        <f>B629&amp;C629&amp;D629&amp;E629</f>
        <v>ОдеждаМужская одеждаРелигиозная одежда для мужчинРелигиозная одежда для мужчин</v>
      </c>
      <c r="B629" s="29" t="s">
        <v>92</v>
      </c>
      <c r="C629" s="29" t="s">
        <v>112</v>
      </c>
      <c r="D629" s="29" t="s">
        <v>1383</v>
      </c>
      <c r="E629" s="29" t="s">
        <v>1383</v>
      </c>
      <c r="F629" s="30">
        <v>0.25</v>
      </c>
      <c r="G629" s="31"/>
      <c r="H629" s="31"/>
      <c r="I629" s="31"/>
      <c r="J629" s="31"/>
    </row>
    <row r="630" spans="1:10" ht="14.4" x14ac:dyDescent="0.3">
      <c r="A630" s="28" t="str">
        <f>B630&amp;C630&amp;D630&amp;E630</f>
        <v>ОдеждаЖенская одеждаСпортивная одеждаСпортивные толстовки</v>
      </c>
      <c r="B630" s="29" t="s">
        <v>92</v>
      </c>
      <c r="C630" s="29" t="s">
        <v>93</v>
      </c>
      <c r="D630" s="29" t="s">
        <v>158</v>
      </c>
      <c r="E630" s="29" t="s">
        <v>1384</v>
      </c>
      <c r="F630" s="30">
        <v>0.25</v>
      </c>
      <c r="G630" s="31"/>
      <c r="H630" s="31"/>
      <c r="I630" s="31"/>
      <c r="J630" s="31"/>
    </row>
    <row r="631" spans="1:10" ht="14.4" x14ac:dyDescent="0.3">
      <c r="A631" s="28" t="str">
        <f>B631&amp;C631&amp;D631&amp;E631</f>
        <v>Красота и уходОборудование и материалы для тату-салонаКартриджиКартриджи</v>
      </c>
      <c r="B631" s="29" t="s">
        <v>56</v>
      </c>
      <c r="C631" s="29" t="s">
        <v>791</v>
      </c>
      <c r="D631" s="29" t="s">
        <v>1395</v>
      </c>
      <c r="E631" s="29" t="s">
        <v>1395</v>
      </c>
      <c r="F631" s="30">
        <v>0.25</v>
      </c>
      <c r="G631" s="31"/>
      <c r="H631" s="31"/>
      <c r="I631" s="31"/>
      <c r="J631" s="31"/>
    </row>
    <row r="632" spans="1:10" ht="14.4" x14ac:dyDescent="0.3">
      <c r="A632" s="28" t="str">
        <f>B632&amp;C632&amp;D632&amp;E632</f>
        <v>ОдеждаМужская одеждаНоски и гетрыНоски</v>
      </c>
      <c r="B632" s="29" t="s">
        <v>92</v>
      </c>
      <c r="C632" s="29" t="s">
        <v>112</v>
      </c>
      <c r="D632" s="29" t="s">
        <v>1396</v>
      </c>
      <c r="E632" s="29" t="s">
        <v>926</v>
      </c>
      <c r="F632" s="30">
        <v>0.25</v>
      </c>
      <c r="G632" s="31"/>
      <c r="H632" s="31"/>
      <c r="I632" s="31"/>
      <c r="J632" s="31"/>
    </row>
    <row r="633" spans="1:10" ht="14.4" x14ac:dyDescent="0.3">
      <c r="A633" s="28" t="str">
        <f>B633&amp;C633&amp;D633&amp;E633</f>
        <v>Спорт и отдыхВелоспортВелосумки и велоочкиВелосумки и велоочки</v>
      </c>
      <c r="B633" s="29" t="s">
        <v>101</v>
      </c>
      <c r="C633" s="29" t="s">
        <v>743</v>
      </c>
      <c r="D633" s="29" t="s">
        <v>1399</v>
      </c>
      <c r="E633" s="29" t="s">
        <v>1399</v>
      </c>
      <c r="F633" s="30">
        <v>0.25</v>
      </c>
      <c r="G633" s="31"/>
      <c r="H633" s="31"/>
      <c r="I633" s="31"/>
      <c r="J633" s="31"/>
    </row>
    <row r="634" spans="1:10" ht="14.4" x14ac:dyDescent="0.3">
      <c r="A634" s="28" t="str">
        <f>B634&amp;C634&amp;D634&amp;E634</f>
        <v>Строительство и ремонтВентиляцияВентиляционные установкиВентиляционные установки</v>
      </c>
      <c r="B634" s="29" t="s">
        <v>77</v>
      </c>
      <c r="C634" s="29" t="s">
        <v>548</v>
      </c>
      <c r="D634" s="29" t="s">
        <v>1402</v>
      </c>
      <c r="E634" s="29" t="s">
        <v>1402</v>
      </c>
      <c r="F634" s="30">
        <v>0.25</v>
      </c>
      <c r="G634" s="31"/>
      <c r="H634" s="31"/>
      <c r="I634" s="31"/>
      <c r="J634" s="31"/>
    </row>
    <row r="635" spans="1:10" ht="14.4" x14ac:dyDescent="0.3">
      <c r="A635" s="28" t="str">
        <f>B635&amp;C635&amp;D635&amp;E635</f>
        <v>ЭлектроникаФото и видеотехникаФото- и видеокамерыДетские фотоаппараты</v>
      </c>
      <c r="B635" s="29" t="s">
        <v>67</v>
      </c>
      <c r="C635" s="29" t="s">
        <v>174</v>
      </c>
      <c r="D635" s="29" t="s">
        <v>648</v>
      </c>
      <c r="E635" s="29" t="s">
        <v>1403</v>
      </c>
      <c r="F635" s="30">
        <v>0.25</v>
      </c>
      <c r="G635" s="31"/>
      <c r="H635" s="31"/>
      <c r="I635" s="31"/>
      <c r="J635" s="31"/>
    </row>
    <row r="636" spans="1:10" ht="14.4" x14ac:dyDescent="0.3">
      <c r="A636" s="28" t="str">
        <f>B636&amp;C636&amp;D636&amp;E636</f>
        <v>Строительство и ремонтВентиляцияВытяжные вентиляторыВытяжные вентиляторы</v>
      </c>
      <c r="B636" s="29" t="s">
        <v>77</v>
      </c>
      <c r="C636" s="29" t="s">
        <v>548</v>
      </c>
      <c r="D636" s="29" t="s">
        <v>1409</v>
      </c>
      <c r="E636" s="29" t="s">
        <v>1409</v>
      </c>
      <c r="F636" s="30">
        <v>0.25</v>
      </c>
      <c r="G636" s="31"/>
      <c r="H636" s="31"/>
      <c r="I636" s="31"/>
      <c r="J636" s="31"/>
    </row>
    <row r="637" spans="1:10" ht="14.4" x14ac:dyDescent="0.3">
      <c r="A637" s="28" t="str">
        <f>B637&amp;C637&amp;D637&amp;E637</f>
        <v>ОдеждаМужская одеждаБрюкиДжоггеры</v>
      </c>
      <c r="B637" s="29" t="s">
        <v>92</v>
      </c>
      <c r="C637" s="29" t="s">
        <v>112</v>
      </c>
      <c r="D637" s="29" t="s">
        <v>460</v>
      </c>
      <c r="E637" s="29" t="s">
        <v>1410</v>
      </c>
      <c r="F637" s="30">
        <v>0.25</v>
      </c>
      <c r="G637" s="31"/>
      <c r="H637" s="31"/>
      <c r="I637" s="31"/>
      <c r="J637" s="31"/>
    </row>
    <row r="638" spans="1:10" ht="14.4" x14ac:dyDescent="0.3">
      <c r="A638" s="28" t="str">
        <f>B638&amp;C638&amp;D638&amp;E638</f>
        <v>Детские товарыКоляски и автокреслаАксессуары для колясок и автокреселАксессуары для колясок и автокресел</v>
      </c>
      <c r="B638" s="29" t="s">
        <v>105</v>
      </c>
      <c r="C638" s="29" t="s">
        <v>678</v>
      </c>
      <c r="D638" s="29" t="s">
        <v>1412</v>
      </c>
      <c r="E638" s="29" t="s">
        <v>1412</v>
      </c>
      <c r="F638" s="30">
        <v>0.25</v>
      </c>
      <c r="G638" s="31"/>
      <c r="H638" s="31"/>
      <c r="I638" s="31"/>
      <c r="J638" s="31"/>
    </row>
    <row r="639" spans="1:10" ht="14.4" x14ac:dyDescent="0.3">
      <c r="A639" s="28" t="str">
        <f>B639&amp;C639&amp;D639&amp;E639</f>
        <v>АвтотоварыАксессуары и принадлежностиЗащита кузова автоДуги кузова</v>
      </c>
      <c r="B639" s="29" t="s">
        <v>12</v>
      </c>
      <c r="C639" s="29" t="s">
        <v>253</v>
      </c>
      <c r="D639" s="29" t="s">
        <v>1001</v>
      </c>
      <c r="E639" s="29" t="s">
        <v>1416</v>
      </c>
      <c r="F639" s="30">
        <v>0.25</v>
      </c>
      <c r="G639" s="31"/>
      <c r="H639" s="31"/>
      <c r="I639" s="31"/>
      <c r="J639" s="31"/>
    </row>
    <row r="640" spans="1:10" ht="14.4" x14ac:dyDescent="0.3">
      <c r="A640" s="28" t="str">
        <f>B640&amp;C640&amp;D640&amp;E640</f>
        <v>АксессуарыЖенские аксессуарыЧасы и ремешкиЧасы</v>
      </c>
      <c r="B640" s="29" t="s">
        <v>88</v>
      </c>
      <c r="C640" s="29" t="s">
        <v>221</v>
      </c>
      <c r="D640" s="29" t="s">
        <v>1418</v>
      </c>
      <c r="E640" s="29" t="s">
        <v>416</v>
      </c>
      <c r="F640" s="30">
        <v>0.25</v>
      </c>
      <c r="G640" s="31"/>
      <c r="H640" s="31"/>
      <c r="I640" s="31"/>
      <c r="J640" s="31"/>
    </row>
    <row r="641" spans="1:10" ht="14.4" x14ac:dyDescent="0.3">
      <c r="A641" s="28" t="str">
        <f>B641&amp;C641&amp;D641&amp;E641</f>
        <v>Красота и уходМаникюр и педикюрМатериалы для наращивания ногтейМатериалы для наращивания ногтей</v>
      </c>
      <c r="B641" s="29" t="s">
        <v>56</v>
      </c>
      <c r="C641" s="29" t="s">
        <v>57</v>
      </c>
      <c r="D641" s="29" t="s">
        <v>186</v>
      </c>
      <c r="E641" s="29" t="s">
        <v>186</v>
      </c>
      <c r="F641" s="30">
        <v>0.25</v>
      </c>
      <c r="G641" s="31"/>
      <c r="H641" s="31"/>
      <c r="I641" s="31"/>
      <c r="J641" s="31"/>
    </row>
    <row r="642" spans="1:10" ht="14.4" x14ac:dyDescent="0.3">
      <c r="A642" s="28" t="str">
        <f>B642&amp;C642&amp;D642&amp;E642</f>
        <v>Строительство и ремонтРучной инструмент и оснасткаСтолярно-слесарные инструментыНожницы по металлу</v>
      </c>
      <c r="B642" s="29" t="s">
        <v>77</v>
      </c>
      <c r="C642" s="29" t="s">
        <v>127</v>
      </c>
      <c r="D642" s="29" t="s">
        <v>139</v>
      </c>
      <c r="E642" s="29" t="s">
        <v>1426</v>
      </c>
      <c r="F642" s="30">
        <v>0.25</v>
      </c>
      <c r="G642" s="31"/>
      <c r="H642" s="31"/>
      <c r="I642" s="31"/>
      <c r="J642" s="31"/>
    </row>
    <row r="643" spans="1:10" ht="14.4" x14ac:dyDescent="0.3">
      <c r="A643" s="28" t="str">
        <f>B643&amp;C643&amp;D643&amp;E643</f>
        <v>ОдеждаМужская одеждаПиджаки и костюмыКостюмы</v>
      </c>
      <c r="B643" s="29" t="s">
        <v>92</v>
      </c>
      <c r="C643" s="29" t="s">
        <v>112</v>
      </c>
      <c r="D643" s="29" t="s">
        <v>1015</v>
      </c>
      <c r="E643" s="29" t="s">
        <v>1432</v>
      </c>
      <c r="F643" s="30">
        <v>0.25</v>
      </c>
      <c r="G643" s="31"/>
      <c r="H643" s="31"/>
      <c r="I643" s="31"/>
      <c r="J643" s="31"/>
    </row>
    <row r="644" spans="1:10" ht="14.4" x14ac:dyDescent="0.3">
      <c r="A644" s="28" t="str">
        <f>B644&amp;C644&amp;D644&amp;E644</f>
        <v>Спорт и отдыхВиды спортаФутболЩитки футбольные</v>
      </c>
      <c r="B644" s="29" t="s">
        <v>101</v>
      </c>
      <c r="C644" s="29" t="s">
        <v>446</v>
      </c>
      <c r="D644" s="29" t="s">
        <v>1329</v>
      </c>
      <c r="E644" s="29" t="s">
        <v>1439</v>
      </c>
      <c r="F644" s="30">
        <v>0.25</v>
      </c>
      <c r="G644" s="31"/>
      <c r="H644" s="31"/>
      <c r="I644" s="31"/>
      <c r="J644" s="31"/>
    </row>
    <row r="645" spans="1:10" ht="14.4" x14ac:dyDescent="0.3">
      <c r="A645" s="28" t="str">
        <f>B645&amp;C645&amp;D645&amp;E645</f>
        <v>ОдеждаЖенская одеждаХуди и свитшотыОлимпийки</v>
      </c>
      <c r="B645" s="29" t="s">
        <v>92</v>
      </c>
      <c r="C645" s="29" t="s">
        <v>93</v>
      </c>
      <c r="D645" s="29" t="s">
        <v>1149</v>
      </c>
      <c r="E645" s="29" t="s">
        <v>1442</v>
      </c>
      <c r="F645" s="30">
        <v>0.25</v>
      </c>
      <c r="G645" s="31"/>
      <c r="H645" s="31"/>
      <c r="I645" s="31"/>
      <c r="J645" s="31"/>
    </row>
    <row r="646" spans="1:10" ht="14.4" x14ac:dyDescent="0.3">
      <c r="A646" s="28" t="str">
        <f>B646&amp;C646&amp;D646&amp;E646</f>
        <v>ОдеждаМужская одеждаФутболки и полоПоло</v>
      </c>
      <c r="B646" s="29" t="s">
        <v>92</v>
      </c>
      <c r="C646" s="29" t="s">
        <v>112</v>
      </c>
      <c r="D646" s="29" t="s">
        <v>457</v>
      </c>
      <c r="E646" s="29" t="s">
        <v>1443</v>
      </c>
      <c r="F646" s="30">
        <v>0.25</v>
      </c>
      <c r="G646" s="31"/>
      <c r="H646" s="31"/>
      <c r="I646" s="31"/>
      <c r="J646" s="31"/>
    </row>
    <row r="647" spans="1:10" ht="14.4" x14ac:dyDescent="0.3">
      <c r="A647" s="28" t="str">
        <f>B647&amp;C647&amp;D647&amp;E647</f>
        <v>Красота и уходУход за теломАксессуары для ухода за теломНалокотники, перчатки, носочки</v>
      </c>
      <c r="B647" s="29" t="s">
        <v>56</v>
      </c>
      <c r="C647" s="29" t="s">
        <v>100</v>
      </c>
      <c r="D647" s="29" t="s">
        <v>295</v>
      </c>
      <c r="E647" s="29" t="s">
        <v>1448</v>
      </c>
      <c r="F647" s="30">
        <v>0.25</v>
      </c>
      <c r="G647" s="31"/>
      <c r="H647" s="31"/>
      <c r="I647" s="31"/>
      <c r="J647" s="31"/>
    </row>
    <row r="648" spans="1:10" ht="14.4" x14ac:dyDescent="0.3">
      <c r="A648" s="28" t="str">
        <f>B648&amp;C648&amp;D648&amp;E648</f>
        <v>Строительство и ремонтРучной инструмент и оснасткаУдарно-рычажные инструментыКиянка</v>
      </c>
      <c r="B648" s="29" t="s">
        <v>77</v>
      </c>
      <c r="C648" s="29" t="s">
        <v>127</v>
      </c>
      <c r="D648" s="29" t="s">
        <v>842</v>
      </c>
      <c r="E648" s="29" t="s">
        <v>1455</v>
      </c>
      <c r="F648" s="30">
        <v>0.25</v>
      </c>
      <c r="G648" s="31"/>
      <c r="H648" s="31"/>
      <c r="I648" s="31"/>
      <c r="J648" s="31"/>
    </row>
    <row r="649" spans="1:10" ht="14.4" x14ac:dyDescent="0.3">
      <c r="A649" s="28" t="str">
        <f>B649&amp;C649&amp;D649&amp;E649</f>
        <v>Товары для домаТовары для кухниКружки, стаканы и бокалыПодстаканники</v>
      </c>
      <c r="B649" s="29" t="s">
        <v>59</v>
      </c>
      <c r="C649" s="29" t="s">
        <v>60</v>
      </c>
      <c r="D649" s="29" t="s">
        <v>1461</v>
      </c>
      <c r="E649" s="29" t="s">
        <v>1462</v>
      </c>
      <c r="F649" s="30">
        <v>0.25</v>
      </c>
      <c r="G649" s="31"/>
      <c r="H649" s="31"/>
      <c r="I649" s="31"/>
      <c r="J649" s="31"/>
    </row>
    <row r="650" spans="1:10" ht="14.4" x14ac:dyDescent="0.3">
      <c r="A650" s="28" t="str">
        <f>B650&amp;C650&amp;D650&amp;E650</f>
        <v>Спорт и отдыхОтдых на природе, рыбалка и охотаТуризм и отдых на природеТуристические рюкзаки и сумки</v>
      </c>
      <c r="B650" s="29" t="s">
        <v>101</v>
      </c>
      <c r="C650" s="29" t="s">
        <v>166</v>
      </c>
      <c r="D650" s="29" t="s">
        <v>204</v>
      </c>
      <c r="E650" s="29" t="s">
        <v>1464</v>
      </c>
      <c r="F650" s="30">
        <v>0.25</v>
      </c>
      <c r="G650" s="31"/>
      <c r="H650" s="31"/>
      <c r="I650" s="31"/>
      <c r="J650" s="31"/>
    </row>
    <row r="651" spans="1:10" ht="14.4" x14ac:dyDescent="0.3">
      <c r="A651" s="28" t="str">
        <f>B651&amp;C651&amp;D651&amp;E651</f>
        <v>ОдеждаМужская одеждаРубашкиДжинсовые рубашки</v>
      </c>
      <c r="B651" s="29" t="s">
        <v>92</v>
      </c>
      <c r="C651" s="29" t="s">
        <v>112</v>
      </c>
      <c r="D651" s="29" t="s">
        <v>1362</v>
      </c>
      <c r="E651" s="29" t="s">
        <v>1465</v>
      </c>
      <c r="F651" s="30">
        <v>0.25</v>
      </c>
      <c r="G651" s="31"/>
      <c r="H651" s="31"/>
      <c r="I651" s="31"/>
      <c r="J651" s="31"/>
    </row>
    <row r="652" spans="1:10" ht="14.4" x14ac:dyDescent="0.3">
      <c r="A652" s="28" t="str">
        <f>B652&amp;C652&amp;D652&amp;E652</f>
        <v>Спорт и отдыхВиды спортаВолейболВолейбольные сетки</v>
      </c>
      <c r="B652" s="29" t="s">
        <v>101</v>
      </c>
      <c r="C652" s="29" t="s">
        <v>446</v>
      </c>
      <c r="D652" s="29" t="s">
        <v>1470</v>
      </c>
      <c r="E652" s="29" t="s">
        <v>1471</v>
      </c>
      <c r="F652" s="30">
        <v>0.25</v>
      </c>
      <c r="G652" s="31"/>
      <c r="H652" s="31"/>
      <c r="I652" s="31"/>
      <c r="J652" s="31"/>
    </row>
    <row r="653" spans="1:10" ht="14.4" x14ac:dyDescent="0.3">
      <c r="A653" s="28" t="str">
        <f>B653&amp;C653&amp;D653&amp;E653</f>
        <v>Строительство и ремонтРучной инструмент и оснасткаФурнитураДверная фурнитура</v>
      </c>
      <c r="B653" s="29" t="s">
        <v>77</v>
      </c>
      <c r="C653" s="29" t="s">
        <v>127</v>
      </c>
      <c r="D653" s="29" t="s">
        <v>1475</v>
      </c>
      <c r="E653" s="29" t="s">
        <v>1476</v>
      </c>
      <c r="F653" s="30">
        <v>0.25</v>
      </c>
      <c r="G653" s="31"/>
      <c r="H653" s="31"/>
      <c r="I653" s="31"/>
      <c r="J653" s="31"/>
    </row>
    <row r="654" spans="1:10" ht="14.4" x14ac:dyDescent="0.3">
      <c r="A654" s="28" t="str">
        <f>B654&amp;C654&amp;D654&amp;E654</f>
        <v>Дача, сад и огородПикник, барбекю, грильТермосумки, изотермические контейнерыТермосумки, изотермические контейнеры</v>
      </c>
      <c r="B654" s="29" t="s">
        <v>352</v>
      </c>
      <c r="C654" s="29" t="s">
        <v>1048</v>
      </c>
      <c r="D654" s="29" t="s">
        <v>1477</v>
      </c>
      <c r="E654" s="29" t="s">
        <v>1477</v>
      </c>
      <c r="F654" s="30">
        <v>0.25</v>
      </c>
      <c r="G654" s="31"/>
      <c r="H654" s="31"/>
      <c r="I654" s="31"/>
      <c r="J654" s="31"/>
    </row>
    <row r="655" spans="1:10" ht="14.4" x14ac:dyDescent="0.3">
      <c r="A655" s="28" t="str">
        <f>B655&amp;C655&amp;D655&amp;E655</f>
        <v>Детские товарыДетская комнатаЗащита и безопасностьБарьеры на кроватки</v>
      </c>
      <c r="B655" s="29" t="s">
        <v>105</v>
      </c>
      <c r="C655" s="29" t="s">
        <v>397</v>
      </c>
      <c r="D655" s="29" t="s">
        <v>398</v>
      </c>
      <c r="E655" s="29" t="s">
        <v>1478</v>
      </c>
      <c r="F655" s="30">
        <v>0.25</v>
      </c>
      <c r="G655" s="31"/>
      <c r="H655" s="31"/>
      <c r="I655" s="31"/>
      <c r="J655" s="31"/>
    </row>
    <row r="656" spans="1:10" ht="14.4" x14ac:dyDescent="0.3">
      <c r="A656" s="28" t="str">
        <f>B656&amp;C656&amp;D656&amp;E656</f>
        <v>АвтотоварыАксессуары и принадлежностиЗащита кузова автоЗащита радиатора</v>
      </c>
      <c r="B656" s="29" t="s">
        <v>12</v>
      </c>
      <c r="C656" s="29" t="s">
        <v>253</v>
      </c>
      <c r="D656" s="29" t="s">
        <v>1001</v>
      </c>
      <c r="E656" s="29" t="s">
        <v>1479</v>
      </c>
      <c r="F656" s="30">
        <v>0.25</v>
      </c>
      <c r="G656" s="31"/>
      <c r="H656" s="31"/>
      <c r="I656" s="31"/>
      <c r="J656" s="31"/>
    </row>
    <row r="657" spans="1:10" ht="14.4" x14ac:dyDescent="0.3">
      <c r="A657" s="28" t="str">
        <f>B657&amp;C657&amp;D657&amp;E657</f>
        <v>АвтотоварыАксессуары и принадлежностиОбустройство салонаПакеты для мусора</v>
      </c>
      <c r="B657" s="29" t="s">
        <v>12</v>
      </c>
      <c r="C657" s="29" t="s">
        <v>253</v>
      </c>
      <c r="D657" s="29" t="s">
        <v>256</v>
      </c>
      <c r="E657" s="29" t="s">
        <v>1480</v>
      </c>
      <c r="F657" s="30">
        <v>0.25</v>
      </c>
      <c r="G657" s="31"/>
      <c r="H657" s="31"/>
      <c r="I657" s="31"/>
      <c r="J657" s="31"/>
    </row>
    <row r="658" spans="1:10" ht="14.4" x14ac:dyDescent="0.3">
      <c r="A658" s="28" t="str">
        <f>B658&amp;C658&amp;D658&amp;E658</f>
        <v>Товары для домаТовары для кухниАксессуары для напитковОхлаждение напитков</v>
      </c>
      <c r="B658" s="29" t="s">
        <v>59</v>
      </c>
      <c r="C658" s="29" t="s">
        <v>60</v>
      </c>
      <c r="D658" s="29" t="s">
        <v>346</v>
      </c>
      <c r="E658" s="29" t="s">
        <v>1485</v>
      </c>
      <c r="F658" s="30">
        <v>0.25</v>
      </c>
      <c r="G658" s="31"/>
      <c r="H658" s="31"/>
      <c r="I658" s="31"/>
      <c r="J658" s="31"/>
    </row>
    <row r="659" spans="1:10" ht="14.4" x14ac:dyDescent="0.3">
      <c r="A659" s="28" t="str">
        <f>B659&amp;C659&amp;D659&amp;E659</f>
        <v>Спорт и отдыхВиды спортаБегСуппорты</v>
      </c>
      <c r="B659" s="29" t="s">
        <v>101</v>
      </c>
      <c r="C659" s="29" t="s">
        <v>446</v>
      </c>
      <c r="D659" s="29" t="s">
        <v>642</v>
      </c>
      <c r="E659" s="29" t="s">
        <v>1492</v>
      </c>
      <c r="F659" s="30">
        <v>0.25</v>
      </c>
      <c r="G659" s="31"/>
      <c r="H659" s="31"/>
      <c r="I659" s="31"/>
      <c r="J659" s="31"/>
    </row>
    <row r="660" spans="1:10" ht="14.4" x14ac:dyDescent="0.3">
      <c r="A660" s="28" t="str">
        <f>B660&amp;C660&amp;D660&amp;E660</f>
        <v>Дача, сад и огородСемена и саженцыСемена грибовСемена грибов</v>
      </c>
      <c r="B660" s="29" t="s">
        <v>352</v>
      </c>
      <c r="C660" s="29" t="s">
        <v>1496</v>
      </c>
      <c r="D660" s="29" t="s">
        <v>1497</v>
      </c>
      <c r="E660" s="29" t="s">
        <v>1497</v>
      </c>
      <c r="F660" s="30">
        <v>0.25</v>
      </c>
      <c r="G660" s="31"/>
      <c r="H660" s="31"/>
      <c r="I660" s="31"/>
      <c r="J660" s="31"/>
    </row>
    <row r="661" spans="1:10" ht="14.4" x14ac:dyDescent="0.3">
      <c r="A661" s="28" t="str">
        <f>B661&amp;C661&amp;D661&amp;E661</f>
        <v>Спорт и отдыхВиды спортаХудожественная гимнастика и танцыАксессуары для танцев</v>
      </c>
      <c r="B661" s="29" t="s">
        <v>101</v>
      </c>
      <c r="C661" s="29" t="s">
        <v>446</v>
      </c>
      <c r="D661" s="29" t="s">
        <v>875</v>
      </c>
      <c r="E661" s="29" t="s">
        <v>1498</v>
      </c>
      <c r="F661" s="30">
        <v>0.25</v>
      </c>
      <c r="G661" s="31"/>
      <c r="H661" s="31"/>
      <c r="I661" s="31"/>
      <c r="J661" s="31"/>
    </row>
    <row r="662" spans="1:10" ht="14.4" x14ac:dyDescent="0.3">
      <c r="A662" s="28" t="str">
        <f>B662&amp;C662&amp;D662&amp;E662</f>
        <v>ОдеждаЖенская одеждаДомашняя одеждаДомашние футболки и лонгсливы</v>
      </c>
      <c r="B662" s="29" t="s">
        <v>92</v>
      </c>
      <c r="C662" s="29" t="s">
        <v>93</v>
      </c>
      <c r="D662" s="29" t="s">
        <v>469</v>
      </c>
      <c r="E662" s="29" t="s">
        <v>1507</v>
      </c>
      <c r="F662" s="30">
        <v>0.25</v>
      </c>
      <c r="G662" s="31"/>
      <c r="H662" s="31"/>
      <c r="I662" s="31"/>
      <c r="J662" s="31"/>
    </row>
    <row r="663" spans="1:10" ht="14.4" x14ac:dyDescent="0.3">
      <c r="A663" s="28" t="str">
        <f>B663&amp;C663&amp;D663&amp;E663</f>
        <v>АвтотоварыАксессуары и принадлежностиАварийные принадлежностиАварийные наборы</v>
      </c>
      <c r="B663" s="29" t="s">
        <v>12</v>
      </c>
      <c r="C663" s="29" t="s">
        <v>253</v>
      </c>
      <c r="D663" s="29" t="s">
        <v>528</v>
      </c>
      <c r="E663" s="29" t="s">
        <v>1512</v>
      </c>
      <c r="F663" s="30">
        <v>0.25</v>
      </c>
      <c r="G663" s="31"/>
      <c r="H663" s="31"/>
      <c r="I663" s="31"/>
      <c r="J663" s="31"/>
    </row>
    <row r="664" spans="1:10" ht="14.4" x14ac:dyDescent="0.3">
      <c r="A664" s="28" t="str">
        <f>B664&amp;C664&amp;D664&amp;E664</f>
        <v>Строительство и ремонтРучной инструмент и оснасткаМалярные и отделочные инструментыГладилки</v>
      </c>
      <c r="B664" s="29" t="s">
        <v>77</v>
      </c>
      <c r="C664" s="29" t="s">
        <v>127</v>
      </c>
      <c r="D664" s="29" t="s">
        <v>128</v>
      </c>
      <c r="E664" s="29" t="s">
        <v>1516</v>
      </c>
      <c r="F664" s="30">
        <v>0.25</v>
      </c>
      <c r="G664" s="31"/>
      <c r="H664" s="31"/>
      <c r="I664" s="31"/>
      <c r="J664" s="31"/>
    </row>
    <row r="665" spans="1:10" ht="14.4" x14ac:dyDescent="0.3">
      <c r="A665" s="28" t="str">
        <f>B665&amp;C665&amp;D665&amp;E665</f>
        <v>Товары для домаТовары для кухниХранение продуктовХлебницы и сухарницы</v>
      </c>
      <c r="B665" s="29" t="s">
        <v>59</v>
      </c>
      <c r="C665" s="29" t="s">
        <v>60</v>
      </c>
      <c r="D665" s="29" t="s">
        <v>749</v>
      </c>
      <c r="E665" s="29" t="s">
        <v>1525</v>
      </c>
      <c r="F665" s="30">
        <v>0.25</v>
      </c>
      <c r="G665" s="31"/>
      <c r="H665" s="31"/>
      <c r="I665" s="31"/>
      <c r="J665" s="31"/>
    </row>
    <row r="666" spans="1:10" ht="14.4" x14ac:dyDescent="0.3">
      <c r="A666" s="28" t="str">
        <f>B666&amp;C666&amp;D666&amp;E666</f>
        <v>Спорт и отдыхВелоспортВелозапчастиПрочие велозапчасти</v>
      </c>
      <c r="B666" s="29" t="s">
        <v>101</v>
      </c>
      <c r="C666" s="29" t="s">
        <v>743</v>
      </c>
      <c r="D666" s="29" t="s">
        <v>935</v>
      </c>
      <c r="E666" s="29" t="s">
        <v>1526</v>
      </c>
      <c r="F666" s="30">
        <v>0.25</v>
      </c>
      <c r="G666" s="31"/>
      <c r="H666" s="31"/>
      <c r="I666" s="31"/>
      <c r="J666" s="31"/>
    </row>
    <row r="667" spans="1:10" ht="14.4" x14ac:dyDescent="0.3">
      <c r="A667" s="28" t="str">
        <f>B667&amp;C667&amp;D667&amp;E667</f>
        <v>ОдеждаЖенская одеждаБрюкиБриджи и капри</v>
      </c>
      <c r="B667" s="29" t="s">
        <v>92</v>
      </c>
      <c r="C667" s="29" t="s">
        <v>93</v>
      </c>
      <c r="D667" s="29" t="s">
        <v>460</v>
      </c>
      <c r="E667" s="29" t="s">
        <v>1527</v>
      </c>
      <c r="F667" s="30">
        <v>0.25</v>
      </c>
      <c r="G667" s="31"/>
      <c r="H667" s="31"/>
      <c r="I667" s="31"/>
      <c r="J667" s="31"/>
    </row>
    <row r="668" spans="1:10" ht="14.4" x14ac:dyDescent="0.3">
      <c r="A668" s="28" t="str">
        <f>B668&amp;C668&amp;D668&amp;E668</f>
        <v>Строительство и ремонтРучной инструмент и оснасткаКрепежДюбели</v>
      </c>
      <c r="B668" s="29" t="s">
        <v>77</v>
      </c>
      <c r="C668" s="29" t="s">
        <v>127</v>
      </c>
      <c r="D668" s="29" t="s">
        <v>350</v>
      </c>
      <c r="E668" s="29" t="s">
        <v>1532</v>
      </c>
      <c r="F668" s="30">
        <v>0.25</v>
      </c>
      <c r="G668" s="31"/>
      <c r="H668" s="31"/>
      <c r="I668" s="31"/>
      <c r="J668" s="31"/>
    </row>
    <row r="669" spans="1:10" ht="14.4" x14ac:dyDescent="0.3">
      <c r="A669" s="28" t="str">
        <f>B669&amp;C669&amp;D669&amp;E669</f>
        <v>ОдеждаЖенская одеждаЮбкиУзкие юбки</v>
      </c>
      <c r="B669" s="29" t="s">
        <v>92</v>
      </c>
      <c r="C669" s="29" t="s">
        <v>93</v>
      </c>
      <c r="D669" s="29" t="s">
        <v>570</v>
      </c>
      <c r="E669" s="29" t="s">
        <v>1534</v>
      </c>
      <c r="F669" s="30">
        <v>0.25</v>
      </c>
      <c r="G669" s="31"/>
      <c r="H669" s="31"/>
      <c r="I669" s="31"/>
      <c r="J669" s="31"/>
    </row>
    <row r="670" spans="1:10" ht="14.4" x14ac:dyDescent="0.3">
      <c r="A670" s="28" t="str">
        <f>B670&amp;C670&amp;D670&amp;E670</f>
        <v>Строительство и ремонтРучной инструмент и оснасткаКлючиРазводные ключи</v>
      </c>
      <c r="B670" s="29" t="s">
        <v>77</v>
      </c>
      <c r="C670" s="29" t="s">
        <v>127</v>
      </c>
      <c r="D670" s="29" t="s">
        <v>462</v>
      </c>
      <c r="E670" s="29" t="s">
        <v>1539</v>
      </c>
      <c r="F670" s="30">
        <v>0.25</v>
      </c>
      <c r="G670" s="31"/>
      <c r="H670" s="31"/>
      <c r="I670" s="31"/>
      <c r="J670" s="31"/>
    </row>
    <row r="671" spans="1:10" ht="14.4" x14ac:dyDescent="0.3">
      <c r="A671" s="28" t="str">
        <f>B671&amp;C671&amp;D671&amp;E671</f>
        <v>ОдеждаМужская одеждаДжинсыПрямые джинсы</v>
      </c>
      <c r="B671" s="29" t="s">
        <v>92</v>
      </c>
      <c r="C671" s="29" t="s">
        <v>112</v>
      </c>
      <c r="D671" s="29" t="s">
        <v>544</v>
      </c>
      <c r="E671" s="29" t="s">
        <v>1542</v>
      </c>
      <c r="F671" s="30">
        <v>0.25</v>
      </c>
      <c r="G671" s="31"/>
      <c r="H671" s="31"/>
      <c r="I671" s="31"/>
      <c r="J671" s="31"/>
    </row>
    <row r="672" spans="1:10" ht="14.4" x14ac:dyDescent="0.3">
      <c r="A672" s="28" t="str">
        <f>B672&amp;C672&amp;D672&amp;E672</f>
        <v>Товары для домаТовары для кухниАксессуары для выпечкиБумага для выпечки</v>
      </c>
      <c r="B672" s="29" t="s">
        <v>59</v>
      </c>
      <c r="C672" s="29" t="s">
        <v>60</v>
      </c>
      <c r="D672" s="29" t="s">
        <v>686</v>
      </c>
      <c r="E672" s="29" t="s">
        <v>1549</v>
      </c>
      <c r="F672" s="30">
        <v>0.25</v>
      </c>
      <c r="G672" s="31"/>
      <c r="H672" s="31"/>
      <c r="I672" s="31"/>
      <c r="J672" s="31"/>
    </row>
    <row r="673" spans="1:10" ht="14.4" x14ac:dyDescent="0.3">
      <c r="A673" s="28" t="str">
        <f>B673&amp;C673&amp;D673&amp;E673</f>
        <v>Строительство и ремонтРучной инструмент и оснасткаКлючиТоркс ключи</v>
      </c>
      <c r="B673" s="29" t="s">
        <v>77</v>
      </c>
      <c r="C673" s="29" t="s">
        <v>127</v>
      </c>
      <c r="D673" s="29" t="s">
        <v>462</v>
      </c>
      <c r="E673" s="29" t="s">
        <v>1551</v>
      </c>
      <c r="F673" s="30">
        <v>0.25</v>
      </c>
      <c r="G673" s="31"/>
      <c r="H673" s="31"/>
      <c r="I673" s="31"/>
      <c r="J673" s="31"/>
    </row>
    <row r="674" spans="1:10" ht="14.4" x14ac:dyDescent="0.3">
      <c r="A674" s="28" t="str">
        <f>B674&amp;C674&amp;D674&amp;E674</f>
        <v>АвтотоварыАксессуары и принадлежностиТюнинг и внешний декорАвтомобильные очистители воздуха</v>
      </c>
      <c r="B674" s="29" t="s">
        <v>12</v>
      </c>
      <c r="C674" s="29" t="s">
        <v>253</v>
      </c>
      <c r="D674" s="29" t="s">
        <v>254</v>
      </c>
      <c r="E674" s="29" t="s">
        <v>1552</v>
      </c>
      <c r="F674" s="30">
        <v>0.25</v>
      </c>
      <c r="G674" s="31"/>
      <c r="H674" s="31"/>
      <c r="I674" s="31"/>
      <c r="J674" s="31"/>
    </row>
    <row r="675" spans="1:10" ht="14.4" x14ac:dyDescent="0.3">
      <c r="A675" s="28" t="str">
        <f>B675&amp;C675&amp;D675&amp;E675</f>
        <v>ОдеждаМужская одеждаБрюкиЧиносы</v>
      </c>
      <c r="B675" s="29" t="s">
        <v>92</v>
      </c>
      <c r="C675" s="29" t="s">
        <v>112</v>
      </c>
      <c r="D675" s="29" t="s">
        <v>460</v>
      </c>
      <c r="E675" s="29" t="s">
        <v>1555</v>
      </c>
      <c r="F675" s="30">
        <v>0.25</v>
      </c>
      <c r="G675" s="31"/>
      <c r="H675" s="31"/>
      <c r="I675" s="31"/>
      <c r="J675" s="31"/>
    </row>
    <row r="676" spans="1:10" ht="14.4" x14ac:dyDescent="0.3">
      <c r="A676" s="28" t="str">
        <f>B676&amp;C676&amp;D676&amp;E676</f>
        <v>Красота и уходУход за волосамиАксессуары для ухода за волосамиБигуди</v>
      </c>
      <c r="B676" s="29" t="s">
        <v>56</v>
      </c>
      <c r="C676" s="29" t="s">
        <v>109</v>
      </c>
      <c r="D676" s="29" t="s">
        <v>110</v>
      </c>
      <c r="E676" s="29" t="s">
        <v>1561</v>
      </c>
      <c r="F676" s="30">
        <v>0.25</v>
      </c>
      <c r="G676" s="31"/>
      <c r="H676" s="31"/>
      <c r="I676" s="31"/>
      <c r="J676" s="31"/>
    </row>
    <row r="677" spans="1:10" ht="14.4" x14ac:dyDescent="0.3">
      <c r="A677" s="28" t="str">
        <f>B677&amp;C677&amp;D677&amp;E677</f>
        <v>ОдеждаЖенская одеждаТопы и майкиМайки</v>
      </c>
      <c r="B677" s="29" t="s">
        <v>92</v>
      </c>
      <c r="C677" s="29" t="s">
        <v>93</v>
      </c>
      <c r="D677" s="29" t="s">
        <v>550</v>
      </c>
      <c r="E677" s="29" t="s">
        <v>533</v>
      </c>
      <c r="F677" s="30">
        <v>0.25</v>
      </c>
      <c r="G677" s="31"/>
      <c r="H677" s="31"/>
      <c r="I677" s="31"/>
      <c r="J677" s="31"/>
    </row>
    <row r="678" spans="1:10" ht="14.4" x14ac:dyDescent="0.3">
      <c r="A678" s="28" t="str">
        <f>B678&amp;C678&amp;D678&amp;E678</f>
        <v>ОдеждаМужская одеждаХуди и свитшотыФлиски</v>
      </c>
      <c r="B678" s="29" t="s">
        <v>92</v>
      </c>
      <c r="C678" s="29" t="s">
        <v>112</v>
      </c>
      <c r="D678" s="29" t="s">
        <v>1149</v>
      </c>
      <c r="E678" s="29" t="s">
        <v>1566</v>
      </c>
      <c r="F678" s="30">
        <v>0.25</v>
      </c>
      <c r="G678" s="31"/>
      <c r="H678" s="31"/>
      <c r="I678" s="31"/>
      <c r="J678" s="31"/>
    </row>
    <row r="679" spans="1:10" ht="14.4" x14ac:dyDescent="0.3">
      <c r="A679" s="28" t="str">
        <f>B679&amp;C679&amp;D679&amp;E679</f>
        <v>Товары для домаТовары для кухниВинные аксессуарыШтопоры</v>
      </c>
      <c r="B679" s="29" t="s">
        <v>59</v>
      </c>
      <c r="C679" s="29" t="s">
        <v>60</v>
      </c>
      <c r="D679" s="29" t="s">
        <v>1571</v>
      </c>
      <c r="E679" s="29" t="s">
        <v>1572</v>
      </c>
      <c r="F679" s="30">
        <v>0.25</v>
      </c>
      <c r="G679" s="31"/>
      <c r="H679" s="31"/>
      <c r="I679" s="31"/>
      <c r="J679" s="31"/>
    </row>
    <row r="680" spans="1:10" ht="14.4" x14ac:dyDescent="0.3">
      <c r="A680" s="28" t="str">
        <f>B680&amp;C680&amp;D680&amp;E680</f>
        <v>Товары для домаТовары для кухниСтоловые приборыНожи столовые</v>
      </c>
      <c r="B680" s="29" t="s">
        <v>59</v>
      </c>
      <c r="C680" s="29" t="s">
        <v>60</v>
      </c>
      <c r="D680" s="29" t="s">
        <v>196</v>
      </c>
      <c r="E680" s="29" t="s">
        <v>1577</v>
      </c>
      <c r="F680" s="30">
        <v>0.25</v>
      </c>
      <c r="G680" s="31"/>
      <c r="H680" s="31"/>
      <c r="I680" s="31"/>
      <c r="J680" s="31"/>
    </row>
    <row r="681" spans="1:10" ht="14.4" x14ac:dyDescent="0.3">
      <c r="A681" s="28" t="str">
        <f>B681&amp;C681&amp;D681&amp;E681</f>
        <v>Товары для домаТовары для кухниАксессуары для выпечкиЛопатки кондитерские</v>
      </c>
      <c r="B681" s="29" t="s">
        <v>59</v>
      </c>
      <c r="C681" s="29" t="s">
        <v>60</v>
      </c>
      <c r="D681" s="29" t="s">
        <v>686</v>
      </c>
      <c r="E681" s="29" t="s">
        <v>1581</v>
      </c>
      <c r="F681" s="30">
        <v>0.25</v>
      </c>
      <c r="G681" s="31"/>
      <c r="H681" s="31"/>
      <c r="I681" s="31"/>
      <c r="J681" s="31"/>
    </row>
    <row r="682" spans="1:10" ht="14.4" x14ac:dyDescent="0.3">
      <c r="A682" s="28" t="str">
        <f>B682&amp;C682&amp;D682&amp;E682</f>
        <v>ЭлектроникаКомпьютерная техникаАксессуары для компьютеровКомплекты клавиатур и мышей</v>
      </c>
      <c r="B682" s="29" t="s">
        <v>67</v>
      </c>
      <c r="C682" s="29" t="s">
        <v>234</v>
      </c>
      <c r="D682" s="29" t="s">
        <v>235</v>
      </c>
      <c r="E682" s="29" t="s">
        <v>1584</v>
      </c>
      <c r="F682" s="30">
        <v>0.25</v>
      </c>
      <c r="G682" s="31"/>
      <c r="H682" s="31"/>
      <c r="I682" s="31"/>
      <c r="J682" s="31"/>
    </row>
    <row r="683" spans="1:10" ht="14.4" x14ac:dyDescent="0.3">
      <c r="A683" s="28" t="str">
        <f>B683&amp;C683&amp;D683&amp;E683</f>
        <v>Товары для домаТовары для кухниЧайники и кофейникиКофеварки и кофемолки</v>
      </c>
      <c r="B683" s="29" t="s">
        <v>59</v>
      </c>
      <c r="C683" s="29" t="s">
        <v>60</v>
      </c>
      <c r="D683" s="29" t="s">
        <v>400</v>
      </c>
      <c r="E683" s="29" t="s">
        <v>1591</v>
      </c>
      <c r="F683" s="30">
        <v>0.25</v>
      </c>
      <c r="G683" s="31"/>
      <c r="H683" s="31"/>
      <c r="I683" s="31"/>
      <c r="J683" s="31"/>
    </row>
    <row r="684" spans="1:10" ht="14.4" x14ac:dyDescent="0.3">
      <c r="A684" s="28" t="str">
        <f>B684&amp;C684&amp;D684&amp;E684</f>
        <v>ОдеждаЖенская одеждаСпортивная одеждаСпортивные носки и гольфы</v>
      </c>
      <c r="B684" s="29" t="s">
        <v>92</v>
      </c>
      <c r="C684" s="29" t="s">
        <v>93</v>
      </c>
      <c r="D684" s="29" t="s">
        <v>158</v>
      </c>
      <c r="E684" s="29" t="s">
        <v>1595</v>
      </c>
      <c r="F684" s="30">
        <v>0.25</v>
      </c>
      <c r="G684" s="31"/>
      <c r="H684" s="31"/>
      <c r="I684" s="31"/>
      <c r="J684" s="31"/>
    </row>
    <row r="685" spans="1:10" ht="14.4" x14ac:dyDescent="0.3">
      <c r="A685" s="28" t="str">
        <f>B685&amp;C685&amp;D685&amp;E685</f>
        <v>Дача, сад и огородСадовый инструментАксессуары и расходные материалыПерчатки садовые</v>
      </c>
      <c r="B685" s="29" t="s">
        <v>352</v>
      </c>
      <c r="C685" s="29" t="s">
        <v>353</v>
      </c>
      <c r="D685" s="29" t="s">
        <v>673</v>
      </c>
      <c r="E685" s="29" t="s">
        <v>1601</v>
      </c>
      <c r="F685" s="30">
        <v>0.25</v>
      </c>
      <c r="G685" s="31"/>
      <c r="H685" s="31"/>
      <c r="I685" s="31"/>
      <c r="J685" s="31"/>
    </row>
    <row r="686" spans="1:10" ht="14.4" x14ac:dyDescent="0.3">
      <c r="A686" s="28" t="str">
        <f>B686&amp;C686&amp;D686&amp;E686</f>
        <v>АксессуарыЖенские аксессуарыБижутерные украшенияСерьги</v>
      </c>
      <c r="B686" s="29" t="s">
        <v>88</v>
      </c>
      <c r="C686" s="29" t="s">
        <v>221</v>
      </c>
      <c r="D686" s="29" t="s">
        <v>314</v>
      </c>
      <c r="E686" s="29" t="s">
        <v>810</v>
      </c>
      <c r="F686" s="30">
        <v>0.25</v>
      </c>
      <c r="G686" s="31"/>
      <c r="H686" s="31"/>
      <c r="I686" s="31"/>
      <c r="J686" s="31"/>
    </row>
    <row r="687" spans="1:10" ht="14.4" x14ac:dyDescent="0.3">
      <c r="A687" s="28" t="str">
        <f>B687&amp;C687&amp;D687&amp;E687</f>
        <v>Спорт и отдыхВиды спортаБокс и единоборстваГруши и мешки</v>
      </c>
      <c r="B687" s="29" t="s">
        <v>101</v>
      </c>
      <c r="C687" s="29" t="s">
        <v>446</v>
      </c>
      <c r="D687" s="29" t="s">
        <v>1068</v>
      </c>
      <c r="E687" s="29" t="s">
        <v>1612</v>
      </c>
      <c r="F687" s="30">
        <v>0.25</v>
      </c>
      <c r="G687" s="31"/>
      <c r="H687" s="31"/>
      <c r="I687" s="31"/>
      <c r="J687" s="31"/>
    </row>
    <row r="688" spans="1:10" ht="14.4" x14ac:dyDescent="0.3">
      <c r="A688" s="28" t="str">
        <f>B688&amp;C688&amp;D688&amp;E688</f>
        <v>Спорт и отдыхОтдых на природе, рыбалка и охотаТуризм и отдых на природеСкладная походная мебель</v>
      </c>
      <c r="B688" s="29" t="s">
        <v>101</v>
      </c>
      <c r="C688" s="29" t="s">
        <v>166</v>
      </c>
      <c r="D688" s="29" t="s">
        <v>204</v>
      </c>
      <c r="E688" s="29" t="s">
        <v>1613</v>
      </c>
      <c r="F688" s="30">
        <v>0.25</v>
      </c>
      <c r="G688" s="31"/>
      <c r="H688" s="31"/>
      <c r="I688" s="31"/>
      <c r="J688" s="31"/>
    </row>
    <row r="689" spans="1:10" ht="14.4" x14ac:dyDescent="0.3">
      <c r="A689" s="28" t="str">
        <f>B689&amp;C689&amp;D689&amp;E689</f>
        <v>Спорт и отдыхВиды спортаХудожественная гимнастика и танцыИнвентарь для художественной гимнастики и танцев</v>
      </c>
      <c r="B689" s="29" t="s">
        <v>101</v>
      </c>
      <c r="C689" s="29" t="s">
        <v>446</v>
      </c>
      <c r="D689" s="29" t="s">
        <v>875</v>
      </c>
      <c r="E689" s="29" t="s">
        <v>1616</v>
      </c>
      <c r="F689" s="30">
        <v>0.25</v>
      </c>
      <c r="G689" s="31"/>
      <c r="H689" s="31"/>
      <c r="I689" s="31"/>
      <c r="J689" s="31"/>
    </row>
    <row r="690" spans="1:10" ht="14.4" x14ac:dyDescent="0.3">
      <c r="A690" s="28" t="str">
        <f>B690&amp;C690&amp;D690&amp;E690</f>
        <v>ОдеждаЖенская одеждаТопы и майкиВязаные топы</v>
      </c>
      <c r="B690" s="29" t="s">
        <v>92</v>
      </c>
      <c r="C690" s="29" t="s">
        <v>93</v>
      </c>
      <c r="D690" s="29" t="s">
        <v>550</v>
      </c>
      <c r="E690" s="29" t="s">
        <v>1621</v>
      </c>
      <c r="F690" s="30">
        <v>0.25</v>
      </c>
      <c r="G690" s="31"/>
      <c r="H690" s="31"/>
      <c r="I690" s="31"/>
      <c r="J690" s="31"/>
    </row>
    <row r="691" spans="1:10" ht="14.4" x14ac:dyDescent="0.3">
      <c r="A691" s="28" t="str">
        <f>B691&amp;C691&amp;D691&amp;E691</f>
        <v>ОдеждаМужская одеждаТермобельёВерх термобелья</v>
      </c>
      <c r="B691" s="29" t="s">
        <v>92</v>
      </c>
      <c r="C691" s="29" t="s">
        <v>112</v>
      </c>
      <c r="D691" s="29" t="s">
        <v>203</v>
      </c>
      <c r="E691" s="29" t="s">
        <v>1625</v>
      </c>
      <c r="F691" s="30">
        <v>0.25</v>
      </c>
      <c r="G691" s="31"/>
      <c r="H691" s="31"/>
      <c r="I691" s="31"/>
      <c r="J691" s="31"/>
    </row>
    <row r="692" spans="1:10" ht="14.4" x14ac:dyDescent="0.3">
      <c r="A692" s="28" t="str">
        <f>B692&amp;C692&amp;D692&amp;E692</f>
        <v>Красота и уходМаникюр и педикюрСредства для снятия лакаСредства для снятия лака</v>
      </c>
      <c r="B692" s="29" t="s">
        <v>56</v>
      </c>
      <c r="C692" s="29" t="s">
        <v>57</v>
      </c>
      <c r="D692" s="29" t="s">
        <v>1626</v>
      </c>
      <c r="E692" s="29" t="s">
        <v>1626</v>
      </c>
      <c r="F692" s="30">
        <v>0.25</v>
      </c>
      <c r="G692" s="31"/>
      <c r="H692" s="31"/>
      <c r="I692" s="31"/>
      <c r="J692" s="31"/>
    </row>
    <row r="693" spans="1:10" ht="14.4" x14ac:dyDescent="0.3">
      <c r="A693" s="28" t="str">
        <f>B693&amp;C693&amp;D693&amp;E693</f>
        <v>Красота и уходПарфюмерияДухи сухиеДухи сухие</v>
      </c>
      <c r="B693" s="29" t="s">
        <v>56</v>
      </c>
      <c r="C693" s="29" t="s">
        <v>824</v>
      </c>
      <c r="D693" s="29" t="s">
        <v>1628</v>
      </c>
      <c r="E693" s="29" t="s">
        <v>1628</v>
      </c>
      <c r="F693" s="30">
        <v>0.25</v>
      </c>
      <c r="G693" s="31"/>
      <c r="H693" s="31"/>
      <c r="I693" s="31"/>
      <c r="J693" s="31"/>
    </row>
    <row r="694" spans="1:10" ht="14.4" x14ac:dyDescent="0.3">
      <c r="A694" s="28" t="str">
        <f>B694&amp;C694&amp;D694&amp;E694</f>
        <v>ЭлектроникаФото и видеотехникаАксессуары для фото- и видеокамерМоноподы для селфи</v>
      </c>
      <c r="B694" s="29" t="s">
        <v>67</v>
      </c>
      <c r="C694" s="29" t="s">
        <v>174</v>
      </c>
      <c r="D694" s="29" t="s">
        <v>175</v>
      </c>
      <c r="E694" s="29" t="s">
        <v>1629</v>
      </c>
      <c r="F694" s="30">
        <v>0.25</v>
      </c>
      <c r="G694" s="31"/>
      <c r="H694" s="31"/>
      <c r="I694" s="31"/>
      <c r="J694" s="31"/>
    </row>
    <row r="695" spans="1:10" ht="14.4" x14ac:dyDescent="0.3">
      <c r="A695" s="28" t="str">
        <f>B695&amp;C695&amp;D695&amp;E695</f>
        <v>Красота и уходПарфюмерияМиниатюры и пробникиМиниатюры и пробники</v>
      </c>
      <c r="B695" s="29" t="s">
        <v>56</v>
      </c>
      <c r="C695" s="29" t="s">
        <v>824</v>
      </c>
      <c r="D695" s="29" t="s">
        <v>1633</v>
      </c>
      <c r="E695" s="29" t="s">
        <v>1633</v>
      </c>
      <c r="F695" s="30">
        <v>0.25</v>
      </c>
      <c r="G695" s="31"/>
      <c r="H695" s="31"/>
      <c r="I695" s="31"/>
      <c r="J695" s="31"/>
    </row>
    <row r="696" spans="1:10" ht="14.4" x14ac:dyDescent="0.3">
      <c r="A696" s="28" t="str">
        <f>B696&amp;C696&amp;D696&amp;E696</f>
        <v>ЗоотоварыДля птицКлетки и лестницыЧехлы и колеса для клеток</v>
      </c>
      <c r="B696" s="29" t="s">
        <v>214</v>
      </c>
      <c r="C696" s="29" t="s">
        <v>224</v>
      </c>
      <c r="D696" s="29" t="s">
        <v>1635</v>
      </c>
      <c r="E696" s="29" t="s">
        <v>1636</v>
      </c>
      <c r="F696" s="30">
        <v>0.25</v>
      </c>
      <c r="G696" s="31"/>
      <c r="H696" s="31"/>
      <c r="I696" s="31"/>
      <c r="J696" s="31"/>
    </row>
    <row r="697" spans="1:10" ht="14.4" x14ac:dyDescent="0.3">
      <c r="A697" s="28" t="str">
        <f>B697&amp;C697&amp;D697&amp;E697</f>
        <v>ОдеждаЖенская одеждаПлатья и сарафаныВечерние платья</v>
      </c>
      <c r="B697" s="29" t="s">
        <v>92</v>
      </c>
      <c r="C697" s="29" t="s">
        <v>93</v>
      </c>
      <c r="D697" s="29" t="s">
        <v>94</v>
      </c>
      <c r="E697" s="29" t="s">
        <v>1640</v>
      </c>
      <c r="F697" s="30">
        <v>0.25</v>
      </c>
      <c r="G697" s="31"/>
      <c r="H697" s="31"/>
      <c r="I697" s="31"/>
      <c r="J697" s="31"/>
    </row>
    <row r="698" spans="1:10" ht="14.4" x14ac:dyDescent="0.3">
      <c r="A698" s="28" t="str">
        <f>B698&amp;C698&amp;D698&amp;E698</f>
        <v>АксессуарыАксессуары для путешествийЧемоданыЧемоданы</v>
      </c>
      <c r="B698" s="29" t="s">
        <v>88</v>
      </c>
      <c r="C698" s="29" t="s">
        <v>573</v>
      </c>
      <c r="D698" s="29" t="s">
        <v>1643</v>
      </c>
      <c r="E698" s="29" t="s">
        <v>1643</v>
      </c>
      <c r="F698" s="30">
        <v>0.25</v>
      </c>
      <c r="G698" s="31"/>
      <c r="H698" s="31"/>
      <c r="I698" s="31"/>
      <c r="J698" s="31"/>
    </row>
    <row r="699" spans="1:10" ht="14.4" x14ac:dyDescent="0.3">
      <c r="A699" s="28" t="str">
        <f>B699&amp;C699&amp;D699&amp;E699</f>
        <v>Товары для домаТовары для кухниПорядок на кухнеПодставки для столовых приборов</v>
      </c>
      <c r="B699" s="29" t="s">
        <v>59</v>
      </c>
      <c r="C699" s="29" t="s">
        <v>60</v>
      </c>
      <c r="D699" s="29" t="s">
        <v>300</v>
      </c>
      <c r="E699" s="29" t="s">
        <v>1646</v>
      </c>
      <c r="F699" s="30">
        <v>0.25</v>
      </c>
      <c r="G699" s="31"/>
      <c r="H699" s="31"/>
      <c r="I699" s="31"/>
      <c r="J699" s="31"/>
    </row>
    <row r="700" spans="1:10" ht="14.4" x14ac:dyDescent="0.3">
      <c r="A700" s="28" t="str">
        <f>B700&amp;C700&amp;D700&amp;E700</f>
        <v>Спорт и отдыхВодный спорт и отдых на водеПлаваниеАксессуары для плавания</v>
      </c>
      <c r="B700" s="29" t="s">
        <v>101</v>
      </c>
      <c r="C700" s="29" t="s">
        <v>771</v>
      </c>
      <c r="D700" s="29" t="s">
        <v>772</v>
      </c>
      <c r="E700" s="29" t="s">
        <v>1648</v>
      </c>
      <c r="F700" s="30">
        <v>0.25</v>
      </c>
      <c r="G700" s="31"/>
      <c r="H700" s="31"/>
      <c r="I700" s="31"/>
      <c r="J700" s="31"/>
    </row>
    <row r="701" spans="1:10" ht="14.4" x14ac:dyDescent="0.3">
      <c r="A701" s="28" t="str">
        <f>B701&amp;C701&amp;D701&amp;E701</f>
        <v>Товары для домаТовары для кухниПорядок на кухнеРейлинг</v>
      </c>
      <c r="B701" s="29" t="s">
        <v>59</v>
      </c>
      <c r="C701" s="29" t="s">
        <v>60</v>
      </c>
      <c r="D701" s="29" t="s">
        <v>300</v>
      </c>
      <c r="E701" s="29" t="s">
        <v>1653</v>
      </c>
      <c r="F701" s="30">
        <v>0.25</v>
      </c>
      <c r="G701" s="31"/>
      <c r="H701" s="31"/>
      <c r="I701" s="31"/>
      <c r="J701" s="31"/>
    </row>
    <row r="702" spans="1:10" ht="14.4" x14ac:dyDescent="0.3">
      <c r="A702" s="28" t="str">
        <f>B702&amp;C702&amp;D702&amp;E702</f>
        <v>Спорт и отдыхАктивные виды отдыхаБильярдАксессуары для бильярда</v>
      </c>
      <c r="B702" s="29" t="s">
        <v>101</v>
      </c>
      <c r="C702" s="29" t="s">
        <v>941</v>
      </c>
      <c r="D702" s="29" t="s">
        <v>1030</v>
      </c>
      <c r="E702" s="29" t="s">
        <v>1655</v>
      </c>
      <c r="F702" s="30">
        <v>0.25</v>
      </c>
      <c r="G702" s="31"/>
      <c r="H702" s="31"/>
      <c r="I702" s="31"/>
      <c r="J702" s="31"/>
    </row>
    <row r="703" spans="1:10" ht="14.4" x14ac:dyDescent="0.3">
      <c r="A703" s="28" t="str">
        <f>B703&amp;C703&amp;D703&amp;E703</f>
        <v>АвтотоварыАксессуары и принадлежностиТюнинг и внешний декорУпоры капота и багажника</v>
      </c>
      <c r="B703" s="29" t="s">
        <v>12</v>
      </c>
      <c r="C703" s="29" t="s">
        <v>253</v>
      </c>
      <c r="D703" s="29" t="s">
        <v>254</v>
      </c>
      <c r="E703" s="29" t="s">
        <v>1656</v>
      </c>
      <c r="F703" s="30">
        <v>0.25</v>
      </c>
      <c r="G703" s="31"/>
      <c r="H703" s="31"/>
      <c r="I703" s="31"/>
      <c r="J703" s="31"/>
    </row>
    <row r="704" spans="1:10" ht="14.4" x14ac:dyDescent="0.3">
      <c r="A704" s="28" t="str">
        <f>B704&amp;C704&amp;D704&amp;E704</f>
        <v>АвтотоварыУход за автомобилемВоски и полиролиВоски и полироли</v>
      </c>
      <c r="B704" s="29" t="s">
        <v>12</v>
      </c>
      <c r="C704" s="29" t="s">
        <v>201</v>
      </c>
      <c r="D704" s="29" t="s">
        <v>1661</v>
      </c>
      <c r="E704" s="29" t="s">
        <v>1661</v>
      </c>
      <c r="F704" s="30">
        <v>0.25</v>
      </c>
      <c r="G704" s="31"/>
      <c r="H704" s="31"/>
      <c r="I704" s="31"/>
      <c r="J704" s="31"/>
    </row>
    <row r="705" spans="1:10" ht="14.4" x14ac:dyDescent="0.3">
      <c r="A705" s="28" t="str">
        <f>B705&amp;C705&amp;D705&amp;E705</f>
        <v>Спорт и отдыхРоликовые коньки, экипировка и запчастиЗащитаЗащита</v>
      </c>
      <c r="B705" s="29" t="s">
        <v>101</v>
      </c>
      <c r="C705" s="29" t="s">
        <v>904</v>
      </c>
      <c r="D705" s="29" t="s">
        <v>1665</v>
      </c>
      <c r="E705" s="29" t="s">
        <v>1665</v>
      </c>
      <c r="F705" s="30">
        <v>0.25</v>
      </c>
      <c r="G705" s="31"/>
      <c r="H705" s="31"/>
      <c r="I705" s="31"/>
      <c r="J705" s="31"/>
    </row>
    <row r="706" spans="1:10" ht="14.4" x14ac:dyDescent="0.3">
      <c r="A706" s="28" t="str">
        <f>B706&amp;C706&amp;D706&amp;E706</f>
        <v>ЗоотоварыГигиенаКосметика для животныхМыло</v>
      </c>
      <c r="B706" s="29" t="s">
        <v>214</v>
      </c>
      <c r="C706" s="29" t="s">
        <v>911</v>
      </c>
      <c r="D706" s="29" t="s">
        <v>912</v>
      </c>
      <c r="E706" s="29" t="s">
        <v>1559</v>
      </c>
      <c r="F706" s="30">
        <v>0.25</v>
      </c>
      <c r="G706" s="31"/>
      <c r="H706" s="31"/>
      <c r="I706" s="31"/>
      <c r="J706" s="31"/>
    </row>
    <row r="707" spans="1:10" ht="14.4" x14ac:dyDescent="0.3">
      <c r="A707" s="28" t="str">
        <f>B707&amp;C707&amp;D707&amp;E707</f>
        <v>Детские товарыТовары для мамСумки и рюкзаки для мамСумки и рюкзаки для мам</v>
      </c>
      <c r="B707" s="29" t="s">
        <v>105</v>
      </c>
      <c r="C707" s="29" t="s">
        <v>655</v>
      </c>
      <c r="D707" s="29" t="s">
        <v>1672</v>
      </c>
      <c r="E707" s="29" t="s">
        <v>1672</v>
      </c>
      <c r="F707" s="30">
        <v>0.25</v>
      </c>
      <c r="G707" s="31"/>
      <c r="H707" s="31"/>
      <c r="I707" s="31"/>
      <c r="J707" s="31"/>
    </row>
    <row r="708" spans="1:10" ht="14.4" x14ac:dyDescent="0.3">
      <c r="A708" s="28" t="str">
        <f>B708&amp;C708&amp;D708&amp;E708</f>
        <v>ОдеждаЖенская одеждаОдежда для беременныхБрюки и комбинезоны</v>
      </c>
      <c r="B708" s="29" t="s">
        <v>92</v>
      </c>
      <c r="C708" s="29" t="s">
        <v>93</v>
      </c>
      <c r="D708" s="29" t="s">
        <v>816</v>
      </c>
      <c r="E708" s="29" t="s">
        <v>1677</v>
      </c>
      <c r="F708" s="30">
        <v>0.25</v>
      </c>
      <c r="G708" s="31"/>
      <c r="H708" s="31"/>
      <c r="I708" s="31"/>
      <c r="J708" s="31"/>
    </row>
    <row r="709" spans="1:10" ht="14.4" x14ac:dyDescent="0.3">
      <c r="A709" s="28" t="str">
        <f>B709&amp;C709&amp;D709&amp;E709</f>
        <v>Дача, сад и огородСадовый инструментОбработка почвыЛопаты</v>
      </c>
      <c r="B709" s="29" t="s">
        <v>352</v>
      </c>
      <c r="C709" s="29" t="s">
        <v>353</v>
      </c>
      <c r="D709" s="29" t="s">
        <v>393</v>
      </c>
      <c r="E709" s="29" t="s">
        <v>1685</v>
      </c>
      <c r="F709" s="30">
        <v>0.25</v>
      </c>
      <c r="G709" s="31"/>
      <c r="H709" s="31"/>
      <c r="I709" s="31"/>
      <c r="J709" s="31"/>
    </row>
    <row r="710" spans="1:10" ht="14.4" x14ac:dyDescent="0.3">
      <c r="A710" s="28" t="str">
        <f>B710&amp;C710&amp;D710&amp;E710</f>
        <v>ОдеждаЖенская одеждаНациональная одеждаНациональные платья и халаты</v>
      </c>
      <c r="B710" s="29" t="s">
        <v>92</v>
      </c>
      <c r="C710" s="29" t="s">
        <v>93</v>
      </c>
      <c r="D710" s="29" t="s">
        <v>835</v>
      </c>
      <c r="E710" s="29" t="s">
        <v>1686</v>
      </c>
      <c r="F710" s="30">
        <v>0.25</v>
      </c>
      <c r="G710" s="31"/>
      <c r="H710" s="31"/>
      <c r="I710" s="31"/>
      <c r="J710" s="31"/>
    </row>
    <row r="711" spans="1:10" ht="14.4" x14ac:dyDescent="0.3">
      <c r="A711" s="28" t="str">
        <f>B711&amp;C711&amp;D711&amp;E711</f>
        <v>АвтотоварыУход за автомобилемОсушители для автомобилейОсушители для автомобилей</v>
      </c>
      <c r="B711" s="29" t="s">
        <v>12</v>
      </c>
      <c r="C711" s="29" t="s">
        <v>201</v>
      </c>
      <c r="D711" s="29" t="s">
        <v>1688</v>
      </c>
      <c r="E711" s="29" t="s">
        <v>1688</v>
      </c>
      <c r="F711" s="30">
        <v>0.25</v>
      </c>
      <c r="G711" s="31"/>
      <c r="H711" s="31"/>
      <c r="I711" s="31"/>
      <c r="J711" s="31"/>
    </row>
    <row r="712" spans="1:10" ht="14.4" x14ac:dyDescent="0.3">
      <c r="A712" s="28" t="str">
        <f>B712&amp;C712&amp;D712&amp;E712</f>
        <v>Спорт и отдыхВиды спортаФутболФутбольные ворота</v>
      </c>
      <c r="B712" s="29" t="s">
        <v>101</v>
      </c>
      <c r="C712" s="29" t="s">
        <v>446</v>
      </c>
      <c r="D712" s="29" t="s">
        <v>1329</v>
      </c>
      <c r="E712" s="29" t="s">
        <v>1689</v>
      </c>
      <c r="F712" s="30">
        <v>0.25</v>
      </c>
      <c r="G712" s="31"/>
      <c r="H712" s="31"/>
      <c r="I712" s="31"/>
      <c r="J712" s="31"/>
    </row>
    <row r="713" spans="1:10" ht="14.4" x14ac:dyDescent="0.3">
      <c r="A713" s="28" t="str">
        <f>B713&amp;C713&amp;D713&amp;E713</f>
        <v>Товары для домаТовары для кухниАксессуары для выпечкиФормы для выпечки</v>
      </c>
      <c r="B713" s="29" t="s">
        <v>59</v>
      </c>
      <c r="C713" s="29" t="s">
        <v>60</v>
      </c>
      <c r="D713" s="29" t="s">
        <v>686</v>
      </c>
      <c r="E713" s="29" t="s">
        <v>1691</v>
      </c>
      <c r="F713" s="30">
        <v>0.25</v>
      </c>
      <c r="G713" s="31"/>
      <c r="H713" s="31"/>
      <c r="I713" s="31"/>
      <c r="J713" s="31"/>
    </row>
    <row r="714" spans="1:10" ht="14.4" x14ac:dyDescent="0.3">
      <c r="A714" s="28" t="str">
        <f>B714&amp;C714&amp;D714&amp;E714</f>
        <v>Дача, сад и огородСадовый инструментУход за территориейКосы и серпы</v>
      </c>
      <c r="B714" s="29" t="s">
        <v>352</v>
      </c>
      <c r="C714" s="29" t="s">
        <v>353</v>
      </c>
      <c r="D714" s="29" t="s">
        <v>354</v>
      </c>
      <c r="E714" s="29" t="s">
        <v>1699</v>
      </c>
      <c r="F714" s="30">
        <v>0.25</v>
      </c>
      <c r="G714" s="31"/>
      <c r="H714" s="31"/>
      <c r="I714" s="31"/>
      <c r="J714" s="31"/>
    </row>
    <row r="715" spans="1:10" ht="14.4" x14ac:dyDescent="0.3">
      <c r="A715" s="28" t="str">
        <f>B715&amp;C715&amp;D715&amp;E715</f>
        <v>Дача, сад и огородСемена и саженцыСеменаСемена</v>
      </c>
      <c r="B715" s="29" t="s">
        <v>352</v>
      </c>
      <c r="C715" s="29" t="s">
        <v>1496</v>
      </c>
      <c r="D715" s="29" t="s">
        <v>1704</v>
      </c>
      <c r="E715" s="29" t="s">
        <v>1704</v>
      </c>
      <c r="F715" s="30">
        <v>0.25</v>
      </c>
      <c r="G715" s="31"/>
      <c r="H715" s="31"/>
      <c r="I715" s="31"/>
      <c r="J715" s="31"/>
    </row>
    <row r="716" spans="1:10" ht="14.4" x14ac:dyDescent="0.3">
      <c r="A716" s="28" t="str">
        <f>B716&amp;C716&amp;D716&amp;E716</f>
        <v>Товары для домаТовары для кухниКухонные инструментыВенчики</v>
      </c>
      <c r="B716" s="29" t="s">
        <v>59</v>
      </c>
      <c r="C716" s="29" t="s">
        <v>60</v>
      </c>
      <c r="D716" s="29" t="s">
        <v>1006</v>
      </c>
      <c r="E716" s="29" t="s">
        <v>1705</v>
      </c>
      <c r="F716" s="30">
        <v>0.25</v>
      </c>
      <c r="G716" s="31"/>
      <c r="H716" s="31"/>
      <c r="I716" s="31"/>
      <c r="J716" s="31"/>
    </row>
    <row r="717" spans="1:10" ht="14.4" x14ac:dyDescent="0.3">
      <c r="A717" s="28" t="str">
        <f>B717&amp;C717&amp;D717&amp;E717</f>
        <v>Красота и уходУход за волосамиАксессуары для ухода за волосамиРасчески и щетки</v>
      </c>
      <c r="B717" s="29" t="s">
        <v>56</v>
      </c>
      <c r="C717" s="29" t="s">
        <v>109</v>
      </c>
      <c r="D717" s="29" t="s">
        <v>110</v>
      </c>
      <c r="E717" s="29" t="s">
        <v>1706</v>
      </c>
      <c r="F717" s="30">
        <v>0.25</v>
      </c>
      <c r="G717" s="31"/>
      <c r="H717" s="31"/>
      <c r="I717" s="31"/>
      <c r="J717" s="31"/>
    </row>
    <row r="718" spans="1:10" ht="14.4" x14ac:dyDescent="0.3">
      <c r="A718" s="28" t="str">
        <f>B718&amp;C718&amp;D718&amp;E718</f>
        <v>Дача, сад и огородСемена и саженцыНаборы для выращивания растенийНаборы для выращивания растений</v>
      </c>
      <c r="B718" s="29" t="s">
        <v>352</v>
      </c>
      <c r="C718" s="29" t="s">
        <v>1496</v>
      </c>
      <c r="D718" s="29" t="s">
        <v>1710</v>
      </c>
      <c r="E718" s="29" t="s">
        <v>1710</v>
      </c>
      <c r="F718" s="30">
        <v>0.25</v>
      </c>
      <c r="G718" s="31"/>
      <c r="H718" s="31"/>
      <c r="I718" s="31"/>
      <c r="J718" s="31"/>
    </row>
    <row r="719" spans="1:10" ht="14.4" x14ac:dyDescent="0.3">
      <c r="A719" s="28" t="str">
        <f>B719&amp;C719&amp;D719&amp;E719</f>
        <v>Спорт и отдыхОтдых на природе, рыбалка и охотаТуризм и отдых на природеНадувная мебель</v>
      </c>
      <c r="B719" s="29" t="s">
        <v>101</v>
      </c>
      <c r="C719" s="29" t="s">
        <v>166</v>
      </c>
      <c r="D719" s="29" t="s">
        <v>204</v>
      </c>
      <c r="E719" s="29" t="s">
        <v>1712</v>
      </c>
      <c r="F719" s="30">
        <v>0.25</v>
      </c>
      <c r="G719" s="31"/>
      <c r="H719" s="31"/>
      <c r="I719" s="31"/>
      <c r="J719" s="31"/>
    </row>
    <row r="720" spans="1:10" ht="14.4" x14ac:dyDescent="0.3">
      <c r="A720" s="28" t="str">
        <f>B720&amp;C720&amp;D720&amp;E720</f>
        <v>Красота и уходОборудование и материалы для тату-салонаТату-машинки и аксессуарыТату-машинки и аксессуары</v>
      </c>
      <c r="B720" s="29" t="s">
        <v>56</v>
      </c>
      <c r="C720" s="29" t="s">
        <v>791</v>
      </c>
      <c r="D720" s="29" t="s">
        <v>1715</v>
      </c>
      <c r="E720" s="29" t="s">
        <v>1715</v>
      </c>
      <c r="F720" s="30">
        <v>0.25</v>
      </c>
      <c r="G720" s="31"/>
      <c r="H720" s="31"/>
      <c r="I720" s="31"/>
      <c r="J720" s="31"/>
    </row>
    <row r="721" spans="1:10" ht="14.4" x14ac:dyDescent="0.3">
      <c r="A721" s="28" t="str">
        <f>B721&amp;C721&amp;D721&amp;E721</f>
        <v>Спорт и отдыхОтдых на природе, рыбалка и охотаТуризм и отдых на природеФонари и аксессуары</v>
      </c>
      <c r="B721" s="29" t="s">
        <v>101</v>
      </c>
      <c r="C721" s="29" t="s">
        <v>166</v>
      </c>
      <c r="D721" s="29" t="s">
        <v>204</v>
      </c>
      <c r="E721" s="29" t="s">
        <v>1719</v>
      </c>
      <c r="F721" s="30">
        <v>0.25</v>
      </c>
      <c r="G721" s="31"/>
      <c r="H721" s="31"/>
      <c r="I721" s="31"/>
      <c r="J721" s="31"/>
    </row>
    <row r="722" spans="1:10" ht="14.4" x14ac:dyDescent="0.3">
      <c r="A722" s="28" t="str">
        <f>B722&amp;C722&amp;D722&amp;E722</f>
        <v>Товары для домаТовары для кухниАксессуары для выпечкиПодложки и решетки</v>
      </c>
      <c r="B722" s="29" t="s">
        <v>59</v>
      </c>
      <c r="C722" s="29" t="s">
        <v>60</v>
      </c>
      <c r="D722" s="29" t="s">
        <v>686</v>
      </c>
      <c r="E722" s="29" t="s">
        <v>1720</v>
      </c>
      <c r="F722" s="30">
        <v>0.25</v>
      </c>
      <c r="G722" s="31"/>
      <c r="H722" s="31"/>
      <c r="I722" s="31"/>
      <c r="J722" s="31"/>
    </row>
    <row r="723" spans="1:10" ht="14.4" x14ac:dyDescent="0.3">
      <c r="A723" s="28" t="str">
        <f>B723&amp;C723&amp;D723&amp;E723</f>
        <v>Спорт и отдыхВиды спортаБокс и единоборстваПерчатки</v>
      </c>
      <c r="B723" s="29" t="s">
        <v>101</v>
      </c>
      <c r="C723" s="29" t="s">
        <v>446</v>
      </c>
      <c r="D723" s="29" t="s">
        <v>1068</v>
      </c>
      <c r="E723" s="29" t="s">
        <v>1005</v>
      </c>
      <c r="F723" s="30">
        <v>0.25</v>
      </c>
      <c r="G723" s="31"/>
      <c r="H723" s="31"/>
      <c r="I723" s="31"/>
      <c r="J723" s="31"/>
    </row>
    <row r="724" spans="1:10" ht="14.4" x14ac:dyDescent="0.3">
      <c r="A724" s="28" t="str">
        <f>B724&amp;C724&amp;D724&amp;E724</f>
        <v>Строительство и ремонтСантехникаРемкомплекты и расходные материалыРемкомплекты и расходные материалы</v>
      </c>
      <c r="B724" s="29" t="s">
        <v>77</v>
      </c>
      <c r="C724" s="29" t="s">
        <v>388</v>
      </c>
      <c r="D724" s="29" t="s">
        <v>1734</v>
      </c>
      <c r="E724" s="29" t="s">
        <v>1734</v>
      </c>
      <c r="F724" s="30">
        <v>0.25</v>
      </c>
      <c r="G724" s="31"/>
      <c r="H724" s="31"/>
      <c r="I724" s="31"/>
      <c r="J724" s="31"/>
    </row>
    <row r="725" spans="1:10" ht="14.4" x14ac:dyDescent="0.3">
      <c r="A725" s="28" t="str">
        <f>B725&amp;C725&amp;D725&amp;E725</f>
        <v>ОдеждаМужская одеждаТермобельёКомплекты термобелья</v>
      </c>
      <c r="B725" s="29" t="s">
        <v>92</v>
      </c>
      <c r="C725" s="29" t="s">
        <v>112</v>
      </c>
      <c r="D725" s="29" t="s">
        <v>203</v>
      </c>
      <c r="E725" s="29" t="s">
        <v>1737</v>
      </c>
      <c r="F725" s="30">
        <v>0.25</v>
      </c>
      <c r="G725" s="31"/>
      <c r="H725" s="31"/>
      <c r="I725" s="31"/>
      <c r="J725" s="31"/>
    </row>
    <row r="726" spans="1:10" ht="14.4" x14ac:dyDescent="0.3">
      <c r="A726" s="28" t="str">
        <f>B726&amp;C726&amp;D726&amp;E726</f>
        <v>ЗдоровьеОртопедические изделияОртопедическая обувьОртопедическая обувь</v>
      </c>
      <c r="B726" s="29" t="s">
        <v>116</v>
      </c>
      <c r="C726" s="29" t="s">
        <v>117</v>
      </c>
      <c r="D726" s="29" t="s">
        <v>1740</v>
      </c>
      <c r="E726" s="29" t="s">
        <v>1740</v>
      </c>
      <c r="F726" s="30">
        <v>0.25</v>
      </c>
      <c r="G726" s="31"/>
      <c r="H726" s="31"/>
      <c r="I726" s="31"/>
      <c r="J726" s="31"/>
    </row>
    <row r="727" spans="1:10" ht="14.4" x14ac:dyDescent="0.3">
      <c r="A727" s="28" t="str">
        <f>B727&amp;C727&amp;D727&amp;E727</f>
        <v>ОдеждаМужская одеждаБрюкиКарго</v>
      </c>
      <c r="B727" s="29" t="s">
        <v>92</v>
      </c>
      <c r="C727" s="29" t="s">
        <v>112</v>
      </c>
      <c r="D727" s="29" t="s">
        <v>460</v>
      </c>
      <c r="E727" s="29" t="s">
        <v>1742</v>
      </c>
      <c r="F727" s="30">
        <v>0.25</v>
      </c>
      <c r="G727" s="31"/>
      <c r="H727" s="31"/>
      <c r="I727" s="31"/>
      <c r="J727" s="31"/>
    </row>
    <row r="728" spans="1:10" ht="14.4" x14ac:dyDescent="0.3">
      <c r="A728" s="28" t="str">
        <f>B728&amp;C728&amp;D728&amp;E728</f>
        <v>ОдеждаМужская одеждаХуди и свитшотыОлимпийки</v>
      </c>
      <c r="B728" s="29" t="s">
        <v>92</v>
      </c>
      <c r="C728" s="29" t="s">
        <v>112</v>
      </c>
      <c r="D728" s="29" t="s">
        <v>1149</v>
      </c>
      <c r="E728" s="29" t="s">
        <v>1442</v>
      </c>
      <c r="F728" s="30">
        <v>0.25</v>
      </c>
      <c r="G728" s="31"/>
      <c r="H728" s="31"/>
      <c r="I728" s="31"/>
      <c r="J728" s="31"/>
    </row>
    <row r="729" spans="1:10" ht="14.4" x14ac:dyDescent="0.3">
      <c r="A729" s="28" t="str">
        <f>B729&amp;C729&amp;D729&amp;E729</f>
        <v>ОдеждаЖенская одеждаШортыБермуды</v>
      </c>
      <c r="B729" s="29" t="s">
        <v>92</v>
      </c>
      <c r="C729" s="29" t="s">
        <v>93</v>
      </c>
      <c r="D729" s="29" t="s">
        <v>818</v>
      </c>
      <c r="E729" s="29" t="s">
        <v>1753</v>
      </c>
      <c r="F729" s="30">
        <v>0.25</v>
      </c>
      <c r="G729" s="31"/>
      <c r="H729" s="31"/>
      <c r="I729" s="31"/>
      <c r="J729" s="31"/>
    </row>
    <row r="730" spans="1:10" ht="14.4" x14ac:dyDescent="0.3">
      <c r="A730" s="28" t="str">
        <f>B730&amp;C730&amp;D730&amp;E730</f>
        <v>ОдеждаЖенская одеждаОдежда для беременныхНижнее бельё</v>
      </c>
      <c r="B730" s="29" t="s">
        <v>92</v>
      </c>
      <c r="C730" s="29" t="s">
        <v>93</v>
      </c>
      <c r="D730" s="29" t="s">
        <v>816</v>
      </c>
      <c r="E730" s="29" t="s">
        <v>113</v>
      </c>
      <c r="F730" s="30">
        <v>0.25</v>
      </c>
      <c r="G730" s="31"/>
      <c r="H730" s="31"/>
      <c r="I730" s="31"/>
      <c r="J730" s="31"/>
    </row>
    <row r="731" spans="1:10" ht="14.4" x14ac:dyDescent="0.3">
      <c r="A731" s="28" t="str">
        <f>B731&amp;C731&amp;D731&amp;E731</f>
        <v>Строительство и ремонтИнструментыЗапчастиПереходники и адаптеры</v>
      </c>
      <c r="B731" s="29" t="s">
        <v>77</v>
      </c>
      <c r="C731" s="29" t="s">
        <v>78</v>
      </c>
      <c r="D731" s="29" t="s">
        <v>1757</v>
      </c>
      <c r="E731" s="29" t="s">
        <v>1758</v>
      </c>
      <c r="F731" s="30">
        <v>0.25</v>
      </c>
      <c r="G731" s="31"/>
      <c r="H731" s="31"/>
      <c r="I731" s="31"/>
      <c r="J731" s="31"/>
    </row>
    <row r="732" spans="1:10" ht="14.4" x14ac:dyDescent="0.3">
      <c r="A732" s="28" t="str">
        <f>B732&amp;C732&amp;D732&amp;E732</f>
        <v>Дача, сад и огородСадовый инструментДругой садовый инструментСеялки для семян</v>
      </c>
      <c r="B732" s="29" t="s">
        <v>352</v>
      </c>
      <c r="C732" s="29" t="s">
        <v>353</v>
      </c>
      <c r="D732" s="29" t="s">
        <v>1764</v>
      </c>
      <c r="E732" s="29" t="s">
        <v>1765</v>
      </c>
      <c r="F732" s="30">
        <v>0.25</v>
      </c>
      <c r="G732" s="31"/>
      <c r="H732" s="31"/>
      <c r="I732" s="31"/>
      <c r="J732" s="31"/>
    </row>
    <row r="733" spans="1:10" ht="14.4" x14ac:dyDescent="0.3">
      <c r="A733" s="28" t="str">
        <f>B733&amp;C733&amp;D733&amp;E733</f>
        <v>АвтотоварыАксессуары и принадлежностиТюнинг и внешний декорИзоляционные материалы</v>
      </c>
      <c r="B733" s="29" t="s">
        <v>12</v>
      </c>
      <c r="C733" s="29" t="s">
        <v>253</v>
      </c>
      <c r="D733" s="29" t="s">
        <v>254</v>
      </c>
      <c r="E733" s="29" t="s">
        <v>1767</v>
      </c>
      <c r="F733" s="30">
        <v>0.25</v>
      </c>
      <c r="G733" s="31"/>
      <c r="H733" s="31"/>
      <c r="I733" s="31"/>
      <c r="J733" s="31"/>
    </row>
    <row r="734" spans="1:10" ht="14.4" x14ac:dyDescent="0.3">
      <c r="A734" s="28" t="str">
        <f>B734&amp;C734&amp;D734&amp;E734</f>
        <v>Товары для домаТовары для кухниИзмельчители и соковыжималкиЯйцерезки</v>
      </c>
      <c r="B734" s="29" t="s">
        <v>59</v>
      </c>
      <c r="C734" s="29" t="s">
        <v>60</v>
      </c>
      <c r="D734" s="29" t="s">
        <v>154</v>
      </c>
      <c r="E734" s="29" t="s">
        <v>1769</v>
      </c>
      <c r="F734" s="30">
        <v>0.25</v>
      </c>
      <c r="G734" s="31"/>
      <c r="H734" s="31"/>
      <c r="I734" s="31"/>
      <c r="J734" s="31"/>
    </row>
    <row r="735" spans="1:10" ht="14.4" x14ac:dyDescent="0.3">
      <c r="A735" s="28" t="str">
        <f>B735&amp;C735&amp;D735&amp;E735</f>
        <v>Строительство и ремонтРучной инструмент и оснасткаУдарно-рычажные инструментыМолоток</v>
      </c>
      <c r="B735" s="29" t="s">
        <v>77</v>
      </c>
      <c r="C735" s="29" t="s">
        <v>127</v>
      </c>
      <c r="D735" s="29" t="s">
        <v>842</v>
      </c>
      <c r="E735" s="29" t="s">
        <v>1772</v>
      </c>
      <c r="F735" s="30">
        <v>0.25</v>
      </c>
      <c r="G735" s="31"/>
      <c r="H735" s="31"/>
      <c r="I735" s="31"/>
      <c r="J735" s="31"/>
    </row>
    <row r="736" spans="1:10" ht="14.4" x14ac:dyDescent="0.3">
      <c r="A736" s="28" t="str">
        <f>B736&amp;C736&amp;D736&amp;E736</f>
        <v>ОдеждаЖенская одеждаФутболки и полоЛонгсливы</v>
      </c>
      <c r="B736" s="29" t="s">
        <v>92</v>
      </c>
      <c r="C736" s="29" t="s">
        <v>93</v>
      </c>
      <c r="D736" s="29" t="s">
        <v>457</v>
      </c>
      <c r="E736" s="29" t="s">
        <v>1776</v>
      </c>
      <c r="F736" s="30">
        <v>0.25</v>
      </c>
      <c r="G736" s="31"/>
      <c r="H736" s="31"/>
      <c r="I736" s="31"/>
      <c r="J736" s="31"/>
    </row>
    <row r="737" spans="1:10" ht="14.4" x14ac:dyDescent="0.3">
      <c r="A737" s="28" t="str">
        <f>B737&amp;C737&amp;D737&amp;E737</f>
        <v>Товары для домаТовары для кухниКухонные инструментыПоловники</v>
      </c>
      <c r="B737" s="29" t="s">
        <v>59</v>
      </c>
      <c r="C737" s="29" t="s">
        <v>60</v>
      </c>
      <c r="D737" s="29" t="s">
        <v>1006</v>
      </c>
      <c r="E737" s="29" t="s">
        <v>1777</v>
      </c>
      <c r="F737" s="30">
        <v>0.25</v>
      </c>
      <c r="G737" s="31"/>
      <c r="H737" s="31"/>
      <c r="I737" s="31"/>
      <c r="J737" s="31"/>
    </row>
    <row r="738" spans="1:10" ht="14.4" x14ac:dyDescent="0.3">
      <c r="A738" s="28" t="str">
        <f>B738&amp;C738&amp;D738&amp;E738</f>
        <v>Строительство и ремонтРучной инструмент и оснасткаСтолярно-слесарные инструментыКлещи и бокорезы</v>
      </c>
      <c r="B738" s="29" t="s">
        <v>77</v>
      </c>
      <c r="C738" s="29" t="s">
        <v>127</v>
      </c>
      <c r="D738" s="29" t="s">
        <v>139</v>
      </c>
      <c r="E738" s="29" t="s">
        <v>1782</v>
      </c>
      <c r="F738" s="30">
        <v>0.25</v>
      </c>
      <c r="G738" s="31"/>
      <c r="H738" s="31"/>
      <c r="I738" s="31"/>
      <c r="J738" s="31"/>
    </row>
    <row r="739" spans="1:10" ht="14.4" x14ac:dyDescent="0.3">
      <c r="A739" s="28" t="str">
        <f>B739&amp;C739&amp;D739&amp;E739</f>
        <v>ОдеждаМужская одеждаДомашняя одеждаДомашние джемперы и кардиганы</v>
      </c>
      <c r="B739" s="29" t="s">
        <v>92</v>
      </c>
      <c r="C739" s="29" t="s">
        <v>112</v>
      </c>
      <c r="D739" s="29" t="s">
        <v>469</v>
      </c>
      <c r="E739" s="29" t="s">
        <v>1784</v>
      </c>
      <c r="F739" s="30">
        <v>0.25</v>
      </c>
      <c r="G739" s="31"/>
      <c r="H739" s="31"/>
      <c r="I739" s="31"/>
      <c r="J739" s="31"/>
    </row>
    <row r="740" spans="1:10" ht="14.4" x14ac:dyDescent="0.3">
      <c r="A740" s="28" t="str">
        <f>B740&amp;C740&amp;D740&amp;E740</f>
        <v>ОдеждаЖенская одеждаОдежда для беременныхКолготки</v>
      </c>
      <c r="B740" s="29" t="s">
        <v>92</v>
      </c>
      <c r="C740" s="29" t="s">
        <v>93</v>
      </c>
      <c r="D740" s="29" t="s">
        <v>816</v>
      </c>
      <c r="E740" s="29" t="s">
        <v>1790</v>
      </c>
      <c r="F740" s="30">
        <v>0.25</v>
      </c>
      <c r="G740" s="31"/>
      <c r="H740" s="31"/>
      <c r="I740" s="31"/>
      <c r="J740" s="31"/>
    </row>
    <row r="741" spans="1:10" ht="14.4" x14ac:dyDescent="0.3">
      <c r="A741" s="28" t="str">
        <f>B741&amp;C741&amp;D741&amp;E741</f>
        <v>ОдеждаЖенская одеждаКарнавальная одеждаКарнавальная одежда</v>
      </c>
      <c r="B741" s="29" t="s">
        <v>92</v>
      </c>
      <c r="C741" s="29" t="s">
        <v>93</v>
      </c>
      <c r="D741" s="29" t="s">
        <v>1792</v>
      </c>
      <c r="E741" s="29" t="s">
        <v>1792</v>
      </c>
      <c r="F741" s="30">
        <v>0.25</v>
      </c>
      <c r="G741" s="31"/>
      <c r="H741" s="31"/>
      <c r="I741" s="31"/>
      <c r="J741" s="31"/>
    </row>
    <row r="742" spans="1:10" ht="14.4" x14ac:dyDescent="0.3">
      <c r="A742" s="28" t="str">
        <f>B742&amp;C742&amp;D742&amp;E742</f>
        <v>ОдеждаЖенская одеждаБрюкиПовседневные брюки</v>
      </c>
      <c r="B742" s="29" t="s">
        <v>92</v>
      </c>
      <c r="C742" s="29" t="s">
        <v>93</v>
      </c>
      <c r="D742" s="29" t="s">
        <v>460</v>
      </c>
      <c r="E742" s="29" t="s">
        <v>520</v>
      </c>
      <c r="F742" s="30">
        <v>0.25</v>
      </c>
      <c r="G742" s="31"/>
      <c r="H742" s="31"/>
      <c r="I742" s="31"/>
      <c r="J742" s="31"/>
    </row>
    <row r="743" spans="1:10" ht="14.4" x14ac:dyDescent="0.3">
      <c r="A743" s="28" t="str">
        <f>B743&amp;C743&amp;D743&amp;E743</f>
        <v>ОдеждаЖенская одеждаБрюкиУтеплённые брюки</v>
      </c>
      <c r="B743" s="29" t="s">
        <v>92</v>
      </c>
      <c r="C743" s="29" t="s">
        <v>93</v>
      </c>
      <c r="D743" s="29" t="s">
        <v>460</v>
      </c>
      <c r="E743" s="29" t="s">
        <v>1799</v>
      </c>
      <c r="F743" s="30">
        <v>0.25</v>
      </c>
      <c r="G743" s="31"/>
      <c r="H743" s="31"/>
      <c r="I743" s="31"/>
      <c r="J743" s="31"/>
    </row>
    <row r="744" spans="1:10" ht="14.4" x14ac:dyDescent="0.3">
      <c r="A744" s="28" t="str">
        <f>B744&amp;C744&amp;D744&amp;E744</f>
        <v>Спорт и отдыхБассейны и аксессуарыПлавание и игры на водеНадувные мячи</v>
      </c>
      <c r="B744" s="29" t="s">
        <v>101</v>
      </c>
      <c r="C744" s="29" t="s">
        <v>102</v>
      </c>
      <c r="D744" s="29" t="s">
        <v>1803</v>
      </c>
      <c r="E744" s="29" t="s">
        <v>1804</v>
      </c>
      <c r="F744" s="30">
        <v>0.25</v>
      </c>
      <c r="G744" s="31"/>
      <c r="H744" s="31"/>
      <c r="I744" s="31"/>
      <c r="J744" s="31"/>
    </row>
    <row r="745" spans="1:10" ht="14.4" x14ac:dyDescent="0.3">
      <c r="A745" s="28" t="str">
        <f>B745&amp;C745&amp;D745&amp;E745</f>
        <v>Спорт и отдыхВодный спорт и отдых на водеДайвингМаски, трубки и регуляторы</v>
      </c>
      <c r="B745" s="29" t="s">
        <v>101</v>
      </c>
      <c r="C745" s="29" t="s">
        <v>771</v>
      </c>
      <c r="D745" s="29" t="s">
        <v>1805</v>
      </c>
      <c r="E745" s="29" t="s">
        <v>1806</v>
      </c>
      <c r="F745" s="30">
        <v>0.25</v>
      </c>
      <c r="G745" s="31"/>
      <c r="H745" s="31"/>
      <c r="I745" s="31"/>
      <c r="J745" s="31"/>
    </row>
    <row r="746" spans="1:10" ht="14.4" x14ac:dyDescent="0.3">
      <c r="A746" s="28" t="str">
        <f>B746&amp;C746&amp;D746&amp;E746</f>
        <v>Спорт и отдыхАктивные виды отдыхаДартсДартсные стрелы</v>
      </c>
      <c r="B746" s="29" t="s">
        <v>101</v>
      </c>
      <c r="C746" s="29" t="s">
        <v>941</v>
      </c>
      <c r="D746" s="29" t="s">
        <v>1810</v>
      </c>
      <c r="E746" s="29" t="s">
        <v>1811</v>
      </c>
      <c r="F746" s="30">
        <v>0.25</v>
      </c>
      <c r="G746" s="31"/>
      <c r="H746" s="31"/>
      <c r="I746" s="31"/>
      <c r="J746" s="31"/>
    </row>
    <row r="747" spans="1:10" ht="14.4" x14ac:dyDescent="0.3">
      <c r="A747" s="28" t="str">
        <f>B747&amp;C747&amp;D747&amp;E747</f>
        <v>Строительство и ремонтРучной инструмент и оснасткаМалярные и отделочные инструментыТерки строительные</v>
      </c>
      <c r="B747" s="29" t="s">
        <v>77</v>
      </c>
      <c r="C747" s="29" t="s">
        <v>127</v>
      </c>
      <c r="D747" s="29" t="s">
        <v>128</v>
      </c>
      <c r="E747" s="29" t="s">
        <v>1815</v>
      </c>
      <c r="F747" s="30">
        <v>0.25</v>
      </c>
      <c r="G747" s="31"/>
      <c r="H747" s="31"/>
      <c r="I747" s="31"/>
      <c r="J747" s="31"/>
    </row>
    <row r="748" spans="1:10" ht="14.4" x14ac:dyDescent="0.3">
      <c r="A748" s="28" t="str">
        <f>B748&amp;C748&amp;D748&amp;E748</f>
        <v>ОдеждаЖенская одеждаЮбкиПрямые юбки</v>
      </c>
      <c r="B748" s="29" t="s">
        <v>92</v>
      </c>
      <c r="C748" s="29" t="s">
        <v>93</v>
      </c>
      <c r="D748" s="29" t="s">
        <v>570</v>
      </c>
      <c r="E748" s="29" t="s">
        <v>1817</v>
      </c>
      <c r="F748" s="30">
        <v>0.25</v>
      </c>
      <c r="G748" s="31"/>
      <c r="H748" s="31"/>
      <c r="I748" s="31"/>
      <c r="J748" s="31"/>
    </row>
    <row r="749" spans="1:10" ht="14.4" x14ac:dyDescent="0.3">
      <c r="A749" s="28" t="str">
        <f>B749&amp;C749&amp;D749&amp;E749</f>
        <v>ОдеждаЖенская одеждаБрюкиКарго</v>
      </c>
      <c r="B749" s="29" t="s">
        <v>92</v>
      </c>
      <c r="C749" s="29" t="s">
        <v>93</v>
      </c>
      <c r="D749" s="29" t="s">
        <v>460</v>
      </c>
      <c r="E749" s="29" t="s">
        <v>1742</v>
      </c>
      <c r="F749" s="30">
        <v>0.25</v>
      </c>
      <c r="G749" s="31"/>
      <c r="H749" s="31"/>
      <c r="I749" s="31"/>
      <c r="J749" s="31"/>
    </row>
    <row r="750" spans="1:10" ht="14.4" x14ac:dyDescent="0.3">
      <c r="A750" s="28" t="str">
        <f>B750&amp;C750&amp;D750&amp;E750</f>
        <v>Товары для домаТовары для кухниАксессуары для выпечкиВеревка для выпечки</v>
      </c>
      <c r="B750" s="29" t="s">
        <v>59</v>
      </c>
      <c r="C750" s="29" t="s">
        <v>60</v>
      </c>
      <c r="D750" s="29" t="s">
        <v>686</v>
      </c>
      <c r="E750" s="29" t="s">
        <v>1826</v>
      </c>
      <c r="F750" s="30">
        <v>0.25</v>
      </c>
      <c r="G750" s="31"/>
      <c r="H750" s="31"/>
      <c r="I750" s="31"/>
      <c r="J750" s="31"/>
    </row>
    <row r="751" spans="1:10" ht="14.4" x14ac:dyDescent="0.3">
      <c r="A751" s="28" t="str">
        <f>B751&amp;C751&amp;D751&amp;E751</f>
        <v>Спорт и отдыхВодный спорт и отдых на водеАквафитнес и водное полоПояса для аквааэробики</v>
      </c>
      <c r="B751" s="29" t="s">
        <v>101</v>
      </c>
      <c r="C751" s="29" t="s">
        <v>771</v>
      </c>
      <c r="D751" s="29" t="s">
        <v>1828</v>
      </c>
      <c r="E751" s="29" t="s">
        <v>1829</v>
      </c>
      <c r="F751" s="30">
        <v>0.25</v>
      </c>
      <c r="G751" s="31"/>
      <c r="H751" s="31"/>
      <c r="I751" s="31"/>
      <c r="J751" s="31"/>
    </row>
    <row r="752" spans="1:10" ht="14.4" x14ac:dyDescent="0.3">
      <c r="A752" s="28" t="str">
        <f>B752&amp;C752&amp;D752&amp;E752</f>
        <v>ОдеждаЖенская одеждаТопы и майкиТопы со спущенными плечами</v>
      </c>
      <c r="B752" s="29" t="s">
        <v>92</v>
      </c>
      <c r="C752" s="29" t="s">
        <v>93</v>
      </c>
      <c r="D752" s="29" t="s">
        <v>550</v>
      </c>
      <c r="E752" s="29" t="s">
        <v>1831</v>
      </c>
      <c r="F752" s="30">
        <v>0.25</v>
      </c>
      <c r="G752" s="31"/>
      <c r="H752" s="31"/>
      <c r="I752" s="31"/>
      <c r="J752" s="31"/>
    </row>
    <row r="753" spans="1:10" ht="14.4" x14ac:dyDescent="0.3">
      <c r="A753" s="28" t="str">
        <f>B753&amp;C753&amp;D753&amp;E753</f>
        <v>Дача, сад и огородУдобрения и уход за растениямиОпрыскиватели и аксессуарыОпрыскиватели и аксессуары</v>
      </c>
      <c r="B753" s="29" t="s">
        <v>352</v>
      </c>
      <c r="C753" s="29" t="s">
        <v>1175</v>
      </c>
      <c r="D753" s="29" t="s">
        <v>1835</v>
      </c>
      <c r="E753" s="29" t="s">
        <v>1835</v>
      </c>
      <c r="F753" s="30">
        <v>0.25</v>
      </c>
      <c r="G753" s="31"/>
      <c r="H753" s="31"/>
      <c r="I753" s="31"/>
      <c r="J753" s="31"/>
    </row>
    <row r="754" spans="1:10" ht="14.4" x14ac:dyDescent="0.3">
      <c r="A754" s="28" t="str">
        <f>B754&amp;C754&amp;D754&amp;E754</f>
        <v>Строительство и ремонтРучной инструмент и оснасткаМультитулыМультитулы</v>
      </c>
      <c r="B754" s="29" t="s">
        <v>77</v>
      </c>
      <c r="C754" s="29" t="s">
        <v>127</v>
      </c>
      <c r="D754" s="29" t="s">
        <v>1836</v>
      </c>
      <c r="E754" s="29" t="s">
        <v>1836</v>
      </c>
      <c r="F754" s="30">
        <v>0.25</v>
      </c>
      <c r="G754" s="31"/>
      <c r="H754" s="31"/>
      <c r="I754" s="31"/>
      <c r="J754" s="31"/>
    </row>
    <row r="755" spans="1:10" ht="14.4" x14ac:dyDescent="0.3">
      <c r="A755" s="28" t="str">
        <f>B755&amp;C755&amp;D755&amp;E755</f>
        <v>Дача, сад и огородПикник, барбекю, грильПледы и покрывала для пикникаПледы и покрывала для пикника</v>
      </c>
      <c r="B755" s="29" t="s">
        <v>352</v>
      </c>
      <c r="C755" s="29" t="s">
        <v>1048</v>
      </c>
      <c r="D755" s="29" t="s">
        <v>1837</v>
      </c>
      <c r="E755" s="29" t="s">
        <v>1837</v>
      </c>
      <c r="F755" s="30">
        <v>0.25</v>
      </c>
      <c r="G755" s="31"/>
      <c r="H755" s="31"/>
      <c r="I755" s="31"/>
      <c r="J755" s="31"/>
    </row>
    <row r="756" spans="1:10" ht="14.4" x14ac:dyDescent="0.3">
      <c r="A756" s="28" t="str">
        <f>B756&amp;C756&amp;D756&amp;E756</f>
        <v>Товары для домаТовары для кухниТарелки и блюдаСупницы и бульонницы</v>
      </c>
      <c r="B756" s="29" t="s">
        <v>59</v>
      </c>
      <c r="C756" s="29" t="s">
        <v>60</v>
      </c>
      <c r="D756" s="29" t="s">
        <v>814</v>
      </c>
      <c r="E756" s="29" t="s">
        <v>1838</v>
      </c>
      <c r="F756" s="30">
        <v>0.25</v>
      </c>
      <c r="G756" s="31"/>
      <c r="H756" s="31"/>
      <c r="I756" s="31"/>
      <c r="J756" s="31"/>
    </row>
    <row r="757" spans="1:10" ht="14.4" x14ac:dyDescent="0.3">
      <c r="A757" s="28" t="str">
        <f>B757&amp;C757&amp;D757&amp;E757</f>
        <v>Красота и уходМаникюр и педикюрПраймеры и обезжиривателиПраймеры и обезжириватели</v>
      </c>
      <c r="B757" s="29" t="s">
        <v>56</v>
      </c>
      <c r="C757" s="29" t="s">
        <v>57</v>
      </c>
      <c r="D757" s="29" t="s">
        <v>1839</v>
      </c>
      <c r="E757" s="29" t="s">
        <v>1839</v>
      </c>
      <c r="F757" s="30">
        <v>0.25</v>
      </c>
      <c r="G757" s="31"/>
      <c r="H757" s="31"/>
      <c r="I757" s="31"/>
      <c r="J757" s="31"/>
    </row>
    <row r="758" spans="1:10" ht="14.4" x14ac:dyDescent="0.3">
      <c r="A758" s="28" t="str">
        <f>B758&amp;C758&amp;D758&amp;E758</f>
        <v>ОдеждаЖенская одеждаДжинсыДжеггинсы</v>
      </c>
      <c r="B758" s="29" t="s">
        <v>92</v>
      </c>
      <c r="C758" s="29" t="s">
        <v>93</v>
      </c>
      <c r="D758" s="29" t="s">
        <v>544</v>
      </c>
      <c r="E758" s="29" t="s">
        <v>1846</v>
      </c>
      <c r="F758" s="30">
        <v>0.25</v>
      </c>
      <c r="G758" s="31"/>
      <c r="H758" s="31"/>
      <c r="I758" s="31"/>
      <c r="J758" s="31"/>
    </row>
    <row r="759" spans="1:10" ht="14.4" x14ac:dyDescent="0.3">
      <c r="A759" s="28" t="str">
        <f>B759&amp;C759&amp;D759&amp;E759</f>
        <v>Товары для домаТовары для кухниТарелки и блюдаБлюда</v>
      </c>
      <c r="B759" s="29" t="s">
        <v>59</v>
      </c>
      <c r="C759" s="29" t="s">
        <v>60</v>
      </c>
      <c r="D759" s="29" t="s">
        <v>814</v>
      </c>
      <c r="E759" s="29" t="s">
        <v>1852</v>
      </c>
      <c r="F759" s="30">
        <v>0.25</v>
      </c>
      <c r="G759" s="31"/>
      <c r="H759" s="31"/>
      <c r="I759" s="31"/>
      <c r="J759" s="31"/>
    </row>
    <row r="760" spans="1:10" ht="14.4" x14ac:dyDescent="0.3">
      <c r="A760" s="28" t="str">
        <f>B760&amp;C760&amp;D760&amp;E760</f>
        <v>Товары для домаТовары для кухниКухонные инструментыРазделочные доски</v>
      </c>
      <c r="B760" s="29" t="s">
        <v>59</v>
      </c>
      <c r="C760" s="29" t="s">
        <v>60</v>
      </c>
      <c r="D760" s="29" t="s">
        <v>1006</v>
      </c>
      <c r="E760" s="29" t="s">
        <v>1859</v>
      </c>
      <c r="F760" s="30">
        <v>0.25</v>
      </c>
      <c r="G760" s="31"/>
      <c r="H760" s="31"/>
      <c r="I760" s="31"/>
      <c r="J760" s="31"/>
    </row>
    <row r="761" spans="1:10" ht="14.4" x14ac:dyDescent="0.3">
      <c r="A761" s="28" t="str">
        <f>B761&amp;C761&amp;D761&amp;E761</f>
        <v>ОдеждаЖенская одеждаВерхняя одеждаБомберы</v>
      </c>
      <c r="B761" s="29" t="s">
        <v>92</v>
      </c>
      <c r="C761" s="29" t="s">
        <v>93</v>
      </c>
      <c r="D761" s="29" t="s">
        <v>144</v>
      </c>
      <c r="E761" s="29" t="s">
        <v>471</v>
      </c>
      <c r="F761" s="30">
        <v>0.25</v>
      </c>
      <c r="G761" s="31"/>
      <c r="H761" s="31"/>
      <c r="I761" s="31"/>
      <c r="J761" s="31"/>
    </row>
    <row r="762" spans="1:10" ht="14.4" x14ac:dyDescent="0.3">
      <c r="A762" s="28" t="str">
        <f>B762&amp;C762&amp;D762&amp;E762</f>
        <v>АвтотоварыАксессуары и принадлежностиПеревозка багажаЗамки</v>
      </c>
      <c r="B762" s="29" t="s">
        <v>12</v>
      </c>
      <c r="C762" s="29" t="s">
        <v>253</v>
      </c>
      <c r="D762" s="29" t="s">
        <v>271</v>
      </c>
      <c r="E762" s="29" t="s">
        <v>1864</v>
      </c>
      <c r="F762" s="30">
        <v>0.25</v>
      </c>
      <c r="G762" s="31"/>
      <c r="H762" s="31"/>
      <c r="I762" s="31"/>
      <c r="J762" s="31"/>
    </row>
    <row r="763" spans="1:10" ht="14.4" x14ac:dyDescent="0.3">
      <c r="A763" s="28" t="str">
        <f>B763&amp;C763&amp;D763&amp;E763</f>
        <v>Спорт и отдыхВиды спортаФутболПерчатки для вратарей</v>
      </c>
      <c r="B763" s="29" t="s">
        <v>101</v>
      </c>
      <c r="C763" s="29" t="s">
        <v>446</v>
      </c>
      <c r="D763" s="29" t="s">
        <v>1329</v>
      </c>
      <c r="E763" s="29" t="s">
        <v>1867</v>
      </c>
      <c r="F763" s="30">
        <v>0.25</v>
      </c>
      <c r="G763" s="31"/>
      <c r="H763" s="31"/>
      <c r="I763" s="31"/>
      <c r="J763" s="31"/>
    </row>
    <row r="764" spans="1:10" ht="14.4" x14ac:dyDescent="0.3">
      <c r="A764" s="28" t="str">
        <f>B764&amp;C764&amp;D764&amp;E764</f>
        <v>ОдеждаМужская одеждаВерхняя одеждаПлащи и тренчи</v>
      </c>
      <c r="B764" s="29" t="s">
        <v>92</v>
      </c>
      <c r="C764" s="29" t="s">
        <v>112</v>
      </c>
      <c r="D764" s="29" t="s">
        <v>144</v>
      </c>
      <c r="E764" s="29" t="s">
        <v>145</v>
      </c>
      <c r="F764" s="30">
        <v>0.25</v>
      </c>
      <c r="G764" s="31"/>
      <c r="H764" s="31"/>
      <c r="I764" s="31"/>
      <c r="J764" s="31"/>
    </row>
    <row r="765" spans="1:10" ht="14.4" x14ac:dyDescent="0.3">
      <c r="A765" s="28" t="str">
        <f>B765&amp;C765&amp;D765&amp;E765</f>
        <v>Строительство и ремонтОтделочные материалыСептики и грунтовкиСептики и грунтовки</v>
      </c>
      <c r="B765" s="29" t="s">
        <v>77</v>
      </c>
      <c r="C765" s="29" t="s">
        <v>241</v>
      </c>
      <c r="D765" s="29" t="s">
        <v>1879</v>
      </c>
      <c r="E765" s="29" t="s">
        <v>1879</v>
      </c>
      <c r="F765" s="30">
        <v>0.25</v>
      </c>
      <c r="G765" s="31"/>
      <c r="H765" s="31"/>
      <c r="I765" s="31"/>
      <c r="J765" s="31"/>
    </row>
    <row r="766" spans="1:10" ht="14.4" x14ac:dyDescent="0.3">
      <c r="A766" s="28" t="str">
        <f>B766&amp;C766&amp;D766&amp;E766</f>
        <v>ОдеждаМужская одеждаПлавки и шорты для плаванияШорты для плавания</v>
      </c>
      <c r="B766" s="29" t="s">
        <v>92</v>
      </c>
      <c r="C766" s="29" t="s">
        <v>112</v>
      </c>
      <c r="D766" s="29" t="s">
        <v>1257</v>
      </c>
      <c r="E766" s="29" t="s">
        <v>1880</v>
      </c>
      <c r="F766" s="30">
        <v>0.25</v>
      </c>
      <c r="G766" s="31"/>
      <c r="H766" s="31"/>
      <c r="I766" s="31"/>
      <c r="J766" s="31"/>
    </row>
    <row r="767" spans="1:10" ht="14.4" x14ac:dyDescent="0.3">
      <c r="A767" s="28" t="str">
        <f>B767&amp;C767&amp;D767&amp;E767</f>
        <v>АвтотоварыУход за автомобилемЧехлы и утеплителиЧехлы и утеплители</v>
      </c>
      <c r="B767" s="29" t="s">
        <v>12</v>
      </c>
      <c r="C767" s="29" t="s">
        <v>201</v>
      </c>
      <c r="D767" s="29" t="s">
        <v>1887</v>
      </c>
      <c r="E767" s="29" t="s">
        <v>1887</v>
      </c>
      <c r="F767" s="30">
        <v>0.25</v>
      </c>
      <c r="G767" s="31"/>
      <c r="H767" s="31"/>
      <c r="I767" s="31"/>
      <c r="J767" s="31"/>
    </row>
    <row r="768" spans="1:10" ht="14.4" x14ac:dyDescent="0.3">
      <c r="A768" s="28" t="str">
        <f>B768&amp;C768&amp;D768&amp;E768</f>
        <v>Товары для домаТовары для кухниВинные аксессуарыНаборы для вина</v>
      </c>
      <c r="B768" s="29" t="s">
        <v>59</v>
      </c>
      <c r="C768" s="29" t="s">
        <v>60</v>
      </c>
      <c r="D768" s="29" t="s">
        <v>1571</v>
      </c>
      <c r="E768" s="29" t="s">
        <v>1890</v>
      </c>
      <c r="F768" s="30">
        <v>0.25</v>
      </c>
      <c r="G768" s="31"/>
      <c r="H768" s="31"/>
      <c r="I768" s="31"/>
      <c r="J768" s="31"/>
    </row>
    <row r="769" spans="1:10" ht="14.4" x14ac:dyDescent="0.3">
      <c r="A769" s="28" t="str">
        <f>B769&amp;C769&amp;D769&amp;E769</f>
        <v>АвтотоварыАксессуары и принадлежностиАварийные принадлежностиЗнаки аварийной остановки</v>
      </c>
      <c r="B769" s="29" t="s">
        <v>12</v>
      </c>
      <c r="C769" s="29" t="s">
        <v>253</v>
      </c>
      <c r="D769" s="29" t="s">
        <v>528</v>
      </c>
      <c r="E769" s="29" t="s">
        <v>1893</v>
      </c>
      <c r="F769" s="30">
        <v>0.25</v>
      </c>
      <c r="G769" s="31"/>
      <c r="H769" s="31"/>
      <c r="I769" s="31"/>
      <c r="J769" s="31"/>
    </row>
    <row r="770" spans="1:10" ht="14.4" x14ac:dyDescent="0.3">
      <c r="A770" s="28" t="str">
        <f>B770&amp;C770&amp;D770&amp;E770</f>
        <v>ОдеждаЖенская одеждаКостюмы и комплектыКлассические костюмы</v>
      </c>
      <c r="B770" s="29" t="s">
        <v>92</v>
      </c>
      <c r="C770" s="29" t="s">
        <v>93</v>
      </c>
      <c r="D770" s="29" t="s">
        <v>1898</v>
      </c>
      <c r="E770" s="29" t="s">
        <v>1899</v>
      </c>
      <c r="F770" s="30">
        <v>0.25</v>
      </c>
      <c r="G770" s="31"/>
      <c r="H770" s="31"/>
      <c r="I770" s="31"/>
      <c r="J770" s="31"/>
    </row>
    <row r="771" spans="1:10" ht="14.4" x14ac:dyDescent="0.3">
      <c r="A771" s="28" t="str">
        <f>B771&amp;C771&amp;D771&amp;E771</f>
        <v>Спорт и отдыхВелоспортВелокосметика и средства для уходаВелокосметика и средства для ухода</v>
      </c>
      <c r="B771" s="29" t="s">
        <v>101</v>
      </c>
      <c r="C771" s="29" t="s">
        <v>743</v>
      </c>
      <c r="D771" s="29" t="s">
        <v>1902</v>
      </c>
      <c r="E771" s="29" t="s">
        <v>1902</v>
      </c>
      <c r="F771" s="30">
        <v>0.25</v>
      </c>
      <c r="G771" s="31"/>
      <c r="H771" s="31"/>
      <c r="I771" s="31"/>
      <c r="J771" s="31"/>
    </row>
    <row r="772" spans="1:10" ht="14.4" x14ac:dyDescent="0.3">
      <c r="A772" s="28" t="str">
        <f>B772&amp;C772&amp;D772&amp;E772</f>
        <v>Спорт и отдыхВиды спортаСпортивная атрибутика и аксессуарыСпортивная атрибутика и аксессуары</v>
      </c>
      <c r="B772" s="29" t="s">
        <v>101</v>
      </c>
      <c r="C772" s="29" t="s">
        <v>446</v>
      </c>
      <c r="D772" s="29" t="s">
        <v>1903</v>
      </c>
      <c r="E772" s="29" t="s">
        <v>1903</v>
      </c>
      <c r="F772" s="30">
        <v>0.25</v>
      </c>
      <c r="G772" s="31"/>
      <c r="H772" s="31"/>
      <c r="I772" s="31"/>
      <c r="J772" s="31"/>
    </row>
    <row r="773" spans="1:10" ht="14.4" x14ac:dyDescent="0.3">
      <c r="A773" s="28" t="str">
        <f>B773&amp;C773&amp;D773&amp;E773</f>
        <v>Товары для домаТовары для кухниИзмельчители и соковыжималкиТерки</v>
      </c>
      <c r="B773" s="29" t="s">
        <v>59</v>
      </c>
      <c r="C773" s="29" t="s">
        <v>60</v>
      </c>
      <c r="D773" s="29" t="s">
        <v>154</v>
      </c>
      <c r="E773" s="29" t="s">
        <v>1914</v>
      </c>
      <c r="F773" s="30">
        <v>0.25</v>
      </c>
      <c r="G773" s="31"/>
      <c r="H773" s="31"/>
      <c r="I773" s="31"/>
      <c r="J773" s="31"/>
    </row>
    <row r="774" spans="1:10" ht="14.4" x14ac:dyDescent="0.3">
      <c r="A774" s="28" t="str">
        <f>B774&amp;C774&amp;D774&amp;E774</f>
        <v>Товары для домаТовары для кухниКухонные инструментыВоронки</v>
      </c>
      <c r="B774" s="29" t="s">
        <v>59</v>
      </c>
      <c r="C774" s="29" t="s">
        <v>60</v>
      </c>
      <c r="D774" s="29" t="s">
        <v>1006</v>
      </c>
      <c r="E774" s="29" t="s">
        <v>1915</v>
      </c>
      <c r="F774" s="30">
        <v>0.25</v>
      </c>
      <c r="G774" s="31"/>
      <c r="H774" s="31"/>
      <c r="I774" s="31"/>
      <c r="J774" s="31"/>
    </row>
    <row r="775" spans="1:10" ht="14.4" x14ac:dyDescent="0.3">
      <c r="A775" s="28" t="str">
        <f>B775&amp;C775&amp;D775&amp;E775</f>
        <v>АвтотоварыАксессуары и принадлежностиСувениры автомобильныеЧехлы для автомобильных брелков</v>
      </c>
      <c r="B775" s="29" t="s">
        <v>12</v>
      </c>
      <c r="C775" s="29" t="s">
        <v>253</v>
      </c>
      <c r="D775" s="29" t="s">
        <v>1920</v>
      </c>
      <c r="E775" s="29" t="s">
        <v>1921</v>
      </c>
      <c r="F775" s="30">
        <v>0.25</v>
      </c>
      <c r="G775" s="31"/>
      <c r="H775" s="31"/>
      <c r="I775" s="31"/>
      <c r="J775" s="31"/>
    </row>
    <row r="776" spans="1:10" ht="14.4" x14ac:dyDescent="0.3">
      <c r="A776" s="28" t="str">
        <f>B776&amp;C776&amp;D776&amp;E776</f>
        <v>АвтотоварыАксессуары и принадлежностиАварийные принадлежностиОгнетушители</v>
      </c>
      <c r="B776" s="29" t="s">
        <v>12</v>
      </c>
      <c r="C776" s="29" t="s">
        <v>253</v>
      </c>
      <c r="D776" s="29" t="s">
        <v>528</v>
      </c>
      <c r="E776" s="29" t="s">
        <v>1924</v>
      </c>
      <c r="F776" s="30">
        <v>0.25</v>
      </c>
      <c r="G776" s="31"/>
      <c r="H776" s="31"/>
      <c r="I776" s="31"/>
      <c r="J776" s="31"/>
    </row>
    <row r="777" spans="1:10" ht="14.4" x14ac:dyDescent="0.3">
      <c r="A777" s="28" t="str">
        <f>B777&amp;C777&amp;D777&amp;E777</f>
        <v>АвтотоварыАксессуары и принадлежностиОбустройство салонаЗащитные стекла</v>
      </c>
      <c r="B777" s="29" t="s">
        <v>12</v>
      </c>
      <c r="C777" s="29" t="s">
        <v>253</v>
      </c>
      <c r="D777" s="29" t="s">
        <v>256</v>
      </c>
      <c r="E777" s="29" t="s">
        <v>1927</v>
      </c>
      <c r="F777" s="30">
        <v>0.25</v>
      </c>
      <c r="G777" s="31"/>
      <c r="H777" s="31"/>
      <c r="I777" s="31"/>
      <c r="J777" s="31"/>
    </row>
    <row r="778" spans="1:10" ht="14.4" x14ac:dyDescent="0.3">
      <c r="A778" s="28" t="str">
        <f>B778&amp;C778&amp;D778&amp;E778</f>
        <v>Спорт и отдыхВодный спорт и отдых на водеПлаваниеДоски, подушки, колобашки</v>
      </c>
      <c r="B778" s="29" t="s">
        <v>101</v>
      </c>
      <c r="C778" s="29" t="s">
        <v>771</v>
      </c>
      <c r="D778" s="29" t="s">
        <v>772</v>
      </c>
      <c r="E778" s="29" t="s">
        <v>1929</v>
      </c>
      <c r="F778" s="30">
        <v>0.25</v>
      </c>
      <c r="G778" s="31"/>
      <c r="H778" s="31"/>
      <c r="I778" s="31"/>
      <c r="J778" s="31"/>
    </row>
    <row r="779" spans="1:10" ht="14.4" x14ac:dyDescent="0.3">
      <c r="A779" s="28" t="str">
        <f>B779&amp;C779&amp;D779&amp;E779</f>
        <v>Спорт и отдыхВиды спортаБегКинезиотейпы</v>
      </c>
      <c r="B779" s="29" t="s">
        <v>101</v>
      </c>
      <c r="C779" s="29" t="s">
        <v>446</v>
      </c>
      <c r="D779" s="29" t="s">
        <v>642</v>
      </c>
      <c r="E779" s="29" t="s">
        <v>1931</v>
      </c>
      <c r="F779" s="30">
        <v>0.25</v>
      </c>
      <c r="G779" s="31"/>
      <c r="H779" s="31"/>
      <c r="I779" s="31"/>
      <c r="J779" s="31"/>
    </row>
    <row r="780" spans="1:10" ht="14.4" x14ac:dyDescent="0.3">
      <c r="A780" s="28" t="str">
        <f>B780&amp;C780&amp;D780&amp;E780</f>
        <v>Строительство и ремонтОсвещениеПатроны и переходникиПатроны и переходники</v>
      </c>
      <c r="B780" s="29" t="s">
        <v>77</v>
      </c>
      <c r="C780" s="29" t="s">
        <v>386</v>
      </c>
      <c r="D780" s="29" t="s">
        <v>1932</v>
      </c>
      <c r="E780" s="29" t="s">
        <v>1932</v>
      </c>
      <c r="F780" s="30">
        <v>0.25</v>
      </c>
      <c r="G780" s="31"/>
      <c r="H780" s="31"/>
      <c r="I780" s="31"/>
      <c r="J780" s="31"/>
    </row>
    <row r="781" spans="1:10" ht="14.4" x14ac:dyDescent="0.3">
      <c r="A781" s="28" t="str">
        <f>B781&amp;C781&amp;D781&amp;E781</f>
        <v>ОдеждаЖенская одеждаРелигиозная одежда для женщинРелигиозная одежда для женщин</v>
      </c>
      <c r="B781" s="29" t="s">
        <v>92</v>
      </c>
      <c r="C781" s="29" t="s">
        <v>93</v>
      </c>
      <c r="D781" s="29" t="s">
        <v>1933</v>
      </c>
      <c r="E781" s="29" t="s">
        <v>1933</v>
      </c>
      <c r="F781" s="30">
        <v>0.25</v>
      </c>
      <c r="G781" s="31"/>
      <c r="H781" s="31"/>
      <c r="I781" s="31"/>
      <c r="J781" s="31"/>
    </row>
    <row r="782" spans="1:10" ht="14.4" x14ac:dyDescent="0.3">
      <c r="A782" s="28" t="str">
        <f>B782&amp;C782&amp;D782&amp;E782</f>
        <v>ЗоотоварыДля птицКлетки и лестницыЛестницы</v>
      </c>
      <c r="B782" s="29" t="s">
        <v>214</v>
      </c>
      <c r="C782" s="29" t="s">
        <v>224</v>
      </c>
      <c r="D782" s="29" t="s">
        <v>1635</v>
      </c>
      <c r="E782" s="29" t="s">
        <v>1937</v>
      </c>
      <c r="F782" s="30">
        <v>0.25</v>
      </c>
      <c r="G782" s="31"/>
      <c r="H782" s="31"/>
      <c r="I782" s="31"/>
      <c r="J782" s="31"/>
    </row>
    <row r="783" spans="1:10" ht="14.4" x14ac:dyDescent="0.3">
      <c r="A783" s="28" t="str">
        <f>B783&amp;C783&amp;D783&amp;E783</f>
        <v>Товары для домаТовары для кухниАксессуары для напитковМадлеры</v>
      </c>
      <c r="B783" s="29" t="s">
        <v>59</v>
      </c>
      <c r="C783" s="29" t="s">
        <v>60</v>
      </c>
      <c r="D783" s="29" t="s">
        <v>346</v>
      </c>
      <c r="E783" s="29" t="s">
        <v>1939</v>
      </c>
      <c r="F783" s="30">
        <v>0.25</v>
      </c>
      <c r="G783" s="31"/>
      <c r="H783" s="31"/>
      <c r="I783" s="31"/>
      <c r="J783" s="31"/>
    </row>
    <row r="784" spans="1:10" ht="14.4" x14ac:dyDescent="0.3">
      <c r="A784" s="28" t="str">
        <f>B784&amp;C784&amp;D784&amp;E784</f>
        <v>ОдеждаМужская одеждаКарнавальная одеждаКарнавальная одежда</v>
      </c>
      <c r="B784" s="29" t="s">
        <v>92</v>
      </c>
      <c r="C784" s="29" t="s">
        <v>112</v>
      </c>
      <c r="D784" s="29" t="s">
        <v>1792</v>
      </c>
      <c r="E784" s="29" t="s">
        <v>1792</v>
      </c>
      <c r="F784" s="30">
        <v>0.25</v>
      </c>
      <c r="G784" s="31"/>
      <c r="H784" s="31"/>
      <c r="I784" s="31"/>
      <c r="J784" s="31"/>
    </row>
    <row r="785" spans="1:10" ht="14.4" x14ac:dyDescent="0.3">
      <c r="A785" s="28" t="str">
        <f>B785&amp;C785&amp;D785&amp;E785</f>
        <v>Товары для домаТовары для кухниАксессуары для напитковПробки</v>
      </c>
      <c r="B785" s="29" t="s">
        <v>59</v>
      </c>
      <c r="C785" s="29" t="s">
        <v>60</v>
      </c>
      <c r="D785" s="29" t="s">
        <v>346</v>
      </c>
      <c r="E785" s="29" t="s">
        <v>1942</v>
      </c>
      <c r="F785" s="30">
        <v>0.25</v>
      </c>
      <c r="G785" s="31"/>
      <c r="H785" s="31"/>
      <c r="I785" s="31"/>
      <c r="J785" s="31"/>
    </row>
    <row r="786" spans="1:10" ht="14.4" x14ac:dyDescent="0.3">
      <c r="A786" s="28" t="str">
        <f>B786&amp;C786&amp;D786&amp;E786</f>
        <v>АвтотоварыУход за автомобилемЗащита кузова автоЗащита кузова авто</v>
      </c>
      <c r="B786" s="29" t="s">
        <v>12</v>
      </c>
      <c r="C786" s="29" t="s">
        <v>201</v>
      </c>
      <c r="D786" s="29" t="s">
        <v>1001</v>
      </c>
      <c r="E786" s="29" t="s">
        <v>1001</v>
      </c>
      <c r="F786" s="30">
        <v>0.25</v>
      </c>
      <c r="G786" s="31"/>
      <c r="H786" s="31"/>
      <c r="I786" s="31"/>
      <c r="J786" s="31"/>
    </row>
    <row r="787" spans="1:10" ht="14.4" x14ac:dyDescent="0.3">
      <c r="A787" s="28" t="str">
        <f>B787&amp;C787&amp;D787&amp;E787</f>
        <v>ОдеждаЖенская одеждаБодиБоди-блузы</v>
      </c>
      <c r="B787" s="29" t="s">
        <v>92</v>
      </c>
      <c r="C787" s="29" t="s">
        <v>93</v>
      </c>
      <c r="D787" s="29" t="s">
        <v>1949</v>
      </c>
      <c r="E787" s="29" t="s">
        <v>1950</v>
      </c>
      <c r="F787" s="30">
        <v>0.25</v>
      </c>
      <c r="G787" s="31"/>
      <c r="H787" s="31"/>
      <c r="I787" s="31"/>
      <c r="J787" s="31"/>
    </row>
    <row r="788" spans="1:10" ht="14.4" x14ac:dyDescent="0.3">
      <c r="A788" s="28" t="str">
        <f>B788&amp;C788&amp;D788&amp;E788</f>
        <v>Строительство и ремонтИнструментыРежущие и пильные инструментыНапильники и надфили</v>
      </c>
      <c r="B788" s="29" t="s">
        <v>77</v>
      </c>
      <c r="C788" s="29" t="s">
        <v>78</v>
      </c>
      <c r="D788" s="29" t="s">
        <v>628</v>
      </c>
      <c r="E788" s="29" t="s">
        <v>1952</v>
      </c>
      <c r="F788" s="30">
        <v>0.25</v>
      </c>
      <c r="G788" s="31"/>
      <c r="H788" s="31"/>
      <c r="I788" s="31"/>
      <c r="J788" s="31"/>
    </row>
    <row r="789" spans="1:10" ht="14.4" x14ac:dyDescent="0.3">
      <c r="A789" s="28" t="str">
        <f>B789&amp;C789&amp;D789&amp;E789</f>
        <v>ОдеждаМужская одеждаШортыКарго</v>
      </c>
      <c r="B789" s="29" t="s">
        <v>92</v>
      </c>
      <c r="C789" s="29" t="s">
        <v>112</v>
      </c>
      <c r="D789" s="29" t="s">
        <v>818</v>
      </c>
      <c r="E789" s="29" t="s">
        <v>1742</v>
      </c>
      <c r="F789" s="30">
        <v>0.25</v>
      </c>
      <c r="G789" s="31"/>
      <c r="H789" s="31"/>
      <c r="I789" s="31"/>
      <c r="J789" s="31"/>
    </row>
    <row r="790" spans="1:10" ht="14.4" x14ac:dyDescent="0.3">
      <c r="A790" s="28" t="str">
        <f>B790&amp;C790&amp;D790&amp;E790</f>
        <v>Товары для домаТовары для кухниПорядок на кухнеДержатели для ножей</v>
      </c>
      <c r="B790" s="29" t="s">
        <v>59</v>
      </c>
      <c r="C790" s="29" t="s">
        <v>60</v>
      </c>
      <c r="D790" s="29" t="s">
        <v>300</v>
      </c>
      <c r="E790" s="29" t="s">
        <v>1955</v>
      </c>
      <c r="F790" s="30">
        <v>0.25</v>
      </c>
      <c r="G790" s="31"/>
      <c r="H790" s="31"/>
      <c r="I790" s="31"/>
      <c r="J790" s="31"/>
    </row>
    <row r="791" spans="1:10" ht="14.4" x14ac:dyDescent="0.3">
      <c r="A791" s="28" t="str">
        <f>B791&amp;C791&amp;D791&amp;E791</f>
        <v>АвтотоварыАксессуары и принадлежностиПрочие автомобильные аксессуарыПрочие автомобильные аксессуары</v>
      </c>
      <c r="B791" s="29" t="s">
        <v>12</v>
      </c>
      <c r="C791" s="29" t="s">
        <v>253</v>
      </c>
      <c r="D791" s="29" t="s">
        <v>1958</v>
      </c>
      <c r="E791" s="29" t="s">
        <v>1958</v>
      </c>
      <c r="F791" s="30">
        <v>0.25</v>
      </c>
      <c r="G791" s="31"/>
      <c r="H791" s="31"/>
      <c r="I791" s="31"/>
      <c r="J791" s="31"/>
    </row>
    <row r="792" spans="1:10" ht="14.4" x14ac:dyDescent="0.3">
      <c r="A792" s="28" t="str">
        <f>B792&amp;C792&amp;D792&amp;E792</f>
        <v>Строительство и ремонтРучной инструмент и оснасткаСредства индивидуальной защитыПерчатки защитные</v>
      </c>
      <c r="B792" s="29" t="s">
        <v>77</v>
      </c>
      <c r="C792" s="29" t="s">
        <v>127</v>
      </c>
      <c r="D792" s="29" t="s">
        <v>619</v>
      </c>
      <c r="E792" s="29" t="s">
        <v>1959</v>
      </c>
      <c r="F792" s="30">
        <v>0.25</v>
      </c>
      <c r="G792" s="31"/>
      <c r="H792" s="31"/>
      <c r="I792" s="31"/>
      <c r="J792" s="31"/>
    </row>
    <row r="793" spans="1:10" ht="14.4" x14ac:dyDescent="0.3">
      <c r="A793" s="28" t="str">
        <f>B793&amp;C793&amp;D793&amp;E793</f>
        <v>Товары для домаТовары для кухниАксессуары для выпечкиКоврики для выпечки</v>
      </c>
      <c r="B793" s="29" t="s">
        <v>59</v>
      </c>
      <c r="C793" s="29" t="s">
        <v>60</v>
      </c>
      <c r="D793" s="29" t="s">
        <v>686</v>
      </c>
      <c r="E793" s="29" t="s">
        <v>1963</v>
      </c>
      <c r="F793" s="30">
        <v>0.25</v>
      </c>
      <c r="G793" s="31"/>
      <c r="H793" s="31"/>
      <c r="I793" s="31"/>
      <c r="J793" s="31"/>
    </row>
    <row r="794" spans="1:10" ht="14.4" x14ac:dyDescent="0.3">
      <c r="A794" s="28" t="str">
        <f>B794&amp;C794&amp;D794&amp;E794</f>
        <v>ОдеждаЖенская одеждаНоски, чулки и колготкиКолготки</v>
      </c>
      <c r="B794" s="29" t="s">
        <v>92</v>
      </c>
      <c r="C794" s="29" t="s">
        <v>93</v>
      </c>
      <c r="D794" s="29" t="s">
        <v>925</v>
      </c>
      <c r="E794" s="29" t="s">
        <v>1790</v>
      </c>
      <c r="F794" s="30">
        <v>0.25</v>
      </c>
      <c r="G794" s="31"/>
      <c r="H794" s="31"/>
      <c r="I794" s="31"/>
      <c r="J794" s="31"/>
    </row>
    <row r="795" spans="1:10" ht="14.4" x14ac:dyDescent="0.3">
      <c r="A795" s="28" t="str">
        <f>B795&amp;C795&amp;D795&amp;E795</f>
        <v>ОдеждаМужская одеждаОдежда больших размеровВерхняя одежда</v>
      </c>
      <c r="B795" s="29" t="s">
        <v>92</v>
      </c>
      <c r="C795" s="29" t="s">
        <v>112</v>
      </c>
      <c r="D795" s="29" t="s">
        <v>532</v>
      </c>
      <c r="E795" s="29" t="s">
        <v>144</v>
      </c>
      <c r="F795" s="30">
        <v>0.25</v>
      </c>
      <c r="G795" s="31"/>
      <c r="H795" s="31"/>
      <c r="I795" s="31"/>
      <c r="J795" s="31"/>
    </row>
    <row r="796" spans="1:10" ht="14.4" x14ac:dyDescent="0.3">
      <c r="A796" s="28" t="str">
        <f>B796&amp;C796&amp;D796&amp;E796</f>
        <v>Спорт и отдыхВиды спортаТеннис и бадминтонБольшой теннис</v>
      </c>
      <c r="B796" s="29" t="s">
        <v>101</v>
      </c>
      <c r="C796" s="29" t="s">
        <v>446</v>
      </c>
      <c r="D796" s="29" t="s">
        <v>563</v>
      </c>
      <c r="E796" s="29" t="s">
        <v>1968</v>
      </c>
      <c r="F796" s="30">
        <v>0.25</v>
      </c>
      <c r="G796" s="31"/>
      <c r="H796" s="31"/>
      <c r="I796" s="31"/>
      <c r="J796" s="31"/>
    </row>
    <row r="797" spans="1:10" ht="14.4" x14ac:dyDescent="0.3">
      <c r="A797" s="28" t="str">
        <f>B797&amp;C797&amp;D797&amp;E797</f>
        <v>АвтотоварыМасла и автохимияСпециальные маслаСпециальные масла</v>
      </c>
      <c r="B797" s="29" t="s">
        <v>12</v>
      </c>
      <c r="C797" s="29" t="s">
        <v>848</v>
      </c>
      <c r="D797" s="29" t="s">
        <v>1969</v>
      </c>
      <c r="E797" s="29" t="s">
        <v>1969</v>
      </c>
      <c r="F797" s="30">
        <v>0.25</v>
      </c>
      <c r="G797" s="31"/>
      <c r="H797" s="31"/>
      <c r="I797" s="31"/>
      <c r="J797" s="31"/>
    </row>
    <row r="798" spans="1:10" ht="14.4" x14ac:dyDescent="0.3">
      <c r="A798" s="28" t="str">
        <f>B798&amp;C798&amp;D798&amp;E798</f>
        <v>ОдеждаЖенская одеждаХуди и свитшотыХуди</v>
      </c>
      <c r="B798" s="29" t="s">
        <v>92</v>
      </c>
      <c r="C798" s="29" t="s">
        <v>93</v>
      </c>
      <c r="D798" s="29" t="s">
        <v>1149</v>
      </c>
      <c r="E798" s="29" t="s">
        <v>1970</v>
      </c>
      <c r="F798" s="30">
        <v>0.25</v>
      </c>
      <c r="G798" s="31"/>
      <c r="H798" s="31"/>
      <c r="I798" s="31"/>
      <c r="J798" s="31"/>
    </row>
    <row r="799" spans="1:10" ht="14.4" x14ac:dyDescent="0.3">
      <c r="A799" s="28" t="str">
        <f>B799&amp;C799&amp;D799&amp;E799</f>
        <v>ОдеждаМужская одеждаСпецодеждаВлагозащитная одежда</v>
      </c>
      <c r="B799" s="29" t="s">
        <v>92</v>
      </c>
      <c r="C799" s="29" t="s">
        <v>112</v>
      </c>
      <c r="D799" s="29" t="s">
        <v>780</v>
      </c>
      <c r="E799" s="29" t="s">
        <v>781</v>
      </c>
      <c r="F799" s="30">
        <v>0.25</v>
      </c>
      <c r="G799" s="31"/>
      <c r="H799" s="31"/>
      <c r="I799" s="31"/>
      <c r="J799" s="31"/>
    </row>
    <row r="800" spans="1:10" ht="14.4" x14ac:dyDescent="0.3">
      <c r="A800" s="28" t="str">
        <f>B800&amp;C800&amp;D800&amp;E800</f>
        <v>Строительство и ремонтРучной инструмент и оснасткаСтолярно-слесарные инструментыЩетки металлические</v>
      </c>
      <c r="B800" s="29" t="s">
        <v>77</v>
      </c>
      <c r="C800" s="29" t="s">
        <v>127</v>
      </c>
      <c r="D800" s="29" t="s">
        <v>139</v>
      </c>
      <c r="E800" s="29" t="s">
        <v>1972</v>
      </c>
      <c r="F800" s="30">
        <v>0.25</v>
      </c>
      <c r="G800" s="31"/>
      <c r="H800" s="31"/>
      <c r="I800" s="31"/>
      <c r="J800" s="31"/>
    </row>
    <row r="801" spans="1:10" ht="14.4" x14ac:dyDescent="0.3">
      <c r="A801" s="28" t="str">
        <f>B801&amp;C801&amp;D801&amp;E801</f>
        <v>ОдеждаЖенская одеждаДомашняя одеждаДомашние джемперы и кардиганы</v>
      </c>
      <c r="B801" s="29" t="s">
        <v>92</v>
      </c>
      <c r="C801" s="29" t="s">
        <v>93</v>
      </c>
      <c r="D801" s="29" t="s">
        <v>469</v>
      </c>
      <c r="E801" s="29" t="s">
        <v>1784</v>
      </c>
      <c r="F801" s="30">
        <v>0.25</v>
      </c>
      <c r="G801" s="31"/>
      <c r="H801" s="31"/>
      <c r="I801" s="31"/>
      <c r="J801" s="31"/>
    </row>
    <row r="802" spans="1:10" ht="14.4" x14ac:dyDescent="0.3">
      <c r="A802" s="28" t="str">
        <f>B802&amp;C802&amp;D802&amp;E802</f>
        <v>ОдеждаЖенская одеждаНоски, чулки и колготкиПодследники</v>
      </c>
      <c r="B802" s="29" t="s">
        <v>92</v>
      </c>
      <c r="C802" s="29" t="s">
        <v>93</v>
      </c>
      <c r="D802" s="29" t="s">
        <v>925</v>
      </c>
      <c r="E802" s="29" t="s">
        <v>1975</v>
      </c>
      <c r="F802" s="30">
        <v>0.25</v>
      </c>
      <c r="G802" s="31"/>
      <c r="H802" s="31"/>
      <c r="I802" s="31"/>
      <c r="J802" s="31"/>
    </row>
    <row r="803" spans="1:10" ht="14.4" x14ac:dyDescent="0.3">
      <c r="A803" s="28" t="str">
        <f>B803&amp;C803&amp;D803&amp;E803</f>
        <v>ОдеждаМужская одеждаДомашняя одеждаПижамы</v>
      </c>
      <c r="B803" s="29" t="s">
        <v>92</v>
      </c>
      <c r="C803" s="29" t="s">
        <v>112</v>
      </c>
      <c r="D803" s="29" t="s">
        <v>469</v>
      </c>
      <c r="E803" s="29" t="s">
        <v>1133</v>
      </c>
      <c r="F803" s="30">
        <v>0.25</v>
      </c>
      <c r="G803" s="31"/>
      <c r="H803" s="31"/>
      <c r="I803" s="31"/>
      <c r="J803" s="31"/>
    </row>
    <row r="804" spans="1:10" ht="14.4" x14ac:dyDescent="0.3">
      <c r="A804" s="28" t="str">
        <f>B804&amp;C804&amp;D804&amp;E804</f>
        <v>ОдеждаЖенская одеждаДомашняя одеждаДомашние брюки и шорты</v>
      </c>
      <c r="B804" s="29" t="s">
        <v>92</v>
      </c>
      <c r="C804" s="29" t="s">
        <v>93</v>
      </c>
      <c r="D804" s="29" t="s">
        <v>469</v>
      </c>
      <c r="E804" s="29" t="s">
        <v>470</v>
      </c>
      <c r="F804" s="30">
        <v>0.25</v>
      </c>
      <c r="G804" s="31"/>
      <c r="H804" s="31"/>
      <c r="I804" s="31"/>
      <c r="J804" s="31"/>
    </row>
    <row r="805" spans="1:10" ht="14.4" x14ac:dyDescent="0.3">
      <c r="A805" s="28" t="str">
        <f>B805&amp;C805&amp;D805&amp;E805</f>
        <v>Красота и уходОборудование и материалы для тату-салонаИнструменты для пирсингаИнструменты для пирсинга</v>
      </c>
      <c r="B805" s="29" t="s">
        <v>56</v>
      </c>
      <c r="C805" s="29" t="s">
        <v>791</v>
      </c>
      <c r="D805" s="29" t="s">
        <v>1982</v>
      </c>
      <c r="E805" s="29" t="s">
        <v>1982</v>
      </c>
      <c r="F805" s="30">
        <v>0.25</v>
      </c>
      <c r="G805" s="31"/>
      <c r="H805" s="31"/>
      <c r="I805" s="31"/>
      <c r="J805" s="31"/>
    </row>
    <row r="806" spans="1:10" ht="14.4" x14ac:dyDescent="0.3">
      <c r="A806" s="28" t="str">
        <f>B806&amp;C806&amp;D806&amp;E806</f>
        <v>Строительство и ремонтРучной инструмент и оснасткаСтолярно-слесарные инструментыШприц плунжерный</v>
      </c>
      <c r="B806" s="29" t="s">
        <v>77</v>
      </c>
      <c r="C806" s="29" t="s">
        <v>127</v>
      </c>
      <c r="D806" s="29" t="s">
        <v>139</v>
      </c>
      <c r="E806" s="29" t="s">
        <v>1984</v>
      </c>
      <c r="F806" s="30">
        <v>0.25</v>
      </c>
      <c r="G806" s="31"/>
      <c r="H806" s="31"/>
      <c r="I806" s="31"/>
      <c r="J806" s="31"/>
    </row>
    <row r="807" spans="1:10" ht="14.4" x14ac:dyDescent="0.3">
      <c r="A807" s="28" t="str">
        <f>B807&amp;C807&amp;D807&amp;E807</f>
        <v>Строительство и ремонтРучной инструмент и оснасткаМонтажные инструментыМонтажные пистолеты</v>
      </c>
      <c r="B807" s="29" t="s">
        <v>77</v>
      </c>
      <c r="C807" s="29" t="s">
        <v>127</v>
      </c>
      <c r="D807" s="29" t="s">
        <v>149</v>
      </c>
      <c r="E807" s="29" t="s">
        <v>1988</v>
      </c>
      <c r="F807" s="30">
        <v>0.25</v>
      </c>
      <c r="G807" s="31"/>
      <c r="H807" s="31"/>
      <c r="I807" s="31"/>
      <c r="J807" s="31"/>
    </row>
    <row r="808" spans="1:10" ht="14.4" x14ac:dyDescent="0.3">
      <c r="A808" s="28" t="str">
        <f>B808&amp;C808&amp;D808&amp;E808</f>
        <v>ОдеждаЖенская одеждаСпецодеждаАксессуары для спецодежды</v>
      </c>
      <c r="B808" s="29" t="s">
        <v>92</v>
      </c>
      <c r="C808" s="29" t="s">
        <v>93</v>
      </c>
      <c r="D808" s="29" t="s">
        <v>780</v>
      </c>
      <c r="E808" s="29" t="s">
        <v>1991</v>
      </c>
      <c r="F808" s="30">
        <v>0.25</v>
      </c>
      <c r="G808" s="31"/>
      <c r="H808" s="31"/>
      <c r="I808" s="31"/>
      <c r="J808" s="31"/>
    </row>
    <row r="809" spans="1:10" ht="14.4" x14ac:dyDescent="0.3">
      <c r="A809" s="28" t="str">
        <f>B809&amp;C809&amp;D809&amp;E809</f>
        <v>ОдеждаЖенская одеждаХуди и свитшотыТолстовки</v>
      </c>
      <c r="B809" s="29" t="s">
        <v>92</v>
      </c>
      <c r="C809" s="29" t="s">
        <v>93</v>
      </c>
      <c r="D809" s="29" t="s">
        <v>1149</v>
      </c>
      <c r="E809" s="29" t="s">
        <v>1994</v>
      </c>
      <c r="F809" s="30">
        <v>0.25</v>
      </c>
      <c r="G809" s="31"/>
      <c r="H809" s="31"/>
      <c r="I809" s="31"/>
      <c r="J809" s="31"/>
    </row>
    <row r="810" spans="1:10" ht="14.4" x14ac:dyDescent="0.3">
      <c r="A810" s="28" t="str">
        <f>B810&amp;C810&amp;D810&amp;E810</f>
        <v>Спорт и отдыхАктивные виды отдыхаДартсДартс-доски</v>
      </c>
      <c r="B810" s="29" t="s">
        <v>101</v>
      </c>
      <c r="C810" s="29" t="s">
        <v>941</v>
      </c>
      <c r="D810" s="29" t="s">
        <v>1810</v>
      </c>
      <c r="E810" s="29" t="s">
        <v>1997</v>
      </c>
      <c r="F810" s="30">
        <v>0.25</v>
      </c>
      <c r="G810" s="31"/>
      <c r="H810" s="31"/>
      <c r="I810" s="31"/>
      <c r="J810" s="31"/>
    </row>
    <row r="811" spans="1:10" ht="14.4" x14ac:dyDescent="0.3">
      <c r="A811" s="28" t="str">
        <f>B811&amp;C811&amp;D811&amp;E811</f>
        <v>Товары для домаТовары для кухниКружки, стаканы и бокалыЧашки и блюдца</v>
      </c>
      <c r="B811" s="29" t="s">
        <v>59</v>
      </c>
      <c r="C811" s="29" t="s">
        <v>60</v>
      </c>
      <c r="D811" s="29" t="s">
        <v>1461</v>
      </c>
      <c r="E811" s="29" t="s">
        <v>2004</v>
      </c>
      <c r="F811" s="30">
        <v>0.25</v>
      </c>
      <c r="G811" s="31"/>
      <c r="H811" s="31"/>
      <c r="I811" s="31"/>
      <c r="J811" s="31"/>
    </row>
    <row r="812" spans="1:10" ht="14.4" x14ac:dyDescent="0.3">
      <c r="A812" s="28" t="str">
        <f>B812&amp;C812&amp;D812&amp;E812</f>
        <v>ЭлектроникаКомпьютерная техникаАксессуары для компьютеровКлавиатуры</v>
      </c>
      <c r="B812" s="29" t="s">
        <v>67</v>
      </c>
      <c r="C812" s="29" t="s">
        <v>234</v>
      </c>
      <c r="D812" s="29" t="s">
        <v>235</v>
      </c>
      <c r="E812" s="29" t="s">
        <v>2005</v>
      </c>
      <c r="F812" s="30">
        <v>0.25</v>
      </c>
      <c r="G812" s="31"/>
      <c r="H812" s="31"/>
      <c r="I812" s="31"/>
      <c r="J812" s="31"/>
    </row>
    <row r="813" spans="1:10" ht="14.4" x14ac:dyDescent="0.3">
      <c r="A813" s="28" t="str">
        <f>B813&amp;C813&amp;D813&amp;E813</f>
        <v>ОдеждаЖенская одеждаПлатья и сарафаныПлатья со спущенными плечами</v>
      </c>
      <c r="B813" s="29" t="s">
        <v>92</v>
      </c>
      <c r="C813" s="29" t="s">
        <v>93</v>
      </c>
      <c r="D813" s="29" t="s">
        <v>94</v>
      </c>
      <c r="E813" s="29" t="s">
        <v>2006</v>
      </c>
      <c r="F813" s="30">
        <v>0.25</v>
      </c>
      <c r="G813" s="31"/>
      <c r="H813" s="31"/>
      <c r="I813" s="31"/>
      <c r="J813" s="31"/>
    </row>
    <row r="814" spans="1:10" ht="14.4" x14ac:dyDescent="0.3">
      <c r="A814" s="28" t="str">
        <f>B814&amp;C814&amp;D814&amp;E814</f>
        <v>Красота и уходПарфюмерияТуалетная водаТуалетная вода</v>
      </c>
      <c r="B814" s="29" t="s">
        <v>56</v>
      </c>
      <c r="C814" s="29" t="s">
        <v>824</v>
      </c>
      <c r="D814" s="29" t="s">
        <v>2008</v>
      </c>
      <c r="E814" s="29" t="s">
        <v>2008</v>
      </c>
      <c r="F814" s="30">
        <v>0.25</v>
      </c>
      <c r="G814" s="31"/>
      <c r="H814" s="31"/>
      <c r="I814" s="31"/>
      <c r="J814" s="31"/>
    </row>
    <row r="815" spans="1:10" ht="14.4" x14ac:dyDescent="0.3">
      <c r="A815" s="28" t="str">
        <f>B815&amp;C815&amp;D815&amp;E815</f>
        <v>Дача, сад и огородПикник, барбекю, грильПринадлежности для барбекюПринадлежности для барбекю</v>
      </c>
      <c r="B815" s="29" t="s">
        <v>352</v>
      </c>
      <c r="C815" s="29" t="s">
        <v>1048</v>
      </c>
      <c r="D815" s="29" t="s">
        <v>2015</v>
      </c>
      <c r="E815" s="29" t="s">
        <v>2015</v>
      </c>
      <c r="F815" s="30">
        <v>0.25</v>
      </c>
      <c r="G815" s="31"/>
      <c r="H815" s="31"/>
      <c r="I815" s="31"/>
      <c r="J815" s="31"/>
    </row>
    <row r="816" spans="1:10" ht="14.4" x14ac:dyDescent="0.3">
      <c r="A816" s="28" t="str">
        <f>B816&amp;C816&amp;D816&amp;E816</f>
        <v>Дача, сад и огородОбустройство дачи и садаПрочие товары для обустройстваПрочие товары для обустройства</v>
      </c>
      <c r="B816" s="29" t="s">
        <v>352</v>
      </c>
      <c r="C816" s="29" t="s">
        <v>966</v>
      </c>
      <c r="D816" s="29" t="s">
        <v>2017</v>
      </c>
      <c r="E816" s="29" t="s">
        <v>2017</v>
      </c>
      <c r="F816" s="30">
        <v>0.25</v>
      </c>
      <c r="G816" s="31"/>
      <c r="H816" s="31"/>
      <c r="I816" s="31"/>
      <c r="J816" s="31"/>
    </row>
    <row r="817" spans="1:10" ht="14.4" x14ac:dyDescent="0.3">
      <c r="A817" s="28" t="str">
        <f>B817&amp;C817&amp;D817&amp;E817</f>
        <v>Спорт и отдыхВиды спортаБейсболБейсбольные аксессуары</v>
      </c>
      <c r="B817" s="29" t="s">
        <v>101</v>
      </c>
      <c r="C817" s="29" t="s">
        <v>446</v>
      </c>
      <c r="D817" s="29" t="s">
        <v>2019</v>
      </c>
      <c r="E817" s="29" t="s">
        <v>2020</v>
      </c>
      <c r="F817" s="30">
        <v>0.25</v>
      </c>
      <c r="G817" s="31"/>
      <c r="H817" s="31"/>
      <c r="I817" s="31"/>
      <c r="J817" s="31"/>
    </row>
    <row r="818" spans="1:10" ht="14.4" x14ac:dyDescent="0.3">
      <c r="A818" s="28" t="str">
        <f>B818&amp;C818&amp;D818&amp;E818</f>
        <v>ЗдоровьеОптикаОчки для зренияОчки для зрения</v>
      </c>
      <c r="B818" s="29" t="s">
        <v>116</v>
      </c>
      <c r="C818" s="29" t="s">
        <v>741</v>
      </c>
      <c r="D818" s="29" t="s">
        <v>2021</v>
      </c>
      <c r="E818" s="29" t="s">
        <v>2021</v>
      </c>
      <c r="F818" s="30">
        <v>0.25</v>
      </c>
      <c r="G818" s="31"/>
      <c r="H818" s="31"/>
      <c r="I818" s="31"/>
      <c r="J818" s="31"/>
    </row>
    <row r="819" spans="1:10" ht="14.4" x14ac:dyDescent="0.3">
      <c r="A819" s="28" t="str">
        <f>B819&amp;C819&amp;D819&amp;E819</f>
        <v>Спорт и отдыхАктивные виды отдыхаСкандинавская ходьбаСкандинавская ходьба</v>
      </c>
      <c r="B819" s="29" t="s">
        <v>101</v>
      </c>
      <c r="C819" s="29" t="s">
        <v>941</v>
      </c>
      <c r="D819" s="29" t="s">
        <v>2022</v>
      </c>
      <c r="E819" s="29" t="s">
        <v>2022</v>
      </c>
      <c r="F819" s="30">
        <v>0.25</v>
      </c>
      <c r="G819" s="31"/>
      <c r="H819" s="31"/>
      <c r="I819" s="31"/>
      <c r="J819" s="31"/>
    </row>
    <row r="820" spans="1:10" ht="14.4" x14ac:dyDescent="0.3">
      <c r="A820" s="28" t="str">
        <f>B820&amp;C820&amp;D820&amp;E820</f>
        <v>Красота и уходПарфюмерияДухи масляныеДухи масляные</v>
      </c>
      <c r="B820" s="29" t="s">
        <v>56</v>
      </c>
      <c r="C820" s="29" t="s">
        <v>824</v>
      </c>
      <c r="D820" s="29" t="s">
        <v>2027</v>
      </c>
      <c r="E820" s="29" t="s">
        <v>2027</v>
      </c>
      <c r="F820" s="30">
        <v>0.25</v>
      </c>
      <c r="G820" s="31"/>
      <c r="H820" s="31"/>
      <c r="I820" s="31"/>
      <c r="J820" s="31"/>
    </row>
    <row r="821" spans="1:10" ht="14.4" x14ac:dyDescent="0.3">
      <c r="A821" s="28" t="str">
        <f>B821&amp;C821&amp;D821&amp;E821</f>
        <v>ОдеждаЖенская одеждаЮбкиПлиссированные юбки</v>
      </c>
      <c r="B821" s="29" t="s">
        <v>92</v>
      </c>
      <c r="C821" s="29" t="s">
        <v>93</v>
      </c>
      <c r="D821" s="29" t="s">
        <v>570</v>
      </c>
      <c r="E821" s="29" t="s">
        <v>2030</v>
      </c>
      <c r="F821" s="30">
        <v>0.25</v>
      </c>
      <c r="G821" s="31"/>
      <c r="H821" s="31"/>
      <c r="I821" s="31"/>
      <c r="J821" s="31"/>
    </row>
    <row r="822" spans="1:10" ht="14.4" x14ac:dyDescent="0.3">
      <c r="A822" s="28" t="str">
        <f>B822&amp;C822&amp;D822&amp;E822</f>
        <v>ОдеждаМужская одеждаФутболки и полоЛонгсливы</v>
      </c>
      <c r="B822" s="29" t="s">
        <v>92</v>
      </c>
      <c r="C822" s="29" t="s">
        <v>112</v>
      </c>
      <c r="D822" s="29" t="s">
        <v>457</v>
      </c>
      <c r="E822" s="29" t="s">
        <v>1776</v>
      </c>
      <c r="F822" s="30">
        <v>0.25</v>
      </c>
      <c r="G822" s="31"/>
      <c r="H822" s="31"/>
      <c r="I822" s="31"/>
      <c r="J822" s="31"/>
    </row>
    <row r="823" spans="1:10" ht="14.4" x14ac:dyDescent="0.3">
      <c r="A823" s="28" t="str">
        <f>B823&amp;C823&amp;D823&amp;E823</f>
        <v>Спорт и отдыхВодный спорт и отдых на водеПлаваниеКруги и матрасы</v>
      </c>
      <c r="B823" s="29" t="s">
        <v>101</v>
      </c>
      <c r="C823" s="29" t="s">
        <v>771</v>
      </c>
      <c r="D823" s="29" t="s">
        <v>772</v>
      </c>
      <c r="E823" s="29" t="s">
        <v>2043</v>
      </c>
      <c r="F823" s="30">
        <v>0.25</v>
      </c>
      <c r="G823" s="31"/>
      <c r="H823" s="31"/>
      <c r="I823" s="31"/>
      <c r="J823" s="31"/>
    </row>
    <row r="824" spans="1:10" ht="14.4" x14ac:dyDescent="0.3">
      <c r="A824" s="28" t="str">
        <f>B824&amp;C824&amp;D824&amp;E824</f>
        <v>Товары для домаТовары для комнатных растенийПодставки и крепления для растенийПодставки и крепления для растений</v>
      </c>
      <c r="B824" s="29" t="s">
        <v>59</v>
      </c>
      <c r="C824" s="29" t="s">
        <v>2044</v>
      </c>
      <c r="D824" s="29" t="s">
        <v>2045</v>
      </c>
      <c r="E824" s="29" t="s">
        <v>2045</v>
      </c>
      <c r="F824" s="30">
        <v>0.25</v>
      </c>
      <c r="G824" s="31"/>
      <c r="H824" s="31"/>
      <c r="I824" s="31"/>
      <c r="J824" s="31"/>
    </row>
    <row r="825" spans="1:10" ht="14.4" x14ac:dyDescent="0.3">
      <c r="A825" s="28" t="str">
        <f>B825&amp;C825&amp;D825&amp;E825</f>
        <v>Детские товарыДетский спорт и активный отдыхИгры на улицеБумеранги</v>
      </c>
      <c r="B825" s="29" t="s">
        <v>105</v>
      </c>
      <c r="C825" s="29" t="s">
        <v>427</v>
      </c>
      <c r="D825" s="29" t="s">
        <v>1343</v>
      </c>
      <c r="E825" s="29" t="s">
        <v>2047</v>
      </c>
      <c r="F825" s="30">
        <v>0.25</v>
      </c>
      <c r="G825" s="31"/>
      <c r="H825" s="31"/>
      <c r="I825" s="31"/>
      <c r="J825" s="31"/>
    </row>
    <row r="826" spans="1:10" ht="14.4" x14ac:dyDescent="0.3">
      <c r="A826" s="28" t="str">
        <f>B826&amp;C826&amp;D826&amp;E826</f>
        <v>Спорт и отдыхВодный спорт и отдых на водеПлаваниеЛасты</v>
      </c>
      <c r="B826" s="29" t="s">
        <v>101</v>
      </c>
      <c r="C826" s="29" t="s">
        <v>771</v>
      </c>
      <c r="D826" s="29" t="s">
        <v>772</v>
      </c>
      <c r="E826" s="29" t="s">
        <v>2048</v>
      </c>
      <c r="F826" s="30">
        <v>0.25</v>
      </c>
      <c r="G826" s="31"/>
      <c r="H826" s="31"/>
      <c r="I826" s="31"/>
      <c r="J826" s="31"/>
    </row>
    <row r="827" spans="1:10" ht="14.4" x14ac:dyDescent="0.3">
      <c r="A827" s="28" t="str">
        <f>B827&amp;C827&amp;D827&amp;E827</f>
        <v>ОдеждаЖенская одеждаПиджаки и костюмыПиджаки</v>
      </c>
      <c r="B827" s="29" t="s">
        <v>92</v>
      </c>
      <c r="C827" s="29" t="s">
        <v>93</v>
      </c>
      <c r="D827" s="29" t="s">
        <v>1015</v>
      </c>
      <c r="E827" s="29" t="s">
        <v>1061</v>
      </c>
      <c r="F827" s="30">
        <v>0.25</v>
      </c>
      <c r="G827" s="31"/>
      <c r="H827" s="31"/>
      <c r="I827" s="31"/>
      <c r="J827" s="31"/>
    </row>
    <row r="828" spans="1:10" ht="14.4" x14ac:dyDescent="0.3">
      <c r="A828" s="28" t="str">
        <f>B828&amp;C828&amp;D828&amp;E828</f>
        <v>Спорт и отдыхОтдых на природе, рыбалка и охотаТуризм и отдых на природеНожи, лопаты, пилы туристические</v>
      </c>
      <c r="B828" s="29" t="s">
        <v>101</v>
      </c>
      <c r="C828" s="29" t="s">
        <v>166</v>
      </c>
      <c r="D828" s="29" t="s">
        <v>204</v>
      </c>
      <c r="E828" s="29" t="s">
        <v>2050</v>
      </c>
      <c r="F828" s="30">
        <v>0.25</v>
      </c>
      <c r="G828" s="31"/>
      <c r="H828" s="31"/>
      <c r="I828" s="31"/>
      <c r="J828" s="31"/>
    </row>
    <row r="829" spans="1:10" ht="14.4" x14ac:dyDescent="0.3">
      <c r="A829" s="28" t="str">
        <f>B829&amp;C829&amp;D829&amp;E829</f>
        <v>Строительство и ремонтРучной инструмент и оснасткаКрепежАнкерные болты</v>
      </c>
      <c r="B829" s="29" t="s">
        <v>77</v>
      </c>
      <c r="C829" s="29" t="s">
        <v>127</v>
      </c>
      <c r="D829" s="29" t="s">
        <v>350</v>
      </c>
      <c r="E829" s="29" t="s">
        <v>2055</v>
      </c>
      <c r="F829" s="30">
        <v>0.25</v>
      </c>
      <c r="G829" s="31"/>
      <c r="H829" s="31"/>
      <c r="I829" s="31"/>
      <c r="J829" s="31"/>
    </row>
    <row r="830" spans="1:10" ht="14.4" x14ac:dyDescent="0.3">
      <c r="A830" s="28" t="str">
        <f>B830&amp;C830&amp;D830&amp;E830</f>
        <v>ОдеждаЖенская одеждаШортыПовседневные шорты</v>
      </c>
      <c r="B830" s="29" t="s">
        <v>92</v>
      </c>
      <c r="C830" s="29" t="s">
        <v>93</v>
      </c>
      <c r="D830" s="29" t="s">
        <v>818</v>
      </c>
      <c r="E830" s="29" t="s">
        <v>2058</v>
      </c>
      <c r="F830" s="30">
        <v>0.25</v>
      </c>
      <c r="G830" s="31"/>
      <c r="H830" s="31"/>
      <c r="I830" s="31"/>
      <c r="J830" s="31"/>
    </row>
    <row r="831" spans="1:10" ht="14.4" x14ac:dyDescent="0.3">
      <c r="A831" s="28" t="str">
        <f>B831&amp;C831&amp;D831&amp;E831</f>
        <v>ОдеждаЖенская одеждаСпортивная одеждаСпортивные брюки</v>
      </c>
      <c r="B831" s="29" t="s">
        <v>92</v>
      </c>
      <c r="C831" s="29" t="s">
        <v>93</v>
      </c>
      <c r="D831" s="29" t="s">
        <v>158</v>
      </c>
      <c r="E831" s="29" t="s">
        <v>405</v>
      </c>
      <c r="F831" s="30">
        <v>0.25</v>
      </c>
      <c r="G831" s="31"/>
      <c r="H831" s="31"/>
      <c r="I831" s="31"/>
      <c r="J831" s="31"/>
    </row>
    <row r="832" spans="1:10" ht="14.4" x14ac:dyDescent="0.3">
      <c r="A832" s="28" t="str">
        <f>B832&amp;C832&amp;D832&amp;E832</f>
        <v>Товары для домаТовары для кухниФормы для приготовленияФормы для мороженого</v>
      </c>
      <c r="B832" s="29" t="s">
        <v>59</v>
      </c>
      <c r="C832" s="29" t="s">
        <v>60</v>
      </c>
      <c r="D832" s="29" t="s">
        <v>61</v>
      </c>
      <c r="E832" s="29" t="s">
        <v>2063</v>
      </c>
      <c r="F832" s="30">
        <v>0.25</v>
      </c>
      <c r="G832" s="31"/>
      <c r="H832" s="31"/>
      <c r="I832" s="31"/>
      <c r="J832" s="31"/>
    </row>
    <row r="833" spans="1:10" ht="14.4" x14ac:dyDescent="0.3">
      <c r="A833" s="28" t="str">
        <f>B833&amp;C833&amp;D833&amp;E833</f>
        <v>Строительство и ремонтОтделочные материалыОбоиФотообои</v>
      </c>
      <c r="B833" s="29" t="s">
        <v>77</v>
      </c>
      <c r="C833" s="29" t="s">
        <v>241</v>
      </c>
      <c r="D833" s="29" t="s">
        <v>2064</v>
      </c>
      <c r="E833" s="29" t="s">
        <v>2065</v>
      </c>
      <c r="F833" s="30">
        <v>0.25</v>
      </c>
      <c r="G833" s="31"/>
      <c r="H833" s="31"/>
      <c r="I833" s="31"/>
      <c r="J833" s="31"/>
    </row>
    <row r="834" spans="1:10" ht="14.4" x14ac:dyDescent="0.3">
      <c r="A834" s="28" t="str">
        <f>B834&amp;C834&amp;D834&amp;E834</f>
        <v>ОдеждаЖенская одеждаВязанные костюмыВязанные костюмы</v>
      </c>
      <c r="B834" s="29" t="s">
        <v>92</v>
      </c>
      <c r="C834" s="29" t="s">
        <v>93</v>
      </c>
      <c r="D834" s="29" t="s">
        <v>2067</v>
      </c>
      <c r="E834" s="29" t="s">
        <v>2067</v>
      </c>
      <c r="F834" s="30">
        <v>0.25</v>
      </c>
      <c r="G834" s="31"/>
      <c r="H834" s="31"/>
      <c r="I834" s="31"/>
      <c r="J834" s="31"/>
    </row>
    <row r="835" spans="1:10" ht="14.4" x14ac:dyDescent="0.3">
      <c r="A835" s="28" t="str">
        <f>B835&amp;C835&amp;D835&amp;E835</f>
        <v>Строительство и ремонтРучной инструмент и оснасткаРасходные материалыАбразивные материалы</v>
      </c>
      <c r="B835" s="29" t="s">
        <v>77</v>
      </c>
      <c r="C835" s="29" t="s">
        <v>127</v>
      </c>
      <c r="D835" s="29" t="s">
        <v>1110</v>
      </c>
      <c r="E835" s="29" t="s">
        <v>2072</v>
      </c>
      <c r="F835" s="30">
        <v>0.25</v>
      </c>
      <c r="G835" s="31"/>
      <c r="H835" s="31"/>
      <c r="I835" s="31"/>
      <c r="J835" s="31"/>
    </row>
    <row r="836" spans="1:10" ht="14.4" x14ac:dyDescent="0.3">
      <c r="A836" s="28" t="str">
        <f>B836&amp;C836&amp;D836&amp;E836</f>
        <v>ОдеждаЖенская одеждаФутболки и полоПоло</v>
      </c>
      <c r="B836" s="29" t="s">
        <v>92</v>
      </c>
      <c r="C836" s="29" t="s">
        <v>93</v>
      </c>
      <c r="D836" s="29" t="s">
        <v>457</v>
      </c>
      <c r="E836" s="29" t="s">
        <v>1443</v>
      </c>
      <c r="F836" s="30">
        <v>0.25</v>
      </c>
      <c r="G836" s="31"/>
      <c r="H836" s="31"/>
      <c r="I836" s="31"/>
      <c r="J836" s="31"/>
    </row>
    <row r="837" spans="1:10" ht="14.4" x14ac:dyDescent="0.3">
      <c r="A837" s="28" t="str">
        <f>B837&amp;C837&amp;D837&amp;E837</f>
        <v>ОдеждаЖенская одеждаБлузки и рубашкиРубашки</v>
      </c>
      <c r="B837" s="29" t="s">
        <v>92</v>
      </c>
      <c r="C837" s="29" t="s">
        <v>93</v>
      </c>
      <c r="D837" s="29" t="s">
        <v>2075</v>
      </c>
      <c r="E837" s="29" t="s">
        <v>1362</v>
      </c>
      <c r="F837" s="30">
        <v>0.25</v>
      </c>
      <c r="G837" s="31"/>
      <c r="H837" s="31"/>
      <c r="I837" s="31"/>
      <c r="J837" s="31"/>
    </row>
    <row r="838" spans="1:10" ht="14.4" x14ac:dyDescent="0.3">
      <c r="A838" s="28" t="str">
        <f>B838&amp;C838&amp;D838&amp;E838</f>
        <v>ОдеждаМужская одеждаОдежда больших размеровДжемперы, свитеры и кардиганы</v>
      </c>
      <c r="B838" s="29" t="s">
        <v>92</v>
      </c>
      <c r="C838" s="29" t="s">
        <v>112</v>
      </c>
      <c r="D838" s="29" t="s">
        <v>532</v>
      </c>
      <c r="E838" s="29" t="s">
        <v>424</v>
      </c>
      <c r="F838" s="30">
        <v>0.25</v>
      </c>
      <c r="G838" s="31"/>
      <c r="H838" s="31"/>
      <c r="I838" s="31"/>
      <c r="J838" s="31"/>
    </row>
    <row r="839" spans="1:10" ht="14.4" x14ac:dyDescent="0.3">
      <c r="A839" s="28" t="str">
        <f>B839&amp;C839&amp;D839&amp;E839</f>
        <v>Строительство и ремонтРучной инструмент и оснасткаУдарно-рычажные инструментыГвоздодер</v>
      </c>
      <c r="B839" s="29" t="s">
        <v>77</v>
      </c>
      <c r="C839" s="29" t="s">
        <v>127</v>
      </c>
      <c r="D839" s="29" t="s">
        <v>842</v>
      </c>
      <c r="E839" s="29" t="s">
        <v>2076</v>
      </c>
      <c r="F839" s="30">
        <v>0.25</v>
      </c>
      <c r="G839" s="31"/>
      <c r="H839" s="31"/>
      <c r="I839" s="31"/>
      <c r="J839" s="31"/>
    </row>
    <row r="840" spans="1:10" ht="14.4" x14ac:dyDescent="0.3">
      <c r="A840" s="28" t="str">
        <f>B840&amp;C840&amp;D840&amp;E840</f>
        <v>АвтотоварыАксессуары и принадлежностиТюнинг и внешний декорРешетки и сетки радиаторов</v>
      </c>
      <c r="B840" s="29" t="s">
        <v>12</v>
      </c>
      <c r="C840" s="29" t="s">
        <v>253</v>
      </c>
      <c r="D840" s="29" t="s">
        <v>254</v>
      </c>
      <c r="E840" s="29" t="s">
        <v>2079</v>
      </c>
      <c r="F840" s="30">
        <v>0.25</v>
      </c>
      <c r="G840" s="31"/>
      <c r="H840" s="31"/>
      <c r="I840" s="31"/>
      <c r="J840" s="31"/>
    </row>
    <row r="841" spans="1:10" ht="14.4" x14ac:dyDescent="0.3">
      <c r="A841" s="28" t="str">
        <f>B841&amp;C841&amp;D841&amp;E841</f>
        <v>Дача, сад и огородСадовая мебель и декорСкамейкиСкамейки</v>
      </c>
      <c r="B841" s="29" t="s">
        <v>352</v>
      </c>
      <c r="C841" s="29" t="s">
        <v>1313</v>
      </c>
      <c r="D841" s="29" t="s">
        <v>2082</v>
      </c>
      <c r="E841" s="29" t="s">
        <v>2082</v>
      </c>
      <c r="F841" s="30">
        <v>0.25</v>
      </c>
      <c r="G841" s="31"/>
      <c r="H841" s="31"/>
      <c r="I841" s="31"/>
      <c r="J841" s="31"/>
    </row>
    <row r="842" spans="1:10" ht="14.4" x14ac:dyDescent="0.3">
      <c r="A842" s="28" t="str">
        <f>B842&amp;C842&amp;D842&amp;E842</f>
        <v>Строительство и ремонтРучной инструмент и оснасткаЗажимные инструментыСтрубцины и тиски</v>
      </c>
      <c r="B842" s="29" t="s">
        <v>77</v>
      </c>
      <c r="C842" s="29" t="s">
        <v>127</v>
      </c>
      <c r="D842" s="29" t="s">
        <v>541</v>
      </c>
      <c r="E842" s="29" t="s">
        <v>2084</v>
      </c>
      <c r="F842" s="30">
        <v>0.25</v>
      </c>
      <c r="G842" s="31"/>
      <c r="H842" s="31"/>
      <c r="I842" s="31"/>
      <c r="J842" s="31"/>
    </row>
    <row r="843" spans="1:10" ht="14.4" x14ac:dyDescent="0.3">
      <c r="A843" s="28" t="str">
        <f>B843&amp;C843&amp;D843&amp;E843</f>
        <v>ОдеждаМужская одеждаСпортивная одеждаСпортивная одежда для плавания</v>
      </c>
      <c r="B843" s="29" t="s">
        <v>92</v>
      </c>
      <c r="C843" s="29" t="s">
        <v>112</v>
      </c>
      <c r="D843" s="29" t="s">
        <v>158</v>
      </c>
      <c r="E843" s="29" t="s">
        <v>2085</v>
      </c>
      <c r="F843" s="30">
        <v>0.25</v>
      </c>
      <c r="G843" s="31"/>
      <c r="H843" s="31"/>
      <c r="I843" s="31"/>
      <c r="J843" s="31"/>
    </row>
    <row r="844" spans="1:10" ht="14.4" x14ac:dyDescent="0.3">
      <c r="A844" s="28" t="str">
        <f>B844&amp;C844&amp;D844&amp;E844</f>
        <v>ОдеждаЖенская одеждаВерхняя одеждаДемисезонные куртки</v>
      </c>
      <c r="B844" s="29" t="s">
        <v>92</v>
      </c>
      <c r="C844" s="29" t="s">
        <v>93</v>
      </c>
      <c r="D844" s="29" t="s">
        <v>144</v>
      </c>
      <c r="E844" s="29" t="s">
        <v>1045</v>
      </c>
      <c r="F844" s="30">
        <v>0.25</v>
      </c>
      <c r="G844" s="31"/>
      <c r="H844" s="31"/>
      <c r="I844" s="31"/>
      <c r="J844" s="31"/>
    </row>
    <row r="845" spans="1:10" ht="14.4" x14ac:dyDescent="0.3">
      <c r="A845" s="28" t="str">
        <f>B845&amp;C845&amp;D845&amp;E845</f>
        <v>Товары для домаТовары для кухниХранение продуктовЕмкости для сыпучих продуктов</v>
      </c>
      <c r="B845" s="29" t="s">
        <v>59</v>
      </c>
      <c r="C845" s="29" t="s">
        <v>60</v>
      </c>
      <c r="D845" s="29" t="s">
        <v>749</v>
      </c>
      <c r="E845" s="29" t="s">
        <v>2089</v>
      </c>
      <c r="F845" s="30">
        <v>0.25</v>
      </c>
      <c r="G845" s="31"/>
      <c r="H845" s="31"/>
      <c r="I845" s="31"/>
      <c r="J845" s="31"/>
    </row>
    <row r="846" spans="1:10" ht="14.4" x14ac:dyDescent="0.3">
      <c r="A846" s="28" t="str">
        <f>B846&amp;C846&amp;D846&amp;E846</f>
        <v>Красота и уходМаникюр и педикюрИнструменты для маникюраКисти</v>
      </c>
      <c r="B846" s="29" t="s">
        <v>56</v>
      </c>
      <c r="C846" s="29" t="s">
        <v>57</v>
      </c>
      <c r="D846" s="29" t="s">
        <v>199</v>
      </c>
      <c r="E846" s="29" t="s">
        <v>556</v>
      </c>
      <c r="F846" s="30">
        <v>0.25</v>
      </c>
      <c r="G846" s="31"/>
      <c r="H846" s="31"/>
      <c r="I846" s="31"/>
      <c r="J846" s="31"/>
    </row>
    <row r="847" spans="1:10" ht="14.4" x14ac:dyDescent="0.3">
      <c r="A847" s="28" t="str">
        <f>B847&amp;C847&amp;D847&amp;E847</f>
        <v>Детские товарыТовары для кормленияПодогреватели бутылочек и СтерилизаторыПодогреватели бутылочек и Стерилизаторы</v>
      </c>
      <c r="B847" s="29" t="s">
        <v>105</v>
      </c>
      <c r="C847" s="29" t="s">
        <v>639</v>
      </c>
      <c r="D847" s="29" t="s">
        <v>2096</v>
      </c>
      <c r="E847" s="29" t="s">
        <v>2096</v>
      </c>
      <c r="F847" s="30">
        <v>0.25</v>
      </c>
      <c r="G847" s="31"/>
      <c r="H847" s="31"/>
      <c r="I847" s="31"/>
      <c r="J847" s="31"/>
    </row>
    <row r="848" spans="1:10" ht="14.4" x14ac:dyDescent="0.3">
      <c r="A848" s="28" t="str">
        <f>B848&amp;C848&amp;D848&amp;E848</f>
        <v>ОдеждаМужская одеждаСпортивная одеждаТермоноски</v>
      </c>
      <c r="B848" s="29" t="s">
        <v>92</v>
      </c>
      <c r="C848" s="29" t="s">
        <v>112</v>
      </c>
      <c r="D848" s="29" t="s">
        <v>158</v>
      </c>
      <c r="E848" s="29" t="s">
        <v>2097</v>
      </c>
      <c r="F848" s="30">
        <v>0.25</v>
      </c>
      <c r="G848" s="31"/>
      <c r="H848" s="31"/>
      <c r="I848" s="31"/>
      <c r="J848" s="31"/>
    </row>
    <row r="849" spans="1:10" ht="14.4" x14ac:dyDescent="0.3">
      <c r="A849" s="28" t="str">
        <f>B849&amp;C849&amp;D849&amp;E849</f>
        <v>Товары для домаТовары для кухниИзмельчители и соковыжималкиСтупки с пестиком</v>
      </c>
      <c r="B849" s="29" t="s">
        <v>59</v>
      </c>
      <c r="C849" s="29" t="s">
        <v>60</v>
      </c>
      <c r="D849" s="29" t="s">
        <v>154</v>
      </c>
      <c r="E849" s="29" t="s">
        <v>2101</v>
      </c>
      <c r="F849" s="30">
        <v>0.25</v>
      </c>
      <c r="G849" s="31"/>
      <c r="H849" s="31"/>
      <c r="I849" s="31"/>
      <c r="J849" s="31"/>
    </row>
    <row r="850" spans="1:10" ht="14.4" x14ac:dyDescent="0.3">
      <c r="A850" s="28" t="str">
        <f>B850&amp;C850&amp;D850&amp;E850</f>
        <v>Красота и уходПарфюмерияОдеколоныОдеколоны</v>
      </c>
      <c r="B850" s="29" t="s">
        <v>56</v>
      </c>
      <c r="C850" s="29" t="s">
        <v>824</v>
      </c>
      <c r="D850" s="29" t="s">
        <v>857</v>
      </c>
      <c r="E850" s="29" t="s">
        <v>857</v>
      </c>
      <c r="F850" s="30">
        <v>0.25</v>
      </c>
      <c r="G850" s="31"/>
      <c r="H850" s="31"/>
      <c r="I850" s="31"/>
      <c r="J850" s="31"/>
    </row>
    <row r="851" spans="1:10" ht="14.4" x14ac:dyDescent="0.3">
      <c r="A851" s="28" t="str">
        <f>B851&amp;C851&amp;D851&amp;E851</f>
        <v>Строительство и ремонтОсвещениеСветильники USBСветильники USB</v>
      </c>
      <c r="B851" s="29" t="s">
        <v>77</v>
      </c>
      <c r="C851" s="29" t="s">
        <v>386</v>
      </c>
      <c r="D851" s="29" t="s">
        <v>2121</v>
      </c>
      <c r="E851" s="29" t="s">
        <v>2121</v>
      </c>
      <c r="F851" s="30">
        <v>0.25</v>
      </c>
      <c r="G851" s="31"/>
      <c r="H851" s="31"/>
      <c r="I851" s="31"/>
      <c r="J851" s="31"/>
    </row>
    <row r="852" spans="1:10" ht="14.4" x14ac:dyDescent="0.3">
      <c r="A852" s="28" t="str">
        <f>B852&amp;C852&amp;D852&amp;E852</f>
        <v>КанцтоварыПисьменные принадлежностиПерьяПерья</v>
      </c>
      <c r="B852" s="29" t="s">
        <v>163</v>
      </c>
      <c r="C852" s="29" t="s">
        <v>684</v>
      </c>
      <c r="D852" s="29" t="s">
        <v>2122</v>
      </c>
      <c r="E852" s="29" t="s">
        <v>2122</v>
      </c>
      <c r="F852" s="30">
        <v>0.25</v>
      </c>
      <c r="G852" s="31"/>
      <c r="H852" s="31"/>
      <c r="I852" s="31"/>
      <c r="J852" s="31"/>
    </row>
    <row r="853" spans="1:10" ht="14.4" x14ac:dyDescent="0.3">
      <c r="A853" s="28" t="str">
        <f>B853&amp;C853&amp;D853&amp;E853</f>
        <v>Строительство и ремонтРучной инструмент и оснасткаМонтажные инструментыСтеплер мебельный</v>
      </c>
      <c r="B853" s="29" t="s">
        <v>77</v>
      </c>
      <c r="C853" s="29" t="s">
        <v>127</v>
      </c>
      <c r="D853" s="29" t="s">
        <v>149</v>
      </c>
      <c r="E853" s="29" t="s">
        <v>2123</v>
      </c>
      <c r="F853" s="30">
        <v>0.25</v>
      </c>
      <c r="G853" s="31"/>
      <c r="H853" s="31"/>
      <c r="I853" s="31"/>
      <c r="J853" s="31"/>
    </row>
    <row r="854" spans="1:10" ht="14.4" x14ac:dyDescent="0.3">
      <c r="A854" s="28" t="str">
        <f>B854&amp;C854&amp;D854&amp;E854</f>
        <v>ОдеждаМужская одеждаДомашняя одеждаДомашние халаты</v>
      </c>
      <c r="B854" s="29" t="s">
        <v>92</v>
      </c>
      <c r="C854" s="29" t="s">
        <v>112</v>
      </c>
      <c r="D854" s="29" t="s">
        <v>469</v>
      </c>
      <c r="E854" s="29" t="s">
        <v>2125</v>
      </c>
      <c r="F854" s="30">
        <v>0.25</v>
      </c>
      <c r="G854" s="31"/>
      <c r="H854" s="31"/>
      <c r="I854" s="31"/>
      <c r="J854" s="31"/>
    </row>
    <row r="855" spans="1:10" ht="14.4" x14ac:dyDescent="0.3">
      <c r="A855" s="28" t="str">
        <f>B855&amp;C855&amp;D855&amp;E855</f>
        <v>Товары для домаТовары для кухниКухонные аксессуарыГрелки для чайников</v>
      </c>
      <c r="B855" s="29" t="s">
        <v>59</v>
      </c>
      <c r="C855" s="29" t="s">
        <v>60</v>
      </c>
      <c r="D855" s="29" t="s">
        <v>273</v>
      </c>
      <c r="E855" s="29" t="s">
        <v>2127</v>
      </c>
      <c r="F855" s="30">
        <v>0.25</v>
      </c>
      <c r="G855" s="31"/>
      <c r="H855" s="31"/>
      <c r="I855" s="31"/>
      <c r="J855" s="31"/>
    </row>
    <row r="856" spans="1:10" ht="14.4" x14ac:dyDescent="0.3">
      <c r="A856" s="28" t="str">
        <f>B856&amp;C856&amp;D856&amp;E856</f>
        <v>АвтотоварыАксессуары и принадлежностиОбустройство салонаПодушки и матрасы</v>
      </c>
      <c r="B856" s="29" t="s">
        <v>12</v>
      </c>
      <c r="C856" s="29" t="s">
        <v>253</v>
      </c>
      <c r="D856" s="29" t="s">
        <v>256</v>
      </c>
      <c r="E856" s="29" t="s">
        <v>2129</v>
      </c>
      <c r="F856" s="30">
        <v>0.25</v>
      </c>
      <c r="G856" s="31"/>
      <c r="H856" s="31"/>
      <c r="I856" s="31"/>
      <c r="J856" s="31"/>
    </row>
    <row r="857" spans="1:10" ht="14.4" x14ac:dyDescent="0.3">
      <c r="A857" s="28" t="str">
        <f>B857&amp;C857&amp;D857&amp;E857</f>
        <v>Спорт и отдыхБассейны и аксессуарыПлавание и игры на водеКруги для плавания</v>
      </c>
      <c r="B857" s="29" t="s">
        <v>101</v>
      </c>
      <c r="C857" s="29" t="s">
        <v>102</v>
      </c>
      <c r="D857" s="29" t="s">
        <v>1803</v>
      </c>
      <c r="E857" s="29" t="s">
        <v>2136</v>
      </c>
      <c r="F857" s="30">
        <v>0.25</v>
      </c>
      <c r="G857" s="31"/>
      <c r="H857" s="31"/>
      <c r="I857" s="31"/>
      <c r="J857" s="31"/>
    </row>
    <row r="858" spans="1:10" ht="14.4" x14ac:dyDescent="0.3">
      <c r="A858" s="28" t="str">
        <f>B858&amp;C858&amp;D858&amp;E858</f>
        <v>Товары для домаТовары для кухниКухонные инструментыНожи кухонные</v>
      </c>
      <c r="B858" s="29" t="s">
        <v>59</v>
      </c>
      <c r="C858" s="29" t="s">
        <v>60</v>
      </c>
      <c r="D858" s="29" t="s">
        <v>1006</v>
      </c>
      <c r="E858" s="29" t="s">
        <v>2142</v>
      </c>
      <c r="F858" s="30">
        <v>0.25</v>
      </c>
      <c r="G858" s="31"/>
      <c r="H858" s="31"/>
      <c r="I858" s="31"/>
      <c r="J858" s="31"/>
    </row>
    <row r="859" spans="1:10" ht="14.4" x14ac:dyDescent="0.3">
      <c r="A859" s="28" t="str">
        <f>B859&amp;C859&amp;D859&amp;E859</f>
        <v>ОдеждаЖенская одеждаПиджаки и костюмыКостюмы с шортами</v>
      </c>
      <c r="B859" s="29" t="s">
        <v>92</v>
      </c>
      <c r="C859" s="29" t="s">
        <v>93</v>
      </c>
      <c r="D859" s="29" t="s">
        <v>1015</v>
      </c>
      <c r="E859" s="29" t="s">
        <v>2144</v>
      </c>
      <c r="F859" s="30">
        <v>0.25</v>
      </c>
      <c r="G859" s="31"/>
      <c r="H859" s="31"/>
      <c r="I859" s="31"/>
      <c r="J859" s="31"/>
    </row>
    <row r="860" spans="1:10" ht="14.4" x14ac:dyDescent="0.3">
      <c r="A860" s="28" t="str">
        <f>B860&amp;C860&amp;D860&amp;E860</f>
        <v>АвтотоварыТовары для мототехники, мотоэкипировкаСкутерыСкутеры</v>
      </c>
      <c r="B860" s="29" t="s">
        <v>12</v>
      </c>
      <c r="C860" s="29" t="s">
        <v>1486</v>
      </c>
      <c r="D860" s="29" t="s">
        <v>2151</v>
      </c>
      <c r="E860" s="29" t="s">
        <v>2151</v>
      </c>
      <c r="F860" s="30">
        <v>0.25</v>
      </c>
      <c r="G860" s="31"/>
      <c r="H860" s="31"/>
      <c r="I860" s="31"/>
      <c r="J860" s="31"/>
    </row>
    <row r="861" spans="1:10" ht="14.4" x14ac:dyDescent="0.3">
      <c r="A861" s="28" t="str">
        <f>B861&amp;C861&amp;D861&amp;E861</f>
        <v>ОдеждаЖенская одеждаКомбинезоныКомбинезоны вечерние</v>
      </c>
      <c r="B861" s="29" t="s">
        <v>92</v>
      </c>
      <c r="C861" s="29" t="s">
        <v>93</v>
      </c>
      <c r="D861" s="29" t="s">
        <v>2154</v>
      </c>
      <c r="E861" s="29" t="s">
        <v>2155</v>
      </c>
      <c r="F861" s="30">
        <v>0.25</v>
      </c>
      <c r="G861" s="31"/>
      <c r="H861" s="31"/>
      <c r="I861" s="31"/>
      <c r="J861" s="31"/>
    </row>
    <row r="862" spans="1:10" ht="14.4" x14ac:dyDescent="0.3">
      <c r="A862" s="28" t="str">
        <f>B862&amp;C862&amp;D862&amp;E862</f>
        <v>Спорт и отдыхВелоспортВелозапчастиПокрышки и камеры</v>
      </c>
      <c r="B862" s="29" t="s">
        <v>101</v>
      </c>
      <c r="C862" s="29" t="s">
        <v>743</v>
      </c>
      <c r="D862" s="29" t="s">
        <v>935</v>
      </c>
      <c r="E862" s="29" t="s">
        <v>2162</v>
      </c>
      <c r="F862" s="30">
        <v>0.25</v>
      </c>
      <c r="G862" s="31"/>
      <c r="H862" s="31"/>
      <c r="I862" s="31"/>
      <c r="J862" s="31"/>
    </row>
    <row r="863" spans="1:10" ht="14.4" x14ac:dyDescent="0.3">
      <c r="A863" s="28" t="str">
        <f>B863&amp;C863&amp;D863&amp;E863</f>
        <v>ЗоотоварыДля собакКорма и ЛакомстваАксессуары для кормления</v>
      </c>
      <c r="B863" s="29" t="s">
        <v>214</v>
      </c>
      <c r="C863" s="29" t="s">
        <v>509</v>
      </c>
      <c r="D863" s="29" t="s">
        <v>658</v>
      </c>
      <c r="E863" s="29" t="s">
        <v>2165</v>
      </c>
      <c r="F863" s="30">
        <v>0.25</v>
      </c>
      <c r="G863" s="31"/>
      <c r="H863" s="31"/>
      <c r="I863" s="31"/>
      <c r="J863" s="31"/>
    </row>
    <row r="864" spans="1:10" ht="14.4" x14ac:dyDescent="0.3">
      <c r="A864" s="28" t="str">
        <f>B864&amp;C864&amp;D864&amp;E864</f>
        <v>ОдеждаМужская одеждаСпортивная одеждаРашгарды</v>
      </c>
      <c r="B864" s="29" t="s">
        <v>92</v>
      </c>
      <c r="C864" s="29" t="s">
        <v>112</v>
      </c>
      <c r="D864" s="29" t="s">
        <v>158</v>
      </c>
      <c r="E864" s="29" t="s">
        <v>2171</v>
      </c>
      <c r="F864" s="30">
        <v>0.25</v>
      </c>
      <c r="G864" s="31"/>
      <c r="H864" s="31"/>
      <c r="I864" s="31"/>
      <c r="J864" s="31"/>
    </row>
    <row r="865" spans="1:10" ht="14.4" x14ac:dyDescent="0.3">
      <c r="A865" s="28" t="str">
        <f>B865&amp;C865&amp;D865&amp;E865</f>
        <v>Спорт и отдыхОтдых на природе, рыбалка и охотаТуризм и отдых на природеКотелки и костровые треноги</v>
      </c>
      <c r="B865" s="29" t="s">
        <v>101</v>
      </c>
      <c r="C865" s="29" t="s">
        <v>166</v>
      </c>
      <c r="D865" s="29" t="s">
        <v>204</v>
      </c>
      <c r="E865" s="29" t="s">
        <v>2174</v>
      </c>
      <c r="F865" s="30">
        <v>0.25</v>
      </c>
      <c r="G865" s="31"/>
      <c r="H865" s="31"/>
      <c r="I865" s="31"/>
      <c r="J865" s="31"/>
    </row>
    <row r="866" spans="1:10" ht="14.4" x14ac:dyDescent="0.3">
      <c r="A866" s="28" t="str">
        <f>B866&amp;C866&amp;D866&amp;E866</f>
        <v>ОдеждаЖенская одеждаБрюкиКлассические брюки</v>
      </c>
      <c r="B866" s="29" t="s">
        <v>92</v>
      </c>
      <c r="C866" s="29" t="s">
        <v>93</v>
      </c>
      <c r="D866" s="29" t="s">
        <v>460</v>
      </c>
      <c r="E866" s="29" t="s">
        <v>461</v>
      </c>
      <c r="F866" s="30">
        <v>0.25</v>
      </c>
      <c r="G866" s="31"/>
      <c r="H866" s="31"/>
      <c r="I866" s="31"/>
      <c r="J866" s="31"/>
    </row>
    <row r="867" spans="1:10" ht="14.4" x14ac:dyDescent="0.3">
      <c r="A867" s="28" t="str">
        <f>B867&amp;C867&amp;D867&amp;E867</f>
        <v>Товары для домаТовары для кухниКухонные инструментыВспениватели молока</v>
      </c>
      <c r="B867" s="29" t="s">
        <v>59</v>
      </c>
      <c r="C867" s="29" t="s">
        <v>60</v>
      </c>
      <c r="D867" s="29" t="s">
        <v>1006</v>
      </c>
      <c r="E867" s="29" t="s">
        <v>2185</v>
      </c>
      <c r="F867" s="30">
        <v>0.25</v>
      </c>
      <c r="G867" s="31"/>
      <c r="H867" s="31"/>
      <c r="I867" s="31"/>
      <c r="J867" s="31"/>
    </row>
    <row r="868" spans="1:10" ht="14.4" x14ac:dyDescent="0.3">
      <c r="A868" s="28" t="str">
        <f>B868&amp;C868&amp;D868&amp;E868</f>
        <v>Строительство и ремонтИнструментыЗапчастиПолировальные насадки</v>
      </c>
      <c r="B868" s="29" t="s">
        <v>77</v>
      </c>
      <c r="C868" s="29" t="s">
        <v>78</v>
      </c>
      <c r="D868" s="29" t="s">
        <v>1757</v>
      </c>
      <c r="E868" s="29" t="s">
        <v>2190</v>
      </c>
      <c r="F868" s="30">
        <v>0.25</v>
      </c>
      <c r="G868" s="31"/>
      <c r="H868" s="31"/>
      <c r="I868" s="31"/>
      <c r="J868" s="31"/>
    </row>
    <row r="869" spans="1:10" ht="14.4" x14ac:dyDescent="0.3">
      <c r="A869" s="28" t="str">
        <f>B869&amp;C869&amp;D869&amp;E869</f>
        <v>ЭлектроникаЧасы и электронные будильникиПроекционные часыПроекционные часы</v>
      </c>
      <c r="B869" s="29" t="s">
        <v>67</v>
      </c>
      <c r="C869" s="29" t="s">
        <v>2193</v>
      </c>
      <c r="D869" s="29" t="s">
        <v>2194</v>
      </c>
      <c r="E869" s="29" t="s">
        <v>2194</v>
      </c>
      <c r="F869" s="30">
        <v>0.25</v>
      </c>
      <c r="G869" s="31"/>
      <c r="H869" s="31"/>
      <c r="I869" s="31"/>
      <c r="J869" s="31"/>
    </row>
    <row r="870" spans="1:10" ht="14.4" x14ac:dyDescent="0.3">
      <c r="A870" s="28" t="str">
        <f>B870&amp;C870&amp;D870&amp;E870</f>
        <v>ОдеждаМужская одеждаПиджаки и костюмыКлассические жилеты</v>
      </c>
      <c r="B870" s="29" t="s">
        <v>92</v>
      </c>
      <c r="C870" s="29" t="s">
        <v>112</v>
      </c>
      <c r="D870" s="29" t="s">
        <v>1015</v>
      </c>
      <c r="E870" s="29" t="s">
        <v>2196</v>
      </c>
      <c r="F870" s="30">
        <v>0.25</v>
      </c>
      <c r="G870" s="31"/>
      <c r="H870" s="31"/>
      <c r="I870" s="31"/>
      <c r="J870" s="31"/>
    </row>
    <row r="871" spans="1:10" ht="14.4" x14ac:dyDescent="0.3">
      <c r="A871" s="28" t="str">
        <f>B871&amp;C871&amp;D871&amp;E871</f>
        <v>АвтотоварыАксессуары и принадлежностиЗащита кузова автоЗащита внешних частей</v>
      </c>
      <c r="B871" s="29" t="s">
        <v>12</v>
      </c>
      <c r="C871" s="29" t="s">
        <v>253</v>
      </c>
      <c r="D871" s="29" t="s">
        <v>1001</v>
      </c>
      <c r="E871" s="29" t="s">
        <v>2200</v>
      </c>
      <c r="F871" s="30">
        <v>0.25</v>
      </c>
      <c r="G871" s="31"/>
      <c r="H871" s="31"/>
      <c r="I871" s="31"/>
      <c r="J871" s="31"/>
    </row>
    <row r="872" spans="1:10" ht="14.4" x14ac:dyDescent="0.3">
      <c r="A872" s="28" t="str">
        <f>B872&amp;C872&amp;D872&amp;E872</f>
        <v>Товары для домаТовары для кухниТарелки и блюдаМиски и салатницы</v>
      </c>
      <c r="B872" s="29" t="s">
        <v>59</v>
      </c>
      <c r="C872" s="29" t="s">
        <v>60</v>
      </c>
      <c r="D872" s="29" t="s">
        <v>814</v>
      </c>
      <c r="E872" s="29" t="s">
        <v>2204</v>
      </c>
      <c r="F872" s="30">
        <v>0.25</v>
      </c>
      <c r="G872" s="31"/>
      <c r="H872" s="31"/>
      <c r="I872" s="31"/>
      <c r="J872" s="31"/>
    </row>
    <row r="873" spans="1:10" ht="14.4" x14ac:dyDescent="0.3">
      <c r="A873" s="28" t="str">
        <f>B873&amp;C873&amp;D873&amp;E873</f>
        <v>ОдеждаЖенская одеждаХуди и свитшотыСвитшоты</v>
      </c>
      <c r="B873" s="29" t="s">
        <v>92</v>
      </c>
      <c r="C873" s="29" t="s">
        <v>93</v>
      </c>
      <c r="D873" s="29" t="s">
        <v>1149</v>
      </c>
      <c r="E873" s="29" t="s">
        <v>1192</v>
      </c>
      <c r="F873" s="30">
        <v>0.25</v>
      </c>
      <c r="G873" s="31"/>
      <c r="H873" s="31"/>
      <c r="I873" s="31"/>
      <c r="J873" s="31"/>
    </row>
    <row r="874" spans="1:10" ht="14.4" x14ac:dyDescent="0.3">
      <c r="A874" s="28" t="str">
        <f>B874&amp;C874&amp;D874&amp;E874</f>
        <v>ОдеждаМужская одеждаСпецодеждаМедицинская одежда</v>
      </c>
      <c r="B874" s="29" t="s">
        <v>92</v>
      </c>
      <c r="C874" s="29" t="s">
        <v>112</v>
      </c>
      <c r="D874" s="29" t="s">
        <v>780</v>
      </c>
      <c r="E874" s="29" t="s">
        <v>2217</v>
      </c>
      <c r="F874" s="30">
        <v>0.25</v>
      </c>
      <c r="G874" s="31"/>
      <c r="H874" s="31"/>
      <c r="I874" s="31"/>
      <c r="J874" s="31"/>
    </row>
    <row r="875" spans="1:10" ht="14.4" x14ac:dyDescent="0.3">
      <c r="A875" s="28" t="str">
        <f>B875&amp;C875&amp;D875&amp;E875</f>
        <v>ОдеждаЖенская одеждаНижнее бельёПодвязки и пояса для чулок</v>
      </c>
      <c r="B875" s="29" t="s">
        <v>92</v>
      </c>
      <c r="C875" s="29" t="s">
        <v>93</v>
      </c>
      <c r="D875" s="29" t="s">
        <v>113</v>
      </c>
      <c r="E875" s="29" t="s">
        <v>2222</v>
      </c>
      <c r="F875" s="30">
        <v>0.25</v>
      </c>
      <c r="G875" s="31"/>
      <c r="H875" s="31"/>
      <c r="I875" s="31"/>
      <c r="J875" s="31"/>
    </row>
    <row r="876" spans="1:10" ht="14.4" x14ac:dyDescent="0.3">
      <c r="A876" s="28" t="str">
        <f>B876&amp;C876&amp;D876&amp;E876</f>
        <v>Товары для домаТовары для кухниАксессуары для напитковТовары для чая матча</v>
      </c>
      <c r="B876" s="29" t="s">
        <v>59</v>
      </c>
      <c r="C876" s="29" t="s">
        <v>60</v>
      </c>
      <c r="D876" s="29" t="s">
        <v>346</v>
      </c>
      <c r="E876" s="29" t="s">
        <v>2223</v>
      </c>
      <c r="F876" s="30">
        <v>0.25</v>
      </c>
      <c r="G876" s="31"/>
      <c r="H876" s="31"/>
      <c r="I876" s="31"/>
      <c r="J876" s="31"/>
    </row>
    <row r="877" spans="1:10" ht="14.4" x14ac:dyDescent="0.3">
      <c r="A877" s="28" t="str">
        <f>B877&amp;C877&amp;D877&amp;E877</f>
        <v>ОдеждаЖенская одеждаКостюмы и комплектыКомплекты</v>
      </c>
      <c r="B877" s="29" t="s">
        <v>92</v>
      </c>
      <c r="C877" s="29" t="s">
        <v>93</v>
      </c>
      <c r="D877" s="29" t="s">
        <v>1898</v>
      </c>
      <c r="E877" s="29" t="s">
        <v>2231</v>
      </c>
      <c r="F877" s="30">
        <v>0.25</v>
      </c>
      <c r="G877" s="31"/>
      <c r="H877" s="31"/>
      <c r="I877" s="31"/>
      <c r="J877" s="31"/>
    </row>
    <row r="878" spans="1:10" ht="14.4" x14ac:dyDescent="0.3">
      <c r="A878" s="28" t="str">
        <f>B878&amp;C878&amp;D878&amp;E878</f>
        <v>ОдеждаЖенская одеждаЮбкиЮбки-трапеции и широкие</v>
      </c>
      <c r="B878" s="29" t="s">
        <v>92</v>
      </c>
      <c r="C878" s="29" t="s">
        <v>93</v>
      </c>
      <c r="D878" s="29" t="s">
        <v>570</v>
      </c>
      <c r="E878" s="29" t="s">
        <v>2235</v>
      </c>
      <c r="F878" s="30">
        <v>0.25</v>
      </c>
      <c r="G878" s="31"/>
      <c r="H878" s="31"/>
      <c r="I878" s="31"/>
      <c r="J878" s="31"/>
    </row>
    <row r="879" spans="1:10" ht="14.4" x14ac:dyDescent="0.3">
      <c r="A879" s="28" t="str">
        <f>B879&amp;C879&amp;D879&amp;E879</f>
        <v>ОдеждаМужская одеждаОдежда больших размеровДжинсы</v>
      </c>
      <c r="B879" s="29" t="s">
        <v>92</v>
      </c>
      <c r="C879" s="29" t="s">
        <v>112</v>
      </c>
      <c r="D879" s="29" t="s">
        <v>532</v>
      </c>
      <c r="E879" s="29" t="s">
        <v>544</v>
      </c>
      <c r="F879" s="30">
        <v>0.25</v>
      </c>
      <c r="G879" s="31"/>
      <c r="H879" s="31"/>
      <c r="I879" s="31"/>
      <c r="J879" s="31"/>
    </row>
    <row r="880" spans="1:10" ht="14.4" x14ac:dyDescent="0.3">
      <c r="A880" s="28" t="str">
        <f>B880&amp;C880&amp;D880&amp;E880</f>
        <v>ОдеждаМужская одеждаРубашкиРубашки с длинным рукавом</v>
      </c>
      <c r="B880" s="29" t="s">
        <v>92</v>
      </c>
      <c r="C880" s="29" t="s">
        <v>112</v>
      </c>
      <c r="D880" s="29" t="s">
        <v>1362</v>
      </c>
      <c r="E880" s="29" t="s">
        <v>2240</v>
      </c>
      <c r="F880" s="30">
        <v>0.25</v>
      </c>
      <c r="G880" s="31"/>
      <c r="H880" s="31"/>
      <c r="I880" s="31"/>
      <c r="J880" s="31"/>
    </row>
    <row r="881" spans="1:10" ht="14.4" x14ac:dyDescent="0.3">
      <c r="A881" s="28" t="str">
        <f>B881&amp;C881&amp;D881&amp;E881</f>
        <v>ОдеждаЖенская одеждаСпецодеждаМедицинская одежда</v>
      </c>
      <c r="B881" s="29" t="s">
        <v>92</v>
      </c>
      <c r="C881" s="29" t="s">
        <v>93</v>
      </c>
      <c r="D881" s="29" t="s">
        <v>780</v>
      </c>
      <c r="E881" s="29" t="s">
        <v>2217</v>
      </c>
      <c r="F881" s="30">
        <v>0.25</v>
      </c>
      <c r="G881" s="31"/>
      <c r="H881" s="31"/>
      <c r="I881" s="31"/>
      <c r="J881" s="31"/>
    </row>
    <row r="882" spans="1:10" ht="14.4" x14ac:dyDescent="0.3">
      <c r="A882" s="28" t="str">
        <f>B882&amp;C882&amp;D882&amp;E882</f>
        <v>Товары для домаТовары для кухниКухонные инструментыНожницы кухонные</v>
      </c>
      <c r="B882" s="29" t="s">
        <v>59</v>
      </c>
      <c r="C882" s="29" t="s">
        <v>60</v>
      </c>
      <c r="D882" s="29" t="s">
        <v>1006</v>
      </c>
      <c r="E882" s="29" t="s">
        <v>2250</v>
      </c>
      <c r="F882" s="30">
        <v>0.25</v>
      </c>
      <c r="G882" s="31"/>
      <c r="H882" s="31"/>
      <c r="I882" s="31"/>
      <c r="J882" s="31"/>
    </row>
    <row r="883" spans="1:10" ht="14.4" x14ac:dyDescent="0.3">
      <c r="A883" s="28" t="str">
        <f>B883&amp;C883&amp;D883&amp;E883</f>
        <v>Товары для домаТовары для кухниКружки, стаканы и бокалыРюмки и стопки</v>
      </c>
      <c r="B883" s="29" t="s">
        <v>59</v>
      </c>
      <c r="C883" s="29" t="s">
        <v>60</v>
      </c>
      <c r="D883" s="29" t="s">
        <v>1461</v>
      </c>
      <c r="E883" s="29" t="s">
        <v>2258</v>
      </c>
      <c r="F883" s="30">
        <v>0.25</v>
      </c>
      <c r="G883" s="31"/>
      <c r="H883" s="31"/>
      <c r="I883" s="31"/>
      <c r="J883" s="31"/>
    </row>
    <row r="884" spans="1:10" ht="14.4" x14ac:dyDescent="0.3">
      <c r="A884" s="28" t="str">
        <f>B884&amp;C884&amp;D884&amp;E884</f>
        <v>АвтотоварыАксессуары и принадлежностиАварийные принадлежностиКанистры для бензина</v>
      </c>
      <c r="B884" s="29" t="s">
        <v>12</v>
      </c>
      <c r="C884" s="29" t="s">
        <v>253</v>
      </c>
      <c r="D884" s="29" t="s">
        <v>528</v>
      </c>
      <c r="E884" s="29" t="s">
        <v>2264</v>
      </c>
      <c r="F884" s="30">
        <v>0.25</v>
      </c>
      <c r="G884" s="31"/>
      <c r="H884" s="31"/>
      <c r="I884" s="31"/>
      <c r="J884" s="31"/>
    </row>
    <row r="885" spans="1:10" ht="14.4" x14ac:dyDescent="0.3">
      <c r="A885" s="28" t="str">
        <f>B885&amp;C885&amp;D885&amp;E885</f>
        <v>Товары для домаТовары для кухниЧайники и кофейникиКофейники</v>
      </c>
      <c r="B885" s="29" t="s">
        <v>59</v>
      </c>
      <c r="C885" s="29" t="s">
        <v>60</v>
      </c>
      <c r="D885" s="29" t="s">
        <v>400</v>
      </c>
      <c r="E885" s="29" t="s">
        <v>2265</v>
      </c>
      <c r="F885" s="30">
        <v>0.25</v>
      </c>
      <c r="G885" s="31"/>
      <c r="H885" s="31"/>
      <c r="I885" s="31"/>
      <c r="J885" s="31"/>
    </row>
    <row r="886" spans="1:10" ht="14.4" x14ac:dyDescent="0.3">
      <c r="A886" s="28" t="str">
        <f>B886&amp;C886&amp;D886&amp;E886</f>
        <v>ОдеждаЖенская одеждаНижнее бельёМайки и бельевые топы</v>
      </c>
      <c r="B886" s="29" t="s">
        <v>92</v>
      </c>
      <c r="C886" s="29" t="s">
        <v>93</v>
      </c>
      <c r="D886" s="29" t="s">
        <v>113</v>
      </c>
      <c r="E886" s="29" t="s">
        <v>2272</v>
      </c>
      <c r="F886" s="30">
        <v>0.25</v>
      </c>
      <c r="G886" s="31"/>
      <c r="H886" s="31"/>
      <c r="I886" s="31"/>
      <c r="J886" s="31"/>
    </row>
    <row r="887" spans="1:10" ht="14.4" x14ac:dyDescent="0.3">
      <c r="A887" s="28" t="str">
        <f>B887&amp;C887&amp;D887&amp;E887</f>
        <v>ОдеждаЖенская одеждаКупальники и пляжная одеждаСлитные купальники и монокини</v>
      </c>
      <c r="B887" s="29" t="s">
        <v>92</v>
      </c>
      <c r="C887" s="29" t="s">
        <v>93</v>
      </c>
      <c r="D887" s="29" t="s">
        <v>760</v>
      </c>
      <c r="E887" s="29" t="s">
        <v>2275</v>
      </c>
      <c r="F887" s="30">
        <v>0.25</v>
      </c>
      <c r="G887" s="31"/>
      <c r="H887" s="31"/>
      <c r="I887" s="31"/>
      <c r="J887" s="31"/>
    </row>
    <row r="888" spans="1:10" ht="14.4" x14ac:dyDescent="0.3">
      <c r="A888" s="28" t="str">
        <f>B888&amp;C888&amp;D888&amp;E888</f>
        <v>АвтотоварыАксессуары и принадлежностиОбустройство салонаПепельницы автомобильные</v>
      </c>
      <c r="B888" s="29" t="s">
        <v>12</v>
      </c>
      <c r="C888" s="29" t="s">
        <v>253</v>
      </c>
      <c r="D888" s="29" t="s">
        <v>256</v>
      </c>
      <c r="E888" s="29" t="s">
        <v>2278</v>
      </c>
      <c r="F888" s="30">
        <v>0.25</v>
      </c>
      <c r="G888" s="31"/>
      <c r="H888" s="31"/>
      <c r="I888" s="31"/>
      <c r="J888" s="31"/>
    </row>
    <row r="889" spans="1:10" ht="14.4" x14ac:dyDescent="0.3">
      <c r="A889" s="28" t="str">
        <f>B889&amp;C889&amp;D889&amp;E889</f>
        <v>ОдеждаМужская одеждаСпецодеждаОдежда для поваров и официантов</v>
      </c>
      <c r="B889" s="29" t="s">
        <v>92</v>
      </c>
      <c r="C889" s="29" t="s">
        <v>112</v>
      </c>
      <c r="D889" s="29" t="s">
        <v>780</v>
      </c>
      <c r="E889" s="29" t="s">
        <v>2280</v>
      </c>
      <c r="F889" s="30">
        <v>0.25</v>
      </c>
      <c r="G889" s="31"/>
      <c r="H889" s="31"/>
      <c r="I889" s="31"/>
      <c r="J889" s="31"/>
    </row>
    <row r="890" spans="1:10" ht="14.4" x14ac:dyDescent="0.3">
      <c r="A890" s="28" t="str">
        <f>B890&amp;C890&amp;D890&amp;E890</f>
        <v>ОдеждаЖенская одеждаОдежда для беременныхПлатья</v>
      </c>
      <c r="B890" s="29" t="s">
        <v>92</v>
      </c>
      <c r="C890" s="29" t="s">
        <v>93</v>
      </c>
      <c r="D890" s="29" t="s">
        <v>816</v>
      </c>
      <c r="E890" s="29" t="s">
        <v>2291</v>
      </c>
      <c r="F890" s="30">
        <v>0.25</v>
      </c>
      <c r="G890" s="31"/>
      <c r="H890" s="31"/>
      <c r="I890" s="31"/>
      <c r="J890" s="31"/>
    </row>
    <row r="891" spans="1:10" ht="14.4" x14ac:dyDescent="0.3">
      <c r="A891" s="28" t="str">
        <f>B891&amp;C891&amp;D891&amp;E891</f>
        <v>Спорт и отдыхОтдых на природе, рыбалка и охотаТуризм и отдых на природеНасосы</v>
      </c>
      <c r="B891" s="29" t="s">
        <v>101</v>
      </c>
      <c r="C891" s="29" t="s">
        <v>166</v>
      </c>
      <c r="D891" s="29" t="s">
        <v>204</v>
      </c>
      <c r="E891" s="29" t="s">
        <v>2292</v>
      </c>
      <c r="F891" s="30">
        <v>0.25</v>
      </c>
      <c r="G891" s="31"/>
      <c r="H891" s="31"/>
      <c r="I891" s="31"/>
      <c r="J891" s="31"/>
    </row>
    <row r="892" spans="1:10" ht="14.4" x14ac:dyDescent="0.3">
      <c r="A892" s="28" t="str">
        <f>B892&amp;C892&amp;D892&amp;E892</f>
        <v>Строительство и ремонтРучной инструмент и оснасткаКрепежПластины крепежные</v>
      </c>
      <c r="B892" s="29" t="s">
        <v>77</v>
      </c>
      <c r="C892" s="29" t="s">
        <v>127</v>
      </c>
      <c r="D892" s="29" t="s">
        <v>350</v>
      </c>
      <c r="E892" s="29" t="s">
        <v>2294</v>
      </c>
      <c r="F892" s="30">
        <v>0.25</v>
      </c>
      <c r="G892" s="31"/>
      <c r="H892" s="31"/>
      <c r="I892" s="31"/>
      <c r="J892" s="31"/>
    </row>
    <row r="893" spans="1:10" ht="14.4" x14ac:dyDescent="0.3">
      <c r="A893" s="28" t="str">
        <f>B893&amp;C893&amp;D893&amp;E893</f>
        <v>АвтотоварыАксессуары и принадлежностиЧехлы и органайзерыОрганайзеры и сумки</v>
      </c>
      <c r="B893" s="29" t="s">
        <v>12</v>
      </c>
      <c r="C893" s="29" t="s">
        <v>253</v>
      </c>
      <c r="D893" s="29" t="s">
        <v>1219</v>
      </c>
      <c r="E893" s="29" t="s">
        <v>2297</v>
      </c>
      <c r="F893" s="30">
        <v>0.25</v>
      </c>
      <c r="G893" s="31"/>
      <c r="H893" s="31"/>
      <c r="I893" s="31"/>
      <c r="J893" s="31"/>
    </row>
    <row r="894" spans="1:10" ht="14.4" x14ac:dyDescent="0.3">
      <c r="A894" s="28" t="str">
        <f>B894&amp;C894&amp;D894&amp;E894</f>
        <v>АвтотоварыАксессуары и принадлежностиОбустройство салонаОплетки и ручки на руль</v>
      </c>
      <c r="B894" s="29" t="s">
        <v>12</v>
      </c>
      <c r="C894" s="29" t="s">
        <v>253</v>
      </c>
      <c r="D894" s="29" t="s">
        <v>256</v>
      </c>
      <c r="E894" s="29" t="s">
        <v>2298</v>
      </c>
      <c r="F894" s="30">
        <v>0.25</v>
      </c>
      <c r="G894" s="31"/>
      <c r="H894" s="31"/>
      <c r="I894" s="31"/>
      <c r="J894" s="31"/>
    </row>
    <row r="895" spans="1:10" ht="14.4" x14ac:dyDescent="0.3">
      <c r="A895" s="28" t="str">
        <f>B895&amp;C895&amp;D895&amp;E895</f>
        <v>Строительство и ремонтРучной инструмент и оснасткаФурнитураОконная фурнитура</v>
      </c>
      <c r="B895" s="29" t="s">
        <v>77</v>
      </c>
      <c r="C895" s="29" t="s">
        <v>127</v>
      </c>
      <c r="D895" s="29" t="s">
        <v>1475</v>
      </c>
      <c r="E895" s="29" t="s">
        <v>2299</v>
      </c>
      <c r="F895" s="30">
        <v>0.25</v>
      </c>
      <c r="G895" s="31"/>
      <c r="H895" s="31"/>
      <c r="I895" s="31"/>
      <c r="J895" s="31"/>
    </row>
    <row r="896" spans="1:10" ht="14.4" x14ac:dyDescent="0.3">
      <c r="A896" s="28" t="str">
        <f>B896&amp;C896&amp;D896&amp;E896</f>
        <v>АвтотоварыАксессуары и принадлежностиПеревозка багажаАксессуары для прицепов</v>
      </c>
      <c r="B896" s="29" t="s">
        <v>12</v>
      </c>
      <c r="C896" s="29" t="s">
        <v>253</v>
      </c>
      <c r="D896" s="29" t="s">
        <v>271</v>
      </c>
      <c r="E896" s="29" t="s">
        <v>2306</v>
      </c>
      <c r="F896" s="30">
        <v>0.25</v>
      </c>
      <c r="G896" s="31"/>
      <c r="H896" s="31"/>
      <c r="I896" s="31"/>
      <c r="J896" s="31"/>
    </row>
    <row r="897" spans="1:10" ht="14.4" x14ac:dyDescent="0.3">
      <c r="A897" s="28" t="str">
        <f>B897&amp;C897&amp;D897&amp;E897</f>
        <v>Товары для домаТовары для кухниПорядок на кухнеПодставки и держатели</v>
      </c>
      <c r="B897" s="29" t="s">
        <v>59</v>
      </c>
      <c r="C897" s="29" t="s">
        <v>60</v>
      </c>
      <c r="D897" s="29" t="s">
        <v>300</v>
      </c>
      <c r="E897" s="29" t="s">
        <v>1392</v>
      </c>
      <c r="F897" s="30">
        <v>0.25</v>
      </c>
      <c r="G897" s="31"/>
      <c r="H897" s="31"/>
      <c r="I897" s="31"/>
      <c r="J897" s="31"/>
    </row>
    <row r="898" spans="1:10" ht="14.4" x14ac:dyDescent="0.3">
      <c r="A898" s="28" t="str">
        <f>B898&amp;C898&amp;D898&amp;E898</f>
        <v>Строительство и ремонтРучной инструмент и оснасткаСредства индивидуальной защитыКаски</v>
      </c>
      <c r="B898" s="29" t="s">
        <v>77</v>
      </c>
      <c r="C898" s="29" t="s">
        <v>127</v>
      </c>
      <c r="D898" s="29" t="s">
        <v>619</v>
      </c>
      <c r="E898" s="29" t="s">
        <v>2313</v>
      </c>
      <c r="F898" s="30">
        <v>0.25</v>
      </c>
      <c r="G898" s="31"/>
      <c r="H898" s="31"/>
      <c r="I898" s="31"/>
      <c r="J898" s="31"/>
    </row>
    <row r="899" spans="1:10" ht="14.4" x14ac:dyDescent="0.3">
      <c r="A899" s="28" t="str">
        <f>B899&amp;C899&amp;D899&amp;E899</f>
        <v>ОдеждаЖенская одеждаПиджаки и костюмыКлассические жилеты</v>
      </c>
      <c r="B899" s="29" t="s">
        <v>92</v>
      </c>
      <c r="C899" s="29" t="s">
        <v>93</v>
      </c>
      <c r="D899" s="29" t="s">
        <v>1015</v>
      </c>
      <c r="E899" s="29" t="s">
        <v>2196</v>
      </c>
      <c r="F899" s="30">
        <v>0.25</v>
      </c>
      <c r="G899" s="31"/>
      <c r="H899" s="31"/>
      <c r="I899" s="31"/>
      <c r="J899" s="31"/>
    </row>
    <row r="900" spans="1:10" ht="14.4" x14ac:dyDescent="0.3">
      <c r="A900" s="28" t="str">
        <f>B900&amp;C900&amp;D900&amp;E900</f>
        <v>Дача, сад и огородПикник, барбекю, грильУгольУголь</v>
      </c>
      <c r="B900" s="29" t="s">
        <v>352</v>
      </c>
      <c r="C900" s="29" t="s">
        <v>1048</v>
      </c>
      <c r="D900" s="29" t="s">
        <v>918</v>
      </c>
      <c r="E900" s="29" t="s">
        <v>918</v>
      </c>
      <c r="F900" s="30">
        <v>0.25</v>
      </c>
      <c r="G900" s="31"/>
      <c r="H900" s="31"/>
      <c r="I900" s="31"/>
      <c r="J900" s="31"/>
    </row>
    <row r="901" spans="1:10" ht="14.4" x14ac:dyDescent="0.3">
      <c r="A901" s="28" t="str">
        <f>B901&amp;C901&amp;D901&amp;E901</f>
        <v>ОдеждаЖенская одеждаВерхняя одеждаДождевики</v>
      </c>
      <c r="B901" s="29" t="s">
        <v>92</v>
      </c>
      <c r="C901" s="29" t="s">
        <v>93</v>
      </c>
      <c r="D901" s="29" t="s">
        <v>144</v>
      </c>
      <c r="E901" s="29" t="s">
        <v>2316</v>
      </c>
      <c r="F901" s="30">
        <v>0.25</v>
      </c>
      <c r="G901" s="31"/>
      <c r="H901" s="31"/>
      <c r="I901" s="31"/>
      <c r="J901" s="31"/>
    </row>
    <row r="902" spans="1:10" ht="14.4" x14ac:dyDescent="0.3">
      <c r="A902" s="28" t="str">
        <f>B902&amp;C902&amp;D902&amp;E902</f>
        <v>Спорт и отдыхБассейны и аксессуарыШарики для сухих бассейновШарики для сухих бассейнов</v>
      </c>
      <c r="B902" s="29" t="s">
        <v>101</v>
      </c>
      <c r="C902" s="29" t="s">
        <v>102</v>
      </c>
      <c r="D902" s="29" t="s">
        <v>2317</v>
      </c>
      <c r="E902" s="29" t="s">
        <v>2317</v>
      </c>
      <c r="F902" s="30">
        <v>0.25</v>
      </c>
      <c r="G902" s="31"/>
      <c r="H902" s="31"/>
      <c r="I902" s="31"/>
      <c r="J902" s="31"/>
    </row>
    <row r="903" spans="1:10" ht="14.4" x14ac:dyDescent="0.3">
      <c r="A903" s="28" t="str">
        <f>B903&amp;C903&amp;D903&amp;E903</f>
        <v>Красота и уходУход за теломАксессуары для ухода за теломВарежки для парафинотерапии</v>
      </c>
      <c r="B903" s="29" t="s">
        <v>56</v>
      </c>
      <c r="C903" s="29" t="s">
        <v>100</v>
      </c>
      <c r="D903" s="29" t="s">
        <v>295</v>
      </c>
      <c r="E903" s="29" t="s">
        <v>2320</v>
      </c>
      <c r="F903" s="30">
        <v>0.25</v>
      </c>
      <c r="G903" s="31"/>
      <c r="H903" s="31"/>
      <c r="I903" s="31"/>
      <c r="J903" s="31"/>
    </row>
    <row r="904" spans="1:10" ht="14.4" x14ac:dyDescent="0.3">
      <c r="A904" s="28" t="str">
        <f>B904&amp;C904&amp;D904&amp;E904</f>
        <v>ОдеждаЖенская одеждаДжинсыЗауженные джинсы</v>
      </c>
      <c r="B904" s="29" t="s">
        <v>92</v>
      </c>
      <c r="C904" s="29" t="s">
        <v>93</v>
      </c>
      <c r="D904" s="29" t="s">
        <v>544</v>
      </c>
      <c r="E904" s="29" t="s">
        <v>545</v>
      </c>
      <c r="F904" s="30">
        <v>0.25</v>
      </c>
      <c r="G904" s="31"/>
      <c r="H904" s="31"/>
      <c r="I904" s="31"/>
      <c r="J904" s="31"/>
    </row>
    <row r="905" spans="1:10" ht="14.4" x14ac:dyDescent="0.3">
      <c r="A905" s="28" t="str">
        <f>B905&amp;C905&amp;D905&amp;E905</f>
        <v>ОдеждаМужская одеждаФутболки и полоФутболки с коротким рукавом</v>
      </c>
      <c r="B905" s="29" t="s">
        <v>92</v>
      </c>
      <c r="C905" s="29" t="s">
        <v>112</v>
      </c>
      <c r="D905" s="29" t="s">
        <v>457</v>
      </c>
      <c r="E905" s="29" t="s">
        <v>2326</v>
      </c>
      <c r="F905" s="30">
        <v>0.25</v>
      </c>
      <c r="G905" s="31"/>
      <c r="H905" s="31"/>
      <c r="I905" s="31"/>
      <c r="J905" s="31"/>
    </row>
    <row r="906" spans="1:10" ht="14.4" x14ac:dyDescent="0.3">
      <c r="A906" s="28" t="str">
        <f>B906&amp;C906&amp;D906&amp;E906</f>
        <v>АвтотоварыАксессуары и принадлежностиОбустройство салонаНакладки на педали</v>
      </c>
      <c r="B906" s="29" t="s">
        <v>12</v>
      </c>
      <c r="C906" s="29" t="s">
        <v>253</v>
      </c>
      <c r="D906" s="29" t="s">
        <v>256</v>
      </c>
      <c r="E906" s="29" t="s">
        <v>2335</v>
      </c>
      <c r="F906" s="30">
        <v>0.25</v>
      </c>
      <c r="G906" s="31"/>
      <c r="H906" s="31"/>
      <c r="I906" s="31"/>
      <c r="J906" s="31"/>
    </row>
    <row r="907" spans="1:10" ht="14.4" x14ac:dyDescent="0.3">
      <c r="A907" s="28" t="str">
        <f>B907&amp;C907&amp;D907&amp;E907</f>
        <v>Товары для домаТовары для кухниАксессуары для напитковАксессуары для коктейлей</v>
      </c>
      <c r="B907" s="29" t="s">
        <v>59</v>
      </c>
      <c r="C907" s="29" t="s">
        <v>60</v>
      </c>
      <c r="D907" s="29" t="s">
        <v>346</v>
      </c>
      <c r="E907" s="29" t="s">
        <v>2337</v>
      </c>
      <c r="F907" s="30">
        <v>0.25</v>
      </c>
      <c r="G907" s="31"/>
      <c r="H907" s="31"/>
      <c r="I907" s="31"/>
      <c r="J907" s="31"/>
    </row>
    <row r="908" spans="1:10" ht="14.4" x14ac:dyDescent="0.3">
      <c r="A908" s="28" t="str">
        <f>B908&amp;C908&amp;D908&amp;E908</f>
        <v>Строительство и ремонтОтделочные материалыЛаки и краскиЛаки и краски</v>
      </c>
      <c r="B908" s="29" t="s">
        <v>77</v>
      </c>
      <c r="C908" s="29" t="s">
        <v>241</v>
      </c>
      <c r="D908" s="29" t="s">
        <v>2338</v>
      </c>
      <c r="E908" s="29" t="s">
        <v>2338</v>
      </c>
      <c r="F908" s="30">
        <v>0.25</v>
      </c>
      <c r="G908" s="31"/>
      <c r="H908" s="31"/>
      <c r="I908" s="31"/>
      <c r="J908" s="31"/>
    </row>
    <row r="909" spans="1:10" ht="14.4" x14ac:dyDescent="0.3">
      <c r="A909" s="28" t="str">
        <f>B909&amp;C909&amp;D909&amp;E909</f>
        <v>ЗоотоварыДля птицКупалки и песокКупалки и песок</v>
      </c>
      <c r="B909" s="29" t="s">
        <v>214</v>
      </c>
      <c r="C909" s="29" t="s">
        <v>224</v>
      </c>
      <c r="D909" s="29" t="s">
        <v>2343</v>
      </c>
      <c r="E909" s="29" t="s">
        <v>2343</v>
      </c>
      <c r="F909" s="30">
        <v>0.25</v>
      </c>
      <c r="G909" s="31"/>
      <c r="H909" s="31"/>
      <c r="I909" s="31"/>
      <c r="J909" s="31"/>
    </row>
    <row r="910" spans="1:10" ht="14.4" x14ac:dyDescent="0.3">
      <c r="A910" s="28" t="str">
        <f>B910&amp;C910&amp;D910&amp;E910</f>
        <v>АвтотоварыАксессуары и принадлежностиОбустройство салонаСтолики и полки</v>
      </c>
      <c r="B910" s="29" t="s">
        <v>12</v>
      </c>
      <c r="C910" s="29" t="s">
        <v>253</v>
      </c>
      <c r="D910" s="29" t="s">
        <v>256</v>
      </c>
      <c r="E910" s="29" t="s">
        <v>2347</v>
      </c>
      <c r="F910" s="30">
        <v>0.25</v>
      </c>
      <c r="G910" s="31"/>
      <c r="H910" s="31"/>
      <c r="I910" s="31"/>
      <c r="J910" s="31"/>
    </row>
    <row r="911" spans="1:10" ht="14.4" x14ac:dyDescent="0.3">
      <c r="A911" s="28" t="str">
        <f>B911&amp;C911&amp;D911&amp;E911</f>
        <v>Товары для домаТовары для кухниКухонные инструментыФрукто-овощечистки</v>
      </c>
      <c r="B911" s="29" t="s">
        <v>59</v>
      </c>
      <c r="C911" s="29" t="s">
        <v>60</v>
      </c>
      <c r="D911" s="29" t="s">
        <v>1006</v>
      </c>
      <c r="E911" s="29" t="s">
        <v>2348</v>
      </c>
      <c r="F911" s="30">
        <v>0.25</v>
      </c>
      <c r="G911" s="31"/>
      <c r="H911" s="31"/>
      <c r="I911" s="31"/>
      <c r="J911" s="31"/>
    </row>
    <row r="912" spans="1:10" ht="14.4" x14ac:dyDescent="0.3">
      <c r="A912" s="28" t="str">
        <f>B912&amp;C912&amp;D912&amp;E912</f>
        <v>ОдеждаМужская одеждаСпортивная одеждаСпортивные шорты</v>
      </c>
      <c r="B912" s="29" t="s">
        <v>92</v>
      </c>
      <c r="C912" s="29" t="s">
        <v>112</v>
      </c>
      <c r="D912" s="29" t="s">
        <v>158</v>
      </c>
      <c r="E912" s="29" t="s">
        <v>1263</v>
      </c>
      <c r="F912" s="30">
        <v>0.25</v>
      </c>
      <c r="G912" s="31"/>
      <c r="H912" s="31"/>
      <c r="I912" s="31"/>
      <c r="J912" s="31"/>
    </row>
    <row r="913" spans="1:10" ht="14.4" x14ac:dyDescent="0.3">
      <c r="A913" s="28" t="str">
        <f>B913&amp;C913&amp;D913&amp;E913</f>
        <v>АвтотоварыАксессуары и принадлежностиОбустройство салонаКовры автомобильные</v>
      </c>
      <c r="B913" s="29" t="s">
        <v>12</v>
      </c>
      <c r="C913" s="29" t="s">
        <v>253</v>
      </c>
      <c r="D913" s="29" t="s">
        <v>256</v>
      </c>
      <c r="E913" s="29" t="s">
        <v>2351</v>
      </c>
      <c r="F913" s="30">
        <v>0.25</v>
      </c>
      <c r="G913" s="31"/>
      <c r="H913" s="31"/>
      <c r="I913" s="31"/>
      <c r="J913" s="31"/>
    </row>
    <row r="914" spans="1:10" ht="14.4" x14ac:dyDescent="0.3">
      <c r="A914" s="28" t="str">
        <f>B914&amp;C914&amp;D914&amp;E914</f>
        <v>ОдеждаЖенская одеждаПлатья и сарафаныПлатья-свитеры</v>
      </c>
      <c r="B914" s="29" t="s">
        <v>92</v>
      </c>
      <c r="C914" s="29" t="s">
        <v>93</v>
      </c>
      <c r="D914" s="29" t="s">
        <v>94</v>
      </c>
      <c r="E914" s="29" t="s">
        <v>2353</v>
      </c>
      <c r="F914" s="30">
        <v>0.25</v>
      </c>
      <c r="G914" s="31"/>
      <c r="H914" s="31"/>
      <c r="I914" s="31"/>
      <c r="J914" s="31"/>
    </row>
    <row r="915" spans="1:10" ht="14.4" x14ac:dyDescent="0.3">
      <c r="A915" s="28" t="str">
        <f>B915&amp;C915&amp;D915&amp;E915</f>
        <v>Дача, сад и огородСадовый инструментДругой садовый инструментПлодосборники</v>
      </c>
      <c r="B915" s="29" t="s">
        <v>352</v>
      </c>
      <c r="C915" s="29" t="s">
        <v>353</v>
      </c>
      <c r="D915" s="29" t="s">
        <v>1764</v>
      </c>
      <c r="E915" s="29" t="s">
        <v>2355</v>
      </c>
      <c r="F915" s="30">
        <v>0.25</v>
      </c>
      <c r="G915" s="31"/>
      <c r="H915" s="31"/>
      <c r="I915" s="31"/>
      <c r="J915" s="31"/>
    </row>
    <row r="916" spans="1:10" ht="14.4" x14ac:dyDescent="0.3">
      <c r="A916" s="28" t="str">
        <f>B916&amp;C916&amp;D916&amp;E916</f>
        <v>Спорт и отдыхВиды спортаТеннис и бадминтонБадминтон</v>
      </c>
      <c r="B916" s="29" t="s">
        <v>101</v>
      </c>
      <c r="C916" s="29" t="s">
        <v>446</v>
      </c>
      <c r="D916" s="29" t="s">
        <v>563</v>
      </c>
      <c r="E916" s="29" t="s">
        <v>2356</v>
      </c>
      <c r="F916" s="30">
        <v>0.25</v>
      </c>
      <c r="G916" s="31"/>
      <c r="H916" s="31"/>
      <c r="I916" s="31"/>
      <c r="J916" s="31"/>
    </row>
    <row r="917" spans="1:10" ht="14.4" x14ac:dyDescent="0.3">
      <c r="A917" s="28" t="str">
        <f>B917&amp;C917&amp;D917&amp;E917</f>
        <v>ЗоотоварыДля собакПосудаАвтокормушки и автопоилки</v>
      </c>
      <c r="B917" s="29" t="s">
        <v>214</v>
      </c>
      <c r="C917" s="29" t="s">
        <v>509</v>
      </c>
      <c r="D917" s="29" t="s">
        <v>1035</v>
      </c>
      <c r="E917" s="29" t="s">
        <v>1071</v>
      </c>
      <c r="F917" s="30">
        <v>0.25</v>
      </c>
      <c r="G917" s="31"/>
      <c r="H917" s="31"/>
      <c r="I917" s="31"/>
      <c r="J917" s="31"/>
    </row>
    <row r="918" spans="1:10" ht="14.4" x14ac:dyDescent="0.3">
      <c r="A918" s="28" t="str">
        <f>B918&amp;C918&amp;D918&amp;E918</f>
        <v>АвтотоварыАксессуары и принадлежностиЧехлы и органайзерыАксессуары для перевозки</v>
      </c>
      <c r="B918" s="29" t="s">
        <v>12</v>
      </c>
      <c r="C918" s="29" t="s">
        <v>253</v>
      </c>
      <c r="D918" s="29" t="s">
        <v>1219</v>
      </c>
      <c r="E918" s="29" t="s">
        <v>1042</v>
      </c>
      <c r="F918" s="30">
        <v>0.25</v>
      </c>
      <c r="G918" s="31"/>
      <c r="H918" s="31"/>
      <c r="I918" s="31"/>
      <c r="J918" s="31"/>
    </row>
    <row r="919" spans="1:10" ht="14.4" x14ac:dyDescent="0.3">
      <c r="A919" s="28" t="str">
        <f>B919&amp;C919&amp;D919&amp;E919</f>
        <v>Спорт и отдыхОтдых на природе, рыбалка и охотаТуризм и отдых на природеФляги и питьевые системы</v>
      </c>
      <c r="B919" s="29" t="s">
        <v>101</v>
      </c>
      <c r="C919" s="29" t="s">
        <v>166</v>
      </c>
      <c r="D919" s="29" t="s">
        <v>204</v>
      </c>
      <c r="E919" s="29" t="s">
        <v>2361</v>
      </c>
      <c r="F919" s="30">
        <v>0.25</v>
      </c>
      <c r="G919" s="31"/>
      <c r="H919" s="31"/>
      <c r="I919" s="31"/>
      <c r="J919" s="31"/>
    </row>
    <row r="920" spans="1:10" ht="14.4" x14ac:dyDescent="0.3">
      <c r="A920" s="28" t="str">
        <f>B920&amp;C920&amp;D920&amp;E920</f>
        <v>Строительство и ремонтРучной инструмент и оснасткаМагнитные инструментыМагнитные инструменты</v>
      </c>
      <c r="B920" s="29" t="s">
        <v>77</v>
      </c>
      <c r="C920" s="29" t="s">
        <v>127</v>
      </c>
      <c r="D920" s="29" t="s">
        <v>2367</v>
      </c>
      <c r="E920" s="29" t="s">
        <v>2367</v>
      </c>
      <c r="F920" s="30">
        <v>0.25</v>
      </c>
      <c r="G920" s="31"/>
      <c r="H920" s="31"/>
      <c r="I920" s="31"/>
      <c r="J920" s="31"/>
    </row>
    <row r="921" spans="1:10" ht="14.4" x14ac:dyDescent="0.3">
      <c r="A921" s="28" t="str">
        <f>B921&amp;C921&amp;D921&amp;E921</f>
        <v>ОдеждаЖенская одеждаВерхняя одеждаКожаные куртки и косухи</v>
      </c>
      <c r="B921" s="29" t="s">
        <v>92</v>
      </c>
      <c r="C921" s="29" t="s">
        <v>93</v>
      </c>
      <c r="D921" s="29" t="s">
        <v>144</v>
      </c>
      <c r="E921" s="29" t="s">
        <v>1018</v>
      </c>
      <c r="F921" s="30">
        <v>0.25</v>
      </c>
      <c r="G921" s="31"/>
      <c r="H921" s="31"/>
      <c r="I921" s="31"/>
      <c r="J921" s="31"/>
    </row>
    <row r="922" spans="1:10" ht="14.4" x14ac:dyDescent="0.3">
      <c r="A922" s="28" t="str">
        <f>B922&amp;C922&amp;D922&amp;E922</f>
        <v>Строительство и ремонтРучной инструмент и оснасткаМалярные и отделочные инструментыИнструменты для удаления затирки</v>
      </c>
      <c r="B922" s="29" t="s">
        <v>77</v>
      </c>
      <c r="C922" s="29" t="s">
        <v>127</v>
      </c>
      <c r="D922" s="29" t="s">
        <v>128</v>
      </c>
      <c r="E922" s="29" t="s">
        <v>2374</v>
      </c>
      <c r="F922" s="30">
        <v>0.25</v>
      </c>
      <c r="G922" s="31"/>
      <c r="H922" s="31"/>
      <c r="I922" s="31"/>
      <c r="J922" s="31"/>
    </row>
    <row r="923" spans="1:10" ht="14.4" x14ac:dyDescent="0.3">
      <c r="A923" s="28" t="str">
        <f>B923&amp;C923&amp;D923&amp;E923</f>
        <v>Спорт и отдыхВодный спорт и отдых на водеПлаваниеЖилеты и нарукавники</v>
      </c>
      <c r="B923" s="29" t="s">
        <v>101</v>
      </c>
      <c r="C923" s="29" t="s">
        <v>771</v>
      </c>
      <c r="D923" s="29" t="s">
        <v>772</v>
      </c>
      <c r="E923" s="29" t="s">
        <v>2379</v>
      </c>
      <c r="F923" s="30">
        <v>0.25</v>
      </c>
      <c r="G923" s="31"/>
      <c r="H923" s="31"/>
      <c r="I923" s="31"/>
      <c r="J923" s="31"/>
    </row>
    <row r="924" spans="1:10" ht="14.4" x14ac:dyDescent="0.3">
      <c r="A924" s="28" t="str">
        <f>B924&amp;C924&amp;D924&amp;E924</f>
        <v>ОдеждаМужская одеждаХуди и свитшотыХуди</v>
      </c>
      <c r="B924" s="29" t="s">
        <v>92</v>
      </c>
      <c r="C924" s="29" t="s">
        <v>112</v>
      </c>
      <c r="D924" s="29" t="s">
        <v>1149</v>
      </c>
      <c r="E924" s="29" t="s">
        <v>1970</v>
      </c>
      <c r="F924" s="30">
        <v>0.25</v>
      </c>
      <c r="G924" s="31"/>
      <c r="H924" s="31"/>
      <c r="I924" s="31"/>
      <c r="J924" s="31"/>
    </row>
    <row r="925" spans="1:10" ht="14.4" x14ac:dyDescent="0.3">
      <c r="A925" s="28" t="str">
        <f>B925&amp;C925&amp;D925&amp;E925</f>
        <v>Товары для домаТовары для кухниКухонные инструментыМолотки для мяса</v>
      </c>
      <c r="B925" s="29" t="s">
        <v>59</v>
      </c>
      <c r="C925" s="29" t="s">
        <v>60</v>
      </c>
      <c r="D925" s="29" t="s">
        <v>1006</v>
      </c>
      <c r="E925" s="29" t="s">
        <v>2388</v>
      </c>
      <c r="F925" s="30">
        <v>0.25</v>
      </c>
      <c r="G925" s="31"/>
      <c r="H925" s="31"/>
      <c r="I925" s="31"/>
      <c r="J925" s="31"/>
    </row>
    <row r="926" spans="1:10" ht="14.4" x14ac:dyDescent="0.3">
      <c r="A926" s="28" t="str">
        <f>B926&amp;C926&amp;D926&amp;E926</f>
        <v>Строительство и ремонтРучной инструмент и оснасткаСредства индивидуальной защитыМаски защитные</v>
      </c>
      <c r="B926" s="29" t="s">
        <v>77</v>
      </c>
      <c r="C926" s="29" t="s">
        <v>127</v>
      </c>
      <c r="D926" s="29" t="s">
        <v>619</v>
      </c>
      <c r="E926" s="29" t="s">
        <v>2390</v>
      </c>
      <c r="F926" s="30">
        <v>0.25</v>
      </c>
      <c r="G926" s="31"/>
      <c r="H926" s="31"/>
      <c r="I926" s="31"/>
      <c r="J926" s="31"/>
    </row>
    <row r="927" spans="1:10" ht="14.4" x14ac:dyDescent="0.3">
      <c r="A927" s="28" t="str">
        <f>B927&amp;C927&amp;D927&amp;E927</f>
        <v>ОдеждаЖенская одеждаТопы и майкиТопы свободного кроя</v>
      </c>
      <c r="B927" s="29" t="s">
        <v>92</v>
      </c>
      <c r="C927" s="29" t="s">
        <v>93</v>
      </c>
      <c r="D927" s="29" t="s">
        <v>550</v>
      </c>
      <c r="E927" s="29" t="s">
        <v>2392</v>
      </c>
      <c r="F927" s="30">
        <v>0.25</v>
      </c>
      <c r="G927" s="31"/>
      <c r="H927" s="31"/>
      <c r="I927" s="31"/>
      <c r="J927" s="31"/>
    </row>
    <row r="928" spans="1:10" ht="14.4" x14ac:dyDescent="0.3">
      <c r="A928" s="28" t="str">
        <f>B928&amp;C928&amp;D928&amp;E928</f>
        <v>АксессуарыЖенские аксессуарыБижутерные украшенияБраслеты</v>
      </c>
      <c r="B928" s="29" t="s">
        <v>88</v>
      </c>
      <c r="C928" s="29" t="s">
        <v>221</v>
      </c>
      <c r="D928" s="29" t="s">
        <v>314</v>
      </c>
      <c r="E928" s="29" t="s">
        <v>307</v>
      </c>
      <c r="F928" s="30">
        <v>0.25</v>
      </c>
      <c r="G928" s="31"/>
      <c r="H928" s="31"/>
      <c r="I928" s="31"/>
      <c r="J928" s="31"/>
    </row>
    <row r="929" spans="1:10" ht="14.4" x14ac:dyDescent="0.3">
      <c r="A929" s="28" t="str">
        <f>B929&amp;C929&amp;D929&amp;E929</f>
        <v>ОдеждаМужская одеждаСпецодеждаАксессуары для спецодежды</v>
      </c>
      <c r="B929" s="29" t="s">
        <v>92</v>
      </c>
      <c r="C929" s="29" t="s">
        <v>112</v>
      </c>
      <c r="D929" s="29" t="s">
        <v>780</v>
      </c>
      <c r="E929" s="29" t="s">
        <v>1991</v>
      </c>
      <c r="F929" s="30">
        <v>0.25</v>
      </c>
      <c r="G929" s="31"/>
      <c r="H929" s="31"/>
      <c r="I929" s="31"/>
      <c r="J929" s="31"/>
    </row>
    <row r="930" spans="1:10" ht="14.4" x14ac:dyDescent="0.3">
      <c r="A930" s="28" t="str">
        <f>B930&amp;C930&amp;D930&amp;E930</f>
        <v>Товары для домаТовары для кухниКухонные инструментыКонсервные ножи и открывашки</v>
      </c>
      <c r="B930" s="29" t="s">
        <v>59</v>
      </c>
      <c r="C930" s="29" t="s">
        <v>60</v>
      </c>
      <c r="D930" s="29" t="s">
        <v>1006</v>
      </c>
      <c r="E930" s="29" t="s">
        <v>2406</v>
      </c>
      <c r="F930" s="30">
        <v>0.25</v>
      </c>
      <c r="G930" s="31"/>
      <c r="H930" s="31"/>
      <c r="I930" s="31"/>
      <c r="J930" s="31"/>
    </row>
    <row r="931" spans="1:10" ht="14.4" x14ac:dyDescent="0.3">
      <c r="A931" s="28" t="str">
        <f>B931&amp;C931&amp;D931&amp;E931</f>
        <v>Товары для домаТовары для кухниКухонные инструментыЩипцы кухонные</v>
      </c>
      <c r="B931" s="29" t="s">
        <v>59</v>
      </c>
      <c r="C931" s="29" t="s">
        <v>60</v>
      </c>
      <c r="D931" s="29" t="s">
        <v>1006</v>
      </c>
      <c r="E931" s="29" t="s">
        <v>2414</v>
      </c>
      <c r="F931" s="30">
        <v>0.25</v>
      </c>
      <c r="G931" s="31"/>
      <c r="H931" s="31"/>
      <c r="I931" s="31"/>
      <c r="J931" s="31"/>
    </row>
    <row r="932" spans="1:10" ht="14.4" x14ac:dyDescent="0.3">
      <c r="A932" s="28" t="str">
        <f>B932&amp;C932&amp;D932&amp;E932</f>
        <v>ОдеждаЖенская одеждаВерхняя одеждаПончо и кейпы</v>
      </c>
      <c r="B932" s="29" t="s">
        <v>92</v>
      </c>
      <c r="C932" s="29" t="s">
        <v>93</v>
      </c>
      <c r="D932" s="29" t="s">
        <v>144</v>
      </c>
      <c r="E932" s="29" t="s">
        <v>2417</v>
      </c>
      <c r="F932" s="30">
        <v>0.25</v>
      </c>
      <c r="G932" s="31"/>
      <c r="H932" s="31"/>
      <c r="I932" s="31"/>
      <c r="J932" s="31"/>
    </row>
    <row r="933" spans="1:10" ht="14.4" x14ac:dyDescent="0.3">
      <c r="A933" s="28" t="str">
        <f>B933&amp;C933&amp;D933&amp;E933</f>
        <v>Строительство и ремонтРучной инструмент и оснасткаСтолярно-слесарные инструментыОтвертка</v>
      </c>
      <c r="B933" s="29" t="s">
        <v>77</v>
      </c>
      <c r="C933" s="29" t="s">
        <v>127</v>
      </c>
      <c r="D933" s="29" t="s">
        <v>139</v>
      </c>
      <c r="E933" s="29" t="s">
        <v>2421</v>
      </c>
      <c r="F933" s="30">
        <v>0.25</v>
      </c>
      <c r="G933" s="31"/>
      <c r="H933" s="31"/>
      <c r="I933" s="31"/>
      <c r="J933" s="31"/>
    </row>
    <row r="934" spans="1:10" ht="14.4" x14ac:dyDescent="0.3">
      <c r="A934" s="28" t="str">
        <f>B934&amp;C934&amp;D934&amp;E934</f>
        <v>ОдеждаМужская одеждаШортыДжинсовые шорты</v>
      </c>
      <c r="B934" s="29" t="s">
        <v>92</v>
      </c>
      <c r="C934" s="29" t="s">
        <v>112</v>
      </c>
      <c r="D934" s="29" t="s">
        <v>818</v>
      </c>
      <c r="E934" s="29" t="s">
        <v>819</v>
      </c>
      <c r="F934" s="30">
        <v>0.25</v>
      </c>
      <c r="G934" s="31"/>
      <c r="H934" s="31"/>
      <c r="I934" s="31"/>
      <c r="J934" s="31"/>
    </row>
    <row r="935" spans="1:10" ht="14.4" x14ac:dyDescent="0.3">
      <c r="A935" s="28" t="str">
        <f>B935&amp;C935&amp;D935&amp;E935</f>
        <v>ОдеждаЖенская одеждаПлатья и сарафаныПлатья-майки</v>
      </c>
      <c r="B935" s="29" t="s">
        <v>92</v>
      </c>
      <c r="C935" s="29" t="s">
        <v>93</v>
      </c>
      <c r="D935" s="29" t="s">
        <v>94</v>
      </c>
      <c r="E935" s="29" t="s">
        <v>2424</v>
      </c>
      <c r="F935" s="30">
        <v>0.25</v>
      </c>
      <c r="G935" s="31"/>
      <c r="H935" s="31"/>
      <c r="I935" s="31"/>
      <c r="J935" s="31"/>
    </row>
    <row r="936" spans="1:10" ht="14.4" x14ac:dyDescent="0.3">
      <c r="A936" s="28" t="str">
        <f>B936&amp;C936&amp;D936&amp;E936</f>
        <v>ОдеждаЖенская одеждаВерхняя одеждаКомплекты верхней одежды</v>
      </c>
      <c r="B936" s="29" t="s">
        <v>92</v>
      </c>
      <c r="C936" s="29" t="s">
        <v>93</v>
      </c>
      <c r="D936" s="29" t="s">
        <v>144</v>
      </c>
      <c r="E936" s="29" t="s">
        <v>2425</v>
      </c>
      <c r="F936" s="30">
        <v>0.25</v>
      </c>
      <c r="G936" s="31"/>
      <c r="H936" s="31"/>
      <c r="I936" s="31"/>
      <c r="J936" s="31"/>
    </row>
    <row r="937" spans="1:10" ht="14.4" x14ac:dyDescent="0.3">
      <c r="A937" s="28" t="str">
        <f>B937&amp;C937&amp;D937&amp;E937</f>
        <v>ОдеждаЖенская одеждаПлатья и сарафаныПовседневные платья</v>
      </c>
      <c r="B937" s="29" t="s">
        <v>92</v>
      </c>
      <c r="C937" s="29" t="s">
        <v>93</v>
      </c>
      <c r="D937" s="29" t="s">
        <v>94</v>
      </c>
      <c r="E937" s="29" t="s">
        <v>2426</v>
      </c>
      <c r="F937" s="30">
        <v>0.25</v>
      </c>
      <c r="G937" s="31"/>
      <c r="H937" s="31"/>
      <c r="I937" s="31"/>
      <c r="J937" s="31"/>
    </row>
    <row r="938" spans="1:10" ht="14.4" x14ac:dyDescent="0.3">
      <c r="A938" s="28" t="str">
        <f>B938&amp;C938&amp;D938&amp;E938</f>
        <v>ОдеждаЖенская одеждаДжинсыПрямые джинсы</v>
      </c>
      <c r="B938" s="29" t="s">
        <v>92</v>
      </c>
      <c r="C938" s="29" t="s">
        <v>93</v>
      </c>
      <c r="D938" s="29" t="s">
        <v>544</v>
      </c>
      <c r="E938" s="29" t="s">
        <v>1542</v>
      </c>
      <c r="F938" s="30">
        <v>0.25</v>
      </c>
      <c r="G938" s="31"/>
      <c r="H938" s="31"/>
      <c r="I938" s="31"/>
      <c r="J938" s="31"/>
    </row>
    <row r="939" spans="1:10" ht="14.4" x14ac:dyDescent="0.3">
      <c r="A939" s="28" t="str">
        <f>B939&amp;C939&amp;D939&amp;E939</f>
        <v>Строительство и ремонтРучной инструмент и оснасткаМалярные и отделочные инструментыМалярные ленты</v>
      </c>
      <c r="B939" s="29" t="s">
        <v>77</v>
      </c>
      <c r="C939" s="29" t="s">
        <v>127</v>
      </c>
      <c r="D939" s="29" t="s">
        <v>128</v>
      </c>
      <c r="E939" s="29" t="s">
        <v>2433</v>
      </c>
      <c r="F939" s="30">
        <v>0.25</v>
      </c>
      <c r="G939" s="31"/>
      <c r="H939" s="31"/>
      <c r="I939" s="31"/>
      <c r="J939" s="31"/>
    </row>
    <row r="940" spans="1:10" ht="14.4" x14ac:dyDescent="0.3">
      <c r="A940" s="28" t="str">
        <f>B940&amp;C940&amp;D940&amp;E940</f>
        <v>АксессуарыЖенские аксессуарыБижутерные украшенияКольца</v>
      </c>
      <c r="B940" s="29" t="s">
        <v>88</v>
      </c>
      <c r="C940" s="29" t="s">
        <v>221</v>
      </c>
      <c r="D940" s="29" t="s">
        <v>314</v>
      </c>
      <c r="E940" s="29" t="s">
        <v>2366</v>
      </c>
      <c r="F940" s="30">
        <v>0.25</v>
      </c>
      <c r="G940" s="31"/>
      <c r="H940" s="31"/>
      <c r="I940" s="31"/>
      <c r="J940" s="31"/>
    </row>
    <row r="941" spans="1:10" ht="14.4" x14ac:dyDescent="0.3">
      <c r="A941" s="28" t="str">
        <f>B941&amp;C941&amp;D941&amp;E941</f>
        <v>Дача, сад и огородСадовый инструментОбрезка деревьев и кустарниковСадовые ножи и ножницы</v>
      </c>
      <c r="B941" s="29" t="s">
        <v>352</v>
      </c>
      <c r="C941" s="29" t="s">
        <v>353</v>
      </c>
      <c r="D941" s="29" t="s">
        <v>2177</v>
      </c>
      <c r="E941" s="29" t="s">
        <v>2442</v>
      </c>
      <c r="F941" s="30">
        <v>0.25</v>
      </c>
      <c r="G941" s="31"/>
      <c r="H941" s="31"/>
      <c r="I941" s="31"/>
      <c r="J941" s="31"/>
    </row>
    <row r="942" spans="1:10" ht="14.4" x14ac:dyDescent="0.3">
      <c r="A942" s="28" t="str">
        <f>B942&amp;C942&amp;D942&amp;E942</f>
        <v>Товары для домаТовары для кухниКружки, стаканы и бокалыКружки</v>
      </c>
      <c r="B942" s="29" t="s">
        <v>59</v>
      </c>
      <c r="C942" s="29" t="s">
        <v>60</v>
      </c>
      <c r="D942" s="29" t="s">
        <v>1461</v>
      </c>
      <c r="E942" s="29" t="s">
        <v>2444</v>
      </c>
      <c r="F942" s="30">
        <v>0.25</v>
      </c>
      <c r="G942" s="31"/>
      <c r="H942" s="31"/>
      <c r="I942" s="31"/>
      <c r="J942" s="31"/>
    </row>
    <row r="943" spans="1:10" ht="14.4" x14ac:dyDescent="0.3">
      <c r="A943" s="28" t="str">
        <f>B943&amp;C943&amp;D943&amp;E943</f>
        <v>ОдеждаЖенская одеждаОдежда больших размеровДомашняя одежда</v>
      </c>
      <c r="B943" s="29" t="s">
        <v>92</v>
      </c>
      <c r="C943" s="29" t="s">
        <v>93</v>
      </c>
      <c r="D943" s="29" t="s">
        <v>532</v>
      </c>
      <c r="E943" s="29" t="s">
        <v>469</v>
      </c>
      <c r="F943" s="30">
        <v>0.25</v>
      </c>
      <c r="G943" s="31"/>
      <c r="H943" s="31"/>
      <c r="I943" s="31"/>
      <c r="J943" s="31"/>
    </row>
    <row r="944" spans="1:10" ht="14.4" x14ac:dyDescent="0.3">
      <c r="A944" s="28" t="str">
        <f>B944&amp;C944&amp;D944&amp;E944</f>
        <v>Товары для домаТовары для кухниКухонные аксессуарыЗажимы кухонные</v>
      </c>
      <c r="B944" s="29" t="s">
        <v>59</v>
      </c>
      <c r="C944" s="29" t="s">
        <v>60</v>
      </c>
      <c r="D944" s="29" t="s">
        <v>273</v>
      </c>
      <c r="E944" s="29" t="s">
        <v>2450</v>
      </c>
      <c r="F944" s="30">
        <v>0.25</v>
      </c>
      <c r="G944" s="31"/>
      <c r="H944" s="31"/>
      <c r="I944" s="31"/>
      <c r="J944" s="31"/>
    </row>
    <row r="945" spans="1:10" ht="14.4" x14ac:dyDescent="0.3">
      <c r="A945" s="28" t="str">
        <f>B945&amp;C945&amp;D945&amp;E945</f>
        <v>АвтотоварыАксессуары и принадлежностиСувениры автомобильныеАвтовизитки</v>
      </c>
      <c r="B945" s="29" t="s">
        <v>12</v>
      </c>
      <c r="C945" s="29" t="s">
        <v>253</v>
      </c>
      <c r="D945" s="29" t="s">
        <v>1920</v>
      </c>
      <c r="E945" s="29" t="s">
        <v>2452</v>
      </c>
      <c r="F945" s="30">
        <v>0.25</v>
      </c>
      <c r="G945" s="31"/>
      <c r="H945" s="31"/>
      <c r="I945" s="31"/>
      <c r="J945" s="31"/>
    </row>
    <row r="946" spans="1:10" ht="14.4" x14ac:dyDescent="0.3">
      <c r="A946" s="28" t="str">
        <f>B946&amp;C946&amp;D946&amp;E946</f>
        <v>АвтотоварыАксессуары и принадлежностиОбустройство салонаШторки солнцезащитные</v>
      </c>
      <c r="B946" s="29" t="s">
        <v>12</v>
      </c>
      <c r="C946" s="29" t="s">
        <v>253</v>
      </c>
      <c r="D946" s="29" t="s">
        <v>256</v>
      </c>
      <c r="E946" s="29" t="s">
        <v>2457</v>
      </c>
      <c r="F946" s="30">
        <v>0.25</v>
      </c>
      <c r="G946" s="31"/>
      <c r="H946" s="31"/>
      <c r="I946" s="31"/>
      <c r="J946" s="31"/>
    </row>
    <row r="947" spans="1:10" ht="14.4" x14ac:dyDescent="0.3">
      <c r="A947" s="28" t="str">
        <f>B947&amp;C947&amp;D947&amp;E947</f>
        <v>ОдеждаЖенская одеждаДомашняя одеждаДомашние xалаты</v>
      </c>
      <c r="B947" s="29" t="s">
        <v>92</v>
      </c>
      <c r="C947" s="29" t="s">
        <v>93</v>
      </c>
      <c r="D947" s="29" t="s">
        <v>469</v>
      </c>
      <c r="E947" s="29" t="s">
        <v>2458</v>
      </c>
      <c r="F947" s="30">
        <v>0.25</v>
      </c>
      <c r="G947" s="31"/>
      <c r="H947" s="31"/>
      <c r="I947" s="31"/>
      <c r="J947" s="31"/>
    </row>
    <row r="948" spans="1:10" ht="14.4" x14ac:dyDescent="0.3">
      <c r="A948" s="28" t="str">
        <f>B948&amp;C948&amp;D948&amp;E948</f>
        <v>ОдеждаЖенская одеждаДжемперы, свитеры и кардиганыКардиганы</v>
      </c>
      <c r="B948" s="29" t="s">
        <v>92</v>
      </c>
      <c r="C948" s="29" t="s">
        <v>93</v>
      </c>
      <c r="D948" s="29" t="s">
        <v>424</v>
      </c>
      <c r="E948" s="29" t="s">
        <v>2464</v>
      </c>
      <c r="F948" s="30">
        <v>0.25</v>
      </c>
      <c r="G948" s="31"/>
      <c r="H948" s="31"/>
      <c r="I948" s="31"/>
      <c r="J948" s="31"/>
    </row>
    <row r="949" spans="1:10" ht="14.4" x14ac:dyDescent="0.3">
      <c r="A949" s="28" t="str">
        <f>B949&amp;C949&amp;D949&amp;E949</f>
        <v>Спорт и отдыхВодный спорт и отдых на водеПлаваниеЗажимы и беруши</v>
      </c>
      <c r="B949" s="29" t="s">
        <v>101</v>
      </c>
      <c r="C949" s="29" t="s">
        <v>771</v>
      </c>
      <c r="D949" s="29" t="s">
        <v>772</v>
      </c>
      <c r="E949" s="29" t="s">
        <v>2466</v>
      </c>
      <c r="F949" s="30">
        <v>0.25</v>
      </c>
      <c r="G949" s="31"/>
      <c r="H949" s="31"/>
      <c r="I949" s="31"/>
      <c r="J949" s="31"/>
    </row>
    <row r="950" spans="1:10" ht="14.4" x14ac:dyDescent="0.3">
      <c r="A950" s="28" t="str">
        <f>B950&amp;C950&amp;D950&amp;E950</f>
        <v>Спорт и отдыхВодный спорт и отдых на водеАквафитнес и водное полоСпортивный нудл</v>
      </c>
      <c r="B950" s="29" t="s">
        <v>101</v>
      </c>
      <c r="C950" s="29" t="s">
        <v>771</v>
      </c>
      <c r="D950" s="29" t="s">
        <v>1828</v>
      </c>
      <c r="E950" s="29" t="s">
        <v>2470</v>
      </c>
      <c r="F950" s="30">
        <v>0.25</v>
      </c>
      <c r="G950" s="31"/>
      <c r="H950" s="31"/>
      <c r="I950" s="31"/>
      <c r="J950" s="31"/>
    </row>
    <row r="951" spans="1:10" ht="14.4" x14ac:dyDescent="0.3">
      <c r="A951" s="28" t="str">
        <f>B951&amp;C951&amp;D951&amp;E951</f>
        <v>Строительство и ремонтОтделочные материалыОбоиОбои</v>
      </c>
      <c r="B951" s="29" t="s">
        <v>77</v>
      </c>
      <c r="C951" s="29" t="s">
        <v>241</v>
      </c>
      <c r="D951" s="29" t="s">
        <v>2064</v>
      </c>
      <c r="E951" s="29" t="s">
        <v>2064</v>
      </c>
      <c r="F951" s="30">
        <v>0.25</v>
      </c>
      <c r="G951" s="31"/>
      <c r="H951" s="31"/>
      <c r="I951" s="31"/>
      <c r="J951" s="31"/>
    </row>
    <row r="952" spans="1:10" ht="14.4" x14ac:dyDescent="0.3">
      <c r="A952" s="28" t="str">
        <f>B952&amp;C952&amp;D952&amp;E952</f>
        <v>ОдеждаЖенская одеждаВерхняя одеждаПарки</v>
      </c>
      <c r="B952" s="29" t="s">
        <v>92</v>
      </c>
      <c r="C952" s="29" t="s">
        <v>93</v>
      </c>
      <c r="D952" s="29" t="s">
        <v>144</v>
      </c>
      <c r="E952" s="29" t="s">
        <v>2471</v>
      </c>
      <c r="F952" s="30">
        <v>0.25</v>
      </c>
      <c r="G952" s="31"/>
      <c r="H952" s="31"/>
      <c r="I952" s="31"/>
      <c r="J952" s="31"/>
    </row>
    <row r="953" spans="1:10" ht="14.4" x14ac:dyDescent="0.3">
      <c r="A953" s="28" t="str">
        <f>B953&amp;C953&amp;D953&amp;E953</f>
        <v>КанцтоварыБумажная продукцияЗакладкиДержатель для страниц</v>
      </c>
      <c r="B953" s="29" t="s">
        <v>163</v>
      </c>
      <c r="C953" s="29" t="s">
        <v>261</v>
      </c>
      <c r="D953" s="29" t="s">
        <v>262</v>
      </c>
      <c r="E953" s="29" t="s">
        <v>2472</v>
      </c>
      <c r="F953" s="30">
        <v>0.25</v>
      </c>
      <c r="G953" s="31"/>
      <c r="H953" s="31"/>
      <c r="I953" s="31"/>
      <c r="J953" s="31"/>
    </row>
    <row r="954" spans="1:10" ht="14.4" x14ac:dyDescent="0.3">
      <c r="A954" s="28" t="str">
        <f>B954&amp;C954&amp;D954&amp;E954</f>
        <v>Дача, сад и огородУдобрения и уход за растениямиОпоры и подвязки для растенийОпоры и подвязки для растений</v>
      </c>
      <c r="B954" s="29" t="s">
        <v>352</v>
      </c>
      <c r="C954" s="29" t="s">
        <v>1175</v>
      </c>
      <c r="D954" s="29" t="s">
        <v>2480</v>
      </c>
      <c r="E954" s="29" t="s">
        <v>2480</v>
      </c>
      <c r="F954" s="30">
        <v>0.25</v>
      </c>
      <c r="G954" s="31"/>
      <c r="H954" s="31"/>
      <c r="I954" s="31"/>
      <c r="J954" s="31"/>
    </row>
    <row r="955" spans="1:10" ht="14.4" x14ac:dyDescent="0.3">
      <c r="A955" s="28" t="str">
        <f>B955&amp;C955&amp;D955&amp;E955</f>
        <v>Спорт и отдыхВиды спортаХудожественная гимнастика и танцыЛенты для художественной гимнастики</v>
      </c>
      <c r="B955" s="29" t="s">
        <v>101</v>
      </c>
      <c r="C955" s="29" t="s">
        <v>446</v>
      </c>
      <c r="D955" s="29" t="s">
        <v>875</v>
      </c>
      <c r="E955" s="29" t="s">
        <v>2482</v>
      </c>
      <c r="F955" s="30">
        <v>0.25</v>
      </c>
      <c r="G955" s="31"/>
      <c r="H955" s="31"/>
      <c r="I955" s="31"/>
      <c r="J955" s="31"/>
    </row>
    <row r="956" spans="1:10" ht="14.4" x14ac:dyDescent="0.3">
      <c r="A956" s="28" t="str">
        <f>B956&amp;C956&amp;D956&amp;E956</f>
        <v>ОдеждаЖенская одеждаНижнее бельёКорсеты</v>
      </c>
      <c r="B956" s="29" t="s">
        <v>92</v>
      </c>
      <c r="C956" s="29" t="s">
        <v>93</v>
      </c>
      <c r="D956" s="29" t="s">
        <v>113</v>
      </c>
      <c r="E956" s="29" t="s">
        <v>1121</v>
      </c>
      <c r="F956" s="30">
        <v>0.25</v>
      </c>
      <c r="G956" s="31"/>
      <c r="H956" s="31"/>
      <c r="I956" s="31"/>
      <c r="J956" s="31"/>
    </row>
    <row r="957" spans="1:10" ht="14.4" x14ac:dyDescent="0.3">
      <c r="A957" s="28" t="str">
        <f>B957&amp;C957&amp;D957&amp;E957</f>
        <v>АвтотоварыАксессуары и принадлежностиСувениры автомобильныеНаклейки и знаки</v>
      </c>
      <c r="B957" s="29" t="s">
        <v>12</v>
      </c>
      <c r="C957" s="29" t="s">
        <v>253</v>
      </c>
      <c r="D957" s="29" t="s">
        <v>1920</v>
      </c>
      <c r="E957" s="29" t="s">
        <v>2486</v>
      </c>
      <c r="F957" s="30">
        <v>0.25</v>
      </c>
      <c r="G957" s="31"/>
      <c r="H957" s="31"/>
      <c r="I957" s="31"/>
      <c r="J957" s="31"/>
    </row>
    <row r="958" spans="1:10" ht="14.4" x14ac:dyDescent="0.3">
      <c r="A958" s="28" t="str">
        <f>B958&amp;C958&amp;D958&amp;E958</f>
        <v>Товары для домаТовары для кухниПорядок на кухнеПолки кухонные</v>
      </c>
      <c r="B958" s="29" t="s">
        <v>59</v>
      </c>
      <c r="C958" s="29" t="s">
        <v>60</v>
      </c>
      <c r="D958" s="29" t="s">
        <v>300</v>
      </c>
      <c r="E958" s="29" t="s">
        <v>2487</v>
      </c>
      <c r="F958" s="30">
        <v>0.25</v>
      </c>
      <c r="G958" s="31"/>
      <c r="H958" s="31"/>
      <c r="I958" s="31"/>
      <c r="J958" s="31"/>
    </row>
    <row r="959" spans="1:10" ht="14.4" x14ac:dyDescent="0.3">
      <c r="A959" s="28" t="str">
        <f>B959&amp;C959&amp;D959&amp;E959</f>
        <v>Товары для домаТовары для кухниИзмельчители и соковыжималкиСырорезки</v>
      </c>
      <c r="B959" s="29" t="s">
        <v>59</v>
      </c>
      <c r="C959" s="29" t="s">
        <v>60</v>
      </c>
      <c r="D959" s="29" t="s">
        <v>154</v>
      </c>
      <c r="E959" s="29" t="s">
        <v>2492</v>
      </c>
      <c r="F959" s="30">
        <v>0.25</v>
      </c>
      <c r="G959" s="31"/>
      <c r="H959" s="31"/>
      <c r="I959" s="31"/>
      <c r="J959" s="31"/>
    </row>
    <row r="960" spans="1:10" ht="14.4" x14ac:dyDescent="0.3">
      <c r="A960" s="28" t="str">
        <f>B960&amp;C960&amp;D960&amp;E960</f>
        <v>Товары для домаТовары для кухниХранение продуктовПакеты и мешочки многоразовые</v>
      </c>
      <c r="B960" s="29" t="s">
        <v>59</v>
      </c>
      <c r="C960" s="29" t="s">
        <v>60</v>
      </c>
      <c r="D960" s="29" t="s">
        <v>749</v>
      </c>
      <c r="E960" s="29" t="s">
        <v>2498</v>
      </c>
      <c r="F960" s="30">
        <v>0.25</v>
      </c>
      <c r="G960" s="31"/>
      <c r="H960" s="31"/>
      <c r="I960" s="31"/>
      <c r="J960" s="31"/>
    </row>
    <row r="961" spans="1:10" ht="14.4" x14ac:dyDescent="0.3">
      <c r="A961" s="28" t="str">
        <f>B961&amp;C961&amp;D961&amp;E961</f>
        <v>АвтотоварыАксессуары и принадлежностиТюнинг и внешний декорДефлекторы окон и зеркал</v>
      </c>
      <c r="B961" s="29" t="s">
        <v>12</v>
      </c>
      <c r="C961" s="29" t="s">
        <v>253</v>
      </c>
      <c r="D961" s="29" t="s">
        <v>254</v>
      </c>
      <c r="E961" s="29" t="s">
        <v>2500</v>
      </c>
      <c r="F961" s="30">
        <v>0.25</v>
      </c>
      <c r="G961" s="31"/>
      <c r="H961" s="31"/>
      <c r="I961" s="31"/>
      <c r="J961" s="31"/>
    </row>
    <row r="962" spans="1:10" ht="14.4" x14ac:dyDescent="0.3">
      <c r="A962" s="28" t="str">
        <f>B962&amp;C962&amp;D962&amp;E962</f>
        <v>ОдеждаЖенская одеждаСпортивная одеждаСпортивные майки</v>
      </c>
      <c r="B962" s="29" t="s">
        <v>92</v>
      </c>
      <c r="C962" s="29" t="s">
        <v>93</v>
      </c>
      <c r="D962" s="29" t="s">
        <v>158</v>
      </c>
      <c r="E962" s="29" t="s">
        <v>159</v>
      </c>
      <c r="F962" s="30">
        <v>0.25</v>
      </c>
      <c r="G962" s="31"/>
      <c r="H962" s="31"/>
      <c r="I962" s="31"/>
      <c r="J962" s="31"/>
    </row>
    <row r="963" spans="1:10" ht="14.4" x14ac:dyDescent="0.3">
      <c r="A963" s="28" t="str">
        <f>B963&amp;C963&amp;D963&amp;E963</f>
        <v>Товары для домаТовары для кухниХранение продуктовЕмкости для специй и мельницы</v>
      </c>
      <c r="B963" s="29" t="s">
        <v>59</v>
      </c>
      <c r="C963" s="29" t="s">
        <v>60</v>
      </c>
      <c r="D963" s="29" t="s">
        <v>749</v>
      </c>
      <c r="E963" s="29" t="s">
        <v>2503</v>
      </c>
      <c r="F963" s="30">
        <v>0.25</v>
      </c>
      <c r="G963" s="31"/>
      <c r="H963" s="31"/>
      <c r="I963" s="31"/>
      <c r="J963" s="31"/>
    </row>
    <row r="964" spans="1:10" ht="14.4" x14ac:dyDescent="0.3">
      <c r="A964" s="28" t="str">
        <f>B964&amp;C964&amp;D964&amp;E964</f>
        <v>ЗдоровьеМассажеры и массажное оборудованиеМассажеры для телаМассажеры для тела</v>
      </c>
      <c r="B964" s="29" t="s">
        <v>116</v>
      </c>
      <c r="C964" s="29" t="s">
        <v>495</v>
      </c>
      <c r="D964" s="29" t="s">
        <v>2505</v>
      </c>
      <c r="E964" s="29" t="s">
        <v>2505</v>
      </c>
      <c r="F964" s="30">
        <v>0.25</v>
      </c>
      <c r="G964" s="31"/>
      <c r="H964" s="31"/>
      <c r="I964" s="31"/>
      <c r="J964" s="31"/>
    </row>
    <row r="965" spans="1:10" ht="14.4" x14ac:dyDescent="0.3">
      <c r="A965" s="28" t="str">
        <f>B965&amp;C965&amp;D965&amp;E965</f>
        <v>Красота и уходМаникюр и педикюрИнструменты для маникюраНожницы</v>
      </c>
      <c r="B965" s="29" t="s">
        <v>56</v>
      </c>
      <c r="C965" s="29" t="s">
        <v>57</v>
      </c>
      <c r="D965" s="29" t="s">
        <v>199</v>
      </c>
      <c r="E965" s="29" t="s">
        <v>1547</v>
      </c>
      <c r="F965" s="30">
        <v>0.25</v>
      </c>
      <c r="G965" s="31"/>
      <c r="H965" s="31"/>
      <c r="I965" s="31"/>
      <c r="J965" s="31"/>
    </row>
    <row r="966" spans="1:10" ht="14.4" x14ac:dyDescent="0.3">
      <c r="A966" s="28" t="str">
        <f>B966&amp;C966&amp;D966&amp;E966</f>
        <v>ОдеждаЖенская одеждаОдежда для беременныхКостюмы и жакеты</v>
      </c>
      <c r="B966" s="29" t="s">
        <v>92</v>
      </c>
      <c r="C966" s="29" t="s">
        <v>93</v>
      </c>
      <c r="D966" s="29" t="s">
        <v>816</v>
      </c>
      <c r="E966" s="29" t="s">
        <v>2512</v>
      </c>
      <c r="F966" s="30">
        <v>0.25</v>
      </c>
      <c r="G966" s="31"/>
      <c r="H966" s="31"/>
      <c r="I966" s="31"/>
      <c r="J966" s="31"/>
    </row>
    <row r="967" spans="1:10" ht="14.4" x14ac:dyDescent="0.3">
      <c r="A967" s="28" t="str">
        <f>B967&amp;C967&amp;D967&amp;E967</f>
        <v>ОдеждаЖенская одеждаПлатья и сарафаныПлатья с запахом</v>
      </c>
      <c r="B967" s="29" t="s">
        <v>92</v>
      </c>
      <c r="C967" s="29" t="s">
        <v>93</v>
      </c>
      <c r="D967" s="29" t="s">
        <v>94</v>
      </c>
      <c r="E967" s="29" t="s">
        <v>2517</v>
      </c>
      <c r="F967" s="30">
        <v>0.25</v>
      </c>
      <c r="G967" s="31"/>
      <c r="H967" s="31"/>
      <c r="I967" s="31"/>
      <c r="J967" s="31"/>
    </row>
    <row r="968" spans="1:10" ht="14.4" x14ac:dyDescent="0.3">
      <c r="A968" s="28" t="str">
        <f>B968&amp;C968&amp;D968&amp;E968</f>
        <v>ОдеждаЖенская одеждаОдежда больших размеровБрюки</v>
      </c>
      <c r="B968" s="29" t="s">
        <v>92</v>
      </c>
      <c r="C968" s="29" t="s">
        <v>93</v>
      </c>
      <c r="D968" s="29" t="s">
        <v>532</v>
      </c>
      <c r="E968" s="29" t="s">
        <v>460</v>
      </c>
      <c r="F968" s="30">
        <v>0.25</v>
      </c>
      <c r="G968" s="31"/>
      <c r="H968" s="31"/>
      <c r="I968" s="31"/>
      <c r="J968" s="31"/>
    </row>
    <row r="969" spans="1:10" ht="14.4" x14ac:dyDescent="0.3">
      <c r="A969" s="28" t="str">
        <f>B969&amp;C969&amp;D969&amp;E969</f>
        <v>ОдеждаЖенская одеждаДомашняя одеждаДомашние платья и туники</v>
      </c>
      <c r="B969" s="29" t="s">
        <v>92</v>
      </c>
      <c r="C969" s="29" t="s">
        <v>93</v>
      </c>
      <c r="D969" s="29" t="s">
        <v>469</v>
      </c>
      <c r="E969" s="29" t="s">
        <v>2525</v>
      </c>
      <c r="F969" s="30">
        <v>0.25</v>
      </c>
      <c r="G969" s="31"/>
      <c r="H969" s="31"/>
      <c r="I969" s="31"/>
      <c r="J969" s="31"/>
    </row>
    <row r="970" spans="1:10" ht="14.4" x14ac:dyDescent="0.3">
      <c r="A970" s="28" t="str">
        <f>B970&amp;C970&amp;D970&amp;E970</f>
        <v>ОдеждаЖенская одеждаСпортивная одеждаСпортивные купальники</v>
      </c>
      <c r="B970" s="29" t="s">
        <v>92</v>
      </c>
      <c r="C970" s="29" t="s">
        <v>93</v>
      </c>
      <c r="D970" s="29" t="s">
        <v>158</v>
      </c>
      <c r="E970" s="29" t="s">
        <v>2528</v>
      </c>
      <c r="F970" s="30">
        <v>0.25</v>
      </c>
      <c r="G970" s="31"/>
      <c r="H970" s="31"/>
      <c r="I970" s="31"/>
      <c r="J970" s="31"/>
    </row>
    <row r="971" spans="1:10" ht="14.4" x14ac:dyDescent="0.3">
      <c r="A971" s="28" t="str">
        <f>B971&amp;C971&amp;D971&amp;E971</f>
        <v>Спорт и отдыхВиды спортаВолейболНаколенники и налокотники волейбольные</v>
      </c>
      <c r="B971" s="29" t="s">
        <v>101</v>
      </c>
      <c r="C971" s="29" t="s">
        <v>446</v>
      </c>
      <c r="D971" s="29" t="s">
        <v>1470</v>
      </c>
      <c r="E971" s="29" t="s">
        <v>2533</v>
      </c>
      <c r="F971" s="30">
        <v>0.25</v>
      </c>
      <c r="G971" s="31"/>
      <c r="H971" s="31"/>
      <c r="I971" s="31"/>
      <c r="J971" s="31"/>
    </row>
    <row r="972" spans="1:10" ht="14.4" x14ac:dyDescent="0.3">
      <c r="A972" s="28" t="str">
        <f>B972&amp;C972&amp;D972&amp;E972</f>
        <v>ОдеждаМужская одеждаБрюкиУтепленные брюки</v>
      </c>
      <c r="B972" s="29" t="s">
        <v>92</v>
      </c>
      <c r="C972" s="29" t="s">
        <v>112</v>
      </c>
      <c r="D972" s="29" t="s">
        <v>460</v>
      </c>
      <c r="E972" s="29" t="s">
        <v>2536</v>
      </c>
      <c r="F972" s="30">
        <v>0.25</v>
      </c>
      <c r="G972" s="31"/>
      <c r="H972" s="31"/>
      <c r="I972" s="31"/>
      <c r="J972" s="31"/>
    </row>
    <row r="973" spans="1:10" ht="14.4" x14ac:dyDescent="0.3">
      <c r="A973" s="28" t="str">
        <f>B973&amp;C973&amp;D973&amp;E973</f>
        <v>ЗоотоварыДля грызуновПереноски и шлейки для грызуновПереноски для грызунов</v>
      </c>
      <c r="B973" s="29" t="s">
        <v>214</v>
      </c>
      <c r="C973" s="29" t="s">
        <v>215</v>
      </c>
      <c r="D973" s="29" t="s">
        <v>2538</v>
      </c>
      <c r="E973" s="29" t="s">
        <v>2539</v>
      </c>
      <c r="F973" s="30">
        <v>0.25</v>
      </c>
      <c r="G973" s="31"/>
      <c r="H973" s="31"/>
      <c r="I973" s="31"/>
      <c r="J973" s="31"/>
    </row>
    <row r="974" spans="1:10" ht="14.4" x14ac:dyDescent="0.3">
      <c r="A974" s="28" t="str">
        <f>B974&amp;C974&amp;D974&amp;E974</f>
        <v>Товары для домаТовары для кухниЧайники и кофейникиЧайники</v>
      </c>
      <c r="B974" s="29" t="s">
        <v>59</v>
      </c>
      <c r="C974" s="29" t="s">
        <v>60</v>
      </c>
      <c r="D974" s="29" t="s">
        <v>400</v>
      </c>
      <c r="E974" s="29" t="s">
        <v>2543</v>
      </c>
      <c r="F974" s="30">
        <v>0.25</v>
      </c>
      <c r="G974" s="31"/>
      <c r="H974" s="31"/>
      <c r="I974" s="31"/>
      <c r="J974" s="31"/>
    </row>
    <row r="975" spans="1:10" ht="14.4" x14ac:dyDescent="0.3">
      <c r="A975" s="28" t="str">
        <f>B975&amp;C975&amp;D975&amp;E975</f>
        <v>Красота и уходМаникюр и педикюрЛакиЛаки</v>
      </c>
      <c r="B975" s="29" t="s">
        <v>56</v>
      </c>
      <c r="C975" s="29" t="s">
        <v>57</v>
      </c>
      <c r="D975" s="29" t="s">
        <v>1951</v>
      </c>
      <c r="E975" s="29" t="s">
        <v>1951</v>
      </c>
      <c r="F975" s="30">
        <v>0.25</v>
      </c>
      <c r="G975" s="31"/>
      <c r="H975" s="31"/>
      <c r="I975" s="31"/>
      <c r="J975" s="31"/>
    </row>
    <row r="976" spans="1:10" ht="14.4" x14ac:dyDescent="0.3">
      <c r="A976" s="28" t="str">
        <f>B976&amp;C976&amp;D976&amp;E976</f>
        <v>ЭлектроникаСмартфоны и телефоныАксессуары для смартфоновМобильные VR-гарнитуры</v>
      </c>
      <c r="B976" s="29" t="s">
        <v>67</v>
      </c>
      <c r="C976" s="29" t="s">
        <v>96</v>
      </c>
      <c r="D976" s="29" t="s">
        <v>97</v>
      </c>
      <c r="E976" s="29" t="s">
        <v>2546</v>
      </c>
      <c r="F976" s="30">
        <v>0.25</v>
      </c>
      <c r="G976" s="31"/>
      <c r="H976" s="31"/>
      <c r="I976" s="31"/>
      <c r="J976" s="31"/>
    </row>
    <row r="977" spans="1:10" ht="14.4" x14ac:dyDescent="0.3">
      <c r="A977" s="28" t="str">
        <f>B977&amp;C977&amp;D977&amp;E977</f>
        <v>Строительство и ремонтОсвещениеОсвещение для технического помещенияОсвещение для технического помещения</v>
      </c>
      <c r="B977" s="29" t="s">
        <v>77</v>
      </c>
      <c r="C977" s="29" t="s">
        <v>386</v>
      </c>
      <c r="D977" s="29" t="s">
        <v>2549</v>
      </c>
      <c r="E977" s="29" t="s">
        <v>2549</v>
      </c>
      <c r="F977" s="30">
        <v>0.25</v>
      </c>
      <c r="G977" s="31"/>
      <c r="H977" s="31"/>
      <c r="I977" s="31"/>
      <c r="J977" s="31"/>
    </row>
    <row r="978" spans="1:10" ht="14.4" x14ac:dyDescent="0.3">
      <c r="A978" s="28" t="str">
        <f>B978&amp;C978&amp;D978&amp;E978</f>
        <v>ОдеждаЖенская одеждаТопы и майкиТопы</v>
      </c>
      <c r="B978" s="29" t="s">
        <v>92</v>
      </c>
      <c r="C978" s="29" t="s">
        <v>93</v>
      </c>
      <c r="D978" s="29" t="s">
        <v>550</v>
      </c>
      <c r="E978" s="29" t="s">
        <v>2555</v>
      </c>
      <c r="F978" s="30">
        <v>0.25</v>
      </c>
      <c r="G978" s="31"/>
      <c r="H978" s="31"/>
      <c r="I978" s="31"/>
      <c r="J978" s="31"/>
    </row>
    <row r="979" spans="1:10" ht="14.4" x14ac:dyDescent="0.3">
      <c r="A979" s="28" t="str">
        <f>B979&amp;C979&amp;D979&amp;E979</f>
        <v>Спорт и отдыхВиды спортаБаскетболБаскетбольные кольца</v>
      </c>
      <c r="B979" s="29" t="s">
        <v>101</v>
      </c>
      <c r="C979" s="29" t="s">
        <v>446</v>
      </c>
      <c r="D979" s="29" t="s">
        <v>447</v>
      </c>
      <c r="E979" s="29" t="s">
        <v>2562</v>
      </c>
      <c r="F979" s="30">
        <v>0.25</v>
      </c>
      <c r="G979" s="31"/>
      <c r="H979" s="31"/>
      <c r="I979" s="31"/>
      <c r="J979" s="31"/>
    </row>
    <row r="980" spans="1:10" ht="14.4" x14ac:dyDescent="0.3">
      <c r="A980" s="28" t="str">
        <f>B980&amp;C980&amp;D980&amp;E980</f>
        <v>АвтотоварыУход за автомобилемСредства для ремонта царапинСредства для ремонта царапин</v>
      </c>
      <c r="B980" s="29" t="s">
        <v>12</v>
      </c>
      <c r="C980" s="29" t="s">
        <v>201</v>
      </c>
      <c r="D980" s="29" t="s">
        <v>2563</v>
      </c>
      <c r="E980" s="29" t="s">
        <v>2563</v>
      </c>
      <c r="F980" s="30">
        <v>0.25</v>
      </c>
      <c r="G980" s="31"/>
      <c r="H980" s="31"/>
      <c r="I980" s="31"/>
      <c r="J980" s="31"/>
    </row>
    <row r="981" spans="1:10" ht="14.4" x14ac:dyDescent="0.3">
      <c r="A981" s="28" t="str">
        <f>B981&amp;C981&amp;D981&amp;E981</f>
        <v>Дача, сад и огородУдобрения и уход за растениямиГрунт и удобренияГрунт и удобрения</v>
      </c>
      <c r="B981" s="29" t="s">
        <v>352</v>
      </c>
      <c r="C981" s="29" t="s">
        <v>1175</v>
      </c>
      <c r="D981" s="29" t="s">
        <v>2567</v>
      </c>
      <c r="E981" s="29" t="s">
        <v>2567</v>
      </c>
      <c r="F981" s="30">
        <v>0.25</v>
      </c>
      <c r="G981" s="31"/>
      <c r="H981" s="31"/>
      <c r="I981" s="31"/>
      <c r="J981" s="31"/>
    </row>
    <row r="982" spans="1:10" ht="14.4" x14ac:dyDescent="0.3">
      <c r="A982" s="28" t="str">
        <f>B982&amp;C982&amp;D982&amp;E982</f>
        <v>ОдеждаМужская одеждаШортыПовседневные шорты</v>
      </c>
      <c r="B982" s="29" t="s">
        <v>92</v>
      </c>
      <c r="C982" s="29" t="s">
        <v>112</v>
      </c>
      <c r="D982" s="29" t="s">
        <v>818</v>
      </c>
      <c r="E982" s="29" t="s">
        <v>2058</v>
      </c>
      <c r="F982" s="30">
        <v>0.25</v>
      </c>
      <c r="G982" s="31"/>
      <c r="H982" s="31"/>
      <c r="I982" s="31"/>
      <c r="J982" s="31"/>
    </row>
    <row r="983" spans="1:10" ht="14.4" x14ac:dyDescent="0.3">
      <c r="A983" s="28" t="str">
        <f>B983&amp;C983&amp;D983&amp;E983</f>
        <v>ОдеждаЖенская одеждаКомбинезоныКомбинезоны повседневные</v>
      </c>
      <c r="B983" s="29" t="s">
        <v>92</v>
      </c>
      <c r="C983" s="29" t="s">
        <v>93</v>
      </c>
      <c r="D983" s="29" t="s">
        <v>2154</v>
      </c>
      <c r="E983" s="29" t="s">
        <v>2571</v>
      </c>
      <c r="F983" s="30">
        <v>0.25</v>
      </c>
      <c r="G983" s="31"/>
      <c r="H983" s="31"/>
      <c r="I983" s="31"/>
      <c r="J983" s="31"/>
    </row>
    <row r="984" spans="1:10" ht="14.4" x14ac:dyDescent="0.3">
      <c r="A984" s="28" t="str">
        <f>B984&amp;C984&amp;D984&amp;E984</f>
        <v>ОдеждаЖенская одеждаПиджаки и костюмыЖакеты</v>
      </c>
      <c r="B984" s="29" t="s">
        <v>92</v>
      </c>
      <c r="C984" s="29" t="s">
        <v>93</v>
      </c>
      <c r="D984" s="29" t="s">
        <v>1015</v>
      </c>
      <c r="E984" s="29" t="s">
        <v>2572</v>
      </c>
      <c r="F984" s="30">
        <v>0.25</v>
      </c>
      <c r="G984" s="31"/>
      <c r="H984" s="31"/>
      <c r="I984" s="31"/>
      <c r="J984" s="31"/>
    </row>
    <row r="985" spans="1:10" ht="14.4" x14ac:dyDescent="0.3">
      <c r="A985" s="28" t="str">
        <f>B985&amp;C985&amp;D985&amp;E985</f>
        <v>Спорт и отдыхВиды спортаБегПоясные сумки и рюкзаки-гидраторы для бега</v>
      </c>
      <c r="B985" s="29" t="s">
        <v>101</v>
      </c>
      <c r="C985" s="29" t="s">
        <v>446</v>
      </c>
      <c r="D985" s="29" t="s">
        <v>642</v>
      </c>
      <c r="E985" s="29" t="s">
        <v>2573</v>
      </c>
      <c r="F985" s="30">
        <v>0.25</v>
      </c>
      <c r="G985" s="31"/>
      <c r="H985" s="31"/>
      <c r="I985" s="31"/>
      <c r="J985" s="31"/>
    </row>
    <row r="986" spans="1:10" ht="14.4" x14ac:dyDescent="0.3">
      <c r="A986" s="28" t="str">
        <f>B986&amp;C986&amp;D986&amp;E986</f>
        <v>Товары для домаТовары для кухниАксессуары для напитковШейкеры для напитков</v>
      </c>
      <c r="B986" s="29" t="s">
        <v>59</v>
      </c>
      <c r="C986" s="29" t="s">
        <v>60</v>
      </c>
      <c r="D986" s="29" t="s">
        <v>346</v>
      </c>
      <c r="E986" s="29" t="s">
        <v>2577</v>
      </c>
      <c r="F986" s="30">
        <v>0.25</v>
      </c>
      <c r="G986" s="31"/>
      <c r="H986" s="31"/>
      <c r="I986" s="31"/>
      <c r="J986" s="31"/>
    </row>
    <row r="987" spans="1:10" ht="14.4" x14ac:dyDescent="0.3">
      <c r="A987" s="28" t="str">
        <f>B987&amp;C987&amp;D987&amp;E987</f>
        <v>ОдеждаМужская одеждаСпецодеждаФорменная одежда</v>
      </c>
      <c r="B987" s="29" t="s">
        <v>92</v>
      </c>
      <c r="C987" s="29" t="s">
        <v>112</v>
      </c>
      <c r="D987" s="29" t="s">
        <v>780</v>
      </c>
      <c r="E987" s="29" t="s">
        <v>2578</v>
      </c>
      <c r="F987" s="30">
        <v>0.25</v>
      </c>
      <c r="G987" s="31"/>
      <c r="H987" s="31"/>
      <c r="I987" s="31"/>
      <c r="J987" s="31"/>
    </row>
    <row r="988" spans="1:10" ht="14.4" x14ac:dyDescent="0.3">
      <c r="A988" s="28" t="str">
        <f>B988&amp;C988&amp;D988&amp;E988</f>
        <v>АвтотоварыАксессуары и принадлежностиТюнинг и внешний декорТермокружки и подстаканники</v>
      </c>
      <c r="B988" s="29" t="s">
        <v>12</v>
      </c>
      <c r="C988" s="29" t="s">
        <v>253</v>
      </c>
      <c r="D988" s="29" t="s">
        <v>254</v>
      </c>
      <c r="E988" s="29" t="s">
        <v>2580</v>
      </c>
      <c r="F988" s="30">
        <v>0.25</v>
      </c>
      <c r="G988" s="31"/>
      <c r="H988" s="31"/>
      <c r="I988" s="31"/>
      <c r="J988" s="31"/>
    </row>
    <row r="989" spans="1:10" ht="14.4" x14ac:dyDescent="0.3">
      <c r="A989" s="28" t="str">
        <f>B989&amp;C989&amp;D989&amp;E989</f>
        <v>ЗдоровьеМассажеры и массажное оборудованиеМассажеры для ногМассажеры для ног</v>
      </c>
      <c r="B989" s="29" t="s">
        <v>116</v>
      </c>
      <c r="C989" s="29" t="s">
        <v>495</v>
      </c>
      <c r="D989" s="29" t="s">
        <v>2581</v>
      </c>
      <c r="E989" s="29" t="s">
        <v>2581</v>
      </c>
      <c r="F989" s="30">
        <v>0.25</v>
      </c>
      <c r="G989" s="31"/>
      <c r="H989" s="31"/>
      <c r="I989" s="31"/>
      <c r="J989" s="31"/>
    </row>
    <row r="990" spans="1:10" ht="14.4" x14ac:dyDescent="0.3">
      <c r="A990" s="28" t="str">
        <f>B990&amp;C990&amp;D990&amp;E990</f>
        <v>Спорт и отдыхВиды спортаВолейболВолейбольные мячи</v>
      </c>
      <c r="B990" s="29" t="s">
        <v>101</v>
      </c>
      <c r="C990" s="29" t="s">
        <v>446</v>
      </c>
      <c r="D990" s="29" t="s">
        <v>1470</v>
      </c>
      <c r="E990" s="29" t="s">
        <v>2582</v>
      </c>
      <c r="F990" s="30">
        <v>0.25</v>
      </c>
      <c r="G990" s="31"/>
      <c r="H990" s="31"/>
      <c r="I990" s="31"/>
      <c r="J990" s="31"/>
    </row>
    <row r="991" spans="1:10" ht="14.4" x14ac:dyDescent="0.3">
      <c r="A991" s="28" t="str">
        <f>B991&amp;C991&amp;D991&amp;E991</f>
        <v>ОдеждаМужская одеждаДжемперы, свитеры и кардиганыЖилеты</v>
      </c>
      <c r="B991" s="29" t="s">
        <v>92</v>
      </c>
      <c r="C991" s="29" t="s">
        <v>112</v>
      </c>
      <c r="D991" s="29" t="s">
        <v>424</v>
      </c>
      <c r="E991" s="29" t="s">
        <v>891</v>
      </c>
      <c r="F991" s="30">
        <v>0.25</v>
      </c>
      <c r="G991" s="31"/>
      <c r="H991" s="31"/>
      <c r="I991" s="31"/>
      <c r="J991" s="31"/>
    </row>
    <row r="992" spans="1:10" ht="14.4" x14ac:dyDescent="0.3">
      <c r="A992" s="28" t="str">
        <f>B992&amp;C992&amp;D992&amp;E992</f>
        <v>Товары для домаТовары для кухниКухонные аксессуарыТаймеры кухонные</v>
      </c>
      <c r="B992" s="29" t="s">
        <v>59</v>
      </c>
      <c r="C992" s="29" t="s">
        <v>60</v>
      </c>
      <c r="D992" s="29" t="s">
        <v>273</v>
      </c>
      <c r="E992" s="29" t="s">
        <v>2587</v>
      </c>
      <c r="F992" s="30">
        <v>0.25</v>
      </c>
      <c r="G992" s="31"/>
      <c r="H992" s="31"/>
      <c r="I992" s="31"/>
      <c r="J992" s="31"/>
    </row>
    <row r="993" spans="1:10" ht="14.4" x14ac:dyDescent="0.3">
      <c r="A993" s="28" t="str">
        <f>B993&amp;C993&amp;D993&amp;E993</f>
        <v>ОдеждаЖенская одеждаТопы и майкиКроп-топы</v>
      </c>
      <c r="B993" s="29" t="s">
        <v>92</v>
      </c>
      <c r="C993" s="29" t="s">
        <v>93</v>
      </c>
      <c r="D993" s="29" t="s">
        <v>550</v>
      </c>
      <c r="E993" s="29" t="s">
        <v>2591</v>
      </c>
      <c r="F993" s="30">
        <v>0.25</v>
      </c>
      <c r="G993" s="31"/>
      <c r="H993" s="31"/>
      <c r="I993" s="31"/>
      <c r="J993" s="31"/>
    </row>
    <row r="994" spans="1:10" ht="14.4" x14ac:dyDescent="0.3">
      <c r="A994" s="28" t="str">
        <f>B994&amp;C994&amp;D994&amp;E994</f>
        <v>Спорт и отдыхВелоспортВелозапчастиКрылья и брызговики</v>
      </c>
      <c r="B994" s="29" t="s">
        <v>101</v>
      </c>
      <c r="C994" s="29" t="s">
        <v>743</v>
      </c>
      <c r="D994" s="29" t="s">
        <v>935</v>
      </c>
      <c r="E994" s="29" t="s">
        <v>2594</v>
      </c>
      <c r="F994" s="30">
        <v>0.25</v>
      </c>
      <c r="G994" s="31"/>
      <c r="H994" s="31"/>
      <c r="I994" s="31"/>
      <c r="J994" s="31"/>
    </row>
    <row r="995" spans="1:10" ht="14.4" x14ac:dyDescent="0.3">
      <c r="A995" s="28" t="str">
        <f>B995&amp;C995&amp;D995&amp;E995</f>
        <v>Товары для домаТовары для кухниХранение продуктовЕмкости для жидкостей</v>
      </c>
      <c r="B995" s="29" t="s">
        <v>59</v>
      </c>
      <c r="C995" s="29" t="s">
        <v>60</v>
      </c>
      <c r="D995" s="29" t="s">
        <v>749</v>
      </c>
      <c r="E995" s="29" t="s">
        <v>2597</v>
      </c>
      <c r="F995" s="30">
        <v>0.25</v>
      </c>
      <c r="G995" s="31"/>
      <c r="H995" s="31"/>
      <c r="I995" s="31"/>
      <c r="J995" s="31"/>
    </row>
    <row r="996" spans="1:10" ht="14.4" x14ac:dyDescent="0.3">
      <c r="A996" s="28" t="str">
        <f>B996&amp;C996&amp;D996&amp;E996</f>
        <v>Строительство и ремонтРучной инструмент и оснасткаМалярные и отделочные инструментыТазы и ведра строительные</v>
      </c>
      <c r="B996" s="29" t="s">
        <v>77</v>
      </c>
      <c r="C996" s="29" t="s">
        <v>127</v>
      </c>
      <c r="D996" s="29" t="s">
        <v>128</v>
      </c>
      <c r="E996" s="29" t="s">
        <v>2600</v>
      </c>
      <c r="F996" s="30">
        <v>0.25</v>
      </c>
      <c r="G996" s="31"/>
      <c r="H996" s="31"/>
      <c r="I996" s="31"/>
      <c r="J996" s="31"/>
    </row>
    <row r="997" spans="1:10" ht="14.4" x14ac:dyDescent="0.3">
      <c r="A997" s="28" t="str">
        <f>B997&amp;C997&amp;D997&amp;E997</f>
        <v>ОдеждаЖенская одеждаКупальники и пляжная одеждаПляжные платья и туники</v>
      </c>
      <c r="B997" s="29" t="s">
        <v>92</v>
      </c>
      <c r="C997" s="29" t="s">
        <v>93</v>
      </c>
      <c r="D997" s="29" t="s">
        <v>760</v>
      </c>
      <c r="E997" s="29" t="s">
        <v>2601</v>
      </c>
      <c r="F997" s="30">
        <v>0.25</v>
      </c>
      <c r="G997" s="31"/>
      <c r="H997" s="31"/>
      <c r="I997" s="31"/>
      <c r="J997" s="31"/>
    </row>
    <row r="998" spans="1:10" ht="14.4" x14ac:dyDescent="0.3">
      <c r="A998" s="28" t="str">
        <f>B998&amp;C998&amp;D998&amp;E998</f>
        <v>Строительство и ремонтСантехникаФитинги и комплектующиеФитинги и комплектующие</v>
      </c>
      <c r="B998" s="29" t="s">
        <v>77</v>
      </c>
      <c r="C998" s="29" t="s">
        <v>388</v>
      </c>
      <c r="D998" s="29" t="s">
        <v>2606</v>
      </c>
      <c r="E998" s="29" t="s">
        <v>2606</v>
      </c>
      <c r="F998" s="30">
        <v>0.25</v>
      </c>
      <c r="G998" s="31"/>
      <c r="H998" s="31"/>
      <c r="I998" s="31"/>
      <c r="J998" s="31"/>
    </row>
    <row r="999" spans="1:10" ht="14.4" x14ac:dyDescent="0.3">
      <c r="A999" s="28" t="str">
        <f>B999&amp;C999&amp;D999&amp;E999</f>
        <v>ОдеждаЖенская одеждаНижнее бельёБоди</v>
      </c>
      <c r="B999" s="29" t="s">
        <v>92</v>
      </c>
      <c r="C999" s="29" t="s">
        <v>93</v>
      </c>
      <c r="D999" s="29" t="s">
        <v>113</v>
      </c>
      <c r="E999" s="29" t="s">
        <v>1949</v>
      </c>
      <c r="F999" s="30">
        <v>0.25</v>
      </c>
      <c r="G999" s="31"/>
      <c r="H999" s="31"/>
      <c r="I999" s="31"/>
      <c r="J999" s="31"/>
    </row>
    <row r="1000" spans="1:10" ht="14.4" x14ac:dyDescent="0.3">
      <c r="A1000" s="28" t="str">
        <f>B1000&amp;C1000&amp;D1000&amp;E1000</f>
        <v>Товары для домаТовары для кухниФормы для приготовленияФормы для леденцов и конфет</v>
      </c>
      <c r="B1000" s="29" t="s">
        <v>59</v>
      </c>
      <c r="C1000" s="29" t="s">
        <v>60</v>
      </c>
      <c r="D1000" s="29" t="s">
        <v>61</v>
      </c>
      <c r="E1000" s="29" t="s">
        <v>2614</v>
      </c>
      <c r="F1000" s="30">
        <v>0.25</v>
      </c>
      <c r="G1000" s="31"/>
      <c r="H1000" s="31"/>
      <c r="I1000" s="31"/>
      <c r="J1000" s="31"/>
    </row>
    <row r="1001" spans="1:10" ht="14.4" x14ac:dyDescent="0.3">
      <c r="A1001" s="28" t="str">
        <f>B1001&amp;C1001&amp;D1001&amp;E1001</f>
        <v>АвтотоварыМасла и автохимияПропитки воздушных фильтровПропитки воздушных фильтров</v>
      </c>
      <c r="B1001" s="29" t="s">
        <v>12</v>
      </c>
      <c r="C1001" s="29" t="s">
        <v>848</v>
      </c>
      <c r="D1001" s="29" t="s">
        <v>2619</v>
      </c>
      <c r="E1001" s="29" t="s">
        <v>2619</v>
      </c>
      <c r="F1001" s="30">
        <v>0.25</v>
      </c>
      <c r="G1001" s="31"/>
      <c r="H1001" s="31"/>
      <c r="I1001" s="31"/>
      <c r="J1001" s="31"/>
    </row>
    <row r="1002" spans="1:10" ht="14.4" x14ac:dyDescent="0.3">
      <c r="A1002" s="28" t="str">
        <f>B1002&amp;C1002&amp;D1002&amp;E1002</f>
        <v>ОдеждаМужская одеждаНоски и гетрыГольфы и гетры</v>
      </c>
      <c r="B1002" s="29" t="s">
        <v>92</v>
      </c>
      <c r="C1002" s="29" t="s">
        <v>112</v>
      </c>
      <c r="D1002" s="29" t="s">
        <v>1396</v>
      </c>
      <c r="E1002" s="29" t="s">
        <v>1247</v>
      </c>
      <c r="F1002" s="30">
        <v>0.25</v>
      </c>
      <c r="G1002" s="31"/>
      <c r="H1002" s="31"/>
      <c r="I1002" s="31"/>
      <c r="J1002" s="31"/>
    </row>
    <row r="1003" spans="1:10" ht="14.4" x14ac:dyDescent="0.3">
      <c r="A1003" s="28" t="str">
        <f>B1003&amp;C1003&amp;D1003&amp;E1003</f>
        <v>ОдеждаЖенская одеждаВерхняя одеждаЖилеты</v>
      </c>
      <c r="B1003" s="29" t="s">
        <v>92</v>
      </c>
      <c r="C1003" s="29" t="s">
        <v>93</v>
      </c>
      <c r="D1003" s="29" t="s">
        <v>144</v>
      </c>
      <c r="E1003" s="29" t="s">
        <v>891</v>
      </c>
      <c r="F1003" s="30">
        <v>0.25</v>
      </c>
      <c r="G1003" s="31"/>
      <c r="H1003" s="31"/>
      <c r="I1003" s="31"/>
      <c r="J1003" s="31"/>
    </row>
    <row r="1004" spans="1:10" ht="14.4" x14ac:dyDescent="0.3">
      <c r="A1004" s="28" t="str">
        <f>B1004&amp;C1004&amp;D1004&amp;E1004</f>
        <v>ОдеждаМужская одеждаНижнее бельёТрусы</v>
      </c>
      <c r="B1004" s="29" t="s">
        <v>92</v>
      </c>
      <c r="C1004" s="29" t="s">
        <v>112</v>
      </c>
      <c r="D1004" s="29" t="s">
        <v>113</v>
      </c>
      <c r="E1004" s="29" t="s">
        <v>2625</v>
      </c>
      <c r="F1004" s="30">
        <v>0.25</v>
      </c>
      <c r="G1004" s="31"/>
      <c r="H1004" s="31"/>
      <c r="I1004" s="31"/>
      <c r="J1004" s="31"/>
    </row>
    <row r="1005" spans="1:10" ht="14.4" x14ac:dyDescent="0.3">
      <c r="A1005" s="28" t="str">
        <f>B1005&amp;C1005&amp;D1005&amp;E1005</f>
        <v>Товары для домаТовары для кухниИзмельчители и соковыжималкиПлододержатели</v>
      </c>
      <c r="B1005" s="29" t="s">
        <v>59</v>
      </c>
      <c r="C1005" s="29" t="s">
        <v>60</v>
      </c>
      <c r="D1005" s="29" t="s">
        <v>154</v>
      </c>
      <c r="E1005" s="29" t="s">
        <v>2631</v>
      </c>
      <c r="F1005" s="30">
        <v>0.25</v>
      </c>
      <c r="G1005" s="31"/>
      <c r="H1005" s="31"/>
      <c r="I1005" s="31"/>
      <c r="J1005" s="31"/>
    </row>
    <row r="1006" spans="1:10" ht="14.4" x14ac:dyDescent="0.3">
      <c r="A1006" s="28" t="str">
        <f>B1006&amp;C1006&amp;D1006&amp;E1006</f>
        <v>Товары для домаТовары для кухниКухонные инструментыПрочие кухонные инструменты</v>
      </c>
      <c r="B1006" s="29" t="s">
        <v>59</v>
      </c>
      <c r="C1006" s="29" t="s">
        <v>60</v>
      </c>
      <c r="D1006" s="29" t="s">
        <v>1006</v>
      </c>
      <c r="E1006" s="29" t="s">
        <v>2636</v>
      </c>
      <c r="F1006" s="30">
        <v>0.25</v>
      </c>
      <c r="G1006" s="31"/>
      <c r="H1006" s="31"/>
      <c r="I1006" s="31"/>
      <c r="J1006" s="31"/>
    </row>
    <row r="1007" spans="1:10" ht="14.4" x14ac:dyDescent="0.3">
      <c r="A1007" s="28" t="str">
        <f>B1007&amp;C1007&amp;D1007&amp;E1007</f>
        <v>Товары для домаТовары для кухниАксессуары для выпечкиМешки, шприцы и насадки</v>
      </c>
      <c r="B1007" s="29" t="s">
        <v>59</v>
      </c>
      <c r="C1007" s="29" t="s">
        <v>60</v>
      </c>
      <c r="D1007" s="29" t="s">
        <v>686</v>
      </c>
      <c r="E1007" s="29" t="s">
        <v>2637</v>
      </c>
      <c r="F1007" s="30">
        <v>0.25</v>
      </c>
      <c r="G1007" s="31"/>
      <c r="H1007" s="31"/>
      <c r="I1007" s="31"/>
      <c r="J1007" s="31"/>
    </row>
    <row r="1008" spans="1:10" ht="14.4" x14ac:dyDescent="0.3">
      <c r="A1008" s="28" t="str">
        <f>B1008&amp;C1008&amp;D1008&amp;E1008</f>
        <v>Строительство и ремонтРучной инструмент и оснасткаСтолярно-слесарные инструментыПила ручная</v>
      </c>
      <c r="B1008" s="29" t="s">
        <v>77</v>
      </c>
      <c r="C1008" s="29" t="s">
        <v>127</v>
      </c>
      <c r="D1008" s="29" t="s">
        <v>139</v>
      </c>
      <c r="E1008" s="29" t="s">
        <v>2638</v>
      </c>
      <c r="F1008" s="30">
        <v>0.25</v>
      </c>
      <c r="G1008" s="31"/>
      <c r="H1008" s="31"/>
      <c r="I1008" s="31"/>
      <c r="J1008" s="31"/>
    </row>
    <row r="1009" spans="1:10" ht="14.4" x14ac:dyDescent="0.3">
      <c r="A1009" s="28" t="str">
        <f>B1009&amp;C1009&amp;D1009&amp;E1009</f>
        <v>ОдеждаЖенская одеждаДжемперы, свитеры и кардиганыСвитеры</v>
      </c>
      <c r="B1009" s="29" t="s">
        <v>92</v>
      </c>
      <c r="C1009" s="29" t="s">
        <v>93</v>
      </c>
      <c r="D1009" s="29" t="s">
        <v>424</v>
      </c>
      <c r="E1009" s="29" t="s">
        <v>2641</v>
      </c>
      <c r="F1009" s="30">
        <v>0.25</v>
      </c>
      <c r="G1009" s="31"/>
      <c r="H1009" s="31"/>
      <c r="I1009" s="31"/>
      <c r="J1009" s="31"/>
    </row>
    <row r="1010" spans="1:10" ht="14.4" x14ac:dyDescent="0.3">
      <c r="A1010" s="28" t="str">
        <f>B1010&amp;C1010&amp;D1010&amp;E1010</f>
        <v>АвтотоварыАксессуары и принадлежностиТюнинг и внешний декорНакладки на пороги</v>
      </c>
      <c r="B1010" s="29" t="s">
        <v>12</v>
      </c>
      <c r="C1010" s="29" t="s">
        <v>253</v>
      </c>
      <c r="D1010" s="29" t="s">
        <v>254</v>
      </c>
      <c r="E1010" s="29" t="s">
        <v>2645</v>
      </c>
      <c r="F1010" s="30">
        <v>0.25</v>
      </c>
      <c r="G1010" s="31"/>
      <c r="H1010" s="31"/>
      <c r="I1010" s="31"/>
      <c r="J1010" s="31"/>
    </row>
    <row r="1011" spans="1:10" ht="14.4" x14ac:dyDescent="0.3">
      <c r="A1011" s="28" t="str">
        <f>B1011&amp;C1011&amp;D1011&amp;E1011</f>
        <v>Товары для домаТекстильТекстиль с электроподогревомЭлектроодеяла</v>
      </c>
      <c r="B1011" s="29" t="s">
        <v>59</v>
      </c>
      <c r="C1011" s="29" t="s">
        <v>325</v>
      </c>
      <c r="D1011" s="29" t="s">
        <v>2646</v>
      </c>
      <c r="E1011" s="29" t="s">
        <v>2647</v>
      </c>
      <c r="F1011" s="30">
        <v>0.25</v>
      </c>
      <c r="G1011" s="31"/>
      <c r="H1011" s="31"/>
      <c r="I1011" s="31"/>
      <c r="J1011" s="31"/>
    </row>
    <row r="1012" spans="1:10" ht="14.4" x14ac:dyDescent="0.3">
      <c r="A1012" s="28" t="str">
        <f>B1012&amp;C1012&amp;D1012&amp;E1012</f>
        <v>ОбувьЖенская обувьДомашняя обувьДомашняя обувь</v>
      </c>
      <c r="B1012" s="29" t="s">
        <v>180</v>
      </c>
      <c r="C1012" s="29" t="s">
        <v>181</v>
      </c>
      <c r="D1012" s="29" t="s">
        <v>1283</v>
      </c>
      <c r="E1012" s="29" t="s">
        <v>1283</v>
      </c>
      <c r="F1012" s="30">
        <v>0.25</v>
      </c>
      <c r="G1012" s="31"/>
      <c r="H1012" s="31"/>
      <c r="I1012" s="31"/>
      <c r="J1012" s="31"/>
    </row>
    <row r="1013" spans="1:10" ht="14.4" x14ac:dyDescent="0.3">
      <c r="A1013" s="28" t="str">
        <f>B1013&amp;C1013&amp;D1013&amp;E1013</f>
        <v>Товары для домаТекстильТекстиль с электроподогревомЭлектроматрасы</v>
      </c>
      <c r="B1013" s="29" t="s">
        <v>59</v>
      </c>
      <c r="C1013" s="29" t="s">
        <v>325</v>
      </c>
      <c r="D1013" s="29" t="s">
        <v>2646</v>
      </c>
      <c r="E1013" s="29" t="s">
        <v>2652</v>
      </c>
      <c r="F1013" s="30">
        <v>0.25</v>
      </c>
      <c r="G1013" s="31"/>
      <c r="H1013" s="31"/>
      <c r="I1013" s="31"/>
      <c r="J1013" s="31"/>
    </row>
    <row r="1014" spans="1:10" ht="14.4" x14ac:dyDescent="0.3">
      <c r="A1014" s="28" t="str">
        <f>B1014&amp;C1014&amp;D1014&amp;E1014</f>
        <v>Спорт и отдыхБассейны и аксессуарыИнструменты для очисткиЩетки для бассейнов</v>
      </c>
      <c r="B1014" s="29" t="s">
        <v>101</v>
      </c>
      <c r="C1014" s="29" t="s">
        <v>102</v>
      </c>
      <c r="D1014" s="29" t="s">
        <v>2654</v>
      </c>
      <c r="E1014" s="29" t="s">
        <v>2655</v>
      </c>
      <c r="F1014" s="30">
        <v>0.25</v>
      </c>
      <c r="G1014" s="31"/>
      <c r="H1014" s="31"/>
      <c r="I1014" s="31"/>
      <c r="J1014" s="31"/>
    </row>
    <row r="1015" spans="1:10" ht="14.4" x14ac:dyDescent="0.3">
      <c r="A1015" s="28" t="str">
        <f>B1015&amp;C1015&amp;D1015&amp;E1015</f>
        <v>Товары для домаТовары для кухниКухонные инструментыКисти кулинарные</v>
      </c>
      <c r="B1015" s="29" t="s">
        <v>59</v>
      </c>
      <c r="C1015" s="29" t="s">
        <v>60</v>
      </c>
      <c r="D1015" s="29" t="s">
        <v>1006</v>
      </c>
      <c r="E1015" s="29" t="s">
        <v>2659</v>
      </c>
      <c r="F1015" s="30">
        <v>0.25</v>
      </c>
      <c r="G1015" s="31"/>
      <c r="H1015" s="31"/>
      <c r="I1015" s="31"/>
      <c r="J1015" s="31"/>
    </row>
    <row r="1016" spans="1:10" ht="14.4" x14ac:dyDescent="0.3">
      <c r="A1016" s="28" t="str">
        <f>B1016&amp;C1016&amp;D1016&amp;E1016</f>
        <v>Дача, сад и огородСадовый инструментАксессуары и расходные материалыФартуки и пояса</v>
      </c>
      <c r="B1016" s="29" t="s">
        <v>352</v>
      </c>
      <c r="C1016" s="29" t="s">
        <v>353</v>
      </c>
      <c r="D1016" s="29" t="s">
        <v>673</v>
      </c>
      <c r="E1016" s="29" t="s">
        <v>2668</v>
      </c>
      <c r="F1016" s="30">
        <v>0.25</v>
      </c>
      <c r="G1016" s="31"/>
      <c r="H1016" s="31"/>
      <c r="I1016" s="31"/>
      <c r="J1016" s="31"/>
    </row>
    <row r="1017" spans="1:10" ht="14.4" x14ac:dyDescent="0.3">
      <c r="A1017" s="28" t="str">
        <f>B1017&amp;C1017&amp;D1017&amp;E1017</f>
        <v>Строительство и ремонтРучной инструмент и оснасткаКрепежШурупы и саморезы</v>
      </c>
      <c r="B1017" s="29" t="s">
        <v>77</v>
      </c>
      <c r="C1017" s="29" t="s">
        <v>127</v>
      </c>
      <c r="D1017" s="29" t="s">
        <v>350</v>
      </c>
      <c r="E1017" s="29" t="s">
        <v>2671</v>
      </c>
      <c r="F1017" s="30">
        <v>0.25</v>
      </c>
      <c r="G1017" s="31"/>
      <c r="H1017" s="31"/>
      <c r="I1017" s="31"/>
      <c r="J1017" s="31"/>
    </row>
    <row r="1018" spans="1:10" ht="14.4" x14ac:dyDescent="0.3">
      <c r="A1018" s="28" t="str">
        <f>B1018&amp;C1018&amp;D1018&amp;E1018</f>
        <v>Товары для домаТовары для кухниКухонные инструментыВилки кулинарные</v>
      </c>
      <c r="B1018" s="29" t="s">
        <v>59</v>
      </c>
      <c r="C1018" s="29" t="s">
        <v>60</v>
      </c>
      <c r="D1018" s="29" t="s">
        <v>1006</v>
      </c>
      <c r="E1018" s="29" t="s">
        <v>2676</v>
      </c>
      <c r="F1018" s="30">
        <v>0.25</v>
      </c>
      <c r="G1018" s="31"/>
      <c r="H1018" s="31"/>
      <c r="I1018" s="31"/>
      <c r="J1018" s="31"/>
    </row>
    <row r="1019" spans="1:10" ht="14.4" x14ac:dyDescent="0.3">
      <c r="A1019" s="28" t="str">
        <f>B1019&amp;C1019&amp;D1019&amp;E1019</f>
        <v>ОдеждаЖенская одеждаСпортивная одеждаТермоноски</v>
      </c>
      <c r="B1019" s="29" t="s">
        <v>92</v>
      </c>
      <c r="C1019" s="29" t="s">
        <v>93</v>
      </c>
      <c r="D1019" s="29" t="s">
        <v>158</v>
      </c>
      <c r="E1019" s="29" t="s">
        <v>2097</v>
      </c>
      <c r="F1019" s="30">
        <v>0.25</v>
      </c>
      <c r="G1019" s="31"/>
      <c r="H1019" s="31"/>
      <c r="I1019" s="31"/>
      <c r="J1019" s="31"/>
    </row>
    <row r="1020" spans="1:10" ht="14.4" x14ac:dyDescent="0.3">
      <c r="A1020" s="28" t="str">
        <f>B1020&amp;C1020&amp;D1020&amp;E1020</f>
        <v>Спорт и отдыхВодный спорт и отдых на водеПлаваниеЛопатки для плавания</v>
      </c>
      <c r="B1020" s="29" t="s">
        <v>101</v>
      </c>
      <c r="C1020" s="29" t="s">
        <v>771</v>
      </c>
      <c r="D1020" s="29" t="s">
        <v>772</v>
      </c>
      <c r="E1020" s="29" t="s">
        <v>2677</v>
      </c>
      <c r="F1020" s="30">
        <v>0.25</v>
      </c>
      <c r="G1020" s="31"/>
      <c r="H1020" s="31"/>
      <c r="I1020" s="31"/>
      <c r="J1020" s="31"/>
    </row>
    <row r="1021" spans="1:10" ht="14.4" x14ac:dyDescent="0.3">
      <c r="A1021" s="28" t="str">
        <f>B1021&amp;C1021&amp;D1021&amp;E1021</f>
        <v>АвтотоварыМасла и автохимияКлей и герметикиКлей и герметики</v>
      </c>
      <c r="B1021" s="29" t="s">
        <v>12</v>
      </c>
      <c r="C1021" s="29" t="s">
        <v>848</v>
      </c>
      <c r="D1021" s="29" t="s">
        <v>2683</v>
      </c>
      <c r="E1021" s="29" t="s">
        <v>2683</v>
      </c>
      <c r="F1021" s="30">
        <v>0.25</v>
      </c>
      <c r="G1021" s="31"/>
      <c r="H1021" s="31"/>
      <c r="I1021" s="31"/>
      <c r="J1021" s="31"/>
    </row>
    <row r="1022" spans="1:10" ht="14.4" x14ac:dyDescent="0.3">
      <c r="A1022" s="28" t="str">
        <f>B1022&amp;C1022&amp;D1022&amp;E1022</f>
        <v>Товары для домаТовары для кухниКухонные аксессуарыРучки для посуды</v>
      </c>
      <c r="B1022" s="29" t="s">
        <v>59</v>
      </c>
      <c r="C1022" s="29" t="s">
        <v>60</v>
      </c>
      <c r="D1022" s="29" t="s">
        <v>273</v>
      </c>
      <c r="E1022" s="29" t="s">
        <v>2684</v>
      </c>
      <c r="F1022" s="30">
        <v>0.25</v>
      </c>
      <c r="G1022" s="31"/>
      <c r="H1022" s="31"/>
      <c r="I1022" s="31"/>
      <c r="J1022" s="31"/>
    </row>
    <row r="1023" spans="1:10" ht="14.4" x14ac:dyDescent="0.3">
      <c r="A1023" s="28" t="str">
        <f>B1023&amp;C1023&amp;D1023&amp;E1023</f>
        <v>АвтотоварыАксессуары и принадлежностиСувениры автомобильныеБрелоки и декоративные элементы</v>
      </c>
      <c r="B1023" s="29" t="s">
        <v>12</v>
      </c>
      <c r="C1023" s="29" t="s">
        <v>253</v>
      </c>
      <c r="D1023" s="29" t="s">
        <v>1920</v>
      </c>
      <c r="E1023" s="29" t="s">
        <v>2691</v>
      </c>
      <c r="F1023" s="30">
        <v>0.25</v>
      </c>
      <c r="G1023" s="31"/>
      <c r="H1023" s="31"/>
      <c r="I1023" s="31"/>
      <c r="J1023" s="31"/>
    </row>
    <row r="1024" spans="1:10" ht="14.4" x14ac:dyDescent="0.3">
      <c r="A1024" s="28" t="str">
        <f>B1024&amp;C1024&amp;D1024&amp;E1024</f>
        <v>ЭлектроникаКвадрокоптеры и аксессуарыКвадрокоптерыКвадрокоптеры</v>
      </c>
      <c r="B1024" s="29" t="s">
        <v>67</v>
      </c>
      <c r="C1024" s="29" t="s">
        <v>2137</v>
      </c>
      <c r="D1024" s="29" t="s">
        <v>2694</v>
      </c>
      <c r="E1024" s="29" t="s">
        <v>2694</v>
      </c>
      <c r="F1024" s="30">
        <v>0.25</v>
      </c>
      <c r="G1024" s="31"/>
      <c r="H1024" s="31"/>
      <c r="I1024" s="31"/>
      <c r="J1024" s="31"/>
    </row>
    <row r="1025" spans="1:10" ht="14.4" x14ac:dyDescent="0.3">
      <c r="A1025" s="28" t="str">
        <f>B1025&amp;C1025&amp;D1025&amp;E1025</f>
        <v>ОдеждаМужская одеждаНижнее бельёМайки</v>
      </c>
      <c r="B1025" s="29" t="s">
        <v>92</v>
      </c>
      <c r="C1025" s="29" t="s">
        <v>112</v>
      </c>
      <c r="D1025" s="29" t="s">
        <v>113</v>
      </c>
      <c r="E1025" s="29" t="s">
        <v>533</v>
      </c>
      <c r="F1025" s="30">
        <v>0.25</v>
      </c>
      <c r="G1025" s="31"/>
      <c r="H1025" s="31"/>
      <c r="I1025" s="31"/>
      <c r="J1025" s="31"/>
    </row>
    <row r="1026" spans="1:10" ht="14.4" x14ac:dyDescent="0.3">
      <c r="A1026" s="28" t="str">
        <f>B1026&amp;C1026&amp;D1026&amp;E1026</f>
        <v>Товары для домаТовары для кухниФильтры для водыФильтр-кувшины</v>
      </c>
      <c r="B1026" s="29" t="s">
        <v>59</v>
      </c>
      <c r="C1026" s="29" t="s">
        <v>60</v>
      </c>
      <c r="D1026" s="29" t="s">
        <v>670</v>
      </c>
      <c r="E1026" s="29" t="s">
        <v>2698</v>
      </c>
      <c r="F1026" s="30">
        <v>0.25</v>
      </c>
      <c r="G1026" s="31"/>
      <c r="H1026" s="31"/>
      <c r="I1026" s="31"/>
      <c r="J1026" s="31"/>
    </row>
    <row r="1027" spans="1:10" ht="14.4" x14ac:dyDescent="0.3">
      <c r="A1027" s="28" t="str">
        <f>B1027&amp;C1027&amp;D1027&amp;E1027</f>
        <v>ОдеждаМужская одеждаДжемперы, свитеры и кардиганыСвитеры</v>
      </c>
      <c r="B1027" s="29" t="s">
        <v>92</v>
      </c>
      <c r="C1027" s="29" t="s">
        <v>112</v>
      </c>
      <c r="D1027" s="29" t="s">
        <v>424</v>
      </c>
      <c r="E1027" s="29" t="s">
        <v>2641</v>
      </c>
      <c r="F1027" s="30">
        <v>0.25</v>
      </c>
      <c r="G1027" s="31"/>
      <c r="H1027" s="31"/>
      <c r="I1027" s="31"/>
      <c r="J1027" s="31"/>
    </row>
    <row r="1028" spans="1:10" ht="14.4" x14ac:dyDescent="0.3">
      <c r="A1028" s="28" t="str">
        <f>B1028&amp;C1028&amp;D1028&amp;E1028</f>
        <v>ОдеждаЖенская одеждаПлатья и сарафаныСарафаны</v>
      </c>
      <c r="B1028" s="29" t="s">
        <v>92</v>
      </c>
      <c r="C1028" s="29" t="s">
        <v>93</v>
      </c>
      <c r="D1028" s="29" t="s">
        <v>94</v>
      </c>
      <c r="E1028" s="29" t="s">
        <v>2704</v>
      </c>
      <c r="F1028" s="30">
        <v>0.25</v>
      </c>
      <c r="G1028" s="31"/>
      <c r="H1028" s="31"/>
      <c r="I1028" s="31"/>
      <c r="J1028" s="31"/>
    </row>
    <row r="1029" spans="1:10" ht="14.4" x14ac:dyDescent="0.3">
      <c r="A1029" s="28" t="str">
        <f>B1029&amp;C1029&amp;D1029&amp;E1029</f>
        <v>ОдеждаЖенская одеждаОдежда больших размеровПиджаки и костюмы</v>
      </c>
      <c r="B1029" s="29" t="s">
        <v>92</v>
      </c>
      <c r="C1029" s="29" t="s">
        <v>93</v>
      </c>
      <c r="D1029" s="29" t="s">
        <v>532</v>
      </c>
      <c r="E1029" s="29" t="s">
        <v>1015</v>
      </c>
      <c r="F1029" s="30">
        <v>0.25</v>
      </c>
      <c r="G1029" s="31"/>
      <c r="H1029" s="31"/>
      <c r="I1029" s="31"/>
      <c r="J1029" s="31"/>
    </row>
    <row r="1030" spans="1:10" ht="14.4" x14ac:dyDescent="0.3">
      <c r="A1030" s="28" t="str">
        <f>B1030&amp;C1030&amp;D1030&amp;E1030</f>
        <v>Товары для домаТовары для кухниКружки, стаканы и бокалыСтаканы</v>
      </c>
      <c r="B1030" s="29" t="s">
        <v>59</v>
      </c>
      <c r="C1030" s="29" t="s">
        <v>60</v>
      </c>
      <c r="D1030" s="29" t="s">
        <v>1461</v>
      </c>
      <c r="E1030" s="29" t="s">
        <v>2712</v>
      </c>
      <c r="F1030" s="30">
        <v>0.25</v>
      </c>
      <c r="G1030" s="31"/>
      <c r="H1030" s="31"/>
      <c r="I1030" s="31"/>
      <c r="J1030" s="31"/>
    </row>
    <row r="1031" spans="1:10" ht="14.4" x14ac:dyDescent="0.3">
      <c r="A1031" s="28" t="str">
        <f>B1031&amp;C1031&amp;D1031&amp;E1031</f>
        <v>ОдеждаЖенская одеждаСпортивная одеждаСпортивные костюмы</v>
      </c>
      <c r="B1031" s="29" t="s">
        <v>92</v>
      </c>
      <c r="C1031" s="29" t="s">
        <v>93</v>
      </c>
      <c r="D1031" s="29" t="s">
        <v>158</v>
      </c>
      <c r="E1031" s="29" t="s">
        <v>192</v>
      </c>
      <c r="F1031" s="30">
        <v>0.25</v>
      </c>
      <c r="G1031" s="31"/>
      <c r="H1031" s="31"/>
      <c r="I1031" s="31"/>
      <c r="J1031" s="31"/>
    </row>
    <row r="1032" spans="1:10" ht="14.4" x14ac:dyDescent="0.3">
      <c r="A1032" s="28" t="str">
        <f>B1032&amp;C1032&amp;D1032&amp;E1032</f>
        <v>ОдеждаМужская одеждаВерхняя одеждаЛегкие куртки и ветровки</v>
      </c>
      <c r="B1032" s="29" t="s">
        <v>92</v>
      </c>
      <c r="C1032" s="29" t="s">
        <v>112</v>
      </c>
      <c r="D1032" s="29" t="s">
        <v>144</v>
      </c>
      <c r="E1032" s="29" t="s">
        <v>2715</v>
      </c>
      <c r="F1032" s="30">
        <v>0.25</v>
      </c>
      <c r="G1032" s="31"/>
      <c r="H1032" s="31"/>
      <c r="I1032" s="31"/>
      <c r="J1032" s="31"/>
    </row>
    <row r="1033" spans="1:10" ht="14.4" x14ac:dyDescent="0.3">
      <c r="A1033" s="28" t="str">
        <f>B1033&amp;C1033&amp;D1033&amp;E1033</f>
        <v>Товары для домаТовары для кухниИзмельчители и соковыжималкиРучные соковыжималки</v>
      </c>
      <c r="B1033" s="29" t="s">
        <v>59</v>
      </c>
      <c r="C1033" s="29" t="s">
        <v>60</v>
      </c>
      <c r="D1033" s="29" t="s">
        <v>154</v>
      </c>
      <c r="E1033" s="29" t="s">
        <v>2716</v>
      </c>
      <c r="F1033" s="30">
        <v>0.25</v>
      </c>
      <c r="G1033" s="31"/>
      <c r="H1033" s="31"/>
      <c r="I1033" s="31"/>
      <c r="J1033" s="31"/>
    </row>
    <row r="1034" spans="1:10" ht="14.4" x14ac:dyDescent="0.3">
      <c r="A1034" s="28" t="str">
        <f>B1034&amp;C1034&amp;D1034&amp;E1034</f>
        <v>АвтотоварыАксессуары и принадлежностиПеревозка багажаКрепления и сетки</v>
      </c>
      <c r="B1034" s="29" t="s">
        <v>12</v>
      </c>
      <c r="C1034" s="29" t="s">
        <v>253</v>
      </c>
      <c r="D1034" s="29" t="s">
        <v>271</v>
      </c>
      <c r="E1034" s="29" t="s">
        <v>2721</v>
      </c>
      <c r="F1034" s="30">
        <v>0.25</v>
      </c>
      <c r="G1034" s="31"/>
      <c r="H1034" s="31"/>
      <c r="I1034" s="31"/>
      <c r="J1034" s="31"/>
    </row>
    <row r="1035" spans="1:10" ht="14.4" x14ac:dyDescent="0.3">
      <c r="A1035" s="28" t="str">
        <f>B1035&amp;C1035&amp;D1035&amp;E1035</f>
        <v>Спорт и отдыхОтдых на природе, рыбалка и охотаТуризм и отдых на природеМеталлоискатели и аксессуары</v>
      </c>
      <c r="B1035" s="29" t="s">
        <v>101</v>
      </c>
      <c r="C1035" s="29" t="s">
        <v>166</v>
      </c>
      <c r="D1035" s="29" t="s">
        <v>204</v>
      </c>
      <c r="E1035" s="29" t="s">
        <v>2728</v>
      </c>
      <c r="F1035" s="30">
        <v>0.25</v>
      </c>
      <c r="G1035" s="31"/>
      <c r="H1035" s="31"/>
      <c r="I1035" s="31"/>
      <c r="J1035" s="31"/>
    </row>
    <row r="1036" spans="1:10" ht="14.4" x14ac:dyDescent="0.3">
      <c r="A1036" s="28" t="str">
        <f>B1036&amp;C1036&amp;D1036&amp;E1036</f>
        <v>АвтотоварыАксессуары и принадлежностиЗащита кузова автоЗащита переднего бампера</v>
      </c>
      <c r="B1036" s="29" t="s">
        <v>12</v>
      </c>
      <c r="C1036" s="29" t="s">
        <v>253</v>
      </c>
      <c r="D1036" s="29" t="s">
        <v>1001</v>
      </c>
      <c r="E1036" s="29" t="s">
        <v>2729</v>
      </c>
      <c r="F1036" s="30">
        <v>0.25</v>
      </c>
      <c r="G1036" s="31"/>
      <c r="H1036" s="31"/>
      <c r="I1036" s="31"/>
      <c r="J1036" s="31"/>
    </row>
    <row r="1037" spans="1:10" ht="14.4" x14ac:dyDescent="0.3">
      <c r="A1037" s="28" t="str">
        <f>B1037&amp;C1037&amp;D1037&amp;E1037</f>
        <v>ЭлектроникаЧасы и электронные будильникиЭлектронные будильникиЭлектронные будильники</v>
      </c>
      <c r="B1037" s="29" t="s">
        <v>67</v>
      </c>
      <c r="C1037" s="29" t="s">
        <v>2193</v>
      </c>
      <c r="D1037" s="29" t="s">
        <v>2740</v>
      </c>
      <c r="E1037" s="29" t="s">
        <v>2740</v>
      </c>
      <c r="F1037" s="30">
        <v>0.25</v>
      </c>
      <c r="G1037" s="31"/>
      <c r="H1037" s="31"/>
      <c r="I1037" s="31"/>
      <c r="J1037" s="31"/>
    </row>
    <row r="1038" spans="1:10" ht="14.4" x14ac:dyDescent="0.3">
      <c r="A1038" s="28" t="str">
        <f>B1038&amp;C1038&amp;D1038&amp;E1038</f>
        <v>Строительство и ремонтВентиляцияВентиляционные решетки и ревизионные люкиВентиляционные решетки и ревизионные люки</v>
      </c>
      <c r="B1038" s="29" t="s">
        <v>77</v>
      </c>
      <c r="C1038" s="29" t="s">
        <v>548</v>
      </c>
      <c r="D1038" s="29" t="s">
        <v>2741</v>
      </c>
      <c r="E1038" s="29" t="s">
        <v>2741</v>
      </c>
      <c r="F1038" s="30">
        <v>0.25</v>
      </c>
      <c r="G1038" s="31"/>
      <c r="H1038" s="31"/>
      <c r="I1038" s="31"/>
      <c r="J1038" s="31"/>
    </row>
    <row r="1039" spans="1:10" ht="14.4" x14ac:dyDescent="0.3">
      <c r="A1039" s="28" t="str">
        <f>B1039&amp;C1039&amp;D1039&amp;E1039</f>
        <v>Товары для домаТовары для кухниХранение продуктовФольга, пленка, рукава для запекания</v>
      </c>
      <c r="B1039" s="29" t="s">
        <v>59</v>
      </c>
      <c r="C1039" s="29" t="s">
        <v>60</v>
      </c>
      <c r="D1039" s="29" t="s">
        <v>749</v>
      </c>
      <c r="E1039" s="29" t="s">
        <v>2744</v>
      </c>
      <c r="F1039" s="30">
        <v>0.25</v>
      </c>
      <c r="G1039" s="31"/>
      <c r="H1039" s="31"/>
      <c r="I1039" s="31"/>
      <c r="J1039" s="31"/>
    </row>
    <row r="1040" spans="1:10" ht="14.4" x14ac:dyDescent="0.3">
      <c r="A1040" s="28" t="str">
        <f>B1040&amp;C1040&amp;D1040&amp;E1040</f>
        <v>ОдеждаЖенская одеждаНижнее бельёБюстгальтеры</v>
      </c>
      <c r="B1040" s="29" t="s">
        <v>92</v>
      </c>
      <c r="C1040" s="29" t="s">
        <v>93</v>
      </c>
      <c r="D1040" s="29" t="s">
        <v>113</v>
      </c>
      <c r="E1040" s="29" t="s">
        <v>2751</v>
      </c>
      <c r="F1040" s="30">
        <v>0.25</v>
      </c>
      <c r="G1040" s="31"/>
      <c r="H1040" s="31"/>
      <c r="I1040" s="31"/>
      <c r="J1040" s="31"/>
    </row>
    <row r="1041" spans="1:10" ht="14.4" x14ac:dyDescent="0.3">
      <c r="A1041" s="28" t="str">
        <f>B1041&amp;C1041&amp;D1041&amp;E1041</f>
        <v>Товары для домаТовары для кухниКухонные инструментыТочилки для ножей</v>
      </c>
      <c r="B1041" s="29" t="s">
        <v>59</v>
      </c>
      <c r="C1041" s="29" t="s">
        <v>60</v>
      </c>
      <c r="D1041" s="29" t="s">
        <v>1006</v>
      </c>
      <c r="E1041" s="29" t="s">
        <v>2754</v>
      </c>
      <c r="F1041" s="30">
        <v>0.25</v>
      </c>
      <c r="G1041" s="31"/>
      <c r="H1041" s="31"/>
      <c r="I1041" s="31"/>
      <c r="J1041" s="31"/>
    </row>
    <row r="1042" spans="1:10" ht="14.4" x14ac:dyDescent="0.3">
      <c r="A1042" s="28" t="str">
        <f>B1042&amp;C1042&amp;D1042&amp;E1042</f>
        <v>Бытовая техникаКлиматическая техникаВентиляторыНапольные вентиляторы</v>
      </c>
      <c r="B1042" s="29" t="s">
        <v>160</v>
      </c>
      <c r="C1042" s="29" t="s">
        <v>621</v>
      </c>
      <c r="D1042" s="29" t="s">
        <v>622</v>
      </c>
      <c r="E1042" s="29" t="s">
        <v>2760</v>
      </c>
      <c r="F1042" s="30">
        <v>0.25</v>
      </c>
      <c r="G1042" s="31"/>
      <c r="H1042" s="31"/>
      <c r="I1042" s="31"/>
      <c r="J1042" s="31"/>
    </row>
    <row r="1043" spans="1:10" ht="14.4" x14ac:dyDescent="0.3">
      <c r="A1043" s="28" t="str">
        <f>B1043&amp;C1043&amp;D1043&amp;E1043</f>
        <v>Дача, сад и огородУдобрения и уход за растениямиЗащита растений от вредителей и болезнейЗащита растений от вредителей и болезней</v>
      </c>
      <c r="B1043" s="29" t="s">
        <v>352</v>
      </c>
      <c r="C1043" s="29" t="s">
        <v>1175</v>
      </c>
      <c r="D1043" s="29" t="s">
        <v>2761</v>
      </c>
      <c r="E1043" s="29" t="s">
        <v>2761</v>
      </c>
      <c r="F1043" s="30">
        <v>0.25</v>
      </c>
      <c r="G1043" s="31"/>
      <c r="H1043" s="31"/>
      <c r="I1043" s="31"/>
      <c r="J1043" s="31"/>
    </row>
    <row r="1044" spans="1:10" ht="14.4" x14ac:dyDescent="0.3">
      <c r="A1044" s="28" t="str">
        <f>B1044&amp;C1044&amp;D1044&amp;E1044</f>
        <v>ОдеждаЖенская одеждаОдежда больших размеровДжемперы и кардиганы</v>
      </c>
      <c r="B1044" s="29" t="s">
        <v>92</v>
      </c>
      <c r="C1044" s="29" t="s">
        <v>93</v>
      </c>
      <c r="D1044" s="29" t="s">
        <v>532</v>
      </c>
      <c r="E1044" s="29" t="s">
        <v>958</v>
      </c>
      <c r="F1044" s="30">
        <v>0.25</v>
      </c>
      <c r="G1044" s="31"/>
      <c r="H1044" s="31"/>
      <c r="I1044" s="31"/>
      <c r="J1044" s="31"/>
    </row>
    <row r="1045" spans="1:10" ht="14.4" x14ac:dyDescent="0.3">
      <c r="A1045" s="28" t="str">
        <f>B1045&amp;C1045&amp;D1045&amp;E1045</f>
        <v>ОдеждаМужская одеждаРубашкиРубашки с коротким рукавом</v>
      </c>
      <c r="B1045" s="29" t="s">
        <v>92</v>
      </c>
      <c r="C1045" s="29" t="s">
        <v>112</v>
      </c>
      <c r="D1045" s="29" t="s">
        <v>1362</v>
      </c>
      <c r="E1045" s="29" t="s">
        <v>2770</v>
      </c>
      <c r="F1045" s="30">
        <v>0.25</v>
      </c>
      <c r="G1045" s="31"/>
      <c r="H1045" s="31"/>
      <c r="I1045" s="31"/>
      <c r="J1045" s="31"/>
    </row>
    <row r="1046" spans="1:10" ht="14.4" x14ac:dyDescent="0.3">
      <c r="A1046" s="28" t="str">
        <f>B1046&amp;C1046&amp;D1046&amp;E1046</f>
        <v>ОдеждаЖенская одеждаВерхняя одеждаШубы и дубленки</v>
      </c>
      <c r="B1046" s="29" t="s">
        <v>92</v>
      </c>
      <c r="C1046" s="29" t="s">
        <v>93</v>
      </c>
      <c r="D1046" s="29" t="s">
        <v>144</v>
      </c>
      <c r="E1046" s="29" t="s">
        <v>592</v>
      </c>
      <c r="F1046" s="30">
        <v>0.25</v>
      </c>
      <c r="G1046" s="31"/>
      <c r="H1046" s="31"/>
      <c r="I1046" s="31"/>
      <c r="J1046" s="31"/>
    </row>
    <row r="1047" spans="1:10" ht="14.4" x14ac:dyDescent="0.3">
      <c r="A1047" s="28" t="str">
        <f>B1047&amp;C1047&amp;D1047&amp;E1047</f>
        <v>Товары для домаТовары для кухниФормы для приготовленияФормы для льда</v>
      </c>
      <c r="B1047" s="29" t="s">
        <v>59</v>
      </c>
      <c r="C1047" s="29" t="s">
        <v>60</v>
      </c>
      <c r="D1047" s="29" t="s">
        <v>61</v>
      </c>
      <c r="E1047" s="29" t="s">
        <v>2773</v>
      </c>
      <c r="F1047" s="30">
        <v>0.25</v>
      </c>
      <c r="G1047" s="31"/>
      <c r="H1047" s="31"/>
      <c r="I1047" s="31"/>
      <c r="J1047" s="31"/>
    </row>
    <row r="1048" spans="1:10" ht="14.4" x14ac:dyDescent="0.3">
      <c r="A1048" s="28" t="str">
        <f>B1048&amp;C1048&amp;D1048&amp;E1048</f>
        <v>АвтотоварыМасла и автохимияПромывки и очистителиПромывки и очистители</v>
      </c>
      <c r="B1048" s="29" t="s">
        <v>12</v>
      </c>
      <c r="C1048" s="29" t="s">
        <v>848</v>
      </c>
      <c r="D1048" s="29" t="s">
        <v>2777</v>
      </c>
      <c r="E1048" s="29" t="s">
        <v>2777</v>
      </c>
      <c r="F1048" s="30">
        <v>0.25</v>
      </c>
      <c r="G1048" s="31"/>
      <c r="H1048" s="31"/>
      <c r="I1048" s="31"/>
      <c r="J1048" s="31"/>
    </row>
    <row r="1049" spans="1:10" ht="14.4" x14ac:dyDescent="0.3">
      <c r="A1049" s="28" t="str">
        <f>B1049&amp;C1049&amp;D1049&amp;E1049</f>
        <v>ОдеждаМужская одеждаСпортивная одеждаСпортивные носки и гольфы</v>
      </c>
      <c r="B1049" s="29" t="s">
        <v>92</v>
      </c>
      <c r="C1049" s="29" t="s">
        <v>112</v>
      </c>
      <c r="D1049" s="29" t="s">
        <v>158</v>
      </c>
      <c r="E1049" s="29" t="s">
        <v>1595</v>
      </c>
      <c r="F1049" s="30">
        <v>0.25</v>
      </c>
      <c r="G1049" s="31"/>
      <c r="H1049" s="31"/>
      <c r="I1049" s="31"/>
      <c r="J1049" s="31"/>
    </row>
    <row r="1050" spans="1:10" ht="14.4" x14ac:dyDescent="0.3">
      <c r="A1050" s="28" t="str">
        <f>B1050&amp;C1050&amp;D1050&amp;E1050</f>
        <v>Товары для домаТовары для кухниФормы для приготовленияФормы для яичницы</v>
      </c>
      <c r="B1050" s="29" t="s">
        <v>59</v>
      </c>
      <c r="C1050" s="29" t="s">
        <v>60</v>
      </c>
      <c r="D1050" s="29" t="s">
        <v>61</v>
      </c>
      <c r="E1050" s="29" t="s">
        <v>2791</v>
      </c>
      <c r="F1050" s="30">
        <v>0.25</v>
      </c>
      <c r="G1050" s="31"/>
      <c r="H1050" s="31"/>
      <c r="I1050" s="31"/>
      <c r="J1050" s="31"/>
    </row>
    <row r="1051" spans="1:10" ht="14.4" x14ac:dyDescent="0.3">
      <c r="A1051" s="28" t="str">
        <f>B1051&amp;C1051&amp;D1051&amp;E1051</f>
        <v>ОдеждаЖенская одеждаОдежда больших размеровТопы и майки</v>
      </c>
      <c r="B1051" s="29" t="s">
        <v>92</v>
      </c>
      <c r="C1051" s="29" t="s">
        <v>93</v>
      </c>
      <c r="D1051" s="29" t="s">
        <v>532</v>
      </c>
      <c r="E1051" s="29" t="s">
        <v>550</v>
      </c>
      <c r="F1051" s="30">
        <v>0.25</v>
      </c>
      <c r="G1051" s="31"/>
      <c r="H1051" s="31"/>
      <c r="I1051" s="31"/>
      <c r="J1051" s="31"/>
    </row>
    <row r="1052" spans="1:10" ht="14.4" x14ac:dyDescent="0.3">
      <c r="A1052" s="28" t="str">
        <f>B1052&amp;C1052&amp;D1052&amp;E1052</f>
        <v>Спорт и отдыхБассейны и аксессуарыХимия для бассейновДезинфицирующие средства</v>
      </c>
      <c r="B1052" s="29" t="s">
        <v>101</v>
      </c>
      <c r="C1052" s="29" t="s">
        <v>102</v>
      </c>
      <c r="D1052" s="29" t="s">
        <v>2793</v>
      </c>
      <c r="E1052" s="29" t="s">
        <v>437</v>
      </c>
      <c r="F1052" s="30">
        <v>0.25</v>
      </c>
      <c r="G1052" s="31"/>
      <c r="H1052" s="31"/>
      <c r="I1052" s="31"/>
      <c r="J1052" s="31"/>
    </row>
    <row r="1053" spans="1:10" ht="14.4" x14ac:dyDescent="0.3">
      <c r="A1053" s="28" t="str">
        <f>B1053&amp;C1053&amp;D1053&amp;E1053</f>
        <v>ОдеждаМужская одеждаДомашняя одеждаДомашние комплекты</v>
      </c>
      <c r="B1053" s="29" t="s">
        <v>92</v>
      </c>
      <c r="C1053" s="29" t="s">
        <v>112</v>
      </c>
      <c r="D1053" s="29" t="s">
        <v>469</v>
      </c>
      <c r="E1053" s="29" t="s">
        <v>604</v>
      </c>
      <c r="F1053" s="30">
        <v>0.25</v>
      </c>
      <c r="G1053" s="31"/>
      <c r="H1053" s="31"/>
      <c r="I1053" s="31"/>
      <c r="J1053" s="31"/>
    </row>
    <row r="1054" spans="1:10" ht="14.4" x14ac:dyDescent="0.3">
      <c r="A1054" s="28" t="str">
        <f>B1054&amp;C1054&amp;D1054&amp;E1054</f>
        <v>ОдеждаЖенская одеждаОдежда для беременныхЮбки</v>
      </c>
      <c r="B1054" s="29" t="s">
        <v>92</v>
      </c>
      <c r="C1054" s="29" t="s">
        <v>93</v>
      </c>
      <c r="D1054" s="29" t="s">
        <v>816</v>
      </c>
      <c r="E1054" s="29" t="s">
        <v>570</v>
      </c>
      <c r="F1054" s="30">
        <v>0.25</v>
      </c>
      <c r="G1054" s="31"/>
      <c r="H1054" s="31"/>
      <c r="I1054" s="31"/>
      <c r="J1054" s="31"/>
    </row>
    <row r="1055" spans="1:10" ht="14.4" x14ac:dyDescent="0.3">
      <c r="A1055" s="28" t="str">
        <f>B1055&amp;C1055&amp;D1055&amp;E1055</f>
        <v>Спорт и отдыхВиды спортаБокс и единоборстваКапы</v>
      </c>
      <c r="B1055" s="29" t="s">
        <v>101</v>
      </c>
      <c r="C1055" s="29" t="s">
        <v>446</v>
      </c>
      <c r="D1055" s="29" t="s">
        <v>1068</v>
      </c>
      <c r="E1055" s="29" t="s">
        <v>2805</v>
      </c>
      <c r="F1055" s="30">
        <v>0.25</v>
      </c>
      <c r="G1055" s="31"/>
      <c r="H1055" s="31"/>
      <c r="I1055" s="31"/>
      <c r="J1055" s="31"/>
    </row>
    <row r="1056" spans="1:10" ht="14.4" x14ac:dyDescent="0.3">
      <c r="A1056" s="28" t="str">
        <f>B1056&amp;C1056&amp;D1056&amp;E1056</f>
        <v>КанцтоварыБумажная продукцияТелефонные книгиТелефонные книги</v>
      </c>
      <c r="B1056" s="29" t="s">
        <v>163</v>
      </c>
      <c r="C1056" s="29" t="s">
        <v>261</v>
      </c>
      <c r="D1056" s="29" t="s">
        <v>2808</v>
      </c>
      <c r="E1056" s="29" t="s">
        <v>2808</v>
      </c>
      <c r="F1056" s="30">
        <v>0.25</v>
      </c>
      <c r="G1056" s="31"/>
      <c r="H1056" s="31"/>
      <c r="I1056" s="31"/>
      <c r="J1056" s="31"/>
    </row>
    <row r="1057" spans="1:10" ht="14.4" x14ac:dyDescent="0.3">
      <c r="A1057" s="28" t="str">
        <f>B1057&amp;C1057&amp;D1057&amp;E1057</f>
        <v>ОдеждаЖенская одеждаПлатья и сарафаныСвадебные платья</v>
      </c>
      <c r="B1057" s="29" t="s">
        <v>92</v>
      </c>
      <c r="C1057" s="29" t="s">
        <v>93</v>
      </c>
      <c r="D1057" s="29" t="s">
        <v>94</v>
      </c>
      <c r="E1057" s="29" t="s">
        <v>2811</v>
      </c>
      <c r="F1057" s="30">
        <v>0.25</v>
      </c>
      <c r="G1057" s="31"/>
      <c r="H1057" s="31"/>
      <c r="I1057" s="31"/>
      <c r="J1057" s="31"/>
    </row>
    <row r="1058" spans="1:10" ht="14.4" x14ac:dyDescent="0.3">
      <c r="A1058" s="28" t="str">
        <f>B1058&amp;C1058&amp;D1058&amp;E1058</f>
        <v>Красота и уходМаникюр и педикюрДизайн ногтейДизайн ногтей</v>
      </c>
      <c r="B1058" s="29" t="s">
        <v>56</v>
      </c>
      <c r="C1058" s="29" t="s">
        <v>57</v>
      </c>
      <c r="D1058" s="29" t="s">
        <v>653</v>
      </c>
      <c r="E1058" s="29" t="s">
        <v>653</v>
      </c>
      <c r="F1058" s="30">
        <v>0.25</v>
      </c>
      <c r="G1058" s="31"/>
      <c r="H1058" s="31"/>
      <c r="I1058" s="31"/>
      <c r="J1058" s="31"/>
    </row>
    <row r="1059" spans="1:10" ht="14.4" x14ac:dyDescent="0.3">
      <c r="A1059" s="28" t="str">
        <f>B1059&amp;C1059&amp;D1059&amp;E1059</f>
        <v>Товары для домаТекстильТекстиль с электроподогревомЭлектрогрелки</v>
      </c>
      <c r="B1059" s="29" t="s">
        <v>59</v>
      </c>
      <c r="C1059" s="29" t="s">
        <v>325</v>
      </c>
      <c r="D1059" s="29" t="s">
        <v>2646</v>
      </c>
      <c r="E1059" s="29" t="s">
        <v>2812</v>
      </c>
      <c r="F1059" s="30">
        <v>0.25</v>
      </c>
      <c r="G1059" s="31"/>
      <c r="H1059" s="31"/>
      <c r="I1059" s="31"/>
      <c r="J1059" s="31"/>
    </row>
    <row r="1060" spans="1:10" ht="14.4" x14ac:dyDescent="0.3">
      <c r="A1060" s="28" t="str">
        <f>B1060&amp;C1060&amp;D1060&amp;E1060</f>
        <v>Спорт и отдыхВиды спортаГольфАксессуары для гольфа</v>
      </c>
      <c r="B1060" s="29" t="s">
        <v>101</v>
      </c>
      <c r="C1060" s="29" t="s">
        <v>446</v>
      </c>
      <c r="D1060" s="29" t="s">
        <v>2813</v>
      </c>
      <c r="E1060" s="29" t="s">
        <v>2814</v>
      </c>
      <c r="F1060" s="30">
        <v>0.25</v>
      </c>
      <c r="G1060" s="31"/>
      <c r="H1060" s="31"/>
      <c r="I1060" s="31"/>
      <c r="J1060" s="31"/>
    </row>
    <row r="1061" spans="1:10" ht="14.4" x14ac:dyDescent="0.3">
      <c r="A1061" s="28" t="str">
        <f>B1061&amp;C1061&amp;D1061&amp;E1061</f>
        <v>ОдеждаЖенская одеждаБлузки и рубашкиБлузки</v>
      </c>
      <c r="B1061" s="29" t="s">
        <v>92</v>
      </c>
      <c r="C1061" s="29" t="s">
        <v>93</v>
      </c>
      <c r="D1061" s="29" t="s">
        <v>2075</v>
      </c>
      <c r="E1061" s="29" t="s">
        <v>2818</v>
      </c>
      <c r="F1061" s="30">
        <v>0.25</v>
      </c>
      <c r="G1061" s="31"/>
      <c r="H1061" s="31"/>
      <c r="I1061" s="31"/>
      <c r="J1061" s="31"/>
    </row>
    <row r="1062" spans="1:10" ht="14.4" x14ac:dyDescent="0.3">
      <c r="A1062" s="28" t="str">
        <f>B1062&amp;C1062&amp;D1062&amp;E1062</f>
        <v>ОдеждаЖенская одеждаБодиБоди-топы</v>
      </c>
      <c r="B1062" s="29" t="s">
        <v>92</v>
      </c>
      <c r="C1062" s="29" t="s">
        <v>93</v>
      </c>
      <c r="D1062" s="29" t="s">
        <v>1949</v>
      </c>
      <c r="E1062" s="29" t="s">
        <v>2820</v>
      </c>
      <c r="F1062" s="30">
        <v>0.25</v>
      </c>
      <c r="G1062" s="31"/>
      <c r="H1062" s="31"/>
      <c r="I1062" s="31"/>
      <c r="J1062" s="31"/>
    </row>
    <row r="1063" spans="1:10" ht="14.4" x14ac:dyDescent="0.3">
      <c r="A1063" s="28" t="str">
        <f>B1063&amp;C1063&amp;D1063&amp;E1063</f>
        <v>АксессуарыМужские аксессуарыЧасы и ремешкиЧасы</v>
      </c>
      <c r="B1063" s="29" t="s">
        <v>88</v>
      </c>
      <c r="C1063" s="29" t="s">
        <v>89</v>
      </c>
      <c r="D1063" s="29" t="s">
        <v>1418</v>
      </c>
      <c r="E1063" s="29" t="s">
        <v>416</v>
      </c>
      <c r="F1063" s="30">
        <v>0.25</v>
      </c>
      <c r="G1063" s="31"/>
      <c r="H1063" s="31"/>
      <c r="I1063" s="31"/>
      <c r="J1063" s="31"/>
    </row>
    <row r="1064" spans="1:10" ht="14.4" x14ac:dyDescent="0.3">
      <c r="A1064" s="28" t="str">
        <f>B1064&amp;C1064&amp;D1064&amp;E1064</f>
        <v>ОдеждаЖенская одеждаБрюкиКожаные брюки</v>
      </c>
      <c r="B1064" s="29" t="s">
        <v>92</v>
      </c>
      <c r="C1064" s="29" t="s">
        <v>93</v>
      </c>
      <c r="D1064" s="29" t="s">
        <v>460</v>
      </c>
      <c r="E1064" s="29" t="s">
        <v>2824</v>
      </c>
      <c r="F1064" s="30">
        <v>0.25</v>
      </c>
      <c r="G1064" s="31"/>
      <c r="H1064" s="31"/>
      <c r="I1064" s="31"/>
      <c r="J1064" s="31"/>
    </row>
    <row r="1065" spans="1:10" ht="14.4" x14ac:dyDescent="0.3">
      <c r="A1065" s="28" t="str">
        <f>B1065&amp;C1065&amp;D1065&amp;E1065</f>
        <v>Дача, сад и огородСадовый инструментНаборы садовых инструментовНаборы садовых инструментов</v>
      </c>
      <c r="B1065" s="29" t="s">
        <v>352</v>
      </c>
      <c r="C1065" s="29" t="s">
        <v>353</v>
      </c>
      <c r="D1065" s="29" t="s">
        <v>2825</v>
      </c>
      <c r="E1065" s="29" t="s">
        <v>2825</v>
      </c>
      <c r="F1065" s="30">
        <v>0.25</v>
      </c>
      <c r="G1065" s="31"/>
      <c r="H1065" s="31"/>
      <c r="I1065" s="31"/>
      <c r="J1065" s="31"/>
    </row>
    <row r="1066" spans="1:10" ht="14.4" x14ac:dyDescent="0.3">
      <c r="A1066" s="28" t="str">
        <f>B1066&amp;C1066&amp;D1066&amp;E1066</f>
        <v>Спорт и отдыхВелоспортЭкипировка для велоспортаЭкипировка для велоспорта</v>
      </c>
      <c r="B1066" s="29" t="s">
        <v>101</v>
      </c>
      <c r="C1066" s="29" t="s">
        <v>743</v>
      </c>
      <c r="D1066" s="29" t="s">
        <v>2826</v>
      </c>
      <c r="E1066" s="29" t="s">
        <v>2826</v>
      </c>
      <c r="F1066" s="30">
        <v>0.25</v>
      </c>
      <c r="G1066" s="31"/>
      <c r="H1066" s="31"/>
      <c r="I1066" s="31"/>
      <c r="J1066" s="31"/>
    </row>
    <row r="1067" spans="1:10" ht="14.4" x14ac:dyDescent="0.3">
      <c r="A1067" s="28" t="str">
        <f>B1067&amp;C1067&amp;D1067&amp;E1067</f>
        <v>Спорт и отдыхВиды спортаТяжелая атлетикаЭкипировка для тяжелой атлетики</v>
      </c>
      <c r="B1067" s="29" t="s">
        <v>101</v>
      </c>
      <c r="C1067" s="29" t="s">
        <v>446</v>
      </c>
      <c r="D1067" s="29" t="s">
        <v>2836</v>
      </c>
      <c r="E1067" s="29" t="s">
        <v>2837</v>
      </c>
      <c r="F1067" s="30">
        <v>0.25</v>
      </c>
      <c r="G1067" s="31"/>
      <c r="H1067" s="31"/>
      <c r="I1067" s="31"/>
      <c r="J1067" s="31"/>
    </row>
    <row r="1068" spans="1:10" ht="14.4" x14ac:dyDescent="0.3">
      <c r="A1068" s="28" t="str">
        <f>B1068&amp;C1068&amp;D1068&amp;E1068</f>
        <v>ОдеждаЖенская одеждаПлатья и сарафаныПлатья офисные</v>
      </c>
      <c r="B1068" s="29" t="s">
        <v>92</v>
      </c>
      <c r="C1068" s="29" t="s">
        <v>93</v>
      </c>
      <c r="D1068" s="29" t="s">
        <v>94</v>
      </c>
      <c r="E1068" s="29" t="s">
        <v>2841</v>
      </c>
      <c r="F1068" s="30">
        <v>0.25</v>
      </c>
      <c r="G1068" s="31"/>
      <c r="H1068" s="31"/>
      <c r="I1068" s="31"/>
      <c r="J1068" s="31"/>
    </row>
    <row r="1069" spans="1:10" ht="14.4" x14ac:dyDescent="0.3">
      <c r="A1069" s="28" t="str">
        <f>B1069&amp;C1069&amp;D1069&amp;E1069</f>
        <v>Строительство и ремонтРучной инструмент и оснасткаКлючиТрубные ключи</v>
      </c>
      <c r="B1069" s="29" t="s">
        <v>77</v>
      </c>
      <c r="C1069" s="29" t="s">
        <v>127</v>
      </c>
      <c r="D1069" s="29" t="s">
        <v>462</v>
      </c>
      <c r="E1069" s="29" t="s">
        <v>2845</v>
      </c>
      <c r="F1069" s="30">
        <v>0.25</v>
      </c>
      <c r="G1069" s="31"/>
      <c r="H1069" s="31"/>
      <c r="I1069" s="31"/>
      <c r="J1069" s="31"/>
    </row>
    <row r="1070" spans="1:10" ht="14.4" x14ac:dyDescent="0.3">
      <c r="A1070" s="28" t="str">
        <f>B1070&amp;C1070&amp;D1070&amp;E1070</f>
        <v>ОдеждаМужская одеждаСпортивная одеждаСпортивные куртки</v>
      </c>
      <c r="B1070" s="29" t="s">
        <v>92</v>
      </c>
      <c r="C1070" s="29" t="s">
        <v>112</v>
      </c>
      <c r="D1070" s="29" t="s">
        <v>158</v>
      </c>
      <c r="E1070" s="29" t="s">
        <v>933</v>
      </c>
      <c r="F1070" s="30">
        <v>0.25</v>
      </c>
      <c r="G1070" s="31"/>
      <c r="H1070" s="31"/>
      <c r="I1070" s="31"/>
      <c r="J1070" s="31"/>
    </row>
    <row r="1071" spans="1:10" ht="14.4" x14ac:dyDescent="0.3">
      <c r="A1071" s="28" t="str">
        <f>B1071&amp;C1071&amp;D1071&amp;E1071</f>
        <v>Товары для домаТовары для комнатных растенийКорзины для цветовКорзины для цветов</v>
      </c>
      <c r="B1071" s="29" t="s">
        <v>59</v>
      </c>
      <c r="C1071" s="29" t="s">
        <v>2044</v>
      </c>
      <c r="D1071" s="29" t="s">
        <v>2848</v>
      </c>
      <c r="E1071" s="29" t="s">
        <v>2848</v>
      </c>
      <c r="F1071" s="30">
        <v>0.25</v>
      </c>
      <c r="G1071" s="31"/>
      <c r="H1071" s="31"/>
      <c r="I1071" s="31"/>
      <c r="J1071" s="31"/>
    </row>
    <row r="1072" spans="1:10" ht="14.4" x14ac:dyDescent="0.3">
      <c r="A1072" s="28" t="str">
        <f>B1072&amp;C1072&amp;D1072&amp;E1072</f>
        <v>ОдеждаЖенская одеждаНижнее бельёТрусы</v>
      </c>
      <c r="B1072" s="29" t="s">
        <v>92</v>
      </c>
      <c r="C1072" s="29" t="s">
        <v>93</v>
      </c>
      <c r="D1072" s="29" t="s">
        <v>113</v>
      </c>
      <c r="E1072" s="29" t="s">
        <v>2625</v>
      </c>
      <c r="F1072" s="30">
        <v>0.25</v>
      </c>
      <c r="G1072" s="31"/>
      <c r="H1072" s="31"/>
      <c r="I1072" s="31"/>
      <c r="J1072" s="31"/>
    </row>
    <row r="1073" spans="1:10" ht="14.4" x14ac:dyDescent="0.3">
      <c r="A1073" s="28" t="str">
        <f>B1073&amp;C1073&amp;D1073&amp;E1073</f>
        <v>ЗдоровьеОртопедические изделияБандажиБандажи</v>
      </c>
      <c r="B1073" s="29" t="s">
        <v>116</v>
      </c>
      <c r="C1073" s="29" t="s">
        <v>117</v>
      </c>
      <c r="D1073" s="29" t="s">
        <v>2851</v>
      </c>
      <c r="E1073" s="29" t="s">
        <v>2851</v>
      </c>
      <c r="F1073" s="30">
        <v>0.25</v>
      </c>
      <c r="G1073" s="31"/>
      <c r="H1073" s="31"/>
      <c r="I1073" s="31"/>
      <c r="J1073" s="31"/>
    </row>
    <row r="1074" spans="1:10" ht="14.4" x14ac:dyDescent="0.3">
      <c r="A1074" s="28" t="str">
        <f>B1074&amp;C1074&amp;D1074&amp;E1074</f>
        <v>АвтотоварыУход за автомобилемКраски и грунтовкиКраски и грунтовки</v>
      </c>
      <c r="B1074" s="29" t="s">
        <v>12</v>
      </c>
      <c r="C1074" s="29" t="s">
        <v>201</v>
      </c>
      <c r="D1074" s="29" t="s">
        <v>2852</v>
      </c>
      <c r="E1074" s="29" t="s">
        <v>2852</v>
      </c>
      <c r="F1074" s="30">
        <v>0.25</v>
      </c>
      <c r="G1074" s="31"/>
      <c r="H1074" s="31"/>
      <c r="I1074" s="31"/>
      <c r="J1074" s="31"/>
    </row>
    <row r="1075" spans="1:10" ht="14.4" x14ac:dyDescent="0.3">
      <c r="A1075" s="28" t="str">
        <f>B1075&amp;C1075&amp;D1075&amp;E1075</f>
        <v>ОдеждаМужская одеждаХуди и свитшотыТолстовки</v>
      </c>
      <c r="B1075" s="29" t="s">
        <v>92</v>
      </c>
      <c r="C1075" s="29" t="s">
        <v>112</v>
      </c>
      <c r="D1075" s="29" t="s">
        <v>1149</v>
      </c>
      <c r="E1075" s="29" t="s">
        <v>1994</v>
      </c>
      <c r="F1075" s="30">
        <v>0.25</v>
      </c>
      <c r="G1075" s="31"/>
      <c r="H1075" s="31"/>
      <c r="I1075" s="31"/>
      <c r="J1075" s="31"/>
    </row>
    <row r="1076" spans="1:10" ht="14.4" x14ac:dyDescent="0.3">
      <c r="A1076" s="28" t="str">
        <f>B1076&amp;C1076&amp;D1076&amp;E1076</f>
        <v>ОдеждаЖенская одеждаВерхняя одеждаПальто</v>
      </c>
      <c r="B1076" s="29" t="s">
        <v>92</v>
      </c>
      <c r="C1076" s="29" t="s">
        <v>93</v>
      </c>
      <c r="D1076" s="29" t="s">
        <v>144</v>
      </c>
      <c r="E1076" s="29" t="s">
        <v>1348</v>
      </c>
      <c r="F1076" s="30">
        <v>0.25</v>
      </c>
      <c r="G1076" s="31"/>
      <c r="H1076" s="31"/>
      <c r="I1076" s="31"/>
      <c r="J1076" s="31"/>
    </row>
    <row r="1077" spans="1:10" ht="14.4" x14ac:dyDescent="0.3">
      <c r="A1077" s="28" t="str">
        <f>B1077&amp;C1077&amp;D1077&amp;E1077</f>
        <v>Строительство и ремонтРучной инструмент и оснасткаСтолярно-слесарные инструментыМелкие инструменты</v>
      </c>
      <c r="B1077" s="29" t="s">
        <v>77</v>
      </c>
      <c r="C1077" s="29" t="s">
        <v>127</v>
      </c>
      <c r="D1077" s="29" t="s">
        <v>139</v>
      </c>
      <c r="E1077" s="29" t="s">
        <v>2865</v>
      </c>
      <c r="F1077" s="30">
        <v>0.25</v>
      </c>
      <c r="G1077" s="31"/>
      <c r="H1077" s="31"/>
      <c r="I1077" s="31"/>
      <c r="J1077" s="31"/>
    </row>
    <row r="1078" spans="1:10" ht="14.4" x14ac:dyDescent="0.3">
      <c r="A1078" s="28" t="str">
        <f>B1078&amp;C1078&amp;D1078&amp;E1078</f>
        <v>ОдеждаЖенская одеждаПлатья и сарафаныДжинсовые платья</v>
      </c>
      <c r="B1078" s="29" t="s">
        <v>92</v>
      </c>
      <c r="C1078" s="29" t="s">
        <v>93</v>
      </c>
      <c r="D1078" s="29" t="s">
        <v>94</v>
      </c>
      <c r="E1078" s="29" t="s">
        <v>2870</v>
      </c>
      <c r="F1078" s="30">
        <v>0.25</v>
      </c>
      <c r="G1078" s="31"/>
      <c r="H1078" s="31"/>
      <c r="I1078" s="31"/>
      <c r="J1078" s="31"/>
    </row>
    <row r="1079" spans="1:10" ht="14.4" x14ac:dyDescent="0.3">
      <c r="A1079" s="28" t="str">
        <f>B1079&amp;C1079&amp;D1079&amp;E1079</f>
        <v>Красота и уходУход за теломАксессуары для ухода за теломМочалки</v>
      </c>
      <c r="B1079" s="29" t="s">
        <v>56</v>
      </c>
      <c r="C1079" s="29" t="s">
        <v>100</v>
      </c>
      <c r="D1079" s="29" t="s">
        <v>295</v>
      </c>
      <c r="E1079" s="29" t="s">
        <v>420</v>
      </c>
      <c r="F1079" s="30">
        <v>0.25</v>
      </c>
      <c r="G1079" s="31"/>
      <c r="H1079" s="31"/>
      <c r="I1079" s="31"/>
      <c r="J1079" s="31"/>
    </row>
    <row r="1080" spans="1:10" ht="14.4" x14ac:dyDescent="0.3">
      <c r="A1080" s="28" t="str">
        <f>B1080&amp;C1080&amp;D1080&amp;E1080</f>
        <v>ОдеждаМужская одеждаДжинсыСвободные джинсы</v>
      </c>
      <c r="B1080" s="29" t="s">
        <v>92</v>
      </c>
      <c r="C1080" s="29" t="s">
        <v>112</v>
      </c>
      <c r="D1080" s="29" t="s">
        <v>544</v>
      </c>
      <c r="E1080" s="29" t="s">
        <v>2883</v>
      </c>
      <c r="F1080" s="30">
        <v>0.25</v>
      </c>
      <c r="G1080" s="31"/>
      <c r="H1080" s="31"/>
      <c r="I1080" s="31"/>
      <c r="J1080" s="31"/>
    </row>
    <row r="1081" spans="1:10" ht="14.4" x14ac:dyDescent="0.3">
      <c r="A1081" s="28" t="str">
        <f>B1081&amp;C1081&amp;D1081&amp;E1081</f>
        <v>ЗдоровьеПрезервативы и лубрикантыПрезервативыПрезервативы</v>
      </c>
      <c r="B1081" s="29" t="s">
        <v>116</v>
      </c>
      <c r="C1081" s="29" t="s">
        <v>945</v>
      </c>
      <c r="D1081" s="29" t="s">
        <v>2889</v>
      </c>
      <c r="E1081" s="29" t="s">
        <v>2889</v>
      </c>
      <c r="F1081" s="30">
        <v>0.25</v>
      </c>
      <c r="G1081" s="31"/>
      <c r="H1081" s="31"/>
      <c r="I1081" s="31"/>
      <c r="J1081" s="31"/>
    </row>
    <row r="1082" spans="1:10" ht="14.4" x14ac:dyDescent="0.3">
      <c r="A1082" s="28" t="str">
        <f>B1082&amp;C1082&amp;D1082&amp;E1082</f>
        <v>Товары для домаТовары для кухниИзмельчители и соковыжималкиПрессы для чеснока</v>
      </c>
      <c r="B1082" s="29" t="s">
        <v>59</v>
      </c>
      <c r="C1082" s="29" t="s">
        <v>60</v>
      </c>
      <c r="D1082" s="29" t="s">
        <v>154</v>
      </c>
      <c r="E1082" s="29" t="s">
        <v>2895</v>
      </c>
      <c r="F1082" s="30">
        <v>0.25</v>
      </c>
      <c r="G1082" s="31"/>
      <c r="H1082" s="31"/>
      <c r="I1082" s="31"/>
      <c r="J1082" s="31"/>
    </row>
    <row r="1083" spans="1:10" ht="14.4" x14ac:dyDescent="0.3">
      <c r="A1083" s="28" t="str">
        <f>B1083&amp;C1083&amp;D1083&amp;E1083</f>
        <v>ЭлектроникаКомпьютерная техникаКомпьютерная периферияСетевые адаптеры и PoE-инжекторы</v>
      </c>
      <c r="B1083" s="29" t="s">
        <v>67</v>
      </c>
      <c r="C1083" s="29" t="s">
        <v>234</v>
      </c>
      <c r="D1083" s="29" t="s">
        <v>794</v>
      </c>
      <c r="E1083" s="29" t="s">
        <v>2897</v>
      </c>
      <c r="F1083" s="30">
        <v>0.25</v>
      </c>
      <c r="G1083" s="31"/>
      <c r="H1083" s="31"/>
      <c r="I1083" s="31"/>
      <c r="J1083" s="31"/>
    </row>
    <row r="1084" spans="1:10" ht="14.4" x14ac:dyDescent="0.3">
      <c r="A1084" s="28" t="str">
        <f>B1084&amp;C1084&amp;D1084&amp;E1084</f>
        <v>ОдеждаМужская одеждаСпортивная одеждаСпортивные толстовки</v>
      </c>
      <c r="B1084" s="29" t="s">
        <v>92</v>
      </c>
      <c r="C1084" s="29" t="s">
        <v>112</v>
      </c>
      <c r="D1084" s="29" t="s">
        <v>158</v>
      </c>
      <c r="E1084" s="29" t="s">
        <v>1384</v>
      </c>
      <c r="F1084" s="30">
        <v>0.25</v>
      </c>
      <c r="G1084" s="31"/>
      <c r="H1084" s="31"/>
      <c r="I1084" s="31"/>
      <c r="J1084" s="31"/>
    </row>
    <row r="1085" spans="1:10" ht="14.4" x14ac:dyDescent="0.3">
      <c r="A1085" s="28" t="str">
        <f>B1085&amp;C1085&amp;D1085&amp;E1085</f>
        <v>Дача, сад и огородСадовый инструментОбрезка деревьев и кустарниковКусторезы, сучкорезы, секаторы</v>
      </c>
      <c r="B1085" s="29" t="s">
        <v>352</v>
      </c>
      <c r="C1085" s="29" t="s">
        <v>353</v>
      </c>
      <c r="D1085" s="29" t="s">
        <v>2177</v>
      </c>
      <c r="E1085" s="29" t="s">
        <v>2899</v>
      </c>
      <c r="F1085" s="30">
        <v>0.25</v>
      </c>
      <c r="G1085" s="31"/>
      <c r="H1085" s="31"/>
      <c r="I1085" s="31"/>
      <c r="J1085" s="31"/>
    </row>
    <row r="1086" spans="1:10" ht="14.4" x14ac:dyDescent="0.3">
      <c r="A1086" s="28" t="str">
        <f>B1086&amp;C1086&amp;D1086&amp;E1086</f>
        <v>Красота и уходМаникюр и педикюрИнструменты для маникюраКусачки</v>
      </c>
      <c r="B1086" s="29" t="s">
        <v>56</v>
      </c>
      <c r="C1086" s="29" t="s">
        <v>57</v>
      </c>
      <c r="D1086" s="29" t="s">
        <v>199</v>
      </c>
      <c r="E1086" s="29" t="s">
        <v>2908</v>
      </c>
      <c r="F1086" s="30">
        <v>0.25</v>
      </c>
      <c r="G1086" s="31"/>
      <c r="H1086" s="31"/>
      <c r="I1086" s="31"/>
      <c r="J1086" s="31"/>
    </row>
    <row r="1087" spans="1:10" ht="14.4" x14ac:dyDescent="0.3">
      <c r="A1087" s="28" t="str">
        <f>B1087&amp;C1087&amp;D1087&amp;E1087</f>
        <v>ОдеждаЖенская одеждаПлатья и сарафаныПлатья-пиджаки</v>
      </c>
      <c r="B1087" s="29" t="s">
        <v>92</v>
      </c>
      <c r="C1087" s="29" t="s">
        <v>93</v>
      </c>
      <c r="D1087" s="29" t="s">
        <v>94</v>
      </c>
      <c r="E1087" s="29" t="s">
        <v>2917</v>
      </c>
      <c r="F1087" s="30">
        <v>0.25</v>
      </c>
      <c r="G1087" s="31"/>
      <c r="H1087" s="31"/>
      <c r="I1087" s="31"/>
      <c r="J1087" s="31"/>
    </row>
    <row r="1088" spans="1:10" ht="14.4" x14ac:dyDescent="0.3">
      <c r="A1088" s="28" t="str">
        <f>B1088&amp;C1088&amp;D1088&amp;E1088</f>
        <v>Спорт и отдыхВиды спортаТеннис и бадминтонСквош</v>
      </c>
      <c r="B1088" s="29" t="s">
        <v>101</v>
      </c>
      <c r="C1088" s="29" t="s">
        <v>446</v>
      </c>
      <c r="D1088" s="29" t="s">
        <v>563</v>
      </c>
      <c r="E1088" s="29" t="s">
        <v>2918</v>
      </c>
      <c r="F1088" s="30">
        <v>0.25</v>
      </c>
      <c r="G1088" s="31"/>
      <c r="H1088" s="31"/>
      <c r="I1088" s="31"/>
      <c r="J1088" s="31"/>
    </row>
    <row r="1089" spans="1:10" ht="14.4" x14ac:dyDescent="0.3">
      <c r="A1089" s="28" t="str">
        <f>B1089&amp;C1089&amp;D1089&amp;E1089</f>
        <v>Товары для домаТовары для кухниЧайники и кофейникиЗаварочные чайники</v>
      </c>
      <c r="B1089" s="29" t="s">
        <v>59</v>
      </c>
      <c r="C1089" s="29" t="s">
        <v>60</v>
      </c>
      <c r="D1089" s="29" t="s">
        <v>400</v>
      </c>
      <c r="E1089" s="29" t="s">
        <v>2924</v>
      </c>
      <c r="F1089" s="30">
        <v>0.25</v>
      </c>
      <c r="G1089" s="31"/>
      <c r="H1089" s="31"/>
      <c r="I1089" s="31"/>
      <c r="J1089" s="31"/>
    </row>
    <row r="1090" spans="1:10" ht="14.4" x14ac:dyDescent="0.3">
      <c r="A1090" s="28" t="str">
        <f>B1090&amp;C1090&amp;D1090&amp;E1090</f>
        <v>ОдеждаМужская одеждаСпортивная одеждаСпортивные футболки и лонгсливы</v>
      </c>
      <c r="B1090" s="29" t="s">
        <v>92</v>
      </c>
      <c r="C1090" s="29" t="s">
        <v>112</v>
      </c>
      <c r="D1090" s="29" t="s">
        <v>158</v>
      </c>
      <c r="E1090" s="29" t="s">
        <v>852</v>
      </c>
      <c r="F1090" s="30">
        <v>0.25</v>
      </c>
      <c r="G1090" s="31"/>
      <c r="H1090" s="31"/>
      <c r="I1090" s="31"/>
      <c r="J1090" s="31"/>
    </row>
    <row r="1091" spans="1:10" ht="14.4" x14ac:dyDescent="0.3">
      <c r="A1091" s="28" t="str">
        <f>B1091&amp;C1091&amp;D1091&amp;E1091</f>
        <v>ЭлектроникаФото и видеотехникаАксессуары для фото- и видеокамерКрепления</v>
      </c>
      <c r="B1091" s="29" t="s">
        <v>67</v>
      </c>
      <c r="C1091" s="29" t="s">
        <v>174</v>
      </c>
      <c r="D1091" s="29" t="s">
        <v>175</v>
      </c>
      <c r="E1091" s="29" t="s">
        <v>1353</v>
      </c>
      <c r="F1091" s="30">
        <v>0.25</v>
      </c>
      <c r="G1091" s="31"/>
      <c r="H1091" s="31"/>
      <c r="I1091" s="31"/>
      <c r="J1091" s="31"/>
    </row>
    <row r="1092" spans="1:10" ht="14.4" x14ac:dyDescent="0.3">
      <c r="A1092" s="28" t="str">
        <f>B1092&amp;C1092&amp;D1092&amp;E1092</f>
        <v>Товары для домаТовары для кухниАксессуары для выпечкиСкалки</v>
      </c>
      <c r="B1092" s="29" t="s">
        <v>59</v>
      </c>
      <c r="C1092" s="29" t="s">
        <v>60</v>
      </c>
      <c r="D1092" s="29" t="s">
        <v>686</v>
      </c>
      <c r="E1092" s="29" t="s">
        <v>2926</v>
      </c>
      <c r="F1092" s="30">
        <v>0.25</v>
      </c>
      <c r="G1092" s="31"/>
      <c r="H1092" s="31"/>
      <c r="I1092" s="31"/>
      <c r="J1092" s="31"/>
    </row>
    <row r="1093" spans="1:10" ht="14.4" x14ac:dyDescent="0.3">
      <c r="A1093" s="28" t="str">
        <f>B1093&amp;C1093&amp;D1093&amp;E1093</f>
        <v>Спорт и отдыхВодный спорт и отдых на водеАквафитнес и водное полоГантели для аквааэробики</v>
      </c>
      <c r="B1093" s="29" t="s">
        <v>101</v>
      </c>
      <c r="C1093" s="29" t="s">
        <v>771</v>
      </c>
      <c r="D1093" s="29" t="s">
        <v>1828</v>
      </c>
      <c r="E1093" s="29" t="s">
        <v>2929</v>
      </c>
      <c r="F1093" s="30">
        <v>0.25</v>
      </c>
      <c r="G1093" s="31"/>
      <c r="H1093" s="31"/>
      <c r="I1093" s="31"/>
      <c r="J1093" s="31"/>
    </row>
    <row r="1094" spans="1:10" ht="14.4" x14ac:dyDescent="0.3">
      <c r="A1094" s="28" t="str">
        <f>B1094&amp;C1094&amp;D1094&amp;E1094</f>
        <v>Товары для домаТекстильТекстиль с электроподогревомЭлектропростыни</v>
      </c>
      <c r="B1094" s="29" t="s">
        <v>59</v>
      </c>
      <c r="C1094" s="29" t="s">
        <v>325</v>
      </c>
      <c r="D1094" s="29" t="s">
        <v>2646</v>
      </c>
      <c r="E1094" s="29" t="s">
        <v>2931</v>
      </c>
      <c r="F1094" s="30">
        <v>0.25</v>
      </c>
      <c r="G1094" s="31"/>
      <c r="H1094" s="31"/>
      <c r="I1094" s="31"/>
      <c r="J1094" s="31"/>
    </row>
    <row r="1095" spans="1:10" ht="14.4" x14ac:dyDescent="0.3">
      <c r="A1095" s="28" t="str">
        <f>B1095&amp;C1095&amp;D1095&amp;E1095</f>
        <v>ОдеждаМужская одеждаНижнее бельёКальсоны</v>
      </c>
      <c r="B1095" s="29" t="s">
        <v>92</v>
      </c>
      <c r="C1095" s="29" t="s">
        <v>112</v>
      </c>
      <c r="D1095" s="29" t="s">
        <v>113</v>
      </c>
      <c r="E1095" s="29" t="s">
        <v>2935</v>
      </c>
      <c r="F1095" s="30">
        <v>0.25</v>
      </c>
      <c r="G1095" s="31"/>
      <c r="H1095" s="31"/>
      <c r="I1095" s="31"/>
      <c r="J1095" s="31"/>
    </row>
    <row r="1096" spans="1:10" ht="14.4" x14ac:dyDescent="0.3">
      <c r="A1096" s="28" t="str">
        <f>B1096&amp;C1096&amp;D1096&amp;E1096</f>
        <v>АвтотоварыАксессуары и принадлежностиТюнинг и внешний декорТонировка автомобиля</v>
      </c>
      <c r="B1096" s="29" t="s">
        <v>12</v>
      </c>
      <c r="C1096" s="29" t="s">
        <v>253</v>
      </c>
      <c r="D1096" s="29" t="s">
        <v>254</v>
      </c>
      <c r="E1096" s="29" t="s">
        <v>2943</v>
      </c>
      <c r="F1096" s="30">
        <v>0.25</v>
      </c>
      <c r="G1096" s="31"/>
      <c r="H1096" s="31"/>
      <c r="I1096" s="31"/>
      <c r="J1096" s="31"/>
    </row>
    <row r="1097" spans="1:10" ht="14.4" x14ac:dyDescent="0.3">
      <c r="A1097" s="28" t="str">
        <f>B1097&amp;C1097&amp;D1097&amp;E1097</f>
        <v>Красота и уходПарфюмерияДухиДухи</v>
      </c>
      <c r="B1097" s="29" t="s">
        <v>56</v>
      </c>
      <c r="C1097" s="29" t="s">
        <v>824</v>
      </c>
      <c r="D1097" s="29" t="s">
        <v>980</v>
      </c>
      <c r="E1097" s="29" t="s">
        <v>980</v>
      </c>
      <c r="F1097" s="30">
        <v>0.25</v>
      </c>
      <c r="G1097" s="31"/>
      <c r="H1097" s="31"/>
      <c r="I1097" s="31"/>
      <c r="J1097" s="31"/>
    </row>
    <row r="1098" spans="1:10" ht="14.4" x14ac:dyDescent="0.3">
      <c r="A1098" s="28" t="str">
        <f>B1098&amp;C1098&amp;D1098&amp;E1098</f>
        <v>Детские товарыДетский спорт и активный отдыхИгры на улицеВоздушные змеи</v>
      </c>
      <c r="B1098" s="29" t="s">
        <v>105</v>
      </c>
      <c r="C1098" s="29" t="s">
        <v>427</v>
      </c>
      <c r="D1098" s="29" t="s">
        <v>1343</v>
      </c>
      <c r="E1098" s="29" t="s">
        <v>2953</v>
      </c>
      <c r="F1098" s="30">
        <v>0.25</v>
      </c>
      <c r="G1098" s="31"/>
      <c r="H1098" s="31"/>
      <c r="I1098" s="31"/>
      <c r="J1098" s="31"/>
    </row>
    <row r="1099" spans="1:10" ht="14.4" x14ac:dyDescent="0.3">
      <c r="A1099" s="28" t="str">
        <f>B1099&amp;C1099&amp;D1099&amp;E1099</f>
        <v>Товары для домаТовары для кухниКухонные аксессуарыАдаптеры для индукционных плит</v>
      </c>
      <c r="B1099" s="29" t="s">
        <v>59</v>
      </c>
      <c r="C1099" s="29" t="s">
        <v>60</v>
      </c>
      <c r="D1099" s="29" t="s">
        <v>273</v>
      </c>
      <c r="E1099" s="29" t="s">
        <v>2955</v>
      </c>
      <c r="F1099" s="30">
        <v>0.25</v>
      </c>
      <c r="G1099" s="31"/>
      <c r="H1099" s="31"/>
      <c r="I1099" s="31"/>
      <c r="J1099" s="31"/>
    </row>
    <row r="1100" spans="1:10" ht="14.4" x14ac:dyDescent="0.3">
      <c r="A1100" s="28" t="str">
        <f>B1100&amp;C1100&amp;D1100&amp;E1100</f>
        <v>Спорт и отдыхВиды спортаБаскетболБаскетбольные аксессуары</v>
      </c>
      <c r="B1100" s="29" t="s">
        <v>101</v>
      </c>
      <c r="C1100" s="29" t="s">
        <v>446</v>
      </c>
      <c r="D1100" s="29" t="s">
        <v>447</v>
      </c>
      <c r="E1100" s="29" t="s">
        <v>2960</v>
      </c>
      <c r="F1100" s="30">
        <v>0.25</v>
      </c>
      <c r="G1100" s="31"/>
      <c r="H1100" s="31"/>
      <c r="I1100" s="31"/>
      <c r="J1100" s="31"/>
    </row>
    <row r="1101" spans="1:10" ht="14.4" x14ac:dyDescent="0.3">
      <c r="A1101" s="28" t="str">
        <f>B1101&amp;C1101&amp;D1101&amp;E1101</f>
        <v>Дача, сад и огородСемена и саженцыСаженцыСаженцы</v>
      </c>
      <c r="B1101" s="29" t="s">
        <v>352</v>
      </c>
      <c r="C1101" s="29" t="s">
        <v>1496</v>
      </c>
      <c r="D1101" s="29" t="s">
        <v>2963</v>
      </c>
      <c r="E1101" s="29" t="s">
        <v>2963</v>
      </c>
      <c r="F1101" s="30">
        <v>0.25</v>
      </c>
      <c r="G1101" s="31"/>
      <c r="H1101" s="31"/>
      <c r="I1101" s="31"/>
      <c r="J1101" s="31"/>
    </row>
    <row r="1102" spans="1:10" ht="14.4" x14ac:dyDescent="0.3">
      <c r="A1102" s="28" t="str">
        <f>B1102&amp;C1102&amp;D1102&amp;E1102</f>
        <v>Дача, сад и огородУдобрения и уход за растениямиСредства от сорняковСредства от сорняков</v>
      </c>
      <c r="B1102" s="29" t="s">
        <v>352</v>
      </c>
      <c r="C1102" s="29" t="s">
        <v>1175</v>
      </c>
      <c r="D1102" s="29" t="s">
        <v>2968</v>
      </c>
      <c r="E1102" s="29" t="s">
        <v>2968</v>
      </c>
      <c r="F1102" s="30">
        <v>0.25</v>
      </c>
      <c r="G1102" s="31"/>
      <c r="H1102" s="31"/>
      <c r="I1102" s="31"/>
      <c r="J1102" s="33"/>
    </row>
    <row r="1103" spans="1:10" ht="14.4" x14ac:dyDescent="0.3">
      <c r="A1103" s="28" t="str">
        <f>B1103&amp;C1103&amp;D1103&amp;E1103</f>
        <v>ОдеждаЖенская одеждаДжинсыДжинсы-мом</v>
      </c>
      <c r="B1103" s="29" t="s">
        <v>92</v>
      </c>
      <c r="C1103" s="29" t="s">
        <v>93</v>
      </c>
      <c r="D1103" s="29" t="s">
        <v>544</v>
      </c>
      <c r="E1103" s="29" t="s">
        <v>2973</v>
      </c>
      <c r="F1103" s="30">
        <v>0.25</v>
      </c>
      <c r="G1103" s="31"/>
      <c r="H1103" s="31"/>
      <c r="I1103" s="31"/>
      <c r="J1103" s="31"/>
    </row>
    <row r="1104" spans="1:10" ht="14.4" x14ac:dyDescent="0.3">
      <c r="A1104" s="28" t="str">
        <f>B1104&amp;C1104&amp;D1104&amp;E1104</f>
        <v>АвтотоварыУход за автомобилемЧистящие средства для автомобиляЧистящие средства для автомобиля</v>
      </c>
      <c r="B1104" s="29" t="s">
        <v>12</v>
      </c>
      <c r="C1104" s="29" t="s">
        <v>201</v>
      </c>
      <c r="D1104" s="29" t="s">
        <v>2981</v>
      </c>
      <c r="E1104" s="29" t="s">
        <v>2981</v>
      </c>
      <c r="F1104" s="30">
        <v>0.25</v>
      </c>
      <c r="G1104" s="31"/>
      <c r="H1104" s="31"/>
      <c r="I1104" s="31"/>
      <c r="J1104" s="31"/>
    </row>
    <row r="1105" spans="1:10" ht="14.4" x14ac:dyDescent="0.3">
      <c r="A1105" s="28" t="str">
        <f>B1105&amp;C1105&amp;D1105&amp;E1105</f>
        <v>АвтотоварыАксессуары и принадлежностиСувениры автомобильныеПрочие автомобильные сувениры</v>
      </c>
      <c r="B1105" s="29" t="s">
        <v>12</v>
      </c>
      <c r="C1105" s="29" t="s">
        <v>253</v>
      </c>
      <c r="D1105" s="29" t="s">
        <v>1920</v>
      </c>
      <c r="E1105" s="29" t="s">
        <v>2984</v>
      </c>
      <c r="F1105" s="30">
        <v>0.25</v>
      </c>
      <c r="G1105" s="31"/>
      <c r="H1105" s="31"/>
      <c r="I1105" s="31"/>
      <c r="J1105" s="31"/>
    </row>
    <row r="1106" spans="1:10" ht="14.4" x14ac:dyDescent="0.3">
      <c r="A1106" s="28" t="str">
        <f>B1106&amp;C1106&amp;D1106&amp;E1106</f>
        <v>Спорт и отдыхОтдых на природе, рыбалка и охотаТуризм и отдых на природеАксессуары для туризма и отдыха</v>
      </c>
      <c r="B1106" s="29" t="s">
        <v>101</v>
      </c>
      <c r="C1106" s="29" t="s">
        <v>166</v>
      </c>
      <c r="D1106" s="29" t="s">
        <v>204</v>
      </c>
      <c r="E1106" s="29" t="s">
        <v>2987</v>
      </c>
      <c r="F1106" s="30">
        <v>0.25</v>
      </c>
      <c r="G1106" s="31"/>
      <c r="H1106" s="31"/>
      <c r="I1106" s="31"/>
      <c r="J1106" s="31"/>
    </row>
    <row r="1107" spans="1:10" ht="14.4" x14ac:dyDescent="0.3">
      <c r="A1107" s="28" t="str">
        <f>B1107&amp;C1107&amp;D1107&amp;E1107</f>
        <v>Строительство и ремонтРучной инструмент и оснасткаЗажимные инструментыПлоскогубцы</v>
      </c>
      <c r="B1107" s="29" t="s">
        <v>77</v>
      </c>
      <c r="C1107" s="29" t="s">
        <v>127</v>
      </c>
      <c r="D1107" s="29" t="s">
        <v>541</v>
      </c>
      <c r="E1107" s="29" t="s">
        <v>2991</v>
      </c>
      <c r="F1107" s="30">
        <v>0.25</v>
      </c>
      <c r="G1107" s="31"/>
      <c r="H1107" s="31"/>
      <c r="I1107" s="31"/>
      <c r="J1107" s="31"/>
    </row>
    <row r="1108" spans="1:10" ht="14.4" x14ac:dyDescent="0.3">
      <c r="A1108" s="28" t="str">
        <f>B1108&amp;C1108&amp;D1108&amp;E1108</f>
        <v>АвтотоварыАксессуары и принадлежностиСувениры автомобильныеСветоотражатели</v>
      </c>
      <c r="B1108" s="29" t="s">
        <v>12</v>
      </c>
      <c r="C1108" s="29" t="s">
        <v>253</v>
      </c>
      <c r="D1108" s="29" t="s">
        <v>1920</v>
      </c>
      <c r="E1108" s="29" t="s">
        <v>2992</v>
      </c>
      <c r="F1108" s="30">
        <v>0.25</v>
      </c>
      <c r="G1108" s="31"/>
      <c r="H1108" s="31"/>
      <c r="I1108" s="31"/>
      <c r="J1108" s="31"/>
    </row>
    <row r="1109" spans="1:10" ht="14.4" x14ac:dyDescent="0.3">
      <c r="A1109" s="28" t="str">
        <f>B1109&amp;C1109&amp;D1109&amp;E1109</f>
        <v>АвтотоварыАксессуары и принадлежностиОбустройство салонаПодлокотники</v>
      </c>
      <c r="B1109" s="29" t="s">
        <v>12</v>
      </c>
      <c r="C1109" s="29" t="s">
        <v>253</v>
      </c>
      <c r="D1109" s="29" t="s">
        <v>256</v>
      </c>
      <c r="E1109" s="29" t="s">
        <v>2993</v>
      </c>
      <c r="F1109" s="30">
        <v>0.25</v>
      </c>
      <c r="G1109" s="31"/>
      <c r="H1109" s="31"/>
      <c r="I1109" s="31"/>
      <c r="J1109" s="31"/>
    </row>
    <row r="1110" spans="1:10" ht="14.4" x14ac:dyDescent="0.3">
      <c r="A1110" s="28" t="str">
        <f>B1110&amp;C1110&amp;D1110&amp;E1110</f>
        <v>Строительство и ремонтРучной инструмент и оснасткаРасходные материалыСтроительные ленты</v>
      </c>
      <c r="B1110" s="29" t="s">
        <v>77</v>
      </c>
      <c r="C1110" s="29" t="s">
        <v>127</v>
      </c>
      <c r="D1110" s="29" t="s">
        <v>1110</v>
      </c>
      <c r="E1110" s="29" t="s">
        <v>2995</v>
      </c>
      <c r="F1110" s="30">
        <v>0.25</v>
      </c>
      <c r="G1110" s="31"/>
      <c r="H1110" s="31"/>
      <c r="I1110" s="31"/>
      <c r="J1110" s="31"/>
    </row>
    <row r="1111" spans="1:10" ht="14.4" x14ac:dyDescent="0.3">
      <c r="A1111" s="28" t="str">
        <f>B1111&amp;C1111&amp;D1111&amp;E1111</f>
        <v>Спорт и отдыхВиды спортаБокс и единоборстваКимоно</v>
      </c>
      <c r="B1111" s="29" t="s">
        <v>101</v>
      </c>
      <c r="C1111" s="29" t="s">
        <v>446</v>
      </c>
      <c r="D1111" s="29" t="s">
        <v>1068</v>
      </c>
      <c r="E1111" s="29" t="s">
        <v>2996</v>
      </c>
      <c r="F1111" s="30">
        <v>0.25</v>
      </c>
      <c r="G1111" s="31"/>
      <c r="H1111" s="31"/>
      <c r="I1111" s="31"/>
      <c r="J1111" s="31"/>
    </row>
    <row r="1112" spans="1:10" ht="14.4" x14ac:dyDescent="0.3">
      <c r="A1112" s="28" t="str">
        <f>B1112&amp;C1112&amp;D1112&amp;E1112</f>
        <v>Строительство и ремонтРучной инструмент и оснасткаМалярные и отделочные инструментыШпатели</v>
      </c>
      <c r="B1112" s="29" t="s">
        <v>77</v>
      </c>
      <c r="C1112" s="29" t="s">
        <v>127</v>
      </c>
      <c r="D1112" s="29" t="s">
        <v>128</v>
      </c>
      <c r="E1112" s="29" t="s">
        <v>2998</v>
      </c>
      <c r="F1112" s="30">
        <v>0.25</v>
      </c>
      <c r="G1112" s="31"/>
      <c r="H1112" s="31"/>
      <c r="I1112" s="31"/>
      <c r="J1112" s="31"/>
    </row>
    <row r="1113" spans="1:10" ht="14.4" x14ac:dyDescent="0.3">
      <c r="A1113" s="28" t="str">
        <f>B1113&amp;C1113&amp;D1113&amp;E1113</f>
        <v>Товары для домаТовары для комнатных растенийГоршки и кашпоГоршки и кашпо</v>
      </c>
      <c r="B1113" s="29" t="s">
        <v>59</v>
      </c>
      <c r="C1113" s="29" t="s">
        <v>2044</v>
      </c>
      <c r="D1113" s="29" t="s">
        <v>3002</v>
      </c>
      <c r="E1113" s="29" t="s">
        <v>3002</v>
      </c>
      <c r="F1113" s="30">
        <v>0.25</v>
      </c>
      <c r="G1113" s="31"/>
      <c r="H1113" s="31"/>
      <c r="I1113" s="31"/>
      <c r="J1113" s="31"/>
    </row>
    <row r="1114" spans="1:10" ht="14.4" x14ac:dyDescent="0.3">
      <c r="A1114" s="28" t="str">
        <f>B1114&amp;C1114&amp;D1114&amp;E1114</f>
        <v>Товары для домаТовары для кухниСтоловые приборыЛожки</v>
      </c>
      <c r="B1114" s="29" t="s">
        <v>59</v>
      </c>
      <c r="C1114" s="29" t="s">
        <v>60</v>
      </c>
      <c r="D1114" s="29" t="s">
        <v>196</v>
      </c>
      <c r="E1114" s="29" t="s">
        <v>3006</v>
      </c>
      <c r="F1114" s="30">
        <v>0.25</v>
      </c>
      <c r="G1114" s="31"/>
      <c r="H1114" s="31"/>
      <c r="I1114" s="31"/>
      <c r="J1114" s="31"/>
    </row>
    <row r="1115" spans="1:10" ht="14.4" x14ac:dyDescent="0.3">
      <c r="A1115" s="28" t="str">
        <f>B1115&amp;C1115&amp;D1115&amp;E1115</f>
        <v>ОдеждаЖенская одеждаВерхняя одеждаЛегкие куртки и ветровки</v>
      </c>
      <c r="B1115" s="29" t="s">
        <v>92</v>
      </c>
      <c r="C1115" s="29" t="s">
        <v>93</v>
      </c>
      <c r="D1115" s="29" t="s">
        <v>144</v>
      </c>
      <c r="E1115" s="29" t="s">
        <v>2715</v>
      </c>
      <c r="F1115" s="30">
        <v>0.25</v>
      </c>
      <c r="G1115" s="31"/>
      <c r="H1115" s="31"/>
      <c r="I1115" s="31"/>
      <c r="J1115" s="31"/>
    </row>
    <row r="1116" spans="1:10" ht="14.4" x14ac:dyDescent="0.3">
      <c r="A1116" s="28" t="str">
        <f>B1116&amp;C1116&amp;D1116&amp;E1116</f>
        <v>Товары для домаТовары для кухниКружки, стаканы и бокалыБокалы и фужеры</v>
      </c>
      <c r="B1116" s="29" t="s">
        <v>59</v>
      </c>
      <c r="C1116" s="29" t="s">
        <v>60</v>
      </c>
      <c r="D1116" s="29" t="s">
        <v>1461</v>
      </c>
      <c r="E1116" s="29" t="s">
        <v>3008</v>
      </c>
      <c r="F1116" s="30">
        <v>0.25</v>
      </c>
      <c r="G1116" s="31"/>
      <c r="H1116" s="31"/>
      <c r="I1116" s="31"/>
      <c r="J1116" s="31"/>
    </row>
    <row r="1117" spans="1:10" ht="14.4" x14ac:dyDescent="0.3">
      <c r="A1117" s="28" t="str">
        <f>B1117&amp;C1117&amp;D1117&amp;E1117</f>
        <v>Спорт и отдыхВиды спортаХудожественная гимнастика и танцыОбручи гимнастические</v>
      </c>
      <c r="B1117" s="29" t="s">
        <v>101</v>
      </c>
      <c r="C1117" s="29" t="s">
        <v>446</v>
      </c>
      <c r="D1117" s="29" t="s">
        <v>875</v>
      </c>
      <c r="E1117" s="29" t="s">
        <v>3012</v>
      </c>
      <c r="F1117" s="30">
        <v>0.25</v>
      </c>
      <c r="G1117" s="31"/>
      <c r="H1117" s="31"/>
      <c r="I1117" s="31"/>
      <c r="J1117" s="31"/>
    </row>
    <row r="1118" spans="1:10" ht="14.4" x14ac:dyDescent="0.3">
      <c r="A1118" s="28" t="str">
        <f>B1118&amp;C1118&amp;D1118&amp;E1118</f>
        <v>Товары для домаТовары для кухниЧайники и кофейникиФренч-прессы</v>
      </c>
      <c r="B1118" s="29" t="s">
        <v>59</v>
      </c>
      <c r="C1118" s="29" t="s">
        <v>60</v>
      </c>
      <c r="D1118" s="29" t="s">
        <v>400</v>
      </c>
      <c r="E1118" s="29" t="s">
        <v>3013</v>
      </c>
      <c r="F1118" s="30">
        <v>0.25</v>
      </c>
      <c r="G1118" s="31"/>
      <c r="H1118" s="31"/>
      <c r="I1118" s="31"/>
      <c r="J1118" s="31"/>
    </row>
    <row r="1119" spans="1:10" ht="14.4" x14ac:dyDescent="0.3">
      <c r="A1119" s="28" t="str">
        <f>B1119&amp;C1119&amp;D1119&amp;E1119</f>
        <v>ОдеждаЖенская одеждаЮбкиДжинсовые юбки</v>
      </c>
      <c r="B1119" s="29" t="s">
        <v>92</v>
      </c>
      <c r="C1119" s="29" t="s">
        <v>93</v>
      </c>
      <c r="D1119" s="29" t="s">
        <v>570</v>
      </c>
      <c r="E1119" s="29" t="s">
        <v>3020</v>
      </c>
      <c r="F1119" s="30">
        <v>0.25</v>
      </c>
      <c r="G1119" s="31"/>
      <c r="H1119" s="31"/>
      <c r="I1119" s="31"/>
      <c r="J1119" s="31"/>
    </row>
    <row r="1120" spans="1:10" ht="14.4" x14ac:dyDescent="0.3">
      <c r="A1120" s="28" t="str">
        <f>B1120&amp;C1120&amp;D1120&amp;E1120</f>
        <v>Спорт и отдыхВодный спорт и отдых на водеСерфинг, виндсерфинг, водные лыжи, кайтсерфингСерфинг, виндсерфинг, водные лыжи, кайтсерфинг</v>
      </c>
      <c r="B1120" s="29" t="s">
        <v>101</v>
      </c>
      <c r="C1120" s="29" t="s">
        <v>771</v>
      </c>
      <c r="D1120" s="29" t="s">
        <v>3021</v>
      </c>
      <c r="E1120" s="29" t="s">
        <v>3021</v>
      </c>
      <c r="F1120" s="30">
        <v>0.25</v>
      </c>
      <c r="G1120" s="31"/>
      <c r="H1120" s="31"/>
      <c r="I1120" s="31"/>
      <c r="J1120" s="31"/>
    </row>
    <row r="1121" spans="1:10" ht="14.4" x14ac:dyDescent="0.3">
      <c r="A1121" s="28" t="str">
        <f>B1121&amp;C1121&amp;D1121&amp;E1121</f>
        <v>ОдеждаЖенская одеждаДжемперы, свитеры и кардиганыПончо</v>
      </c>
      <c r="B1121" s="29" t="s">
        <v>92</v>
      </c>
      <c r="C1121" s="29" t="s">
        <v>93</v>
      </c>
      <c r="D1121" s="29" t="s">
        <v>424</v>
      </c>
      <c r="E1121" s="29" t="s">
        <v>3023</v>
      </c>
      <c r="F1121" s="30">
        <v>0.25</v>
      </c>
      <c r="G1121" s="31"/>
      <c r="H1121" s="31"/>
      <c r="I1121" s="31"/>
      <c r="J1121" s="31"/>
    </row>
    <row r="1122" spans="1:10" ht="14.4" x14ac:dyDescent="0.3">
      <c r="A1122" s="28" t="str">
        <f>B1122&amp;C1122&amp;D1122&amp;E1122</f>
        <v>Дача, сад и огородПикник, барбекю, грильНаборы для пикникаНаборы для пикника</v>
      </c>
      <c r="B1122" s="29" t="s">
        <v>352</v>
      </c>
      <c r="C1122" s="29" t="s">
        <v>1048</v>
      </c>
      <c r="D1122" s="29" t="s">
        <v>3025</v>
      </c>
      <c r="E1122" s="29" t="s">
        <v>3025</v>
      </c>
      <c r="F1122" s="30">
        <v>0.25</v>
      </c>
      <c r="G1122" s="31"/>
      <c r="H1122" s="31"/>
      <c r="I1122" s="31"/>
      <c r="J1122" s="31"/>
    </row>
    <row r="1123" spans="1:10" ht="14.4" x14ac:dyDescent="0.3">
      <c r="A1123" s="28" t="str">
        <f>B1123&amp;C1123&amp;D1123&amp;E1123</f>
        <v>Товары для домаТовары для кухниКухонные аксессуарыЗажигалки кухонные</v>
      </c>
      <c r="B1123" s="29" t="s">
        <v>59</v>
      </c>
      <c r="C1123" s="29" t="s">
        <v>60</v>
      </c>
      <c r="D1123" s="29" t="s">
        <v>273</v>
      </c>
      <c r="E1123" s="29" t="s">
        <v>3027</v>
      </c>
      <c r="F1123" s="30">
        <v>0.25</v>
      </c>
      <c r="G1123" s="31"/>
      <c r="H1123" s="31"/>
      <c r="I1123" s="31"/>
      <c r="J1123" s="31"/>
    </row>
    <row r="1124" spans="1:10" ht="14.4" x14ac:dyDescent="0.3">
      <c r="A1124" s="28" t="str">
        <f>B1124&amp;C1124&amp;D1124&amp;E1124</f>
        <v>Товары для домаТовары для кухниКухонные аксессуарыПодносы</v>
      </c>
      <c r="B1124" s="29" t="s">
        <v>59</v>
      </c>
      <c r="C1124" s="29" t="s">
        <v>60</v>
      </c>
      <c r="D1124" s="29" t="s">
        <v>273</v>
      </c>
      <c r="E1124" s="29" t="s">
        <v>3028</v>
      </c>
      <c r="F1124" s="30">
        <v>0.25</v>
      </c>
      <c r="G1124" s="31"/>
      <c r="H1124" s="31"/>
      <c r="I1124" s="31"/>
      <c r="J1124" s="31"/>
    </row>
    <row r="1125" spans="1:10" ht="14.4" x14ac:dyDescent="0.3">
      <c r="A1125" s="28" t="str">
        <f>B1125&amp;C1125&amp;D1125&amp;E1125</f>
        <v>Строительство и ремонтРучной инструмент и оснасткаКлючиТрещоточные ключи</v>
      </c>
      <c r="B1125" s="29" t="s">
        <v>77</v>
      </c>
      <c r="C1125" s="29" t="s">
        <v>127</v>
      </c>
      <c r="D1125" s="29" t="s">
        <v>462</v>
      </c>
      <c r="E1125" s="29" t="s">
        <v>3029</v>
      </c>
      <c r="F1125" s="30">
        <v>0.25</v>
      </c>
      <c r="G1125" s="31"/>
      <c r="H1125" s="31"/>
      <c r="I1125" s="31"/>
      <c r="J1125" s="31"/>
    </row>
    <row r="1126" spans="1:10" ht="14.4" x14ac:dyDescent="0.3">
      <c r="A1126" s="28" t="str">
        <f>B1126&amp;C1126&amp;D1126&amp;E1126</f>
        <v>Строительство и ремонтРучной инструмент и оснасткаКрепежУголки и держатели</v>
      </c>
      <c r="B1126" s="29" t="s">
        <v>77</v>
      </c>
      <c r="C1126" s="29" t="s">
        <v>127</v>
      </c>
      <c r="D1126" s="29" t="s">
        <v>350</v>
      </c>
      <c r="E1126" s="29" t="s">
        <v>3032</v>
      </c>
      <c r="F1126" s="30">
        <v>0.25</v>
      </c>
      <c r="G1126" s="31"/>
      <c r="H1126" s="31"/>
      <c r="I1126" s="31"/>
      <c r="J1126" s="31"/>
    </row>
    <row r="1127" spans="1:10" ht="14.4" x14ac:dyDescent="0.3">
      <c r="A1127" s="28" t="str">
        <f>B1127&amp;C1127&amp;D1127&amp;E1127</f>
        <v>ОдеждаЖенская одеждаДомашняя одеждаНочные сорочки</v>
      </c>
      <c r="B1127" s="29" t="s">
        <v>92</v>
      </c>
      <c r="C1127" s="29" t="s">
        <v>93</v>
      </c>
      <c r="D1127" s="29" t="s">
        <v>469</v>
      </c>
      <c r="E1127" s="29" t="s">
        <v>3033</v>
      </c>
      <c r="F1127" s="30">
        <v>0.25</v>
      </c>
      <c r="G1127" s="31"/>
      <c r="H1127" s="31"/>
      <c r="I1127" s="31"/>
      <c r="J1127" s="31"/>
    </row>
    <row r="1128" spans="1:10" ht="14.4" x14ac:dyDescent="0.3">
      <c r="A1128" s="28" t="str">
        <f>B1128&amp;C1128&amp;D1128&amp;E1128</f>
        <v>ОдеждаЖенская одеждаСпортивная одеждаСпортивные топы</v>
      </c>
      <c r="B1128" s="29" t="s">
        <v>92</v>
      </c>
      <c r="C1128" s="29" t="s">
        <v>93</v>
      </c>
      <c r="D1128" s="29" t="s">
        <v>158</v>
      </c>
      <c r="E1128" s="29" t="s">
        <v>3034</v>
      </c>
      <c r="F1128" s="30">
        <v>0.25</v>
      </c>
      <c r="G1128" s="31"/>
      <c r="H1128" s="31"/>
      <c r="I1128" s="31"/>
      <c r="J1128" s="31"/>
    </row>
    <row r="1129" spans="1:10" ht="14.4" x14ac:dyDescent="0.3">
      <c r="A1129" s="28" t="str">
        <f>B1129&amp;C1129&amp;D1129&amp;E1129</f>
        <v>Спорт и отдыхВиды спортаХудожественная гимнастика и танцыБулавы</v>
      </c>
      <c r="B1129" s="29" t="s">
        <v>101</v>
      </c>
      <c r="C1129" s="29" t="s">
        <v>446</v>
      </c>
      <c r="D1129" s="29" t="s">
        <v>875</v>
      </c>
      <c r="E1129" s="29" t="s">
        <v>3035</v>
      </c>
      <c r="F1129" s="30">
        <v>0.25</v>
      </c>
      <c r="G1129" s="31"/>
      <c r="H1129" s="31"/>
      <c r="I1129" s="31"/>
      <c r="J1129" s="31"/>
    </row>
    <row r="1130" spans="1:10" ht="14.4" x14ac:dyDescent="0.3">
      <c r="A1130" s="28" t="str">
        <f>B1130&amp;C1130&amp;D1130&amp;E1130</f>
        <v>Товары для домаТовары для кухниКухонные инструментыШумовки</v>
      </c>
      <c r="B1130" s="29" t="s">
        <v>59</v>
      </c>
      <c r="C1130" s="29" t="s">
        <v>60</v>
      </c>
      <c r="D1130" s="29" t="s">
        <v>1006</v>
      </c>
      <c r="E1130" s="29" t="s">
        <v>3038</v>
      </c>
      <c r="F1130" s="30">
        <v>0.25</v>
      </c>
      <c r="G1130" s="31"/>
      <c r="H1130" s="31"/>
      <c r="I1130" s="31"/>
      <c r="J1130" s="31"/>
    </row>
    <row r="1131" spans="1:10" ht="14.4" x14ac:dyDescent="0.3">
      <c r="A1131" s="28" t="str">
        <f>B1131&amp;C1131&amp;D1131&amp;E1131</f>
        <v>Товары для домаТовары для кухниОдноразовая посуда и упаковкаКрышки для напитков</v>
      </c>
      <c r="B1131" s="29" t="s">
        <v>59</v>
      </c>
      <c r="C1131" s="29" t="s">
        <v>60</v>
      </c>
      <c r="D1131" s="29" t="s">
        <v>1459</v>
      </c>
      <c r="E1131" s="29" t="s">
        <v>3050</v>
      </c>
      <c r="F1131" s="30">
        <v>0.25</v>
      </c>
      <c r="G1131" s="31"/>
      <c r="H1131" s="31"/>
      <c r="I1131" s="31"/>
      <c r="J1131" s="31"/>
    </row>
    <row r="1132" spans="1:10" ht="14.4" x14ac:dyDescent="0.3">
      <c r="A1132" s="28" t="str">
        <f>B1132&amp;C1132&amp;D1132&amp;E1132</f>
        <v>ОдеждаМужская одеждаДжемперы, свитеры и кардиганыВодолазки</v>
      </c>
      <c r="B1132" s="29" t="s">
        <v>92</v>
      </c>
      <c r="C1132" s="29" t="s">
        <v>112</v>
      </c>
      <c r="D1132" s="29" t="s">
        <v>424</v>
      </c>
      <c r="E1132" s="29" t="s">
        <v>1278</v>
      </c>
      <c r="F1132" s="30">
        <v>0.25</v>
      </c>
      <c r="G1132" s="31"/>
      <c r="H1132" s="31"/>
      <c r="I1132" s="31"/>
      <c r="J1132" s="31"/>
    </row>
    <row r="1133" spans="1:10" ht="14.4" x14ac:dyDescent="0.3">
      <c r="A1133" s="28" t="str">
        <f>B1133&amp;C1133&amp;D1133&amp;E1133</f>
        <v>ОдеждаЖенская одеждаБрюкиДжоггеры</v>
      </c>
      <c r="B1133" s="29" t="s">
        <v>92</v>
      </c>
      <c r="C1133" s="29" t="s">
        <v>93</v>
      </c>
      <c r="D1133" s="29" t="s">
        <v>460</v>
      </c>
      <c r="E1133" s="29" t="s">
        <v>1410</v>
      </c>
      <c r="F1133" s="30">
        <v>0.25</v>
      </c>
      <c r="G1133" s="31"/>
      <c r="H1133" s="31"/>
      <c r="I1133" s="31"/>
      <c r="J1133" s="31"/>
    </row>
    <row r="1134" spans="1:10" ht="14.4" x14ac:dyDescent="0.3">
      <c r="A1134" s="28" t="str">
        <f>B1134&amp;C1134&amp;D1134&amp;E1134</f>
        <v>ОдеждаМужская одеждаСпецодеждаСпецодежда рабочая</v>
      </c>
      <c r="B1134" s="29" t="s">
        <v>92</v>
      </c>
      <c r="C1134" s="29" t="s">
        <v>112</v>
      </c>
      <c r="D1134" s="29" t="s">
        <v>780</v>
      </c>
      <c r="E1134" s="29" t="s">
        <v>3052</v>
      </c>
      <c r="F1134" s="30">
        <v>0.25</v>
      </c>
      <c r="G1134" s="31"/>
      <c r="H1134" s="31"/>
      <c r="I1134" s="31"/>
      <c r="J1134" s="31"/>
    </row>
    <row r="1135" spans="1:10" ht="14.4" x14ac:dyDescent="0.3">
      <c r="A1135" s="28" t="str">
        <f>B1135&amp;C1135&amp;D1135&amp;E1135</f>
        <v>Спорт и отдыхВодный спорт и отдых на водеДайвингНоски и обувь для дайвинга</v>
      </c>
      <c r="B1135" s="29" t="s">
        <v>101</v>
      </c>
      <c r="C1135" s="29" t="s">
        <v>771</v>
      </c>
      <c r="D1135" s="29" t="s">
        <v>1805</v>
      </c>
      <c r="E1135" s="29" t="s">
        <v>3059</v>
      </c>
      <c r="F1135" s="30">
        <v>0.25</v>
      </c>
      <c r="G1135" s="31"/>
      <c r="H1135" s="31"/>
      <c r="I1135" s="31"/>
      <c r="J1135" s="31"/>
    </row>
    <row r="1136" spans="1:10" ht="14.4" x14ac:dyDescent="0.3">
      <c r="A1136" s="28" t="str">
        <f>B1136&amp;C1136&amp;D1136&amp;E1136</f>
        <v>ОдеждаЖенская одеждаШортыВелосипедки</v>
      </c>
      <c r="B1136" s="29" t="s">
        <v>92</v>
      </c>
      <c r="C1136" s="29" t="s">
        <v>93</v>
      </c>
      <c r="D1136" s="29" t="s">
        <v>818</v>
      </c>
      <c r="E1136" s="29" t="s">
        <v>3060</v>
      </c>
      <c r="F1136" s="30">
        <v>0.25</v>
      </c>
      <c r="G1136" s="31"/>
      <c r="H1136" s="31"/>
      <c r="I1136" s="31"/>
      <c r="J1136" s="31"/>
    </row>
    <row r="1137" spans="1:10" ht="14.4" x14ac:dyDescent="0.3">
      <c r="A1137" s="28" t="str">
        <f>B1137&amp;C1137&amp;D1137&amp;E1137</f>
        <v>Товары для домаТовары для кухниИзмельчители и соковыжималкиФрукто-овощерезки</v>
      </c>
      <c r="B1137" s="29" t="s">
        <v>59</v>
      </c>
      <c r="C1137" s="29" t="s">
        <v>60</v>
      </c>
      <c r="D1137" s="29" t="s">
        <v>154</v>
      </c>
      <c r="E1137" s="29" t="s">
        <v>3066</v>
      </c>
      <c r="F1137" s="30">
        <v>0.25</v>
      </c>
      <c r="G1137" s="31"/>
      <c r="H1137" s="31"/>
      <c r="I1137" s="31"/>
      <c r="J1137" s="31"/>
    </row>
    <row r="1138" spans="1:10" ht="14.4" x14ac:dyDescent="0.3">
      <c r="A1138" s="28" t="str">
        <f>B1138&amp;C1138&amp;D1138&amp;E1138</f>
        <v>Строительство и ремонтИнструментыЗапчастиЗапчасти для инструментов</v>
      </c>
      <c r="B1138" s="29" t="s">
        <v>77</v>
      </c>
      <c r="C1138" s="29" t="s">
        <v>78</v>
      </c>
      <c r="D1138" s="29" t="s">
        <v>1757</v>
      </c>
      <c r="E1138" s="29" t="s">
        <v>3073</v>
      </c>
      <c r="F1138" s="30">
        <v>0.25</v>
      </c>
      <c r="G1138" s="31"/>
      <c r="H1138" s="31"/>
      <c r="I1138" s="31"/>
      <c r="J1138" s="31"/>
    </row>
    <row r="1139" spans="1:10" ht="14.4" x14ac:dyDescent="0.3">
      <c r="A1139" s="28" t="str">
        <f>B1139&amp;C1139&amp;D1139&amp;E1139</f>
        <v>Строительство и ремонтРучной инструмент и оснасткаСредства индивидуальной защитыНаушники шумоподавляющие и беруши</v>
      </c>
      <c r="B1139" s="29" t="s">
        <v>77</v>
      </c>
      <c r="C1139" s="29" t="s">
        <v>127</v>
      </c>
      <c r="D1139" s="29" t="s">
        <v>619</v>
      </c>
      <c r="E1139" s="29" t="s">
        <v>3076</v>
      </c>
      <c r="F1139" s="30">
        <v>0.25</v>
      </c>
      <c r="G1139" s="31"/>
      <c r="H1139" s="31"/>
      <c r="I1139" s="31"/>
      <c r="J1139" s="31"/>
    </row>
    <row r="1140" spans="1:10" ht="14.4" x14ac:dyDescent="0.3">
      <c r="A1140" s="28" t="str">
        <f>B1140&amp;C1140&amp;D1140&amp;E1140</f>
        <v>ОдеждаЖенская одеждаОдежда больших размеровСпортивные костюмы</v>
      </c>
      <c r="B1140" s="29" t="s">
        <v>92</v>
      </c>
      <c r="C1140" s="29" t="s">
        <v>93</v>
      </c>
      <c r="D1140" s="29" t="s">
        <v>532</v>
      </c>
      <c r="E1140" s="29" t="s">
        <v>192</v>
      </c>
      <c r="F1140" s="30">
        <v>0.25</v>
      </c>
      <c r="G1140" s="31"/>
      <c r="H1140" s="31"/>
      <c r="I1140" s="31"/>
      <c r="J1140" s="31"/>
    </row>
    <row r="1141" spans="1:10" ht="14.4" x14ac:dyDescent="0.3">
      <c r="A1141" s="28" t="str">
        <f>B1141&amp;C1141&amp;D1141&amp;E1141</f>
        <v>Спорт и отдыхОтдых на природе, рыбалка и охотаТуризм и отдых на природеТуристические коврики</v>
      </c>
      <c r="B1141" s="29" t="s">
        <v>101</v>
      </c>
      <c r="C1141" s="29" t="s">
        <v>166</v>
      </c>
      <c r="D1141" s="29" t="s">
        <v>204</v>
      </c>
      <c r="E1141" s="29" t="s">
        <v>3085</v>
      </c>
      <c r="F1141" s="30">
        <v>0.25</v>
      </c>
      <c r="G1141" s="31"/>
      <c r="H1141" s="31"/>
      <c r="I1141" s="31"/>
      <c r="J1141" s="31"/>
    </row>
    <row r="1142" spans="1:10" ht="14.4" x14ac:dyDescent="0.3">
      <c r="A1142" s="28" t="str">
        <f>B1142&amp;C1142&amp;D1142&amp;E1142</f>
        <v>Строительство и ремонтРучной инструмент и оснасткаКлючиГаечные ключи</v>
      </c>
      <c r="B1142" s="29" t="s">
        <v>77</v>
      </c>
      <c r="C1142" s="29" t="s">
        <v>127</v>
      </c>
      <c r="D1142" s="29" t="s">
        <v>462</v>
      </c>
      <c r="E1142" s="29" t="s">
        <v>3086</v>
      </c>
      <c r="F1142" s="30">
        <v>0.25</v>
      </c>
      <c r="G1142" s="31"/>
      <c r="H1142" s="31"/>
      <c r="I1142" s="31"/>
      <c r="J1142" s="31"/>
    </row>
    <row r="1143" spans="1:10" ht="14.4" x14ac:dyDescent="0.3">
      <c r="A1143" s="28" t="str">
        <f>B1143&amp;C1143&amp;D1143&amp;E1143</f>
        <v>ОдеждаЖенская одеждаКомбинезоныДжинсовые комбинезоны</v>
      </c>
      <c r="B1143" s="29" t="s">
        <v>92</v>
      </c>
      <c r="C1143" s="29" t="s">
        <v>93</v>
      </c>
      <c r="D1143" s="29" t="s">
        <v>2154</v>
      </c>
      <c r="E1143" s="29" t="s">
        <v>3088</v>
      </c>
      <c r="F1143" s="30">
        <v>0.25</v>
      </c>
      <c r="G1143" s="31"/>
      <c r="H1143" s="31"/>
      <c r="I1143" s="31"/>
      <c r="J1143" s="31"/>
    </row>
    <row r="1144" spans="1:10" ht="14.4" x14ac:dyDescent="0.3">
      <c r="A1144" s="28" t="str">
        <f>B1144&amp;C1144&amp;D1144&amp;E1144</f>
        <v>АвтотоварыМасла и автохимияПрисадки и добавкиПрисадки и добавки</v>
      </c>
      <c r="B1144" s="29" t="s">
        <v>12</v>
      </c>
      <c r="C1144" s="29" t="s">
        <v>848</v>
      </c>
      <c r="D1144" s="29" t="s">
        <v>3093</v>
      </c>
      <c r="E1144" s="29" t="s">
        <v>3093</v>
      </c>
      <c r="F1144" s="30">
        <v>0.25</v>
      </c>
      <c r="G1144" s="31"/>
      <c r="H1144" s="31"/>
      <c r="I1144" s="31"/>
      <c r="J1144" s="31"/>
    </row>
    <row r="1145" spans="1:10" ht="14.4" x14ac:dyDescent="0.3">
      <c r="A1145" s="28" t="str">
        <f>B1145&amp;C1145&amp;D1145&amp;E1145</f>
        <v>ОдеждаМужская одеждаДжемперы, свитеры и кардиганыКардиганы</v>
      </c>
      <c r="B1145" s="29" t="s">
        <v>92</v>
      </c>
      <c r="C1145" s="29" t="s">
        <v>112</v>
      </c>
      <c r="D1145" s="29" t="s">
        <v>424</v>
      </c>
      <c r="E1145" s="29" t="s">
        <v>2464</v>
      </c>
      <c r="F1145" s="30">
        <v>0.25</v>
      </c>
      <c r="G1145" s="31"/>
      <c r="H1145" s="31"/>
      <c r="I1145" s="31"/>
      <c r="J1145" s="31"/>
    </row>
    <row r="1146" spans="1:10" ht="14.4" x14ac:dyDescent="0.3">
      <c r="A1146" s="28" t="str">
        <f>B1146&amp;C1146&amp;D1146&amp;E1146</f>
        <v>Товары для домаТовары для кухниКухонные инструментыЕмкости мерные</v>
      </c>
      <c r="B1146" s="29" t="s">
        <v>59</v>
      </c>
      <c r="C1146" s="29" t="s">
        <v>60</v>
      </c>
      <c r="D1146" s="29" t="s">
        <v>1006</v>
      </c>
      <c r="E1146" s="29" t="s">
        <v>3097</v>
      </c>
      <c r="F1146" s="30">
        <v>0.25</v>
      </c>
      <c r="G1146" s="31"/>
      <c r="H1146" s="31"/>
      <c r="I1146" s="31"/>
      <c r="J1146" s="31"/>
    </row>
    <row r="1147" spans="1:10" ht="14.4" x14ac:dyDescent="0.3">
      <c r="A1147" s="28" t="str">
        <f>B1147&amp;C1147&amp;D1147&amp;E1147</f>
        <v>Строительство и ремонтРучной инструмент и оснасткаСтолярно-слесарные инструментыЗубило слесарное</v>
      </c>
      <c r="B1147" s="29" t="s">
        <v>77</v>
      </c>
      <c r="C1147" s="29" t="s">
        <v>127</v>
      </c>
      <c r="D1147" s="29" t="s">
        <v>139</v>
      </c>
      <c r="E1147" s="29" t="s">
        <v>3102</v>
      </c>
      <c r="F1147" s="30">
        <v>0.25</v>
      </c>
      <c r="G1147" s="31"/>
      <c r="H1147" s="31"/>
      <c r="I1147" s="31"/>
      <c r="J1147" s="31"/>
    </row>
    <row r="1148" spans="1:10" ht="14.4" x14ac:dyDescent="0.3">
      <c r="A1148" s="28" t="str">
        <f>B1148&amp;C1148&amp;D1148&amp;E1148</f>
        <v>Строительство и ремонтИнструментыЗапчастиКоронки</v>
      </c>
      <c r="B1148" s="29" t="s">
        <v>77</v>
      </c>
      <c r="C1148" s="29" t="s">
        <v>78</v>
      </c>
      <c r="D1148" s="29" t="s">
        <v>1757</v>
      </c>
      <c r="E1148" s="29" t="s">
        <v>3108</v>
      </c>
      <c r="F1148" s="30">
        <v>0.25</v>
      </c>
      <c r="G1148" s="31"/>
      <c r="H1148" s="31"/>
      <c r="I1148" s="31"/>
      <c r="J1148" s="31"/>
    </row>
    <row r="1149" spans="1:10" ht="14.4" x14ac:dyDescent="0.3">
      <c r="A1149" s="28" t="str">
        <f>B1149&amp;C1149&amp;D1149&amp;E1149</f>
        <v>Спорт и отдыхВиды спортаФутболФутбольные мячи</v>
      </c>
      <c r="B1149" s="29" t="s">
        <v>101</v>
      </c>
      <c r="C1149" s="29" t="s">
        <v>446</v>
      </c>
      <c r="D1149" s="29" t="s">
        <v>1329</v>
      </c>
      <c r="E1149" s="29" t="s">
        <v>3111</v>
      </c>
      <c r="F1149" s="30">
        <v>0.25</v>
      </c>
      <c r="G1149" s="31"/>
      <c r="H1149" s="31"/>
      <c r="I1149" s="31"/>
      <c r="J1149" s="31"/>
    </row>
    <row r="1150" spans="1:10" ht="14.4" x14ac:dyDescent="0.3">
      <c r="A1150" s="28" t="str">
        <f>B1150&amp;C1150&amp;D1150&amp;E1150</f>
        <v>ОдеждаМужская одеждаШортыБриджи</v>
      </c>
      <c r="B1150" s="29" t="s">
        <v>92</v>
      </c>
      <c r="C1150" s="29" t="s">
        <v>112</v>
      </c>
      <c r="D1150" s="29" t="s">
        <v>818</v>
      </c>
      <c r="E1150" s="29" t="s">
        <v>3118</v>
      </c>
      <c r="F1150" s="30">
        <v>0.25</v>
      </c>
      <c r="G1150" s="31"/>
      <c r="H1150" s="31"/>
      <c r="I1150" s="31"/>
      <c r="J1150" s="31"/>
    </row>
    <row r="1151" spans="1:10" ht="14.4" x14ac:dyDescent="0.3">
      <c r="A1151" s="28" t="str">
        <f>B1151&amp;C1151&amp;D1151&amp;E1151</f>
        <v>Детские товарыДетское творчествоМыльные пузыриМыльные пузыри</v>
      </c>
      <c r="B1151" s="29" t="s">
        <v>105</v>
      </c>
      <c r="C1151" s="29" t="s">
        <v>440</v>
      </c>
      <c r="D1151" s="29" t="s">
        <v>3120</v>
      </c>
      <c r="E1151" s="29" t="s">
        <v>3120</v>
      </c>
      <c r="F1151" s="30">
        <v>0.25</v>
      </c>
      <c r="G1151" s="31"/>
      <c r="H1151" s="31"/>
      <c r="I1151" s="31"/>
      <c r="J1151" s="31"/>
    </row>
    <row r="1152" spans="1:10" ht="14.4" x14ac:dyDescent="0.3">
      <c r="A1152" s="28" t="str">
        <f>B1152&amp;C1152&amp;D1152&amp;E1152</f>
        <v>ЭлектроникаКомпьютерная техникаАксессуары для компьютеровМыши</v>
      </c>
      <c r="B1152" s="29" t="s">
        <v>67</v>
      </c>
      <c r="C1152" s="29" t="s">
        <v>234</v>
      </c>
      <c r="D1152" s="29" t="s">
        <v>235</v>
      </c>
      <c r="E1152" s="29" t="s">
        <v>3123</v>
      </c>
      <c r="F1152" s="30">
        <v>0.25</v>
      </c>
      <c r="G1152" s="31"/>
      <c r="H1152" s="31"/>
      <c r="I1152" s="31"/>
      <c r="J1152" s="31"/>
    </row>
    <row r="1153" spans="1:10" ht="14.4" x14ac:dyDescent="0.3">
      <c r="A1153" s="28" t="str">
        <f>B1153&amp;C1153&amp;D1153&amp;E1153</f>
        <v>АвтотоварыМасла и автохимияАнтифризыАнтифризы</v>
      </c>
      <c r="B1153" s="29" t="s">
        <v>12</v>
      </c>
      <c r="C1153" s="29" t="s">
        <v>848</v>
      </c>
      <c r="D1153" s="29" t="s">
        <v>3126</v>
      </c>
      <c r="E1153" s="29" t="s">
        <v>3126</v>
      </c>
      <c r="F1153" s="30">
        <v>0.25</v>
      </c>
      <c r="G1153" s="31"/>
      <c r="H1153" s="31"/>
      <c r="I1153" s="31"/>
      <c r="J1153" s="31"/>
    </row>
    <row r="1154" spans="1:10" ht="14.4" x14ac:dyDescent="0.3">
      <c r="A1154" s="28" t="str">
        <f>B1154&amp;C1154&amp;D1154&amp;E1154</f>
        <v>ОдеждаМужская одеждаВерхняя одеждаДождевики</v>
      </c>
      <c r="B1154" s="29" t="s">
        <v>92</v>
      </c>
      <c r="C1154" s="29" t="s">
        <v>112</v>
      </c>
      <c r="D1154" s="29" t="s">
        <v>144</v>
      </c>
      <c r="E1154" s="29" t="s">
        <v>2316</v>
      </c>
      <c r="F1154" s="30">
        <v>0.25</v>
      </c>
      <c r="G1154" s="31"/>
      <c r="H1154" s="31"/>
      <c r="I1154" s="31"/>
      <c r="J1154" s="31"/>
    </row>
    <row r="1155" spans="1:10" ht="14.4" x14ac:dyDescent="0.3">
      <c r="A1155" s="28" t="str">
        <f>B1155&amp;C1155&amp;D1155&amp;E1155</f>
        <v>ОдеждаЖенская одеждаЮбкиЮбки-шорты</v>
      </c>
      <c r="B1155" s="29" t="s">
        <v>92</v>
      </c>
      <c r="C1155" s="29" t="s">
        <v>93</v>
      </c>
      <c r="D1155" s="29" t="s">
        <v>570</v>
      </c>
      <c r="E1155" s="29" t="s">
        <v>3131</v>
      </c>
      <c r="F1155" s="30">
        <v>0.25</v>
      </c>
      <c r="G1155" s="31"/>
      <c r="H1155" s="31"/>
      <c r="I1155" s="31"/>
      <c r="J1155" s="31"/>
    </row>
    <row r="1156" spans="1:10" ht="14.4" x14ac:dyDescent="0.3">
      <c r="A1156" s="28" t="str">
        <f>B1156&amp;C1156&amp;D1156&amp;E1156</f>
        <v>Дача, сад и огородСемена и саженцыПроращиватели семянПроращиватели семян</v>
      </c>
      <c r="B1156" s="29" t="s">
        <v>352</v>
      </c>
      <c r="C1156" s="29" t="s">
        <v>1496</v>
      </c>
      <c r="D1156" s="29" t="s">
        <v>3135</v>
      </c>
      <c r="E1156" s="29" t="s">
        <v>3135</v>
      </c>
      <c r="F1156" s="30">
        <v>0.25</v>
      </c>
      <c r="G1156" s="31"/>
      <c r="H1156" s="31"/>
      <c r="I1156" s="31"/>
      <c r="J1156" s="31"/>
    </row>
    <row r="1157" spans="1:10" ht="14.4" x14ac:dyDescent="0.3">
      <c r="A1157" s="28" t="str">
        <f>B1157&amp;C1157&amp;D1157&amp;E1157</f>
        <v>АвтотоварыМасла и автохимияЖидкости омывателяЖидкости омывателя</v>
      </c>
      <c r="B1157" s="29" t="s">
        <v>12</v>
      </c>
      <c r="C1157" s="29" t="s">
        <v>848</v>
      </c>
      <c r="D1157" s="29" t="s">
        <v>3136</v>
      </c>
      <c r="E1157" s="29" t="s">
        <v>3136</v>
      </c>
      <c r="F1157" s="30">
        <v>0.25</v>
      </c>
      <c r="G1157" s="31"/>
      <c r="H1157" s="31"/>
      <c r="I1157" s="31"/>
      <c r="J1157" s="31"/>
    </row>
    <row r="1158" spans="1:10" ht="14.4" x14ac:dyDescent="0.3">
      <c r="A1158" s="28" t="str">
        <f>B1158&amp;C1158&amp;D1158&amp;E1158</f>
        <v>Строительство и ремонтОсвещениеСветомузыкаСветомузыка</v>
      </c>
      <c r="B1158" s="29" t="s">
        <v>77</v>
      </c>
      <c r="C1158" s="29" t="s">
        <v>386</v>
      </c>
      <c r="D1158" s="29" t="s">
        <v>3139</v>
      </c>
      <c r="E1158" s="29" t="s">
        <v>3139</v>
      </c>
      <c r="F1158" s="30">
        <v>0.25</v>
      </c>
      <c r="G1158" s="31"/>
      <c r="H1158" s="31"/>
      <c r="I1158" s="31"/>
      <c r="J1158" s="31"/>
    </row>
    <row r="1159" spans="1:10" ht="14.4" x14ac:dyDescent="0.3">
      <c r="A1159" s="28" t="str">
        <f>B1159&amp;C1159&amp;D1159&amp;E1159</f>
        <v>Хобби и творчествоРисованиеГрафикаПастель</v>
      </c>
      <c r="B1159" s="29" t="s">
        <v>123</v>
      </c>
      <c r="C1159" s="29" t="s">
        <v>124</v>
      </c>
      <c r="D1159" s="29" t="s">
        <v>125</v>
      </c>
      <c r="E1159" s="29" t="s">
        <v>126</v>
      </c>
      <c r="F1159" s="30">
        <v>0.22</v>
      </c>
      <c r="G1159" s="31"/>
      <c r="H1159" s="31"/>
      <c r="I1159" s="31"/>
      <c r="J1159" s="31"/>
    </row>
    <row r="1160" spans="1:10" ht="14.4" x14ac:dyDescent="0.3">
      <c r="A1160" s="28" t="str">
        <f>B1160&amp;C1160&amp;D1160&amp;E1160</f>
        <v>Спорт и отдыхОтдых на природе, рыбалка и охотаРыбалкаПриманки и наживки рыболовные</v>
      </c>
      <c r="B1160" s="29" t="s">
        <v>101</v>
      </c>
      <c r="C1160" s="29" t="s">
        <v>166</v>
      </c>
      <c r="D1160" s="29" t="s">
        <v>167</v>
      </c>
      <c r="E1160" s="29" t="s">
        <v>168</v>
      </c>
      <c r="F1160" s="30">
        <v>0.22</v>
      </c>
      <c r="G1160" s="31"/>
      <c r="H1160" s="31"/>
      <c r="I1160" s="31"/>
      <c r="J1160" s="31"/>
    </row>
    <row r="1161" spans="1:10" ht="14.4" x14ac:dyDescent="0.3">
      <c r="A1161" s="28" t="str">
        <f>B1161&amp;C1161&amp;D1161&amp;E1161</f>
        <v>Спорт и отдыхФитнес и йогаФитнесДоски и диски балансировочные</v>
      </c>
      <c r="B1161" s="29" t="s">
        <v>101</v>
      </c>
      <c r="C1161" s="29" t="s">
        <v>169</v>
      </c>
      <c r="D1161" s="29" t="s">
        <v>170</v>
      </c>
      <c r="E1161" s="29" t="s">
        <v>171</v>
      </c>
      <c r="F1161" s="30">
        <v>0.22</v>
      </c>
      <c r="G1161" s="31"/>
      <c r="H1161" s="31"/>
      <c r="I1161" s="31"/>
      <c r="J1161" s="31"/>
    </row>
    <row r="1162" spans="1:10" ht="14.4" x14ac:dyDescent="0.3">
      <c r="A1162" s="28" t="str">
        <f>B1162&amp;C1162&amp;D1162&amp;E1162</f>
        <v>Хобби и творчествоРукоделиеШитьеНитки</v>
      </c>
      <c r="B1162" s="29" t="s">
        <v>123</v>
      </c>
      <c r="C1162" s="29" t="s">
        <v>243</v>
      </c>
      <c r="D1162" s="29" t="s">
        <v>244</v>
      </c>
      <c r="E1162" s="29" t="s">
        <v>245</v>
      </c>
      <c r="F1162" s="30">
        <v>0.22</v>
      </c>
      <c r="G1162" s="31"/>
      <c r="H1162" s="31"/>
      <c r="I1162" s="31"/>
      <c r="J1162" s="31"/>
    </row>
    <row r="1163" spans="1:10" ht="14.4" x14ac:dyDescent="0.3">
      <c r="A1163" s="28" t="str">
        <f>B1163&amp;C1163&amp;D1163&amp;E1163</f>
        <v>Спорт и отдыхСкейтбордингКруизеры, пенни борды, роллерсерфыКруизеры, пенни борды, роллерсерфы</v>
      </c>
      <c r="B1163" s="29" t="s">
        <v>101</v>
      </c>
      <c r="C1163" s="29" t="s">
        <v>268</v>
      </c>
      <c r="D1163" s="29" t="s">
        <v>269</v>
      </c>
      <c r="E1163" s="29" t="s">
        <v>269</v>
      </c>
      <c r="F1163" s="30">
        <v>0.22</v>
      </c>
      <c r="G1163" s="31"/>
      <c r="H1163" s="31"/>
      <c r="I1163" s="31"/>
      <c r="J1163" s="31"/>
    </row>
    <row r="1164" spans="1:10" ht="14.4" x14ac:dyDescent="0.3">
      <c r="A1164" s="28" t="str">
        <f>B1164&amp;C1164&amp;D1164&amp;E1164</f>
        <v>Спорт и отдыхОтдых на природе, рыбалка и охотаРыбалкаХранение и переноски для рыбалки</v>
      </c>
      <c r="B1164" s="29" t="s">
        <v>101</v>
      </c>
      <c r="C1164" s="29" t="s">
        <v>166</v>
      </c>
      <c r="D1164" s="29" t="s">
        <v>167</v>
      </c>
      <c r="E1164" s="29" t="s">
        <v>270</v>
      </c>
      <c r="F1164" s="30">
        <v>0.22</v>
      </c>
      <c r="G1164" s="31"/>
      <c r="H1164" s="31"/>
      <c r="I1164" s="31"/>
      <c r="J1164" s="31"/>
    </row>
    <row r="1165" spans="1:10" ht="14.4" x14ac:dyDescent="0.3">
      <c r="A1165" s="28" t="str">
        <f>B1165&amp;C1165&amp;D1165&amp;E1165</f>
        <v>Спорт и отдыхОтдых на природе, рыбалка и охотаРыбалкаКатушки для рыбалки</v>
      </c>
      <c r="B1165" s="29" t="s">
        <v>101</v>
      </c>
      <c r="C1165" s="29" t="s">
        <v>166</v>
      </c>
      <c r="D1165" s="29" t="s">
        <v>167</v>
      </c>
      <c r="E1165" s="29" t="s">
        <v>299</v>
      </c>
      <c r="F1165" s="30">
        <v>0.22</v>
      </c>
      <c r="G1165" s="31"/>
      <c r="H1165" s="31"/>
      <c r="I1165" s="31"/>
      <c r="J1165" s="31"/>
    </row>
    <row r="1166" spans="1:10" ht="14.4" x14ac:dyDescent="0.3">
      <c r="A1166" s="28" t="str">
        <f>B1166&amp;C1166&amp;D1166&amp;E1166</f>
        <v>Спорт и отдыхФитнес и йогаЙога и пилатесБлоки для йоги</v>
      </c>
      <c r="B1166" s="29" t="s">
        <v>101</v>
      </c>
      <c r="C1166" s="29" t="s">
        <v>169</v>
      </c>
      <c r="D1166" s="29" t="s">
        <v>304</v>
      </c>
      <c r="E1166" s="29" t="s">
        <v>305</v>
      </c>
      <c r="F1166" s="30">
        <v>0.22</v>
      </c>
      <c r="G1166" s="31"/>
      <c r="H1166" s="31"/>
      <c r="I1166" s="31"/>
      <c r="J1166" s="31"/>
    </row>
    <row r="1167" spans="1:10" ht="14.4" x14ac:dyDescent="0.3">
      <c r="A1167" s="28" t="str">
        <f>B1167&amp;C1167&amp;D1167&amp;E1167</f>
        <v>Товары для домаТовары для бани и сауныСоль и камни для баниСоль и камни для бани</v>
      </c>
      <c r="B1167" s="29" t="s">
        <v>59</v>
      </c>
      <c r="C1167" s="29" t="s">
        <v>323</v>
      </c>
      <c r="D1167" s="29" t="s">
        <v>324</v>
      </c>
      <c r="E1167" s="29" t="s">
        <v>324</v>
      </c>
      <c r="F1167" s="30">
        <v>0.22</v>
      </c>
      <c r="G1167" s="31"/>
      <c r="H1167" s="31"/>
      <c r="I1167" s="31"/>
      <c r="J1167" s="31"/>
    </row>
    <row r="1168" spans="1:10" ht="14.4" x14ac:dyDescent="0.3">
      <c r="A1168" s="28" t="str">
        <f>B1168&amp;C1168&amp;D1168&amp;E1168</f>
        <v>Товары для домаТекстильКухонный текстильПолотенца кухонные</v>
      </c>
      <c r="B1168" s="29" t="s">
        <v>59</v>
      </c>
      <c r="C1168" s="29" t="s">
        <v>325</v>
      </c>
      <c r="D1168" s="29" t="s">
        <v>326</v>
      </c>
      <c r="E1168" s="29" t="s">
        <v>327</v>
      </c>
      <c r="F1168" s="30">
        <v>0.22</v>
      </c>
      <c r="G1168" s="31"/>
      <c r="H1168" s="31"/>
      <c r="I1168" s="31"/>
      <c r="J1168" s="31"/>
    </row>
    <row r="1169" spans="1:10" ht="14.4" x14ac:dyDescent="0.3">
      <c r="A1169" s="28" t="str">
        <f>B1169&amp;C1169&amp;D1169&amp;E1169</f>
        <v>Товары для домаТекстильШторы и карнизыТюли и гардины</v>
      </c>
      <c r="B1169" s="29" t="s">
        <v>59</v>
      </c>
      <c r="C1169" s="29" t="s">
        <v>325</v>
      </c>
      <c r="D1169" s="29" t="s">
        <v>334</v>
      </c>
      <c r="E1169" s="29" t="s">
        <v>335</v>
      </c>
      <c r="F1169" s="30">
        <v>0.22</v>
      </c>
      <c r="G1169" s="31"/>
      <c r="H1169" s="31"/>
      <c r="I1169" s="31"/>
      <c r="J1169" s="31"/>
    </row>
    <row r="1170" spans="1:10" ht="14.4" x14ac:dyDescent="0.3">
      <c r="A1170" s="28" t="str">
        <f>B1170&amp;C1170&amp;D1170&amp;E1170</f>
        <v>КнигиАнтикварные книгиДетям и родителямДетям и родителям</v>
      </c>
      <c r="B1170" s="29" t="s">
        <v>63</v>
      </c>
      <c r="C1170" s="29" t="s">
        <v>404</v>
      </c>
      <c r="D1170" s="29" t="s">
        <v>258</v>
      </c>
      <c r="E1170" s="29" t="s">
        <v>258</v>
      </c>
      <c r="F1170" s="30">
        <v>0.22</v>
      </c>
      <c r="G1170" s="31"/>
      <c r="H1170" s="31"/>
      <c r="I1170" s="31"/>
      <c r="J1170" s="31"/>
    </row>
    <row r="1171" spans="1:10" ht="14.4" x14ac:dyDescent="0.3">
      <c r="A1171" s="28" t="str">
        <f>B1171&amp;C1171&amp;D1171&amp;E1171</f>
        <v>Товары для домаТекстильКухонный текстильПрихватки</v>
      </c>
      <c r="B1171" s="29" t="s">
        <v>59</v>
      </c>
      <c r="C1171" s="29" t="s">
        <v>325</v>
      </c>
      <c r="D1171" s="29" t="s">
        <v>326</v>
      </c>
      <c r="E1171" s="29" t="s">
        <v>445</v>
      </c>
      <c r="F1171" s="30">
        <v>0.22</v>
      </c>
      <c r="G1171" s="31"/>
      <c r="H1171" s="31"/>
      <c r="I1171" s="31"/>
      <c r="J1171" s="31"/>
    </row>
    <row r="1172" spans="1:10" ht="14.4" x14ac:dyDescent="0.3">
      <c r="A1172" s="28" t="str">
        <f>B1172&amp;C1172&amp;D1172&amp;E1172</f>
        <v>КнигиХудожественная литератураПьесы и драматургияПьесы и драматургия</v>
      </c>
      <c r="B1172" s="29" t="s">
        <v>63</v>
      </c>
      <c r="C1172" s="29" t="s">
        <v>374</v>
      </c>
      <c r="D1172" s="29" t="s">
        <v>453</v>
      </c>
      <c r="E1172" s="29" t="s">
        <v>453</v>
      </c>
      <c r="F1172" s="30">
        <v>0.22</v>
      </c>
      <c r="G1172" s="31"/>
      <c r="H1172" s="31"/>
      <c r="I1172" s="31"/>
      <c r="J1172" s="31"/>
    </row>
    <row r="1173" spans="1:10" ht="14.4" x14ac:dyDescent="0.3">
      <c r="A1173" s="28" t="str">
        <f>B1173&amp;C1173&amp;D1173&amp;E1173</f>
        <v>Товары для домаТовары для кухниПосуда для приготовленияКазаны, жаровни и тажины</v>
      </c>
      <c r="B1173" s="29" t="s">
        <v>59</v>
      </c>
      <c r="C1173" s="29" t="s">
        <v>60</v>
      </c>
      <c r="D1173" s="29" t="s">
        <v>487</v>
      </c>
      <c r="E1173" s="29" t="s">
        <v>488</v>
      </c>
      <c r="F1173" s="30">
        <v>0.22</v>
      </c>
      <c r="G1173" s="31"/>
      <c r="H1173" s="31"/>
      <c r="I1173" s="31"/>
      <c r="J1173" s="31"/>
    </row>
    <row r="1174" spans="1:10" ht="14.4" x14ac:dyDescent="0.3">
      <c r="A1174" s="28" t="str">
        <f>B1174&amp;C1174&amp;D1174&amp;E1174</f>
        <v>Хобби и творчествоРукоделиеИзготовление игрушекИзготовление игрушек</v>
      </c>
      <c r="B1174" s="29" t="s">
        <v>123</v>
      </c>
      <c r="C1174" s="29" t="s">
        <v>243</v>
      </c>
      <c r="D1174" s="29" t="s">
        <v>505</v>
      </c>
      <c r="E1174" s="29" t="s">
        <v>505</v>
      </c>
      <c r="F1174" s="30">
        <v>0.22</v>
      </c>
      <c r="G1174" s="31"/>
      <c r="H1174" s="31"/>
      <c r="I1174" s="31"/>
      <c r="J1174" s="31"/>
    </row>
    <row r="1175" spans="1:10" ht="14.4" x14ac:dyDescent="0.3">
      <c r="A1175" s="28" t="str">
        <f>B1175&amp;C1175&amp;D1175&amp;E1175</f>
        <v>Хобби и творчествоСоздание картин, фоторамок, открытокКартины по номерамПейзажи и природа</v>
      </c>
      <c r="B1175" s="29" t="s">
        <v>123</v>
      </c>
      <c r="C1175" s="29" t="s">
        <v>506</v>
      </c>
      <c r="D1175" s="29" t="s">
        <v>507</v>
      </c>
      <c r="E1175" s="29" t="s">
        <v>508</v>
      </c>
      <c r="F1175" s="30">
        <v>0.22</v>
      </c>
      <c r="G1175" s="31"/>
      <c r="H1175" s="31"/>
      <c r="I1175" s="31"/>
      <c r="J1175" s="31"/>
    </row>
    <row r="1176" spans="1:10" ht="14.4" x14ac:dyDescent="0.3">
      <c r="A1176" s="28" t="str">
        <f>B1176&amp;C1176&amp;D1176&amp;E1176</f>
        <v>Спорт и отдыхФитнес и йогаФитнесЭспандеры</v>
      </c>
      <c r="B1176" s="29" t="s">
        <v>101</v>
      </c>
      <c r="C1176" s="29" t="s">
        <v>169</v>
      </c>
      <c r="D1176" s="29" t="s">
        <v>170</v>
      </c>
      <c r="E1176" s="29" t="s">
        <v>511</v>
      </c>
      <c r="F1176" s="30">
        <v>0.22</v>
      </c>
      <c r="G1176" s="31"/>
      <c r="H1176" s="31"/>
      <c r="I1176" s="31"/>
      <c r="J1176" s="31"/>
    </row>
    <row r="1177" spans="1:10" ht="14.4" x14ac:dyDescent="0.3">
      <c r="A1177" s="28" t="str">
        <f>B1177&amp;C1177&amp;D1177&amp;E1177</f>
        <v>Спорт и отдыхОтдых на природе, рыбалка и охотаОхота и стрельбаСнаряжение для охоты</v>
      </c>
      <c r="B1177" s="29" t="s">
        <v>101</v>
      </c>
      <c r="C1177" s="29" t="s">
        <v>166</v>
      </c>
      <c r="D1177" s="29" t="s">
        <v>526</v>
      </c>
      <c r="E1177" s="29" t="s">
        <v>527</v>
      </c>
      <c r="F1177" s="30">
        <v>0.22</v>
      </c>
      <c r="G1177" s="31"/>
      <c r="H1177" s="31"/>
      <c r="I1177" s="31"/>
      <c r="J1177" s="31"/>
    </row>
    <row r="1178" spans="1:10" ht="14.4" x14ac:dyDescent="0.3">
      <c r="A1178" s="28" t="str">
        <f>B1178&amp;C1178&amp;D1178&amp;E1178</f>
        <v>Хобби и творчествоРисованиеКистиКисти</v>
      </c>
      <c r="B1178" s="29" t="s">
        <v>123</v>
      </c>
      <c r="C1178" s="29" t="s">
        <v>124</v>
      </c>
      <c r="D1178" s="29" t="s">
        <v>556</v>
      </c>
      <c r="E1178" s="29" t="s">
        <v>556</v>
      </c>
      <c r="F1178" s="30">
        <v>0.22</v>
      </c>
      <c r="G1178" s="31"/>
      <c r="H1178" s="31"/>
      <c r="I1178" s="31"/>
      <c r="J1178" s="31"/>
    </row>
    <row r="1179" spans="1:10" ht="14.4" x14ac:dyDescent="0.3">
      <c r="A1179" s="28" t="str">
        <f>B1179&amp;C1179&amp;D1179&amp;E1179</f>
        <v>Хобби и творчествоЛепкаНаборы для создания слепковНаборы для создания слепков</v>
      </c>
      <c r="B1179" s="29" t="s">
        <v>123</v>
      </c>
      <c r="C1179" s="29" t="s">
        <v>578</v>
      </c>
      <c r="D1179" s="29" t="s">
        <v>579</v>
      </c>
      <c r="E1179" s="29" t="s">
        <v>579</v>
      </c>
      <c r="F1179" s="30">
        <v>0.22</v>
      </c>
      <c r="G1179" s="31"/>
      <c r="H1179" s="31"/>
      <c r="I1179" s="31"/>
      <c r="J1179" s="31"/>
    </row>
    <row r="1180" spans="1:10" ht="14.4" x14ac:dyDescent="0.3">
      <c r="A1180" s="28" t="str">
        <f>B1180&amp;C1180&amp;D1180&amp;E1180</f>
        <v>Хобби и творчествоНастольные и карточные игрыДоминоДомино</v>
      </c>
      <c r="B1180" s="29" t="s">
        <v>123</v>
      </c>
      <c r="C1180" s="29" t="s">
        <v>441</v>
      </c>
      <c r="D1180" s="29" t="s">
        <v>610</v>
      </c>
      <c r="E1180" s="29" t="s">
        <v>610</v>
      </c>
      <c r="F1180" s="30">
        <v>0.22</v>
      </c>
      <c r="G1180" s="31"/>
      <c r="H1180" s="31"/>
      <c r="I1180" s="31"/>
      <c r="J1180" s="31"/>
    </row>
    <row r="1181" spans="1:10" ht="14.4" x14ac:dyDescent="0.3">
      <c r="A1181" s="28" t="str">
        <f>B1181&amp;C1181&amp;D1181&amp;E1181</f>
        <v>Спорт и отдыхОтдых на природе, рыбалка и охотаРыбалкаСнасти и аксессуары для рыбалки</v>
      </c>
      <c r="B1181" s="29" t="s">
        <v>101</v>
      </c>
      <c r="C1181" s="29" t="s">
        <v>166</v>
      </c>
      <c r="D1181" s="29" t="s">
        <v>167</v>
      </c>
      <c r="E1181" s="29" t="s">
        <v>627</v>
      </c>
      <c r="F1181" s="30">
        <v>0.22</v>
      </c>
      <c r="G1181" s="31"/>
      <c r="H1181" s="31"/>
      <c r="I1181" s="31"/>
      <c r="J1181" s="31"/>
    </row>
    <row r="1182" spans="1:10" ht="14.4" x14ac:dyDescent="0.3">
      <c r="A1182" s="28" t="str">
        <f>B1182&amp;C1182&amp;D1182&amp;E1182</f>
        <v>Товары для домаТекстильШторы и карнизыСолнцезащитные и статические пленки</v>
      </c>
      <c r="B1182" s="29" t="s">
        <v>59</v>
      </c>
      <c r="C1182" s="29" t="s">
        <v>325</v>
      </c>
      <c r="D1182" s="29" t="s">
        <v>334</v>
      </c>
      <c r="E1182" s="29" t="s">
        <v>634</v>
      </c>
      <c r="F1182" s="30">
        <v>0.22</v>
      </c>
      <c r="G1182" s="31"/>
      <c r="H1182" s="31"/>
      <c r="I1182" s="31"/>
      <c r="J1182" s="31"/>
    </row>
    <row r="1183" spans="1:10" ht="14.4" x14ac:dyDescent="0.3">
      <c r="A1183" s="28" t="str">
        <f>B1183&amp;C1183&amp;D1183&amp;E1183</f>
        <v>Хобби и творчествоРукоделиеШитьеУкрашения</v>
      </c>
      <c r="B1183" s="29" t="s">
        <v>123</v>
      </c>
      <c r="C1183" s="29" t="s">
        <v>243</v>
      </c>
      <c r="D1183" s="29" t="s">
        <v>244</v>
      </c>
      <c r="E1183" s="29" t="s">
        <v>637</v>
      </c>
      <c r="F1183" s="30">
        <v>0.22</v>
      </c>
      <c r="G1183" s="31"/>
      <c r="H1183" s="31"/>
      <c r="I1183" s="31"/>
      <c r="J1183" s="31"/>
    </row>
    <row r="1184" spans="1:10" ht="14.4" x14ac:dyDescent="0.3">
      <c r="A1184" s="28" t="str">
        <f>B1184&amp;C1184&amp;D1184&amp;E1184</f>
        <v>КнигиБукинистикаНехудожественная литератураЭнциклопедии и справочники</v>
      </c>
      <c r="B1184" s="29" t="s">
        <v>63</v>
      </c>
      <c r="C1184" s="29" t="s">
        <v>209</v>
      </c>
      <c r="D1184" s="29" t="s">
        <v>141</v>
      </c>
      <c r="E1184" s="29" t="s">
        <v>664</v>
      </c>
      <c r="F1184" s="30">
        <v>0.22</v>
      </c>
      <c r="G1184" s="31"/>
      <c r="H1184" s="31"/>
      <c r="I1184" s="31"/>
      <c r="J1184" s="31"/>
    </row>
    <row r="1185" spans="1:10" ht="14.4" x14ac:dyDescent="0.3">
      <c r="A1185" s="28" t="str">
        <f>B1185&amp;C1185&amp;D1185&amp;E1185</f>
        <v>Спорт и отдыхФитнес и йогаПетли, лестницы, барьеры для кроссфитаУтяжелители</v>
      </c>
      <c r="B1185" s="29" t="s">
        <v>101</v>
      </c>
      <c r="C1185" s="29" t="s">
        <v>169</v>
      </c>
      <c r="D1185" s="29" t="s">
        <v>682</v>
      </c>
      <c r="E1185" s="29" t="s">
        <v>683</v>
      </c>
      <c r="F1185" s="30">
        <v>0.22</v>
      </c>
      <c r="G1185" s="31"/>
      <c r="H1185" s="31"/>
      <c r="I1185" s="31"/>
      <c r="J1185" s="31"/>
    </row>
    <row r="1186" spans="1:10" ht="14.4" x14ac:dyDescent="0.3">
      <c r="A1186" s="28" t="str">
        <f>B1186&amp;C1186&amp;D1186&amp;E1186</f>
        <v>ЗдоровьеВитамины и БАДыОт диабетаОт диабета</v>
      </c>
      <c r="B1186" s="29" t="s">
        <v>116</v>
      </c>
      <c r="C1186" s="29" t="s">
        <v>707</v>
      </c>
      <c r="D1186" s="29" t="s">
        <v>708</v>
      </c>
      <c r="E1186" s="29" t="s">
        <v>708</v>
      </c>
      <c r="F1186" s="30">
        <v>0.22</v>
      </c>
      <c r="G1186" s="31"/>
      <c r="H1186" s="31"/>
      <c r="I1186" s="31"/>
      <c r="J1186" s="31"/>
    </row>
    <row r="1187" spans="1:10" ht="14.4" x14ac:dyDescent="0.3">
      <c r="A1187" s="28" t="str">
        <f>B1187&amp;C1187&amp;D1187&amp;E1187</f>
        <v>Товары для домаТекстильПледы и покрывалаПокрывала</v>
      </c>
      <c r="B1187" s="29" t="s">
        <v>59</v>
      </c>
      <c r="C1187" s="29" t="s">
        <v>325</v>
      </c>
      <c r="D1187" s="29" t="s">
        <v>715</v>
      </c>
      <c r="E1187" s="29" t="s">
        <v>716</v>
      </c>
      <c r="F1187" s="30">
        <v>0.22</v>
      </c>
      <c r="G1187" s="31"/>
      <c r="H1187" s="31"/>
      <c r="I1187" s="31"/>
      <c r="J1187" s="31"/>
    </row>
    <row r="1188" spans="1:10" ht="14.4" x14ac:dyDescent="0.3">
      <c r="A1188" s="28" t="str">
        <f>B1188&amp;C1188&amp;D1188&amp;E1188</f>
        <v>Спорт и отдыхФитнес и йогаЙога и пилатесФитболы</v>
      </c>
      <c r="B1188" s="29" t="s">
        <v>101</v>
      </c>
      <c r="C1188" s="29" t="s">
        <v>169</v>
      </c>
      <c r="D1188" s="29" t="s">
        <v>304</v>
      </c>
      <c r="E1188" s="29" t="s">
        <v>718</v>
      </c>
      <c r="F1188" s="30">
        <v>0.22</v>
      </c>
      <c r="G1188" s="31"/>
      <c r="H1188" s="31"/>
      <c r="I1188" s="31"/>
      <c r="J1188" s="31"/>
    </row>
    <row r="1189" spans="1:10" ht="14.4" x14ac:dyDescent="0.3">
      <c r="A1189" s="28" t="str">
        <f>B1189&amp;C1189&amp;D1189&amp;E1189</f>
        <v>Спорт и отдыхСвободные весаГантелиГантели</v>
      </c>
      <c r="B1189" s="29" t="s">
        <v>101</v>
      </c>
      <c r="C1189" s="29" t="s">
        <v>734</v>
      </c>
      <c r="D1189" s="29" t="s">
        <v>735</v>
      </c>
      <c r="E1189" s="29" t="s">
        <v>735</v>
      </c>
      <c r="F1189" s="30">
        <v>0.22</v>
      </c>
      <c r="G1189" s="31"/>
      <c r="H1189" s="31"/>
      <c r="I1189" s="31"/>
      <c r="J1189" s="31"/>
    </row>
    <row r="1190" spans="1:10" ht="14.4" x14ac:dyDescent="0.3">
      <c r="A1190" s="28" t="str">
        <f>B1190&amp;C1190&amp;D1190&amp;E1190</f>
        <v>Хобби и творчествоПрочие хоббиОригамиОригами</v>
      </c>
      <c r="B1190" s="29" t="s">
        <v>123</v>
      </c>
      <c r="C1190" s="29" t="s">
        <v>736</v>
      </c>
      <c r="D1190" s="29" t="s">
        <v>737</v>
      </c>
      <c r="E1190" s="29" t="s">
        <v>737</v>
      </c>
      <c r="F1190" s="30">
        <v>0.22</v>
      </c>
      <c r="G1190" s="31"/>
      <c r="H1190" s="31"/>
      <c r="I1190" s="31"/>
      <c r="J1190" s="31"/>
    </row>
    <row r="1191" spans="1:10" ht="14.4" x14ac:dyDescent="0.3">
      <c r="A1191" s="28" t="str">
        <f>B1191&amp;C1191&amp;D1191&amp;E1191</f>
        <v>Товары для домаТекстильКухонный текстильКомплекты для кухни</v>
      </c>
      <c r="B1191" s="29" t="s">
        <v>59</v>
      </c>
      <c r="C1191" s="29" t="s">
        <v>325</v>
      </c>
      <c r="D1191" s="29" t="s">
        <v>326</v>
      </c>
      <c r="E1191" s="29" t="s">
        <v>738</v>
      </c>
      <c r="F1191" s="30">
        <v>0.22</v>
      </c>
      <c r="G1191" s="31"/>
      <c r="H1191" s="31"/>
      <c r="I1191" s="31"/>
      <c r="J1191" s="31"/>
    </row>
    <row r="1192" spans="1:10" ht="14.4" x14ac:dyDescent="0.3">
      <c r="A1192" s="28" t="str">
        <f>B1192&amp;C1192&amp;D1192&amp;E1192</f>
        <v>Товары для домаТекстильКовры и ковровые дорожкиКоврики придверные</v>
      </c>
      <c r="B1192" s="29" t="s">
        <v>59</v>
      </c>
      <c r="C1192" s="29" t="s">
        <v>325</v>
      </c>
      <c r="D1192" s="29" t="s">
        <v>753</v>
      </c>
      <c r="E1192" s="29" t="s">
        <v>754</v>
      </c>
      <c r="F1192" s="30">
        <v>0.22</v>
      </c>
      <c r="G1192" s="31"/>
      <c r="H1192" s="31"/>
      <c r="I1192" s="31"/>
      <c r="J1192" s="31"/>
    </row>
    <row r="1193" spans="1:10" ht="14.4" x14ac:dyDescent="0.3">
      <c r="A1193" s="28" t="str">
        <f>B1193&amp;C1193&amp;D1193&amp;E1193</f>
        <v>КнигиНехудожественная литератураКомпьютерные технологииОперационные системы</v>
      </c>
      <c r="B1193" s="29" t="s">
        <v>63</v>
      </c>
      <c r="C1193" s="29" t="s">
        <v>141</v>
      </c>
      <c r="D1193" s="29" t="s">
        <v>450</v>
      </c>
      <c r="E1193" s="29" t="s">
        <v>759</v>
      </c>
      <c r="F1193" s="30">
        <v>0.22</v>
      </c>
      <c r="G1193" s="31"/>
      <c r="H1193" s="31"/>
      <c r="I1193" s="31"/>
      <c r="J1193" s="31"/>
    </row>
    <row r="1194" spans="1:10" ht="14.4" x14ac:dyDescent="0.3">
      <c r="A1194" s="28" t="str">
        <f>B1194&amp;C1194&amp;D1194&amp;E1194</f>
        <v>Спорт и отдыхОтдых на природе, рыбалка и охотаРыбалкаКрючки, поводки и грузила</v>
      </c>
      <c r="B1194" s="29" t="s">
        <v>101</v>
      </c>
      <c r="C1194" s="29" t="s">
        <v>166</v>
      </c>
      <c r="D1194" s="29" t="s">
        <v>167</v>
      </c>
      <c r="E1194" s="29" t="s">
        <v>767</v>
      </c>
      <c r="F1194" s="30">
        <v>0.22</v>
      </c>
      <c r="G1194" s="31"/>
      <c r="H1194" s="31"/>
      <c r="I1194" s="31"/>
      <c r="J1194" s="31"/>
    </row>
    <row r="1195" spans="1:10" ht="14.4" x14ac:dyDescent="0.3">
      <c r="A1195" s="28" t="str">
        <f>B1195&amp;C1195&amp;D1195&amp;E1195</f>
        <v>Хобби и творчествоПрочие хоббиАппликацииАппликации</v>
      </c>
      <c r="B1195" s="29" t="s">
        <v>123</v>
      </c>
      <c r="C1195" s="29" t="s">
        <v>736</v>
      </c>
      <c r="D1195" s="29" t="s">
        <v>776</v>
      </c>
      <c r="E1195" s="29" t="s">
        <v>776</v>
      </c>
      <c r="F1195" s="30">
        <v>0.22</v>
      </c>
      <c r="G1195" s="31"/>
      <c r="H1195" s="31"/>
      <c r="I1195" s="31"/>
      <c r="J1195" s="31"/>
    </row>
    <row r="1196" spans="1:10" ht="14.4" x14ac:dyDescent="0.3">
      <c r="A1196" s="28" t="str">
        <f>B1196&amp;C1196&amp;D1196&amp;E1196</f>
        <v>Спорт и отдыхОтдых на природе, рыбалка и охотаРыбалкаУдочки, удилища и спининги</v>
      </c>
      <c r="B1196" s="29" t="s">
        <v>101</v>
      </c>
      <c r="C1196" s="29" t="s">
        <v>166</v>
      </c>
      <c r="D1196" s="29" t="s">
        <v>167</v>
      </c>
      <c r="E1196" s="29" t="s">
        <v>807</v>
      </c>
      <c r="F1196" s="30">
        <v>0.22</v>
      </c>
      <c r="G1196" s="31"/>
      <c r="H1196" s="31"/>
      <c r="I1196" s="31"/>
      <c r="J1196" s="31"/>
    </row>
    <row r="1197" spans="1:10" ht="14.4" x14ac:dyDescent="0.3">
      <c r="A1197" s="28" t="str">
        <f>B1197&amp;C1197&amp;D1197&amp;E1197</f>
        <v>Хобби и творчествоПрочие хоббиИзготовление свечейИзготовление свечей</v>
      </c>
      <c r="B1197" s="29" t="s">
        <v>123</v>
      </c>
      <c r="C1197" s="29" t="s">
        <v>736</v>
      </c>
      <c r="D1197" s="29" t="s">
        <v>808</v>
      </c>
      <c r="E1197" s="29" t="s">
        <v>808</v>
      </c>
      <c r="F1197" s="30">
        <v>0.22</v>
      </c>
      <c r="G1197" s="31"/>
      <c r="H1197" s="31"/>
      <c r="I1197" s="31"/>
      <c r="J1197" s="31"/>
    </row>
    <row r="1198" spans="1:10" ht="14.4" x14ac:dyDescent="0.3">
      <c r="A1198" s="28" t="str">
        <f>B1198&amp;C1198&amp;D1198&amp;E1198</f>
        <v>Спорт и отдыхФитнес и йогаЙога и пилатесКоврики</v>
      </c>
      <c r="B1198" s="29" t="s">
        <v>101</v>
      </c>
      <c r="C1198" s="29" t="s">
        <v>169</v>
      </c>
      <c r="D1198" s="29" t="s">
        <v>304</v>
      </c>
      <c r="E1198" s="29" t="s">
        <v>821</v>
      </c>
      <c r="F1198" s="30">
        <v>0.22</v>
      </c>
      <c r="G1198" s="31"/>
      <c r="H1198" s="31"/>
      <c r="I1198" s="31"/>
      <c r="J1198" s="31"/>
    </row>
    <row r="1199" spans="1:10" ht="14.4" x14ac:dyDescent="0.3">
      <c r="A1199" s="28" t="str">
        <f>B1199&amp;C1199&amp;D1199&amp;E1199</f>
        <v>КнигиБукинистикаНехудожественная литератураРелигия</v>
      </c>
      <c r="B1199" s="29" t="s">
        <v>63</v>
      </c>
      <c r="C1199" s="29" t="s">
        <v>209</v>
      </c>
      <c r="D1199" s="29" t="s">
        <v>141</v>
      </c>
      <c r="E1199" s="29" t="s">
        <v>828</v>
      </c>
      <c r="F1199" s="30">
        <v>0.22</v>
      </c>
      <c r="G1199" s="31"/>
      <c r="H1199" s="31"/>
      <c r="I1199" s="31"/>
      <c r="J1199" s="31"/>
    </row>
    <row r="1200" spans="1:10" ht="14.4" x14ac:dyDescent="0.3">
      <c r="A1200" s="28" t="str">
        <f>B1200&amp;C1200&amp;D1200&amp;E1200</f>
        <v>Хобби и творчествоРисованиеРаскраски, наборы для росписиРаскраски, наборы для росписи</v>
      </c>
      <c r="B1200" s="29" t="s">
        <v>123</v>
      </c>
      <c r="C1200" s="29" t="s">
        <v>124</v>
      </c>
      <c r="D1200" s="29" t="s">
        <v>844</v>
      </c>
      <c r="E1200" s="29" t="s">
        <v>844</v>
      </c>
      <c r="F1200" s="30">
        <v>0.22</v>
      </c>
      <c r="G1200" s="31"/>
      <c r="H1200" s="31"/>
      <c r="I1200" s="31"/>
      <c r="J1200" s="31"/>
    </row>
    <row r="1201" spans="1:10" ht="14.4" x14ac:dyDescent="0.3">
      <c r="A1201" s="28" t="str">
        <f>B1201&amp;C1201&amp;D1201&amp;E1201</f>
        <v>Хобби и творчествоНастольные и карточные игрыЛотоЛото</v>
      </c>
      <c r="B1201" s="29" t="s">
        <v>123</v>
      </c>
      <c r="C1201" s="29" t="s">
        <v>441</v>
      </c>
      <c r="D1201" s="29" t="s">
        <v>851</v>
      </c>
      <c r="E1201" s="29" t="s">
        <v>851</v>
      </c>
      <c r="F1201" s="30">
        <v>0.22</v>
      </c>
      <c r="G1201" s="31"/>
      <c r="H1201" s="31"/>
      <c r="I1201" s="31"/>
      <c r="J1201" s="31"/>
    </row>
    <row r="1202" spans="1:10" ht="14.4" x14ac:dyDescent="0.3">
      <c r="A1202" s="28" t="str">
        <f>B1202&amp;C1202&amp;D1202&amp;E1202</f>
        <v>Товары для домаТекстильШторы и карнизыЖалюзи и плиссе</v>
      </c>
      <c r="B1202" s="29" t="s">
        <v>59</v>
      </c>
      <c r="C1202" s="29" t="s">
        <v>325</v>
      </c>
      <c r="D1202" s="29" t="s">
        <v>334</v>
      </c>
      <c r="E1202" s="29" t="s">
        <v>854</v>
      </c>
      <c r="F1202" s="30">
        <v>0.22</v>
      </c>
      <c r="G1202" s="31"/>
      <c r="H1202" s="31"/>
      <c r="I1202" s="31"/>
      <c r="J1202" s="31"/>
    </row>
    <row r="1203" spans="1:10" ht="14.4" x14ac:dyDescent="0.3">
      <c r="A1203" s="28" t="str">
        <f>B1203&amp;C1203&amp;D1203&amp;E1203</f>
        <v>Товары для домаТовары для кухниПосуда для приготовленияКастрюли, ковши</v>
      </c>
      <c r="B1203" s="29" t="s">
        <v>59</v>
      </c>
      <c r="C1203" s="29" t="s">
        <v>60</v>
      </c>
      <c r="D1203" s="29" t="s">
        <v>487</v>
      </c>
      <c r="E1203" s="29" t="s">
        <v>883</v>
      </c>
      <c r="F1203" s="30">
        <v>0.22</v>
      </c>
      <c r="G1203" s="31"/>
      <c r="H1203" s="31"/>
      <c r="I1203" s="31"/>
      <c r="J1203" s="31"/>
    </row>
    <row r="1204" spans="1:10" ht="14.4" x14ac:dyDescent="0.3">
      <c r="A1204" s="28" t="str">
        <f>B1204&amp;C1204&amp;D1204&amp;E1204</f>
        <v>КнигиНехудожественная литератураКрасота, здоровье и спортШахматы и шашки</v>
      </c>
      <c r="B1204" s="29" t="s">
        <v>63</v>
      </c>
      <c r="C1204" s="29" t="s">
        <v>141</v>
      </c>
      <c r="D1204" s="29" t="s">
        <v>888</v>
      </c>
      <c r="E1204" s="29" t="s">
        <v>889</v>
      </c>
      <c r="F1204" s="30">
        <v>0.22</v>
      </c>
      <c r="G1204" s="31"/>
      <c r="H1204" s="31"/>
      <c r="I1204" s="31"/>
      <c r="J1204" s="31"/>
    </row>
    <row r="1205" spans="1:10" ht="14.4" x14ac:dyDescent="0.3">
      <c r="A1205" s="28" t="str">
        <f>B1205&amp;C1205&amp;D1205&amp;E1205</f>
        <v>Хобби и творчествоРисованиеГрафикаТушь</v>
      </c>
      <c r="B1205" s="29" t="s">
        <v>123</v>
      </c>
      <c r="C1205" s="29" t="s">
        <v>124</v>
      </c>
      <c r="D1205" s="29" t="s">
        <v>125</v>
      </c>
      <c r="E1205" s="29" t="s">
        <v>897</v>
      </c>
      <c r="F1205" s="30">
        <v>0.22</v>
      </c>
      <c r="G1205" s="31"/>
      <c r="H1205" s="31"/>
      <c r="I1205" s="31"/>
      <c r="J1205" s="31"/>
    </row>
    <row r="1206" spans="1:10" ht="14.4" x14ac:dyDescent="0.3">
      <c r="A1206" s="28" t="str">
        <f>B1206&amp;C1206&amp;D1206&amp;E1206</f>
        <v>Товары для домаТовары для праздниковКарнавальные товарыАквагрим</v>
      </c>
      <c r="B1206" s="29" t="s">
        <v>59</v>
      </c>
      <c r="C1206" s="29" t="s">
        <v>85</v>
      </c>
      <c r="D1206" s="29" t="s">
        <v>534</v>
      </c>
      <c r="E1206" s="29" t="s">
        <v>908</v>
      </c>
      <c r="F1206" s="30">
        <v>0.22</v>
      </c>
      <c r="G1206" s="31"/>
      <c r="H1206" s="31"/>
      <c r="I1206" s="31"/>
      <c r="J1206" s="31"/>
    </row>
    <row r="1207" spans="1:10" ht="14.4" x14ac:dyDescent="0.3">
      <c r="A1207" s="28" t="str">
        <f>B1207&amp;C1207&amp;D1207&amp;E1207</f>
        <v>Хобби и творчествоГадания и эзотерикаАксессуары и атрибутика для гаданийАксессуары и атрибутика для гаданий</v>
      </c>
      <c r="B1207" s="29" t="s">
        <v>123</v>
      </c>
      <c r="C1207" s="29" t="s">
        <v>909</v>
      </c>
      <c r="D1207" s="29" t="s">
        <v>910</v>
      </c>
      <c r="E1207" s="29" t="s">
        <v>910</v>
      </c>
      <c r="F1207" s="30">
        <v>0.22</v>
      </c>
      <c r="G1207" s="31"/>
      <c r="H1207" s="31"/>
      <c r="I1207" s="31"/>
      <c r="J1207" s="31"/>
    </row>
    <row r="1208" spans="1:10" ht="14.4" x14ac:dyDescent="0.3">
      <c r="A1208" s="28" t="str">
        <f>B1208&amp;C1208&amp;D1208&amp;E1208</f>
        <v>ЗдоровьеВитамины и БАДыКоллагенКоллаген</v>
      </c>
      <c r="B1208" s="29" t="s">
        <v>116</v>
      </c>
      <c r="C1208" s="29" t="s">
        <v>707</v>
      </c>
      <c r="D1208" s="29" t="s">
        <v>915</v>
      </c>
      <c r="E1208" s="29" t="s">
        <v>915</v>
      </c>
      <c r="F1208" s="30">
        <v>0.22</v>
      </c>
      <c r="G1208" s="31"/>
      <c r="H1208" s="31"/>
      <c r="I1208" s="31"/>
      <c r="J1208" s="31"/>
    </row>
    <row r="1209" spans="1:10" ht="14.4" x14ac:dyDescent="0.3">
      <c r="A1209" s="28" t="str">
        <f>B1209&amp;C1209&amp;D1209&amp;E1209</f>
        <v>Хобби и творчествоРисованиеГрафикаУголь</v>
      </c>
      <c r="B1209" s="29" t="s">
        <v>123</v>
      </c>
      <c r="C1209" s="29" t="s">
        <v>124</v>
      </c>
      <c r="D1209" s="29" t="s">
        <v>125</v>
      </c>
      <c r="E1209" s="29" t="s">
        <v>918</v>
      </c>
      <c r="F1209" s="30">
        <v>0.22</v>
      </c>
      <c r="G1209" s="31"/>
      <c r="H1209" s="31"/>
      <c r="I1209" s="31"/>
      <c r="J1209" s="31"/>
    </row>
    <row r="1210" spans="1:10" ht="14.4" x14ac:dyDescent="0.3">
      <c r="A1210" s="28" t="str">
        <f>B1210&amp;C1210&amp;D1210&amp;E1210</f>
        <v>Хобби и творчествоРукоделиеШитьеПрочие аксессуары для шитья</v>
      </c>
      <c r="B1210" s="29" t="s">
        <v>123</v>
      </c>
      <c r="C1210" s="29" t="s">
        <v>243</v>
      </c>
      <c r="D1210" s="29" t="s">
        <v>244</v>
      </c>
      <c r="E1210" s="29" t="s">
        <v>929</v>
      </c>
      <c r="F1210" s="30">
        <v>0.22</v>
      </c>
      <c r="G1210" s="31"/>
      <c r="H1210" s="31"/>
      <c r="I1210" s="31"/>
      <c r="J1210" s="31"/>
    </row>
    <row r="1211" spans="1:10" ht="14.4" x14ac:dyDescent="0.3">
      <c r="A1211" s="28" t="str">
        <f>B1211&amp;C1211&amp;D1211&amp;E1211</f>
        <v>Товары для домаТекстильКухонный текстильНаборы столового белья</v>
      </c>
      <c r="B1211" s="29" t="s">
        <v>59</v>
      </c>
      <c r="C1211" s="29" t="s">
        <v>325</v>
      </c>
      <c r="D1211" s="29" t="s">
        <v>326</v>
      </c>
      <c r="E1211" s="29" t="s">
        <v>947</v>
      </c>
      <c r="F1211" s="30">
        <v>0.22</v>
      </c>
      <c r="G1211" s="31"/>
      <c r="H1211" s="31"/>
      <c r="I1211" s="31"/>
      <c r="J1211" s="31"/>
    </row>
    <row r="1212" spans="1:10" ht="14.4" x14ac:dyDescent="0.3">
      <c r="A1212" s="28" t="str">
        <f>B1212&amp;C1212&amp;D1212&amp;E1212</f>
        <v>Хобби и творчествоМузыкальные инструментыУдарные и перкуссияУдарные и перкуссия</v>
      </c>
      <c r="B1212" s="29" t="s">
        <v>123</v>
      </c>
      <c r="C1212" s="29" t="s">
        <v>949</v>
      </c>
      <c r="D1212" s="29" t="s">
        <v>950</v>
      </c>
      <c r="E1212" s="29" t="s">
        <v>950</v>
      </c>
      <c r="F1212" s="30">
        <v>0.22</v>
      </c>
      <c r="G1212" s="31"/>
      <c r="H1212" s="31"/>
      <c r="I1212" s="31"/>
      <c r="J1212" s="31"/>
    </row>
    <row r="1213" spans="1:10" ht="14.4" x14ac:dyDescent="0.3">
      <c r="A1213" s="28" t="str">
        <f>B1213&amp;C1213&amp;D1213&amp;E1213</f>
        <v>КнигиНехудожественная литератураИсторияИстория городов. Краеведение</v>
      </c>
      <c r="B1213" s="29" t="s">
        <v>63</v>
      </c>
      <c r="C1213" s="29" t="s">
        <v>141</v>
      </c>
      <c r="D1213" s="29" t="s">
        <v>951</v>
      </c>
      <c r="E1213" s="29" t="s">
        <v>952</v>
      </c>
      <c r="F1213" s="30">
        <v>0.22</v>
      </c>
      <c r="G1213" s="31"/>
      <c r="H1213" s="31"/>
      <c r="I1213" s="31"/>
      <c r="J1213" s="31"/>
    </row>
    <row r="1214" spans="1:10" ht="14.4" x14ac:dyDescent="0.3">
      <c r="A1214" s="28" t="str">
        <f>B1214&amp;C1214&amp;D1214&amp;E1214</f>
        <v>Спорт и отдыхФитнес и йогаФитнесУпоры для отжиманий и степ платформы</v>
      </c>
      <c r="B1214" s="29" t="s">
        <v>101</v>
      </c>
      <c r="C1214" s="29" t="s">
        <v>169</v>
      </c>
      <c r="D1214" s="29" t="s">
        <v>170</v>
      </c>
      <c r="E1214" s="29" t="s">
        <v>965</v>
      </c>
      <c r="F1214" s="30">
        <v>0.22</v>
      </c>
      <c r="G1214" s="31"/>
      <c r="H1214" s="31"/>
      <c r="I1214" s="31"/>
      <c r="J1214" s="31"/>
    </row>
    <row r="1215" spans="1:10" ht="14.4" x14ac:dyDescent="0.3">
      <c r="A1215" s="28" t="str">
        <f>B1215&amp;C1215&amp;D1215&amp;E1215</f>
        <v>Товары для домаТекстильПледы и покрывалаПледы</v>
      </c>
      <c r="B1215" s="29" t="s">
        <v>59</v>
      </c>
      <c r="C1215" s="29" t="s">
        <v>325</v>
      </c>
      <c r="D1215" s="29" t="s">
        <v>715</v>
      </c>
      <c r="E1215" s="29" t="s">
        <v>1011</v>
      </c>
      <c r="F1215" s="30">
        <v>0.22</v>
      </c>
      <c r="G1215" s="31"/>
      <c r="H1215" s="31"/>
      <c r="I1215" s="31"/>
      <c r="J1215" s="31"/>
    </row>
    <row r="1216" spans="1:10" ht="14.4" x14ac:dyDescent="0.3">
      <c r="A1216" s="28" t="str">
        <f>B1216&amp;C1216&amp;D1216&amp;E1216</f>
        <v>Хобби и творчествоПазлы, мозаика и фрескаАлмазные мозаикиАлмазные мозаики</v>
      </c>
      <c r="B1216" s="29" t="s">
        <v>123</v>
      </c>
      <c r="C1216" s="29" t="s">
        <v>1081</v>
      </c>
      <c r="D1216" s="29" t="s">
        <v>1082</v>
      </c>
      <c r="E1216" s="29" t="s">
        <v>1082</v>
      </c>
      <c r="F1216" s="30">
        <v>0.22</v>
      </c>
      <c r="G1216" s="31"/>
      <c r="H1216" s="31"/>
      <c r="I1216" s="31"/>
      <c r="J1216" s="31"/>
    </row>
    <row r="1217" spans="1:10" ht="14.4" x14ac:dyDescent="0.3">
      <c r="A1217" s="28" t="str">
        <f>B1217&amp;C1217&amp;D1217&amp;E1217</f>
        <v>Спорт и отдыхОтдых на природе, рыбалка и охотаРыбалкаЛески и шнуры</v>
      </c>
      <c r="B1217" s="29" t="s">
        <v>101</v>
      </c>
      <c r="C1217" s="29" t="s">
        <v>166</v>
      </c>
      <c r="D1217" s="29" t="s">
        <v>167</v>
      </c>
      <c r="E1217" s="29" t="s">
        <v>1096</v>
      </c>
      <c r="F1217" s="30">
        <v>0.22</v>
      </c>
      <c r="G1217" s="31"/>
      <c r="H1217" s="31"/>
      <c r="I1217" s="31"/>
      <c r="J1217" s="31"/>
    </row>
    <row r="1218" spans="1:10" ht="14.4" x14ac:dyDescent="0.3">
      <c r="A1218" s="28" t="str">
        <f>B1218&amp;C1218&amp;D1218&amp;E1218</f>
        <v>Хобби и творчествоМузыкальные инструментыАксессуары для музыкальных инструментовАксессуары для музыкальных инструментов</v>
      </c>
      <c r="B1218" s="29" t="s">
        <v>123</v>
      </c>
      <c r="C1218" s="29" t="s">
        <v>949</v>
      </c>
      <c r="D1218" s="29" t="s">
        <v>1105</v>
      </c>
      <c r="E1218" s="29" t="s">
        <v>1105</v>
      </c>
      <c r="F1218" s="30">
        <v>0.22</v>
      </c>
      <c r="G1218" s="31"/>
      <c r="H1218" s="31"/>
      <c r="I1218" s="31"/>
      <c r="J1218" s="31"/>
    </row>
    <row r="1219" spans="1:10" ht="14.4" x14ac:dyDescent="0.3">
      <c r="A1219" s="28" t="str">
        <f>B1219&amp;C1219&amp;D1219&amp;E1219</f>
        <v>Хобби и творчествоРисованиеНаборы для рисованияНаборы для рисования</v>
      </c>
      <c r="B1219" s="29" t="s">
        <v>123</v>
      </c>
      <c r="C1219" s="29" t="s">
        <v>124</v>
      </c>
      <c r="D1219" s="29" t="s">
        <v>1122</v>
      </c>
      <c r="E1219" s="29" t="s">
        <v>1122</v>
      </c>
      <c r="F1219" s="30">
        <v>0.22</v>
      </c>
      <c r="G1219" s="31"/>
      <c r="H1219" s="31"/>
      <c r="I1219" s="31"/>
      <c r="J1219" s="31"/>
    </row>
    <row r="1220" spans="1:10" ht="14.4" x14ac:dyDescent="0.3">
      <c r="A1220" s="28" t="str">
        <f>B1220&amp;C1220&amp;D1220&amp;E1220</f>
        <v>ЗдоровьеВитамины и БАДыЖелезоЖелезо</v>
      </c>
      <c r="B1220" s="29" t="s">
        <v>116</v>
      </c>
      <c r="C1220" s="29" t="s">
        <v>707</v>
      </c>
      <c r="D1220" s="29" t="s">
        <v>1148</v>
      </c>
      <c r="E1220" s="29" t="s">
        <v>1148</v>
      </c>
      <c r="F1220" s="30">
        <v>0.22</v>
      </c>
      <c r="G1220" s="31"/>
      <c r="H1220" s="31"/>
      <c r="I1220" s="31"/>
      <c r="J1220" s="31"/>
    </row>
    <row r="1221" spans="1:10" ht="14.4" x14ac:dyDescent="0.3">
      <c r="A1221" s="28" t="str">
        <f>B1221&amp;C1221&amp;D1221&amp;E1221</f>
        <v>Товары для домаТекстильПодушкиПодушки на стул</v>
      </c>
      <c r="B1221" s="29" t="s">
        <v>59</v>
      </c>
      <c r="C1221" s="29" t="s">
        <v>325</v>
      </c>
      <c r="D1221" s="29" t="s">
        <v>1029</v>
      </c>
      <c r="E1221" s="29" t="s">
        <v>1167</v>
      </c>
      <c r="F1221" s="30">
        <v>0.22</v>
      </c>
      <c r="G1221" s="31"/>
      <c r="H1221" s="31"/>
      <c r="I1221" s="31"/>
      <c r="J1221" s="31"/>
    </row>
    <row r="1222" spans="1:10" ht="14.4" x14ac:dyDescent="0.3">
      <c r="A1222" s="28" t="str">
        <f>B1222&amp;C1222&amp;D1222&amp;E1222</f>
        <v>Товары для домаТекстильПостельное бельеПододеяльники</v>
      </c>
      <c r="B1222" s="29" t="s">
        <v>59</v>
      </c>
      <c r="C1222" s="29" t="s">
        <v>325</v>
      </c>
      <c r="D1222" s="29" t="s">
        <v>820</v>
      </c>
      <c r="E1222" s="29" t="s">
        <v>1178</v>
      </c>
      <c r="F1222" s="30">
        <v>0.22</v>
      </c>
      <c r="G1222" s="31"/>
      <c r="H1222" s="31"/>
      <c r="I1222" s="31"/>
      <c r="J1222" s="31"/>
    </row>
    <row r="1223" spans="1:10" ht="14.4" x14ac:dyDescent="0.3">
      <c r="A1223" s="28" t="str">
        <f>B1223&amp;C1223&amp;D1223&amp;E1223</f>
        <v>Хобби и творчествоГадания и эзотерикаРуныРуны</v>
      </c>
      <c r="B1223" s="29" t="s">
        <v>123</v>
      </c>
      <c r="C1223" s="29" t="s">
        <v>909</v>
      </c>
      <c r="D1223" s="29" t="s">
        <v>1182</v>
      </c>
      <c r="E1223" s="29" t="s">
        <v>1182</v>
      </c>
      <c r="F1223" s="30">
        <v>0.22</v>
      </c>
      <c r="G1223" s="31"/>
      <c r="H1223" s="31"/>
      <c r="I1223" s="31"/>
      <c r="J1223" s="31"/>
    </row>
    <row r="1224" spans="1:10" ht="14.4" x14ac:dyDescent="0.3">
      <c r="A1224" s="28" t="str">
        <f>B1224&amp;C1224&amp;D1224&amp;E1224</f>
        <v>Хобби и творчествоМузыкальные инструментыДуховые инструментыДуховые инструменты</v>
      </c>
      <c r="B1224" s="29" t="s">
        <v>123</v>
      </c>
      <c r="C1224" s="29" t="s">
        <v>949</v>
      </c>
      <c r="D1224" s="29" t="s">
        <v>1193</v>
      </c>
      <c r="E1224" s="29" t="s">
        <v>1193</v>
      </c>
      <c r="F1224" s="30">
        <v>0.22</v>
      </c>
      <c r="G1224" s="31"/>
      <c r="H1224" s="31"/>
      <c r="I1224" s="31"/>
      <c r="J1224" s="31"/>
    </row>
    <row r="1225" spans="1:10" ht="14.4" x14ac:dyDescent="0.3">
      <c r="A1225" s="28" t="str">
        <f>B1225&amp;C1225&amp;D1225&amp;E1225</f>
        <v>Хобби и творчествоПрочие хоббиВыжигание, поделки из дереваВыжигание, поделки из дерева</v>
      </c>
      <c r="B1225" s="29" t="s">
        <v>123</v>
      </c>
      <c r="C1225" s="29" t="s">
        <v>736</v>
      </c>
      <c r="D1225" s="29" t="s">
        <v>1197</v>
      </c>
      <c r="E1225" s="29" t="s">
        <v>1197</v>
      </c>
      <c r="F1225" s="30">
        <v>0.22</v>
      </c>
      <c r="G1225" s="31"/>
      <c r="H1225" s="31"/>
      <c r="I1225" s="31"/>
      <c r="J1225" s="31"/>
    </row>
    <row r="1226" spans="1:10" ht="14.4" x14ac:dyDescent="0.3">
      <c r="A1226" s="28" t="str">
        <f>B1226&amp;C1226&amp;D1226&amp;E1226</f>
        <v>Хобби и творчествоРукоделиеСоздание украшенийСоздание украшений</v>
      </c>
      <c r="B1226" s="29" t="s">
        <v>123</v>
      </c>
      <c r="C1226" s="29" t="s">
        <v>243</v>
      </c>
      <c r="D1226" s="29" t="s">
        <v>1202</v>
      </c>
      <c r="E1226" s="29" t="s">
        <v>1202</v>
      </c>
      <c r="F1226" s="30">
        <v>0.22</v>
      </c>
      <c r="G1226" s="31"/>
      <c r="H1226" s="31"/>
      <c r="I1226" s="31"/>
      <c r="J1226" s="31"/>
    </row>
    <row r="1227" spans="1:10" ht="14.4" x14ac:dyDescent="0.3">
      <c r="A1227" s="28" t="str">
        <f>B1227&amp;C1227&amp;D1227&amp;E1227</f>
        <v>Товары для домаТекстильНаматрасники и чехлыЧехлы для мебели</v>
      </c>
      <c r="B1227" s="29" t="s">
        <v>59</v>
      </c>
      <c r="C1227" s="29" t="s">
        <v>325</v>
      </c>
      <c r="D1227" s="29" t="s">
        <v>1203</v>
      </c>
      <c r="E1227" s="29" t="s">
        <v>1204</v>
      </c>
      <c r="F1227" s="30">
        <v>0.22</v>
      </c>
      <c r="G1227" s="31"/>
      <c r="H1227" s="31"/>
      <c r="I1227" s="31"/>
      <c r="J1227" s="31"/>
    </row>
    <row r="1228" spans="1:10" ht="14.4" x14ac:dyDescent="0.3">
      <c r="A1228" s="28" t="str">
        <f>B1228&amp;C1228&amp;D1228&amp;E1228</f>
        <v>Товары для домаТовары для кухниПосуда для приготовленияСковороды</v>
      </c>
      <c r="B1228" s="29" t="s">
        <v>59</v>
      </c>
      <c r="C1228" s="29" t="s">
        <v>60</v>
      </c>
      <c r="D1228" s="29" t="s">
        <v>487</v>
      </c>
      <c r="E1228" s="29" t="s">
        <v>1215</v>
      </c>
      <c r="F1228" s="30">
        <v>0.22</v>
      </c>
      <c r="G1228" s="31"/>
      <c r="H1228" s="31"/>
      <c r="I1228" s="31"/>
      <c r="J1228" s="31"/>
    </row>
    <row r="1229" spans="1:10" ht="14.4" x14ac:dyDescent="0.3">
      <c r="A1229" s="28" t="str">
        <f>B1229&amp;C1229&amp;D1229&amp;E1229</f>
        <v>Товары для домаТекстильШторы и карнизыШторы и портьеры</v>
      </c>
      <c r="B1229" s="29" t="s">
        <v>59</v>
      </c>
      <c r="C1229" s="29" t="s">
        <v>325</v>
      </c>
      <c r="D1229" s="29" t="s">
        <v>334</v>
      </c>
      <c r="E1229" s="29" t="s">
        <v>1221</v>
      </c>
      <c r="F1229" s="30">
        <v>0.22</v>
      </c>
      <c r="G1229" s="31"/>
      <c r="H1229" s="31"/>
      <c r="I1229" s="31"/>
      <c r="J1229" s="31"/>
    </row>
    <row r="1230" spans="1:10" ht="14.4" x14ac:dyDescent="0.3">
      <c r="A1230" s="28" t="str">
        <f>B1230&amp;C1230&amp;D1230&amp;E1230</f>
        <v>Хобби и творчествоПрочие хоббиСкрапбукингСкрапбукинг</v>
      </c>
      <c r="B1230" s="29" t="s">
        <v>123</v>
      </c>
      <c r="C1230" s="29" t="s">
        <v>736</v>
      </c>
      <c r="D1230" s="29" t="s">
        <v>1222</v>
      </c>
      <c r="E1230" s="29" t="s">
        <v>1222</v>
      </c>
      <c r="F1230" s="30">
        <v>0.22</v>
      </c>
      <c r="G1230" s="31"/>
      <c r="H1230" s="31"/>
      <c r="I1230" s="31"/>
      <c r="J1230" s="31"/>
    </row>
    <row r="1231" spans="1:10" ht="14.4" x14ac:dyDescent="0.3">
      <c r="A1231" s="28" t="str">
        <f>B1231&amp;C1231&amp;D1231&amp;E1231</f>
        <v>КнигиНехудожественная литератураНаучная литератураГуманитарные науки</v>
      </c>
      <c r="B1231" s="29" t="s">
        <v>63</v>
      </c>
      <c r="C1231" s="29" t="s">
        <v>141</v>
      </c>
      <c r="D1231" s="29" t="s">
        <v>1224</v>
      </c>
      <c r="E1231" s="29" t="s">
        <v>1225</v>
      </c>
      <c r="F1231" s="30">
        <v>0.22</v>
      </c>
      <c r="G1231" s="31"/>
      <c r="H1231" s="31"/>
      <c r="I1231" s="31"/>
      <c r="J1231" s="31"/>
    </row>
    <row r="1232" spans="1:10" ht="14.4" x14ac:dyDescent="0.3">
      <c r="A1232" s="28" t="str">
        <f>B1232&amp;C1232&amp;D1232&amp;E1232</f>
        <v>Хобби и творчествоРисованиеКраски, пигментыКраски, пигменты</v>
      </c>
      <c r="B1232" s="29" t="s">
        <v>123</v>
      </c>
      <c r="C1232" s="29" t="s">
        <v>124</v>
      </c>
      <c r="D1232" s="29" t="s">
        <v>1226</v>
      </c>
      <c r="E1232" s="29" t="s">
        <v>1226</v>
      </c>
      <c r="F1232" s="30">
        <v>0.22</v>
      </c>
      <c r="G1232" s="31"/>
      <c r="H1232" s="31"/>
      <c r="I1232" s="31"/>
      <c r="J1232" s="31"/>
    </row>
    <row r="1233" spans="1:10" ht="14.4" x14ac:dyDescent="0.3">
      <c r="A1233" s="28" t="str">
        <f>B1233&amp;C1233&amp;D1233&amp;E1233</f>
        <v>Спорт и отдыхОтдых на природе, рыбалка и охотаОхота и стрельбаОптика и прицелы</v>
      </c>
      <c r="B1233" s="29" t="s">
        <v>101</v>
      </c>
      <c r="C1233" s="29" t="s">
        <v>166</v>
      </c>
      <c r="D1233" s="29" t="s">
        <v>526</v>
      </c>
      <c r="E1233" s="29" t="s">
        <v>1256</v>
      </c>
      <c r="F1233" s="30">
        <v>0.22</v>
      </c>
      <c r="G1233" s="31"/>
      <c r="H1233" s="31"/>
      <c r="I1233" s="31"/>
      <c r="J1233" s="31"/>
    </row>
    <row r="1234" spans="1:10" ht="14.4" x14ac:dyDescent="0.3">
      <c r="A1234" s="28" t="str">
        <f>B1234&amp;C1234&amp;D1234&amp;E1234</f>
        <v>Товары для домаТекстильКухонный текстильФартуки кухонные</v>
      </c>
      <c r="B1234" s="29" t="s">
        <v>59</v>
      </c>
      <c r="C1234" s="29" t="s">
        <v>325</v>
      </c>
      <c r="D1234" s="29" t="s">
        <v>326</v>
      </c>
      <c r="E1234" s="29" t="s">
        <v>1275</v>
      </c>
      <c r="F1234" s="30">
        <v>0.22</v>
      </c>
      <c r="G1234" s="31"/>
      <c r="H1234" s="31"/>
      <c r="I1234" s="31"/>
      <c r="J1234" s="31"/>
    </row>
    <row r="1235" spans="1:10" ht="14.4" x14ac:dyDescent="0.3">
      <c r="A1235" s="28" t="str">
        <f>B1235&amp;C1235&amp;D1235&amp;E1235</f>
        <v>Спорт и отдыхФитнес и йогаЙога и пилатесАксессуары для йоги и пилатеса</v>
      </c>
      <c r="B1235" s="29" t="s">
        <v>101</v>
      </c>
      <c r="C1235" s="29" t="s">
        <v>169</v>
      </c>
      <c r="D1235" s="29" t="s">
        <v>304</v>
      </c>
      <c r="E1235" s="29" t="s">
        <v>1276</v>
      </c>
      <c r="F1235" s="30">
        <v>0.22</v>
      </c>
      <c r="G1235" s="31"/>
      <c r="H1235" s="31"/>
      <c r="I1235" s="31"/>
      <c r="J1235" s="31"/>
    </row>
    <row r="1236" spans="1:10" ht="14.4" x14ac:dyDescent="0.3">
      <c r="A1236" s="28" t="str">
        <f>B1236&amp;C1236&amp;D1236&amp;E1236</f>
        <v>КнигиНехудожественная литератураКомпьютерные технологииГрафика и дизайн</v>
      </c>
      <c r="B1236" s="29" t="s">
        <v>63</v>
      </c>
      <c r="C1236" s="29" t="s">
        <v>141</v>
      </c>
      <c r="D1236" s="29" t="s">
        <v>450</v>
      </c>
      <c r="E1236" s="29" t="s">
        <v>1289</v>
      </c>
      <c r="F1236" s="30">
        <v>0.22</v>
      </c>
      <c r="G1236" s="31"/>
      <c r="H1236" s="31"/>
      <c r="I1236" s="31"/>
      <c r="J1236" s="31"/>
    </row>
    <row r="1237" spans="1:10" ht="14.4" x14ac:dyDescent="0.3">
      <c r="A1237" s="28" t="str">
        <f>B1237&amp;C1237&amp;D1237&amp;E1237</f>
        <v>Хобби и творчествоРукоделиеКожевенное делоКожевенное дело</v>
      </c>
      <c r="B1237" s="29" t="s">
        <v>123</v>
      </c>
      <c r="C1237" s="29" t="s">
        <v>243</v>
      </c>
      <c r="D1237" s="29" t="s">
        <v>1296</v>
      </c>
      <c r="E1237" s="29" t="s">
        <v>1296</v>
      </c>
      <c r="F1237" s="30">
        <v>0.22</v>
      </c>
      <c r="G1237" s="31"/>
      <c r="H1237" s="31"/>
      <c r="I1237" s="31"/>
      <c r="J1237" s="31"/>
    </row>
    <row r="1238" spans="1:10" ht="14.4" x14ac:dyDescent="0.3">
      <c r="A1238" s="28" t="str">
        <f>B1238&amp;C1238&amp;D1238&amp;E1238</f>
        <v>Спорт и отдыхФитнес и йогаФитнесНаборы для фитнеса</v>
      </c>
      <c r="B1238" s="29" t="s">
        <v>101</v>
      </c>
      <c r="C1238" s="29" t="s">
        <v>169</v>
      </c>
      <c r="D1238" s="29" t="s">
        <v>170</v>
      </c>
      <c r="E1238" s="29" t="s">
        <v>1298</v>
      </c>
      <c r="F1238" s="30">
        <v>0.22</v>
      </c>
      <c r="G1238" s="31"/>
      <c r="H1238" s="31"/>
      <c r="I1238" s="31"/>
      <c r="J1238" s="31"/>
    </row>
    <row r="1239" spans="1:10" ht="14.4" x14ac:dyDescent="0.3">
      <c r="A1239" s="28" t="str">
        <f>B1239&amp;C1239&amp;D1239&amp;E1239</f>
        <v>Спорт и отдыхОтдых на природе, рыбалка и охотаРыбалкаПрикормки, насадки, ароматизаторы для рыбалки</v>
      </c>
      <c r="B1239" s="29" t="s">
        <v>101</v>
      </c>
      <c r="C1239" s="29" t="s">
        <v>166</v>
      </c>
      <c r="D1239" s="29" t="s">
        <v>167</v>
      </c>
      <c r="E1239" s="29" t="s">
        <v>1315</v>
      </c>
      <c r="F1239" s="30">
        <v>0.22</v>
      </c>
      <c r="G1239" s="31"/>
      <c r="H1239" s="31"/>
      <c r="I1239" s="31"/>
      <c r="J1239" s="31"/>
    </row>
    <row r="1240" spans="1:10" ht="14.4" x14ac:dyDescent="0.3">
      <c r="A1240" s="28" t="str">
        <f>B1240&amp;C1240&amp;D1240&amp;E1240</f>
        <v>Товары для домаТекстильПостельное бельеДетское постельное бельё</v>
      </c>
      <c r="B1240" s="29" t="s">
        <v>59</v>
      </c>
      <c r="C1240" s="29" t="s">
        <v>325</v>
      </c>
      <c r="D1240" s="29" t="s">
        <v>820</v>
      </c>
      <c r="E1240" s="29" t="s">
        <v>1325</v>
      </c>
      <c r="F1240" s="30">
        <v>0.22</v>
      </c>
      <c r="G1240" s="31"/>
      <c r="H1240" s="31"/>
      <c r="I1240" s="31"/>
      <c r="J1240" s="31"/>
    </row>
    <row r="1241" spans="1:10" ht="14.4" x14ac:dyDescent="0.3">
      <c r="A1241" s="28" t="str">
        <f>B1241&amp;C1241&amp;D1241&amp;E1241</f>
        <v>Хобби и творчествоЛепкаИнструментыИнструменты</v>
      </c>
      <c r="B1241" s="29" t="s">
        <v>123</v>
      </c>
      <c r="C1241" s="29" t="s">
        <v>578</v>
      </c>
      <c r="D1241" s="29" t="s">
        <v>78</v>
      </c>
      <c r="E1241" s="29" t="s">
        <v>78</v>
      </c>
      <c r="F1241" s="30">
        <v>0.22</v>
      </c>
      <c r="G1241" s="31"/>
      <c r="H1241" s="31"/>
      <c r="I1241" s="31"/>
      <c r="J1241" s="31"/>
    </row>
    <row r="1242" spans="1:10" ht="14.4" x14ac:dyDescent="0.3">
      <c r="A1242" s="28" t="str">
        <f>B1242&amp;C1242&amp;D1242&amp;E1242</f>
        <v>Товары для домаТекстильПостельное бельеПростыни</v>
      </c>
      <c r="B1242" s="29" t="s">
        <v>59</v>
      </c>
      <c r="C1242" s="29" t="s">
        <v>325</v>
      </c>
      <c r="D1242" s="29" t="s">
        <v>820</v>
      </c>
      <c r="E1242" s="29" t="s">
        <v>1347</v>
      </c>
      <c r="F1242" s="30">
        <v>0.22</v>
      </c>
      <c r="G1242" s="31"/>
      <c r="H1242" s="31"/>
      <c r="I1242" s="31"/>
      <c r="J1242" s="31"/>
    </row>
    <row r="1243" spans="1:10" ht="14.4" x14ac:dyDescent="0.3">
      <c r="A1243" s="28" t="str">
        <f>B1243&amp;C1243&amp;D1243&amp;E1243</f>
        <v>КнигиБукинистикаХудожественная литератураКлассическая проза</v>
      </c>
      <c r="B1243" s="29" t="s">
        <v>63</v>
      </c>
      <c r="C1243" s="29" t="s">
        <v>209</v>
      </c>
      <c r="D1243" s="29" t="s">
        <v>374</v>
      </c>
      <c r="E1243" s="29" t="s">
        <v>625</v>
      </c>
      <c r="F1243" s="30">
        <v>0.22</v>
      </c>
      <c r="G1243" s="31"/>
      <c r="H1243" s="31"/>
      <c r="I1243" s="31"/>
      <c r="J1243" s="31"/>
    </row>
    <row r="1244" spans="1:10" ht="14.4" x14ac:dyDescent="0.3">
      <c r="A1244" s="28" t="str">
        <f>B1244&amp;C1244&amp;D1244&amp;E1244</f>
        <v>Хобби и творчествоРисованиеСкетчбукиСкетчбуки</v>
      </c>
      <c r="B1244" s="29" t="s">
        <v>123</v>
      </c>
      <c r="C1244" s="29" t="s">
        <v>124</v>
      </c>
      <c r="D1244" s="29" t="s">
        <v>1356</v>
      </c>
      <c r="E1244" s="29" t="s">
        <v>1356</v>
      </c>
      <c r="F1244" s="30">
        <v>0.22</v>
      </c>
      <c r="G1244" s="31"/>
      <c r="H1244" s="31"/>
      <c r="I1244" s="31"/>
      <c r="J1244" s="31"/>
    </row>
    <row r="1245" spans="1:10" ht="14.4" x14ac:dyDescent="0.3">
      <c r="A1245" s="28" t="str">
        <f>B1245&amp;C1245&amp;D1245&amp;E1245</f>
        <v>Хобби и творчествоРукоделиеШитьеИнструменты</v>
      </c>
      <c r="B1245" s="29" t="s">
        <v>123</v>
      </c>
      <c r="C1245" s="29" t="s">
        <v>243</v>
      </c>
      <c r="D1245" s="29" t="s">
        <v>244</v>
      </c>
      <c r="E1245" s="29" t="s">
        <v>78</v>
      </c>
      <c r="F1245" s="30">
        <v>0.22</v>
      </c>
      <c r="G1245" s="31"/>
      <c r="H1245" s="31"/>
      <c r="I1245" s="31"/>
      <c r="J1245" s="31"/>
    </row>
    <row r="1246" spans="1:10" ht="14.4" x14ac:dyDescent="0.3">
      <c r="A1246" s="28" t="str">
        <f>B1246&amp;C1246&amp;D1246&amp;E1246</f>
        <v>Хобби и творчествоРукоделиеШитьеШнуры и шнурки</v>
      </c>
      <c r="B1246" s="29" t="s">
        <v>123</v>
      </c>
      <c r="C1246" s="29" t="s">
        <v>243</v>
      </c>
      <c r="D1246" s="29" t="s">
        <v>244</v>
      </c>
      <c r="E1246" s="29" t="s">
        <v>1390</v>
      </c>
      <c r="F1246" s="30">
        <v>0.22</v>
      </c>
      <c r="G1246" s="31"/>
      <c r="H1246" s="31"/>
      <c r="I1246" s="31"/>
      <c r="J1246" s="31"/>
    </row>
    <row r="1247" spans="1:10" ht="14.4" x14ac:dyDescent="0.3">
      <c r="A1247" s="28" t="str">
        <f>B1247&amp;C1247&amp;D1247&amp;E1247</f>
        <v>КнигиНехудожественная литератураИсторияАльтернативная история</v>
      </c>
      <c r="B1247" s="29" t="s">
        <v>63</v>
      </c>
      <c r="C1247" s="29" t="s">
        <v>141</v>
      </c>
      <c r="D1247" s="29" t="s">
        <v>951</v>
      </c>
      <c r="E1247" s="29" t="s">
        <v>1393</v>
      </c>
      <c r="F1247" s="30">
        <v>0.22</v>
      </c>
      <c r="G1247" s="31"/>
      <c r="H1247" s="31"/>
      <c r="I1247" s="31"/>
      <c r="J1247" s="31"/>
    </row>
    <row r="1248" spans="1:10" ht="14.4" x14ac:dyDescent="0.3">
      <c r="A1248" s="28" t="str">
        <f>B1248&amp;C1248&amp;D1248&amp;E1248</f>
        <v>ЗдоровьеВитамины и БАДыЙодЙод</v>
      </c>
      <c r="B1248" s="29" t="s">
        <v>116</v>
      </c>
      <c r="C1248" s="29" t="s">
        <v>707</v>
      </c>
      <c r="D1248" s="29" t="s">
        <v>1397</v>
      </c>
      <c r="E1248" s="29" t="s">
        <v>1397</v>
      </c>
      <c r="F1248" s="30">
        <v>0.22</v>
      </c>
      <c r="G1248" s="31"/>
      <c r="H1248" s="31"/>
      <c r="I1248" s="31"/>
      <c r="J1248" s="31"/>
    </row>
    <row r="1249" spans="1:10" ht="14.4" x14ac:dyDescent="0.3">
      <c r="A1249" s="28" t="str">
        <f>B1249&amp;C1249&amp;D1249&amp;E1249</f>
        <v>Хобби и творчествоРисованиеМольбертыМольберты</v>
      </c>
      <c r="B1249" s="29" t="s">
        <v>123</v>
      </c>
      <c r="C1249" s="29" t="s">
        <v>124</v>
      </c>
      <c r="D1249" s="29" t="s">
        <v>1406</v>
      </c>
      <c r="E1249" s="29" t="s">
        <v>1406</v>
      </c>
      <c r="F1249" s="30">
        <v>0.22</v>
      </c>
      <c r="G1249" s="31"/>
      <c r="H1249" s="31"/>
      <c r="I1249" s="31"/>
      <c r="J1249" s="31"/>
    </row>
    <row r="1250" spans="1:10" ht="14.4" x14ac:dyDescent="0.3">
      <c r="A1250" s="28" t="str">
        <f>B1250&amp;C1250&amp;D1250&amp;E1250</f>
        <v>КнигиНехудожественная литератураКомпьютерные технологии1С</v>
      </c>
      <c r="B1250" s="29" t="s">
        <v>63</v>
      </c>
      <c r="C1250" s="29" t="s">
        <v>141</v>
      </c>
      <c r="D1250" s="29" t="s">
        <v>450</v>
      </c>
      <c r="E1250" s="29" t="s">
        <v>1408</v>
      </c>
      <c r="F1250" s="30">
        <v>0.22</v>
      </c>
      <c r="G1250" s="31"/>
      <c r="H1250" s="31"/>
      <c r="I1250" s="31"/>
      <c r="J1250" s="31"/>
    </row>
    <row r="1251" spans="1:10" ht="14.4" x14ac:dyDescent="0.3">
      <c r="A1251" s="28" t="str">
        <f>B1251&amp;C1251&amp;D1251&amp;E1251</f>
        <v>Товары для домаТекстильПодушкиАнатомические подушки</v>
      </c>
      <c r="B1251" s="29" t="s">
        <v>59</v>
      </c>
      <c r="C1251" s="29" t="s">
        <v>325</v>
      </c>
      <c r="D1251" s="29" t="s">
        <v>1029</v>
      </c>
      <c r="E1251" s="29" t="s">
        <v>1425</v>
      </c>
      <c r="F1251" s="30">
        <v>0.22</v>
      </c>
      <c r="G1251" s="31"/>
      <c r="H1251" s="31"/>
      <c r="I1251" s="31"/>
      <c r="J1251" s="31"/>
    </row>
    <row r="1252" spans="1:10" ht="14.4" x14ac:dyDescent="0.3">
      <c r="A1252" s="28" t="str">
        <f>B1252&amp;C1252&amp;D1252&amp;E1252</f>
        <v>КнигиХудожественная литератураБоевикиБоевики</v>
      </c>
      <c r="B1252" s="29" t="s">
        <v>63</v>
      </c>
      <c r="C1252" s="29" t="s">
        <v>374</v>
      </c>
      <c r="D1252" s="29" t="s">
        <v>1467</v>
      </c>
      <c r="E1252" s="29" t="s">
        <v>1467</v>
      </c>
      <c r="F1252" s="30">
        <v>0.22</v>
      </c>
      <c r="G1252" s="31"/>
      <c r="H1252" s="31"/>
      <c r="I1252" s="31"/>
      <c r="J1252" s="31"/>
    </row>
    <row r="1253" spans="1:10" ht="14.4" x14ac:dyDescent="0.3">
      <c r="A1253" s="28" t="str">
        <f>B1253&amp;C1253&amp;D1253&amp;E1253</f>
        <v>Хобби и творчествоРукоделиеПрочие ремеслаПрочие ремесла</v>
      </c>
      <c r="B1253" s="29" t="s">
        <v>123</v>
      </c>
      <c r="C1253" s="29" t="s">
        <v>243</v>
      </c>
      <c r="D1253" s="29" t="s">
        <v>1508</v>
      </c>
      <c r="E1253" s="29" t="s">
        <v>1508</v>
      </c>
      <c r="F1253" s="30">
        <v>0.22</v>
      </c>
      <c r="G1253" s="31"/>
      <c r="H1253" s="31"/>
      <c r="I1253" s="31"/>
      <c r="J1253" s="31"/>
    </row>
    <row r="1254" spans="1:10" ht="14.4" x14ac:dyDescent="0.3">
      <c r="A1254" s="28" t="str">
        <f>B1254&amp;C1254&amp;D1254&amp;E1254</f>
        <v>ЗдоровьеВитамины и БАДыПротивопаразитарные средстваПротивопаразитарные средства</v>
      </c>
      <c r="B1254" s="29" t="s">
        <v>116</v>
      </c>
      <c r="C1254" s="29" t="s">
        <v>707</v>
      </c>
      <c r="D1254" s="29" t="s">
        <v>1541</v>
      </c>
      <c r="E1254" s="29" t="s">
        <v>1541</v>
      </c>
      <c r="F1254" s="30">
        <v>0.22</v>
      </c>
      <c r="G1254" s="31"/>
      <c r="H1254" s="31"/>
      <c r="I1254" s="31"/>
      <c r="J1254" s="31"/>
    </row>
    <row r="1255" spans="1:10" ht="14.4" x14ac:dyDescent="0.3">
      <c r="A1255" s="28" t="str">
        <f>B1255&amp;C1255&amp;D1255&amp;E1255</f>
        <v>Спорт и отдыхФитнес и йогаФитнесОбручи</v>
      </c>
      <c r="B1255" s="29" t="s">
        <v>101</v>
      </c>
      <c r="C1255" s="29" t="s">
        <v>169</v>
      </c>
      <c r="D1255" s="29" t="s">
        <v>170</v>
      </c>
      <c r="E1255" s="29" t="s">
        <v>1562</v>
      </c>
      <c r="F1255" s="30">
        <v>0.22</v>
      </c>
      <c r="G1255" s="31"/>
      <c r="H1255" s="31"/>
      <c r="I1255" s="31"/>
      <c r="J1255" s="31"/>
    </row>
    <row r="1256" spans="1:10" ht="14.4" x14ac:dyDescent="0.3">
      <c r="A1256" s="28" t="str">
        <f>B1256&amp;C1256&amp;D1256&amp;E1256</f>
        <v>ЗдоровьеВитамины и БАДыУкрепление иммунитетаУкрепление иммунитета</v>
      </c>
      <c r="B1256" s="29" t="s">
        <v>116</v>
      </c>
      <c r="C1256" s="29" t="s">
        <v>707</v>
      </c>
      <c r="D1256" s="29" t="s">
        <v>1576</v>
      </c>
      <c r="E1256" s="29" t="s">
        <v>1576</v>
      </c>
      <c r="F1256" s="30">
        <v>0.22</v>
      </c>
      <c r="G1256" s="31"/>
      <c r="H1256" s="31"/>
      <c r="I1256" s="31"/>
      <c r="J1256" s="31"/>
    </row>
    <row r="1257" spans="1:10" ht="14.4" x14ac:dyDescent="0.3">
      <c r="A1257" s="28" t="str">
        <f>B1257&amp;C1257&amp;D1257&amp;E1257</f>
        <v>ЗдоровьеВитамины и БАДыСпециализированное питаниеСпециализированное питание</v>
      </c>
      <c r="B1257" s="29" t="s">
        <v>116</v>
      </c>
      <c r="C1257" s="29" t="s">
        <v>707</v>
      </c>
      <c r="D1257" s="29" t="s">
        <v>1578</v>
      </c>
      <c r="E1257" s="29" t="s">
        <v>1578</v>
      </c>
      <c r="F1257" s="30">
        <v>0.22</v>
      </c>
      <c r="G1257" s="31"/>
      <c r="H1257" s="31"/>
      <c r="I1257" s="31"/>
      <c r="J1257" s="31"/>
    </row>
    <row r="1258" spans="1:10" ht="14.4" x14ac:dyDescent="0.3">
      <c r="A1258" s="28" t="str">
        <f>B1258&amp;C1258&amp;D1258&amp;E1258</f>
        <v>Хобби и творчествоРисованиеГрафикаМаркеры</v>
      </c>
      <c r="B1258" s="29" t="s">
        <v>123</v>
      </c>
      <c r="C1258" s="29" t="s">
        <v>124</v>
      </c>
      <c r="D1258" s="29" t="s">
        <v>125</v>
      </c>
      <c r="E1258" s="29" t="s">
        <v>685</v>
      </c>
      <c r="F1258" s="30">
        <v>0.22</v>
      </c>
      <c r="G1258" s="31"/>
      <c r="H1258" s="31"/>
      <c r="I1258" s="31"/>
      <c r="J1258" s="31"/>
    </row>
    <row r="1259" spans="1:10" ht="14.4" x14ac:dyDescent="0.3">
      <c r="A1259" s="28" t="str">
        <f>B1259&amp;C1259&amp;D1259&amp;E1259</f>
        <v>КнигиДетям и родителямПознавательная литератураИстория, искусство и культура</v>
      </c>
      <c r="B1259" s="29" t="s">
        <v>63</v>
      </c>
      <c r="C1259" s="29" t="s">
        <v>258</v>
      </c>
      <c r="D1259" s="29" t="s">
        <v>475</v>
      </c>
      <c r="E1259" s="29" t="s">
        <v>1589</v>
      </c>
      <c r="F1259" s="30">
        <v>0.22</v>
      </c>
      <c r="G1259" s="31"/>
      <c r="H1259" s="31"/>
      <c r="I1259" s="31"/>
      <c r="J1259" s="31"/>
    </row>
    <row r="1260" spans="1:10" ht="14.4" x14ac:dyDescent="0.3">
      <c r="A1260" s="28" t="str">
        <f>B1260&amp;C1260&amp;D1260&amp;E1260</f>
        <v>Спорт и отдыхФитнес и йогаЙога и пилатесПодушки, покрывала, полотенца для йоги и пилатеса</v>
      </c>
      <c r="B1260" s="29" t="s">
        <v>101</v>
      </c>
      <c r="C1260" s="29" t="s">
        <v>169</v>
      </c>
      <c r="D1260" s="29" t="s">
        <v>304</v>
      </c>
      <c r="E1260" s="29" t="s">
        <v>1605</v>
      </c>
      <c r="F1260" s="30">
        <v>0.22</v>
      </c>
      <c r="G1260" s="31"/>
      <c r="H1260" s="31"/>
      <c r="I1260" s="31"/>
      <c r="J1260" s="31"/>
    </row>
    <row r="1261" spans="1:10" ht="14.4" x14ac:dyDescent="0.3">
      <c r="A1261" s="28" t="str">
        <f>B1261&amp;C1261&amp;D1261&amp;E1261</f>
        <v>КнигиНехудожественная литератураКомпьютерные технологииАнализ данных</v>
      </c>
      <c r="B1261" s="29" t="s">
        <v>63</v>
      </c>
      <c r="C1261" s="29" t="s">
        <v>141</v>
      </c>
      <c r="D1261" s="29" t="s">
        <v>450</v>
      </c>
      <c r="E1261" s="29" t="s">
        <v>1614</v>
      </c>
      <c r="F1261" s="30">
        <v>0.22</v>
      </c>
      <c r="G1261" s="31"/>
      <c r="H1261" s="31"/>
      <c r="I1261" s="31"/>
      <c r="J1261" s="31"/>
    </row>
    <row r="1262" spans="1:10" ht="14.4" x14ac:dyDescent="0.3">
      <c r="A1262" s="28" t="str">
        <f>B1262&amp;C1262&amp;D1262&amp;E1262</f>
        <v>Хобби и творчествоРукоделиеВязаниеСпицы и крючки</v>
      </c>
      <c r="B1262" s="29" t="s">
        <v>123</v>
      </c>
      <c r="C1262" s="29" t="s">
        <v>243</v>
      </c>
      <c r="D1262" s="29" t="s">
        <v>1617</v>
      </c>
      <c r="E1262" s="29" t="s">
        <v>1618</v>
      </c>
      <c r="F1262" s="30">
        <v>0.22</v>
      </c>
      <c r="G1262" s="31"/>
      <c r="H1262" s="31"/>
      <c r="I1262" s="31"/>
      <c r="J1262" s="31"/>
    </row>
    <row r="1263" spans="1:10" ht="14.4" x14ac:dyDescent="0.3">
      <c r="A1263" s="28" t="str">
        <f>B1263&amp;C1263&amp;D1263&amp;E1263</f>
        <v>Хобби и творчествоПрочие хоббиЭпоксидная смолаЭпоксидная смола</v>
      </c>
      <c r="B1263" s="29" t="s">
        <v>123</v>
      </c>
      <c r="C1263" s="29" t="s">
        <v>736</v>
      </c>
      <c r="D1263" s="29" t="s">
        <v>1627</v>
      </c>
      <c r="E1263" s="29" t="s">
        <v>1627</v>
      </c>
      <c r="F1263" s="30">
        <v>0.22</v>
      </c>
      <c r="G1263" s="31"/>
      <c r="H1263" s="31"/>
      <c r="I1263" s="31"/>
      <c r="J1263" s="31"/>
    </row>
    <row r="1264" spans="1:10" ht="14.4" x14ac:dyDescent="0.3">
      <c r="A1264" s="28" t="str">
        <f>B1264&amp;C1264&amp;D1264&amp;E1264</f>
        <v>КнигиАнтикварные книгиНехудожественная литератураНехудожественная литература</v>
      </c>
      <c r="B1264" s="29" t="s">
        <v>63</v>
      </c>
      <c r="C1264" s="29" t="s">
        <v>404</v>
      </c>
      <c r="D1264" s="29" t="s">
        <v>141</v>
      </c>
      <c r="E1264" s="29" t="s">
        <v>141</v>
      </c>
      <c r="F1264" s="30">
        <v>0.22</v>
      </c>
      <c r="G1264" s="31"/>
      <c r="H1264" s="31"/>
      <c r="I1264" s="31"/>
      <c r="J1264" s="31"/>
    </row>
    <row r="1265" spans="1:10" ht="14.4" x14ac:dyDescent="0.3">
      <c r="A1265" s="28" t="str">
        <f>B1265&amp;C1265&amp;D1265&amp;E1265</f>
        <v>Товары для домаТекстильПодушкиПодушки и наволочки декоративные</v>
      </c>
      <c r="B1265" s="29" t="s">
        <v>59</v>
      </c>
      <c r="C1265" s="29" t="s">
        <v>325</v>
      </c>
      <c r="D1265" s="29" t="s">
        <v>1029</v>
      </c>
      <c r="E1265" s="29" t="s">
        <v>1731</v>
      </c>
      <c r="F1265" s="30">
        <v>0.22</v>
      </c>
      <c r="G1265" s="31"/>
      <c r="H1265" s="31"/>
      <c r="I1265" s="31"/>
      <c r="J1265" s="31"/>
    </row>
    <row r="1266" spans="1:10" ht="14.4" x14ac:dyDescent="0.3">
      <c r="A1266" s="28" t="str">
        <f>B1266&amp;C1266&amp;D1266&amp;E1266</f>
        <v>ЗдоровьеВитамины и БАДыРыбий жир и омега-3Рыбий жир и омега-3</v>
      </c>
      <c r="B1266" s="29" t="s">
        <v>116</v>
      </c>
      <c r="C1266" s="29" t="s">
        <v>707</v>
      </c>
      <c r="D1266" s="29" t="s">
        <v>1732</v>
      </c>
      <c r="E1266" s="29" t="s">
        <v>1732</v>
      </c>
      <c r="F1266" s="30">
        <v>0.22</v>
      </c>
      <c r="G1266" s="31"/>
      <c r="H1266" s="31"/>
      <c r="I1266" s="31"/>
      <c r="J1266" s="31"/>
    </row>
    <row r="1267" spans="1:10" ht="14.4" x14ac:dyDescent="0.3">
      <c r="A1267" s="28" t="str">
        <f>B1267&amp;C1267&amp;D1267&amp;E1267</f>
        <v>Хобби и творчествоРисованиеПланшеты для рисованияПланшеты для рисования</v>
      </c>
      <c r="B1267" s="29" t="s">
        <v>123</v>
      </c>
      <c r="C1267" s="29" t="s">
        <v>124</v>
      </c>
      <c r="D1267" s="29" t="s">
        <v>1733</v>
      </c>
      <c r="E1267" s="29" t="s">
        <v>1733</v>
      </c>
      <c r="F1267" s="30">
        <v>0.22</v>
      </c>
      <c r="G1267" s="31"/>
      <c r="H1267" s="31"/>
      <c r="I1267" s="31"/>
      <c r="J1267" s="31"/>
    </row>
    <row r="1268" spans="1:10" ht="14.4" x14ac:dyDescent="0.3">
      <c r="A1268" s="28" t="str">
        <f>B1268&amp;C1268&amp;D1268&amp;E1268</f>
        <v>ЗдоровьеВитамины и БАДыМужское здоровьеМужское здоровье</v>
      </c>
      <c r="B1268" s="29" t="s">
        <v>116</v>
      </c>
      <c r="C1268" s="29" t="s">
        <v>707</v>
      </c>
      <c r="D1268" s="29" t="s">
        <v>1739</v>
      </c>
      <c r="E1268" s="29" t="s">
        <v>1739</v>
      </c>
      <c r="F1268" s="30">
        <v>0.22</v>
      </c>
      <c r="G1268" s="31"/>
      <c r="H1268" s="31"/>
      <c r="I1268" s="31"/>
      <c r="J1268" s="31"/>
    </row>
    <row r="1269" spans="1:10" ht="14.4" x14ac:dyDescent="0.3">
      <c r="A1269" s="28" t="str">
        <f>B1269&amp;C1269&amp;D1269&amp;E1269</f>
        <v>Хобби и творчествоГадания и эзотерикаГадальные картыГадальные карты</v>
      </c>
      <c r="B1269" s="29" t="s">
        <v>123</v>
      </c>
      <c r="C1269" s="29" t="s">
        <v>909</v>
      </c>
      <c r="D1269" s="29" t="s">
        <v>1779</v>
      </c>
      <c r="E1269" s="29" t="s">
        <v>1779</v>
      </c>
      <c r="F1269" s="30">
        <v>0.22</v>
      </c>
      <c r="G1269" s="31"/>
      <c r="H1269" s="31"/>
      <c r="I1269" s="31"/>
      <c r="J1269" s="31"/>
    </row>
    <row r="1270" spans="1:10" ht="14.4" x14ac:dyDescent="0.3">
      <c r="A1270" s="28" t="str">
        <f>B1270&amp;C1270&amp;D1270&amp;E1270</f>
        <v>Товары для домаТовары для кухниПосуда для приготовленияКрышки для посуды</v>
      </c>
      <c r="B1270" s="29" t="s">
        <v>59</v>
      </c>
      <c r="C1270" s="29" t="s">
        <v>60</v>
      </c>
      <c r="D1270" s="29" t="s">
        <v>487</v>
      </c>
      <c r="E1270" s="29" t="s">
        <v>1780</v>
      </c>
      <c r="F1270" s="30">
        <v>0.22</v>
      </c>
      <c r="G1270" s="31"/>
      <c r="H1270" s="31"/>
      <c r="I1270" s="31"/>
      <c r="J1270" s="31"/>
    </row>
    <row r="1271" spans="1:10" ht="14.4" x14ac:dyDescent="0.3">
      <c r="A1271" s="28" t="str">
        <f>B1271&amp;C1271&amp;D1271&amp;E1271</f>
        <v>Хобби и творчествоСоздание картин, фоторамок, открытокКартины по номерамГорода и архитектура</v>
      </c>
      <c r="B1271" s="29" t="s">
        <v>123</v>
      </c>
      <c r="C1271" s="29" t="s">
        <v>506</v>
      </c>
      <c r="D1271" s="29" t="s">
        <v>507</v>
      </c>
      <c r="E1271" s="29" t="s">
        <v>1794</v>
      </c>
      <c r="F1271" s="30">
        <v>0.22</v>
      </c>
      <c r="G1271" s="31"/>
      <c r="H1271" s="31"/>
      <c r="I1271" s="31"/>
      <c r="J1271" s="31"/>
    </row>
    <row r="1272" spans="1:10" ht="14.4" x14ac:dyDescent="0.3">
      <c r="A1272" s="28" t="str">
        <f>B1272&amp;C1272&amp;D1272&amp;E1272</f>
        <v>КнигиБизнес-литератураИндустрииИндустрии</v>
      </c>
      <c r="B1272" s="29" t="s">
        <v>63</v>
      </c>
      <c r="C1272" s="29" t="s">
        <v>1032</v>
      </c>
      <c r="D1272" s="29" t="s">
        <v>1802</v>
      </c>
      <c r="E1272" s="29" t="s">
        <v>1802</v>
      </c>
      <c r="F1272" s="30">
        <v>0.22</v>
      </c>
      <c r="G1272" s="31"/>
      <c r="H1272" s="31"/>
      <c r="I1272" s="31"/>
      <c r="J1272" s="31"/>
    </row>
    <row r="1273" spans="1:10" ht="14.4" x14ac:dyDescent="0.3">
      <c r="A1273" s="28" t="str">
        <f>B1273&amp;C1273&amp;D1273&amp;E1273</f>
        <v>Хобби и творчествоРукоделиеВязаниеПряжа</v>
      </c>
      <c r="B1273" s="29" t="s">
        <v>123</v>
      </c>
      <c r="C1273" s="29" t="s">
        <v>243</v>
      </c>
      <c r="D1273" s="29" t="s">
        <v>1617</v>
      </c>
      <c r="E1273" s="29" t="s">
        <v>1808</v>
      </c>
      <c r="F1273" s="30">
        <v>0.22</v>
      </c>
      <c r="G1273" s="31"/>
      <c r="H1273" s="31"/>
      <c r="I1273" s="31"/>
      <c r="J1273" s="31"/>
    </row>
    <row r="1274" spans="1:10" ht="14.4" x14ac:dyDescent="0.3">
      <c r="A1274" s="28" t="str">
        <f>B1274&amp;C1274&amp;D1274&amp;E1274</f>
        <v>Хобби и творчествоПазлы, мозаика и фрескаНаборы для рисования пескомНаборы для рисования песком</v>
      </c>
      <c r="B1274" s="29" t="s">
        <v>123</v>
      </c>
      <c r="C1274" s="29" t="s">
        <v>1081</v>
      </c>
      <c r="D1274" s="29" t="s">
        <v>1819</v>
      </c>
      <c r="E1274" s="29" t="s">
        <v>1819</v>
      </c>
      <c r="F1274" s="30">
        <v>0.22</v>
      </c>
      <c r="G1274" s="31"/>
      <c r="H1274" s="31"/>
      <c r="I1274" s="31"/>
      <c r="J1274" s="31"/>
    </row>
    <row r="1275" spans="1:10" ht="14.4" x14ac:dyDescent="0.3">
      <c r="A1275" s="28" t="str">
        <f>B1275&amp;C1275&amp;D1275&amp;E1275</f>
        <v>Хобби и творчествоРисованиеИнструменты и принадлежностиИнструменты и принадлежности</v>
      </c>
      <c r="B1275" s="29" t="s">
        <v>123</v>
      </c>
      <c r="C1275" s="29" t="s">
        <v>124</v>
      </c>
      <c r="D1275" s="29" t="s">
        <v>1823</v>
      </c>
      <c r="E1275" s="29" t="s">
        <v>1823</v>
      </c>
      <c r="F1275" s="30">
        <v>0.22</v>
      </c>
      <c r="G1275" s="31"/>
      <c r="H1275" s="31"/>
      <c r="I1275" s="31"/>
      <c r="J1275" s="31"/>
    </row>
    <row r="1276" spans="1:10" ht="14.4" x14ac:dyDescent="0.3">
      <c r="A1276" s="28" t="str">
        <f>B1276&amp;C1276&amp;D1276&amp;E1276</f>
        <v>ЗдоровьеВитамины и БАДыБальзамы и сиропыБальзамы и сиропы</v>
      </c>
      <c r="B1276" s="29" t="s">
        <v>116</v>
      </c>
      <c r="C1276" s="29" t="s">
        <v>707</v>
      </c>
      <c r="D1276" s="29" t="s">
        <v>1832</v>
      </c>
      <c r="E1276" s="29" t="s">
        <v>1832</v>
      </c>
      <c r="F1276" s="30">
        <v>0.22</v>
      </c>
      <c r="G1276" s="31"/>
      <c r="H1276" s="31"/>
      <c r="I1276" s="31"/>
      <c r="J1276" s="31"/>
    </row>
    <row r="1277" spans="1:10" ht="14.4" x14ac:dyDescent="0.3">
      <c r="A1277" s="28" t="str">
        <f>B1277&amp;C1277&amp;D1277&amp;E1277</f>
        <v>Спорт и отдыхФитнес и йогаГаджеты для фитнесаГаджеты для фитнеса</v>
      </c>
      <c r="B1277" s="29" t="s">
        <v>101</v>
      </c>
      <c r="C1277" s="29" t="s">
        <v>169</v>
      </c>
      <c r="D1277" s="29" t="s">
        <v>1871</v>
      </c>
      <c r="E1277" s="29" t="s">
        <v>1871</v>
      </c>
      <c r="F1277" s="30">
        <v>0.22</v>
      </c>
      <c r="G1277" s="31"/>
      <c r="H1277" s="31"/>
      <c r="I1277" s="31"/>
      <c r="J1277" s="31"/>
    </row>
    <row r="1278" spans="1:10" ht="14.4" x14ac:dyDescent="0.3">
      <c r="A1278" s="28" t="str">
        <f>B1278&amp;C1278&amp;D1278&amp;E1278</f>
        <v>ЗдоровьеВитамины и БАДыВитаминно-минеральные комплексыВитаминно-минеральные комплексы</v>
      </c>
      <c r="B1278" s="29" t="s">
        <v>116</v>
      </c>
      <c r="C1278" s="29" t="s">
        <v>707</v>
      </c>
      <c r="D1278" s="29" t="s">
        <v>1874</v>
      </c>
      <c r="E1278" s="29" t="s">
        <v>1874</v>
      </c>
      <c r="F1278" s="30">
        <v>0.22</v>
      </c>
      <c r="G1278" s="31"/>
      <c r="H1278" s="31"/>
      <c r="I1278" s="31"/>
      <c r="J1278" s="31"/>
    </row>
    <row r="1279" spans="1:10" ht="14.4" x14ac:dyDescent="0.3">
      <c r="A1279" s="28" t="str">
        <f>B1279&amp;C1279&amp;D1279&amp;E1279</f>
        <v>Товары для домаТовары для кухниПосуда для приготовленияНаборы посуды для приготовления</v>
      </c>
      <c r="B1279" s="29" t="s">
        <v>59</v>
      </c>
      <c r="C1279" s="29" t="s">
        <v>60</v>
      </c>
      <c r="D1279" s="29" t="s">
        <v>487</v>
      </c>
      <c r="E1279" s="29" t="s">
        <v>1897</v>
      </c>
      <c r="F1279" s="30">
        <v>0.22</v>
      </c>
      <c r="G1279" s="31"/>
      <c r="H1279" s="31"/>
      <c r="I1279" s="31"/>
      <c r="J1279" s="31"/>
    </row>
    <row r="1280" spans="1:10" ht="14.4" x14ac:dyDescent="0.3">
      <c r="A1280" s="28" t="str">
        <f>B1280&amp;C1280&amp;D1280&amp;E1280</f>
        <v>ЗдоровьеВитамины и БАДыДля сердца и сосудовДля сердца и сосудов</v>
      </c>
      <c r="B1280" s="29" t="s">
        <v>116</v>
      </c>
      <c r="C1280" s="29" t="s">
        <v>707</v>
      </c>
      <c r="D1280" s="29" t="s">
        <v>1908</v>
      </c>
      <c r="E1280" s="29" t="s">
        <v>1908</v>
      </c>
      <c r="F1280" s="30">
        <v>0.22</v>
      </c>
      <c r="G1280" s="31"/>
      <c r="H1280" s="31"/>
      <c r="I1280" s="31"/>
      <c r="J1280" s="31"/>
    </row>
    <row r="1281" spans="1:10" ht="14.4" x14ac:dyDescent="0.3">
      <c r="A1281" s="28" t="str">
        <f>B1281&amp;C1281&amp;D1281&amp;E1281</f>
        <v>КнигиДетям и родителямПознавательная литератураТело человека</v>
      </c>
      <c r="B1281" s="29" t="s">
        <v>63</v>
      </c>
      <c r="C1281" s="29" t="s">
        <v>258</v>
      </c>
      <c r="D1281" s="29" t="s">
        <v>475</v>
      </c>
      <c r="E1281" s="29" t="s">
        <v>1928</v>
      </c>
      <c r="F1281" s="30">
        <v>0.22</v>
      </c>
      <c r="G1281" s="31"/>
      <c r="H1281" s="31"/>
      <c r="I1281" s="31"/>
      <c r="J1281" s="31"/>
    </row>
    <row r="1282" spans="1:10" ht="14.4" x14ac:dyDescent="0.3">
      <c r="A1282" s="28" t="str">
        <f>B1282&amp;C1282&amp;D1282&amp;E1282</f>
        <v>Товары для домаТекстильПостельное бельеНаволочки</v>
      </c>
      <c r="B1282" s="29" t="s">
        <v>59</v>
      </c>
      <c r="C1282" s="29" t="s">
        <v>325</v>
      </c>
      <c r="D1282" s="29" t="s">
        <v>820</v>
      </c>
      <c r="E1282" s="29" t="s">
        <v>1944</v>
      </c>
      <c r="F1282" s="30">
        <v>0.22</v>
      </c>
      <c r="G1282" s="31"/>
      <c r="H1282" s="31"/>
      <c r="I1282" s="31"/>
      <c r="J1282" s="31"/>
    </row>
    <row r="1283" spans="1:10" ht="14.4" x14ac:dyDescent="0.3">
      <c r="A1283" s="28" t="str">
        <f>B1283&amp;C1283&amp;D1283&amp;E1283</f>
        <v>Хобби и творчествоРукоделиеМатериалы для рукоделияМатериалы для рукоделия</v>
      </c>
      <c r="B1283" s="29" t="s">
        <v>123</v>
      </c>
      <c r="C1283" s="29" t="s">
        <v>243</v>
      </c>
      <c r="D1283" s="29" t="s">
        <v>1967</v>
      </c>
      <c r="E1283" s="29" t="s">
        <v>1967</v>
      </c>
      <c r="F1283" s="30">
        <v>0.22</v>
      </c>
      <c r="G1283" s="31"/>
      <c r="H1283" s="31"/>
      <c r="I1283" s="31"/>
      <c r="J1283" s="31"/>
    </row>
    <row r="1284" spans="1:10" ht="14.4" x14ac:dyDescent="0.3">
      <c r="A1284" s="28" t="str">
        <f>B1284&amp;C1284&amp;D1284&amp;E1284</f>
        <v>Товары для домаТовары для кухниПосуда для приготовленияПосуда для духовки</v>
      </c>
      <c r="B1284" s="29" t="s">
        <v>59</v>
      </c>
      <c r="C1284" s="29" t="s">
        <v>60</v>
      </c>
      <c r="D1284" s="29" t="s">
        <v>487</v>
      </c>
      <c r="E1284" s="29" t="s">
        <v>1981</v>
      </c>
      <c r="F1284" s="30">
        <v>0.22</v>
      </c>
      <c r="G1284" s="31"/>
      <c r="H1284" s="31"/>
      <c r="I1284" s="31"/>
      <c r="J1284" s="31"/>
    </row>
    <row r="1285" spans="1:10" ht="14.4" x14ac:dyDescent="0.3">
      <c r="A1285" s="28" t="str">
        <f>B1285&amp;C1285&amp;D1285&amp;E1285</f>
        <v>Хобби и творчествоНастольные и карточные игрыШахматы, шашки, нардыШахматы, шашки, нарды</v>
      </c>
      <c r="B1285" s="29" t="s">
        <v>123</v>
      </c>
      <c r="C1285" s="29" t="s">
        <v>441</v>
      </c>
      <c r="D1285" s="29" t="s">
        <v>1983</v>
      </c>
      <c r="E1285" s="29" t="s">
        <v>1983</v>
      </c>
      <c r="F1285" s="30">
        <v>0.22</v>
      </c>
      <c r="G1285" s="31"/>
      <c r="H1285" s="31"/>
      <c r="I1285" s="31"/>
      <c r="J1285" s="31"/>
    </row>
    <row r="1286" spans="1:10" ht="14.4" x14ac:dyDescent="0.3">
      <c r="A1286" s="28" t="str">
        <f>B1286&amp;C1286&amp;D1286&amp;E1286</f>
        <v>Товары для домаТекстильШторы и карнизыКарнизы</v>
      </c>
      <c r="B1286" s="29" t="s">
        <v>59</v>
      </c>
      <c r="C1286" s="29" t="s">
        <v>325</v>
      </c>
      <c r="D1286" s="29" t="s">
        <v>334</v>
      </c>
      <c r="E1286" s="29" t="s">
        <v>1992</v>
      </c>
      <c r="F1286" s="30">
        <v>0.22</v>
      </c>
      <c r="G1286" s="31"/>
      <c r="H1286" s="31"/>
      <c r="I1286" s="31"/>
      <c r="J1286" s="31"/>
    </row>
    <row r="1287" spans="1:10" ht="14.4" x14ac:dyDescent="0.3">
      <c r="A1287" s="28" t="str">
        <f>B1287&amp;C1287&amp;D1287&amp;E1287</f>
        <v>Хобби и творчествоПрочие хоббиМыловарениеМыловарение</v>
      </c>
      <c r="B1287" s="29" t="s">
        <v>123</v>
      </c>
      <c r="C1287" s="29" t="s">
        <v>736</v>
      </c>
      <c r="D1287" s="29" t="s">
        <v>1999</v>
      </c>
      <c r="E1287" s="29" t="s">
        <v>1999</v>
      </c>
      <c r="F1287" s="30">
        <v>0.22</v>
      </c>
      <c r="G1287" s="31"/>
      <c r="H1287" s="31"/>
      <c r="I1287" s="31"/>
      <c r="J1287" s="31"/>
    </row>
    <row r="1288" spans="1:10" ht="14.4" x14ac:dyDescent="0.3">
      <c r="A1288" s="28" t="str">
        <f>B1288&amp;C1288&amp;D1288&amp;E1288</f>
        <v>КнигиНехудожественная литератураНаучная литератураФизика</v>
      </c>
      <c r="B1288" s="29" t="s">
        <v>63</v>
      </c>
      <c r="C1288" s="29" t="s">
        <v>141</v>
      </c>
      <c r="D1288" s="29" t="s">
        <v>1224</v>
      </c>
      <c r="E1288" s="29" t="s">
        <v>2000</v>
      </c>
      <c r="F1288" s="30">
        <v>0.22</v>
      </c>
      <c r="G1288" s="31"/>
      <c r="H1288" s="31"/>
      <c r="I1288" s="31"/>
      <c r="J1288" s="31"/>
    </row>
    <row r="1289" spans="1:10" ht="14.4" x14ac:dyDescent="0.3">
      <c r="A1289" s="28" t="str">
        <f>B1289&amp;C1289&amp;D1289&amp;E1289</f>
        <v>Товары для домаТекстильКовры и ковровые дорожкиЗащитные коврики для пола</v>
      </c>
      <c r="B1289" s="29" t="s">
        <v>59</v>
      </c>
      <c r="C1289" s="29" t="s">
        <v>325</v>
      </c>
      <c r="D1289" s="29" t="s">
        <v>753</v>
      </c>
      <c r="E1289" s="29" t="s">
        <v>2012</v>
      </c>
      <c r="F1289" s="30">
        <v>0.22</v>
      </c>
      <c r="G1289" s="31"/>
      <c r="H1289" s="31"/>
      <c r="I1289" s="31"/>
      <c r="J1289" s="31"/>
    </row>
    <row r="1290" spans="1:10" ht="14.4" x14ac:dyDescent="0.3">
      <c r="A1290" s="28" t="str">
        <f>B1290&amp;C1290&amp;D1290&amp;E1290</f>
        <v>ЗдоровьеВитамины и БАДыДля печениДля печени</v>
      </c>
      <c r="B1290" s="29" t="s">
        <v>116</v>
      </c>
      <c r="C1290" s="29" t="s">
        <v>707</v>
      </c>
      <c r="D1290" s="29" t="s">
        <v>2039</v>
      </c>
      <c r="E1290" s="29" t="s">
        <v>2039</v>
      </c>
      <c r="F1290" s="30">
        <v>0.22</v>
      </c>
      <c r="G1290" s="31"/>
      <c r="H1290" s="31"/>
      <c r="I1290" s="31"/>
      <c r="J1290" s="31"/>
    </row>
    <row r="1291" spans="1:10" ht="14.4" x14ac:dyDescent="0.3">
      <c r="A1291" s="28" t="str">
        <f>B1291&amp;C1291&amp;D1291&amp;E1291</f>
        <v>КнигиДетям и родителямДосуг и творчество детейПраздники и подвижные игры</v>
      </c>
      <c r="B1291" s="29" t="s">
        <v>63</v>
      </c>
      <c r="C1291" s="29" t="s">
        <v>258</v>
      </c>
      <c r="D1291" s="29" t="s">
        <v>829</v>
      </c>
      <c r="E1291" s="29" t="s">
        <v>2042</v>
      </c>
      <c r="F1291" s="30">
        <v>0.22</v>
      </c>
      <c r="G1291" s="31"/>
      <c r="H1291" s="31"/>
      <c r="I1291" s="31"/>
      <c r="J1291" s="31"/>
    </row>
    <row r="1292" spans="1:10" ht="14.4" x14ac:dyDescent="0.3">
      <c r="A1292" s="28" t="str">
        <f>B1292&amp;C1292&amp;D1292&amp;E1292</f>
        <v>КнигиНехудожественная литератураНаучная литератураБиология</v>
      </c>
      <c r="B1292" s="29" t="s">
        <v>63</v>
      </c>
      <c r="C1292" s="29" t="s">
        <v>141</v>
      </c>
      <c r="D1292" s="29" t="s">
        <v>1224</v>
      </c>
      <c r="E1292" s="29" t="s">
        <v>2051</v>
      </c>
      <c r="F1292" s="30">
        <v>0.22</v>
      </c>
      <c r="G1292" s="31"/>
      <c r="H1292" s="31"/>
      <c r="I1292" s="31"/>
      <c r="J1292" s="31"/>
    </row>
    <row r="1293" spans="1:10" ht="14.4" x14ac:dyDescent="0.3">
      <c r="A1293" s="28" t="str">
        <f>B1293&amp;C1293&amp;D1293&amp;E1293</f>
        <v>ЗдоровьеВитамины и БАДыКожа, волосы и ногтиКожа, волосы и ногти</v>
      </c>
      <c r="B1293" s="29" t="s">
        <v>116</v>
      </c>
      <c r="C1293" s="29" t="s">
        <v>707</v>
      </c>
      <c r="D1293" s="29" t="s">
        <v>2083</v>
      </c>
      <c r="E1293" s="29" t="s">
        <v>2083</v>
      </c>
      <c r="F1293" s="30">
        <v>0.22</v>
      </c>
      <c r="G1293" s="31"/>
      <c r="H1293" s="31"/>
      <c r="I1293" s="31"/>
      <c r="J1293" s="31"/>
    </row>
    <row r="1294" spans="1:10" ht="14.4" x14ac:dyDescent="0.3">
      <c r="A1294" s="28" t="str">
        <f>B1294&amp;C1294&amp;D1294&amp;E1294</f>
        <v>Спорт и отдыхСкейтбордингСкейтбордыСкейтборды</v>
      </c>
      <c r="B1294" s="29" t="s">
        <v>101</v>
      </c>
      <c r="C1294" s="29" t="s">
        <v>268</v>
      </c>
      <c r="D1294" s="29" t="s">
        <v>2088</v>
      </c>
      <c r="E1294" s="29" t="s">
        <v>2088</v>
      </c>
      <c r="F1294" s="30">
        <v>0.22</v>
      </c>
      <c r="G1294" s="31"/>
      <c r="H1294" s="31"/>
      <c r="I1294" s="31"/>
      <c r="J1294" s="31"/>
    </row>
    <row r="1295" spans="1:10" ht="14.4" x14ac:dyDescent="0.3">
      <c r="A1295" s="28" t="str">
        <f>B1295&amp;C1295&amp;D1295&amp;E1295</f>
        <v>Хобби и творчествоСоздание картин, фоторамок, открытокНаборы для создания фоторамокНаборы для создания фоторамок</v>
      </c>
      <c r="B1295" s="29" t="s">
        <v>123</v>
      </c>
      <c r="C1295" s="29" t="s">
        <v>506</v>
      </c>
      <c r="D1295" s="29" t="s">
        <v>2092</v>
      </c>
      <c r="E1295" s="29" t="s">
        <v>2092</v>
      </c>
      <c r="F1295" s="30">
        <v>0.22</v>
      </c>
      <c r="G1295" s="31"/>
      <c r="H1295" s="31"/>
      <c r="I1295" s="31"/>
      <c r="J1295" s="31"/>
    </row>
    <row r="1296" spans="1:10" ht="14.4" x14ac:dyDescent="0.3">
      <c r="A1296" s="28" t="str">
        <f>B1296&amp;C1296&amp;D1296&amp;E1296</f>
        <v>ЗдоровьеВитамины и БАДыДля почекДля почек</v>
      </c>
      <c r="B1296" s="29" t="s">
        <v>116</v>
      </c>
      <c r="C1296" s="29" t="s">
        <v>707</v>
      </c>
      <c r="D1296" s="29" t="s">
        <v>2094</v>
      </c>
      <c r="E1296" s="29" t="s">
        <v>2094</v>
      </c>
      <c r="F1296" s="30">
        <v>0.22</v>
      </c>
      <c r="G1296" s="31"/>
      <c r="H1296" s="31"/>
      <c r="I1296" s="31"/>
      <c r="J1296" s="31"/>
    </row>
    <row r="1297" spans="1:10" ht="14.4" x14ac:dyDescent="0.3">
      <c r="A1297" s="28" t="str">
        <f>B1297&amp;C1297&amp;D1297&amp;E1297</f>
        <v>Спорт и отдыхФитнес и йогаЙога и пилатесНаборы для йоги и пилатеса</v>
      </c>
      <c r="B1297" s="29" t="s">
        <v>101</v>
      </c>
      <c r="C1297" s="29" t="s">
        <v>169</v>
      </c>
      <c r="D1297" s="29" t="s">
        <v>304</v>
      </c>
      <c r="E1297" s="29" t="s">
        <v>2099</v>
      </c>
      <c r="F1297" s="30">
        <v>0.22</v>
      </c>
      <c r="G1297" s="31"/>
      <c r="H1297" s="31"/>
      <c r="I1297" s="31"/>
      <c r="J1297" s="31"/>
    </row>
    <row r="1298" spans="1:10" ht="14.4" x14ac:dyDescent="0.3">
      <c r="A1298" s="28" t="str">
        <f>B1298&amp;C1298&amp;D1298&amp;E1298</f>
        <v>Спорт и отдыхФитнес и йогаФитнесСкакалки</v>
      </c>
      <c r="B1298" s="29" t="s">
        <v>101</v>
      </c>
      <c r="C1298" s="29" t="s">
        <v>169</v>
      </c>
      <c r="D1298" s="29" t="s">
        <v>170</v>
      </c>
      <c r="E1298" s="29" t="s">
        <v>2112</v>
      </c>
      <c r="F1298" s="30">
        <v>0.22</v>
      </c>
      <c r="G1298" s="31"/>
      <c r="H1298" s="31"/>
      <c r="I1298" s="31"/>
      <c r="J1298" s="31"/>
    </row>
    <row r="1299" spans="1:10" ht="14.4" x14ac:dyDescent="0.3">
      <c r="A1299" s="28" t="str">
        <f>B1299&amp;C1299&amp;D1299&amp;E1299</f>
        <v>Спорт и отдыхФитнес и йогаПетли, лестницы, барьеры для кроссфитаТренировочные петли</v>
      </c>
      <c r="B1299" s="29" t="s">
        <v>101</v>
      </c>
      <c r="C1299" s="29" t="s">
        <v>169</v>
      </c>
      <c r="D1299" s="29" t="s">
        <v>682</v>
      </c>
      <c r="E1299" s="29" t="s">
        <v>2132</v>
      </c>
      <c r="F1299" s="30">
        <v>0.22</v>
      </c>
      <c r="G1299" s="31"/>
      <c r="H1299" s="31"/>
      <c r="I1299" s="31"/>
      <c r="J1299" s="31"/>
    </row>
    <row r="1300" spans="1:10" ht="14.4" x14ac:dyDescent="0.3">
      <c r="A1300" s="28" t="str">
        <f>B1300&amp;C1300&amp;D1300&amp;E1300</f>
        <v>Товары для домаТекстильОдеялаОдеяла</v>
      </c>
      <c r="B1300" s="29" t="s">
        <v>59</v>
      </c>
      <c r="C1300" s="29" t="s">
        <v>325</v>
      </c>
      <c r="D1300" s="29" t="s">
        <v>2133</v>
      </c>
      <c r="E1300" s="29" t="s">
        <v>2133</v>
      </c>
      <c r="F1300" s="30">
        <v>0.22</v>
      </c>
      <c r="G1300" s="31"/>
      <c r="H1300" s="31"/>
      <c r="I1300" s="31"/>
      <c r="J1300" s="31"/>
    </row>
    <row r="1301" spans="1:10" ht="14.4" x14ac:dyDescent="0.3">
      <c r="A1301" s="28" t="str">
        <f>B1301&amp;C1301&amp;D1301&amp;E1301</f>
        <v>Хобби и творчествоРукоделиеШитьеИглы</v>
      </c>
      <c r="B1301" s="29" t="s">
        <v>123</v>
      </c>
      <c r="C1301" s="29" t="s">
        <v>243</v>
      </c>
      <c r="D1301" s="29" t="s">
        <v>244</v>
      </c>
      <c r="E1301" s="29" t="s">
        <v>2153</v>
      </c>
      <c r="F1301" s="30">
        <v>0.22</v>
      </c>
      <c r="G1301" s="31"/>
      <c r="H1301" s="31"/>
      <c r="I1301" s="31"/>
      <c r="J1301" s="31"/>
    </row>
    <row r="1302" spans="1:10" ht="14.4" x14ac:dyDescent="0.3">
      <c r="A1302" s="28" t="str">
        <f>B1302&amp;C1302&amp;D1302&amp;E1302</f>
        <v>ЗдоровьеВитамины и БАДыДля костей и суставовДля костей и суставов</v>
      </c>
      <c r="B1302" s="29" t="s">
        <v>116</v>
      </c>
      <c r="C1302" s="29" t="s">
        <v>707</v>
      </c>
      <c r="D1302" s="29" t="s">
        <v>2159</v>
      </c>
      <c r="E1302" s="29" t="s">
        <v>2159</v>
      </c>
      <c r="F1302" s="30">
        <v>0.22</v>
      </c>
      <c r="G1302" s="31"/>
      <c r="H1302" s="31"/>
      <c r="I1302" s="31"/>
      <c r="J1302" s="31"/>
    </row>
    <row r="1303" spans="1:10" ht="14.4" x14ac:dyDescent="0.3">
      <c r="A1303" s="28" t="str">
        <f>B1303&amp;C1303&amp;D1303&amp;E1303</f>
        <v>Хобби и творчествоРукоделиеШитьеДекоративные ленты</v>
      </c>
      <c r="B1303" s="29" t="s">
        <v>123</v>
      </c>
      <c r="C1303" s="29" t="s">
        <v>243</v>
      </c>
      <c r="D1303" s="29" t="s">
        <v>244</v>
      </c>
      <c r="E1303" s="29" t="s">
        <v>2166</v>
      </c>
      <c r="F1303" s="30">
        <v>0.22</v>
      </c>
      <c r="G1303" s="31"/>
      <c r="H1303" s="31"/>
      <c r="I1303" s="31"/>
      <c r="J1303" s="31"/>
    </row>
    <row r="1304" spans="1:10" ht="14.4" x14ac:dyDescent="0.3">
      <c r="A1304" s="28" t="str">
        <f>B1304&amp;C1304&amp;D1304&amp;E1304</f>
        <v>ЗдоровьеВитамины и БАДыЦинкЦинк</v>
      </c>
      <c r="B1304" s="29" t="s">
        <v>116</v>
      </c>
      <c r="C1304" s="29" t="s">
        <v>707</v>
      </c>
      <c r="D1304" s="29" t="s">
        <v>2173</v>
      </c>
      <c r="E1304" s="29" t="s">
        <v>2173</v>
      </c>
      <c r="F1304" s="30">
        <v>0.22</v>
      </c>
      <c r="G1304" s="31"/>
      <c r="H1304" s="31"/>
      <c r="I1304" s="31"/>
      <c r="J1304" s="31"/>
    </row>
    <row r="1305" spans="1:10" ht="14.4" x14ac:dyDescent="0.3">
      <c r="A1305" s="28" t="str">
        <f>B1305&amp;C1305&amp;D1305&amp;E1305</f>
        <v>Хобби и творчествоСоздание картин, фоторамок, открытокКартины по номерамКино и мультфильмы</v>
      </c>
      <c r="B1305" s="29" t="s">
        <v>123</v>
      </c>
      <c r="C1305" s="29" t="s">
        <v>506</v>
      </c>
      <c r="D1305" s="29" t="s">
        <v>507</v>
      </c>
      <c r="E1305" s="29" t="s">
        <v>2176</v>
      </c>
      <c r="F1305" s="30">
        <v>0.22</v>
      </c>
      <c r="G1305" s="31"/>
      <c r="H1305" s="31"/>
      <c r="I1305" s="31"/>
      <c r="J1305" s="31"/>
    </row>
    <row r="1306" spans="1:10" ht="14.4" x14ac:dyDescent="0.3">
      <c r="A1306" s="28" t="str">
        <f>B1306&amp;C1306&amp;D1306&amp;E1306</f>
        <v>КанцтоварыБумажная продукцияСтикеры и бумага для заметокСтикеры</v>
      </c>
      <c r="B1306" s="29" t="s">
        <v>163</v>
      </c>
      <c r="C1306" s="29" t="s">
        <v>261</v>
      </c>
      <c r="D1306" s="29" t="s">
        <v>2220</v>
      </c>
      <c r="E1306" s="29" t="s">
        <v>2221</v>
      </c>
      <c r="F1306" s="30">
        <v>0.22</v>
      </c>
      <c r="G1306" s="31"/>
      <c r="H1306" s="31"/>
      <c r="I1306" s="31"/>
      <c r="J1306" s="31"/>
    </row>
    <row r="1307" spans="1:10" ht="14.4" x14ac:dyDescent="0.3">
      <c r="A1307" s="28" t="str">
        <f>B1307&amp;C1307&amp;D1307&amp;E1307</f>
        <v>Хобби и творчествоРукоделиеПэчворк и квилтингПэчворк и квилтинг</v>
      </c>
      <c r="B1307" s="29" t="s">
        <v>123</v>
      </c>
      <c r="C1307" s="29" t="s">
        <v>243</v>
      </c>
      <c r="D1307" s="29" t="s">
        <v>2285</v>
      </c>
      <c r="E1307" s="29" t="s">
        <v>2285</v>
      </c>
      <c r="F1307" s="30">
        <v>0.22</v>
      </c>
      <c r="G1307" s="31"/>
      <c r="H1307" s="31"/>
      <c r="I1307" s="31"/>
      <c r="J1307" s="31"/>
    </row>
    <row r="1308" spans="1:10" ht="14.4" x14ac:dyDescent="0.3">
      <c r="A1308" s="28" t="str">
        <f>B1308&amp;C1308&amp;D1308&amp;E1308</f>
        <v>КнигиНехудожественная литератураНаучная литератураВоенное дело</v>
      </c>
      <c r="B1308" s="29" t="s">
        <v>63</v>
      </c>
      <c r="C1308" s="29" t="s">
        <v>141</v>
      </c>
      <c r="D1308" s="29" t="s">
        <v>1224</v>
      </c>
      <c r="E1308" s="29" t="s">
        <v>2286</v>
      </c>
      <c r="F1308" s="30">
        <v>0.22</v>
      </c>
      <c r="G1308" s="31"/>
      <c r="H1308" s="31"/>
      <c r="I1308" s="31"/>
      <c r="J1308" s="31"/>
    </row>
    <row r="1309" spans="1:10" ht="14.4" x14ac:dyDescent="0.3">
      <c r="A1309" s="28" t="str">
        <f>B1309&amp;C1309&amp;D1309&amp;E1309</f>
        <v>Хобби и творчествоРукоделиеМолдыМолды</v>
      </c>
      <c r="B1309" s="29" t="s">
        <v>123</v>
      </c>
      <c r="C1309" s="29" t="s">
        <v>243</v>
      </c>
      <c r="D1309" s="29" t="s">
        <v>2325</v>
      </c>
      <c r="E1309" s="29" t="s">
        <v>2325</v>
      </c>
      <c r="F1309" s="30">
        <v>0.22</v>
      </c>
      <c r="G1309" s="31"/>
      <c r="H1309" s="31"/>
      <c r="I1309" s="31"/>
      <c r="J1309" s="31"/>
    </row>
    <row r="1310" spans="1:10" ht="14.4" x14ac:dyDescent="0.3">
      <c r="A1310" s="28" t="str">
        <f>B1310&amp;C1310&amp;D1310&amp;E1310</f>
        <v>Хобби и творчествоПрочие хоббиКоллекционированиеКоллекционирование</v>
      </c>
      <c r="B1310" s="29" t="s">
        <v>123</v>
      </c>
      <c r="C1310" s="29" t="s">
        <v>736</v>
      </c>
      <c r="D1310" s="29" t="s">
        <v>2331</v>
      </c>
      <c r="E1310" s="29" t="s">
        <v>2331</v>
      </c>
      <c r="F1310" s="30">
        <v>0.22</v>
      </c>
      <c r="G1310" s="31"/>
      <c r="H1310" s="31"/>
      <c r="I1310" s="31"/>
      <c r="J1310" s="31"/>
    </row>
    <row r="1311" spans="1:10" ht="14.4" x14ac:dyDescent="0.3">
      <c r="A1311" s="28" t="str">
        <f>B1311&amp;C1311&amp;D1311&amp;E1311</f>
        <v>Товары для домаТекстильПолотенцаПолотенца</v>
      </c>
      <c r="B1311" s="29" t="s">
        <v>59</v>
      </c>
      <c r="C1311" s="29" t="s">
        <v>325</v>
      </c>
      <c r="D1311" s="29" t="s">
        <v>2341</v>
      </c>
      <c r="E1311" s="29" t="s">
        <v>2341</v>
      </c>
      <c r="F1311" s="30">
        <v>0.22</v>
      </c>
      <c r="G1311" s="31"/>
      <c r="H1311" s="31"/>
      <c r="I1311" s="31"/>
      <c r="J1311" s="31"/>
    </row>
    <row r="1312" spans="1:10" ht="14.4" x14ac:dyDescent="0.3">
      <c r="A1312" s="28" t="str">
        <f>B1312&amp;C1312&amp;D1312&amp;E1312</f>
        <v>ЗдоровьеВитамины и БАДыСредства для коррекции весаСредства для коррекции веса</v>
      </c>
      <c r="B1312" s="29" t="s">
        <v>116</v>
      </c>
      <c r="C1312" s="29" t="s">
        <v>707</v>
      </c>
      <c r="D1312" s="29" t="s">
        <v>2344</v>
      </c>
      <c r="E1312" s="29" t="s">
        <v>2344</v>
      </c>
      <c r="F1312" s="30">
        <v>0.22</v>
      </c>
      <c r="G1312" s="31"/>
      <c r="H1312" s="31"/>
      <c r="I1312" s="31"/>
      <c r="J1312" s="31"/>
    </row>
    <row r="1313" spans="1:10" ht="14.4" x14ac:dyDescent="0.3">
      <c r="A1313" s="28" t="str">
        <f>B1313&amp;C1313&amp;D1313&amp;E1313</f>
        <v>Хобби и творчествоНастольные и карточные игрыНастольные игрыНастольные игры</v>
      </c>
      <c r="B1313" s="29" t="s">
        <v>123</v>
      </c>
      <c r="C1313" s="29" t="s">
        <v>441</v>
      </c>
      <c r="D1313" s="29" t="s">
        <v>2350</v>
      </c>
      <c r="E1313" s="29" t="s">
        <v>2350</v>
      </c>
      <c r="F1313" s="30">
        <v>0.22</v>
      </c>
      <c r="G1313" s="31"/>
      <c r="H1313" s="31"/>
      <c r="I1313" s="31"/>
      <c r="J1313" s="31"/>
    </row>
    <row r="1314" spans="1:10" ht="14.4" x14ac:dyDescent="0.3">
      <c r="A1314" s="28" t="str">
        <f>B1314&amp;C1314&amp;D1314&amp;E1314</f>
        <v>Спорт и отдыхФитнес и йогаУтяжелителиУтяжелители</v>
      </c>
      <c r="B1314" s="29" t="s">
        <v>101</v>
      </c>
      <c r="C1314" s="29" t="s">
        <v>169</v>
      </c>
      <c r="D1314" s="29" t="s">
        <v>683</v>
      </c>
      <c r="E1314" s="29" t="s">
        <v>683</v>
      </c>
      <c r="F1314" s="30">
        <v>0.22</v>
      </c>
      <c r="G1314" s="31"/>
      <c r="H1314" s="31"/>
      <c r="I1314" s="31"/>
      <c r="J1314" s="31"/>
    </row>
    <row r="1315" spans="1:10" ht="14.4" x14ac:dyDescent="0.3">
      <c r="A1315" s="28" t="str">
        <f>B1315&amp;C1315&amp;D1315&amp;E1315</f>
        <v>Спорт и отдыхФитнес и йогаФитнесФитнес-резинки</v>
      </c>
      <c r="B1315" s="29" t="s">
        <v>101</v>
      </c>
      <c r="C1315" s="29" t="s">
        <v>169</v>
      </c>
      <c r="D1315" s="29" t="s">
        <v>170</v>
      </c>
      <c r="E1315" s="29" t="s">
        <v>2371</v>
      </c>
      <c r="F1315" s="30">
        <v>0.22</v>
      </c>
      <c r="G1315" s="31"/>
      <c r="H1315" s="31"/>
      <c r="I1315" s="31"/>
      <c r="J1315" s="31"/>
    </row>
    <row r="1316" spans="1:10" ht="14.4" x14ac:dyDescent="0.3">
      <c r="A1316" s="28" t="str">
        <f>B1316&amp;C1316&amp;D1316&amp;E1316</f>
        <v>Товары для домаТовары для кухниПосуда для приготовленияКастрюли-пароварки</v>
      </c>
      <c r="B1316" s="29" t="s">
        <v>59</v>
      </c>
      <c r="C1316" s="29" t="s">
        <v>60</v>
      </c>
      <c r="D1316" s="29" t="s">
        <v>487</v>
      </c>
      <c r="E1316" s="29" t="s">
        <v>2385</v>
      </c>
      <c r="F1316" s="30">
        <v>0.22</v>
      </c>
      <c r="G1316" s="31"/>
      <c r="H1316" s="31"/>
      <c r="I1316" s="31"/>
      <c r="J1316" s="31"/>
    </row>
    <row r="1317" spans="1:10" ht="14.4" x14ac:dyDescent="0.3">
      <c r="A1317" s="28" t="str">
        <f>B1317&amp;C1317&amp;D1317&amp;E1317</f>
        <v>ЗдоровьеВитамины и БАДыВитамины А и ЕВитамины А и Е</v>
      </c>
      <c r="B1317" s="29" t="s">
        <v>116</v>
      </c>
      <c r="C1317" s="29" t="s">
        <v>707</v>
      </c>
      <c r="D1317" s="29" t="s">
        <v>2386</v>
      </c>
      <c r="E1317" s="29" t="s">
        <v>2386</v>
      </c>
      <c r="F1317" s="30">
        <v>0.22</v>
      </c>
      <c r="G1317" s="31"/>
      <c r="H1317" s="31"/>
      <c r="I1317" s="31"/>
      <c r="J1317" s="31"/>
    </row>
    <row r="1318" spans="1:10" ht="14.4" x14ac:dyDescent="0.3">
      <c r="A1318" s="28" t="str">
        <f>B1318&amp;C1318&amp;D1318&amp;E1318</f>
        <v>Хобби и творчествоСоздание картин, фоторамок, открытокКартины по номерамЛюди</v>
      </c>
      <c r="B1318" s="29" t="s">
        <v>123</v>
      </c>
      <c r="C1318" s="29" t="s">
        <v>506</v>
      </c>
      <c r="D1318" s="29" t="s">
        <v>507</v>
      </c>
      <c r="E1318" s="29" t="s">
        <v>2389</v>
      </c>
      <c r="F1318" s="30">
        <v>0.22</v>
      </c>
      <c r="G1318" s="31"/>
      <c r="H1318" s="31"/>
      <c r="I1318" s="31"/>
      <c r="J1318" s="31"/>
    </row>
    <row r="1319" spans="1:10" ht="14.4" x14ac:dyDescent="0.3">
      <c r="A1319" s="28" t="str">
        <f>B1319&amp;C1319&amp;D1319&amp;E1319</f>
        <v>Товары для домаТекстильПодушкиДетские подушки</v>
      </c>
      <c r="B1319" s="29" t="s">
        <v>59</v>
      </c>
      <c r="C1319" s="29" t="s">
        <v>325</v>
      </c>
      <c r="D1319" s="29" t="s">
        <v>1029</v>
      </c>
      <c r="E1319" s="29" t="s">
        <v>2395</v>
      </c>
      <c r="F1319" s="30">
        <v>0.22</v>
      </c>
      <c r="G1319" s="31"/>
      <c r="H1319" s="31"/>
      <c r="I1319" s="31"/>
      <c r="J1319" s="31"/>
    </row>
    <row r="1320" spans="1:10" ht="14.4" x14ac:dyDescent="0.3">
      <c r="A1320" s="28" t="str">
        <f>B1320&amp;C1320&amp;D1320&amp;E1320</f>
        <v>Товары для домаТовары для бани и сауныЗапарки и ароматизаторыЗапарки и ароматизаторы</v>
      </c>
      <c r="B1320" s="29" t="s">
        <v>59</v>
      </c>
      <c r="C1320" s="29" t="s">
        <v>323</v>
      </c>
      <c r="D1320" s="29" t="s">
        <v>2407</v>
      </c>
      <c r="E1320" s="29" t="s">
        <v>2407</v>
      </c>
      <c r="F1320" s="30">
        <v>0.22</v>
      </c>
      <c r="G1320" s="31"/>
      <c r="H1320" s="31"/>
      <c r="I1320" s="31"/>
      <c r="J1320" s="31"/>
    </row>
    <row r="1321" spans="1:10" ht="14.4" x14ac:dyDescent="0.3">
      <c r="A1321" s="28" t="str">
        <f>B1321&amp;C1321&amp;D1321&amp;E1321</f>
        <v>Хобби и творчествоРукоделиеШитьеПринадлежности для швейных машин</v>
      </c>
      <c r="B1321" s="29" t="s">
        <v>123</v>
      </c>
      <c r="C1321" s="29" t="s">
        <v>243</v>
      </c>
      <c r="D1321" s="29" t="s">
        <v>244</v>
      </c>
      <c r="E1321" s="29" t="s">
        <v>2409</v>
      </c>
      <c r="F1321" s="30">
        <v>0.22</v>
      </c>
      <c r="G1321" s="31"/>
      <c r="H1321" s="31"/>
      <c r="I1321" s="31"/>
      <c r="J1321" s="31"/>
    </row>
    <row r="1322" spans="1:10" ht="14.4" x14ac:dyDescent="0.3">
      <c r="A1322" s="28" t="str">
        <f>B1322&amp;C1322&amp;D1322&amp;E1322</f>
        <v>КнигиЭлектронные книгиДетям и родителямДетям и родителям</v>
      </c>
      <c r="B1322" s="29" t="s">
        <v>63</v>
      </c>
      <c r="C1322" s="29" t="s">
        <v>701</v>
      </c>
      <c r="D1322" s="29" t="s">
        <v>258</v>
      </c>
      <c r="E1322" s="29" t="s">
        <v>258</v>
      </c>
      <c r="F1322" s="30">
        <v>0.22</v>
      </c>
      <c r="G1322" s="31"/>
      <c r="H1322" s="31"/>
      <c r="I1322" s="31"/>
      <c r="J1322" s="31"/>
    </row>
    <row r="1323" spans="1:10" ht="14.4" x14ac:dyDescent="0.3">
      <c r="A1323" s="28" t="str">
        <f>B1323&amp;C1323&amp;D1323&amp;E1323</f>
        <v>ЗдоровьеВитамины и БАДыТонизирующие и общеукрепляющиеТонизирующие и общеукрепляющие</v>
      </c>
      <c r="B1323" s="29" t="s">
        <v>116</v>
      </c>
      <c r="C1323" s="29" t="s">
        <v>707</v>
      </c>
      <c r="D1323" s="29" t="s">
        <v>2447</v>
      </c>
      <c r="E1323" s="29" t="s">
        <v>2447</v>
      </c>
      <c r="F1323" s="30">
        <v>0.22</v>
      </c>
      <c r="G1323" s="31"/>
      <c r="H1323" s="31"/>
      <c r="I1323" s="31"/>
      <c r="J1323" s="31"/>
    </row>
    <row r="1324" spans="1:10" ht="14.4" x14ac:dyDescent="0.3">
      <c r="A1324" s="28" t="str">
        <f>B1324&amp;C1324&amp;D1324&amp;E1324</f>
        <v>ЗдоровьеВитамины и БАДыВитамины DВитамины D</v>
      </c>
      <c r="B1324" s="29" t="s">
        <v>116</v>
      </c>
      <c r="C1324" s="29" t="s">
        <v>707</v>
      </c>
      <c r="D1324" s="29" t="s">
        <v>2456</v>
      </c>
      <c r="E1324" s="29" t="s">
        <v>2456</v>
      </c>
      <c r="F1324" s="30">
        <v>0.22</v>
      </c>
      <c r="G1324" s="31"/>
      <c r="H1324" s="31"/>
      <c r="I1324" s="31"/>
      <c r="J1324" s="31"/>
    </row>
    <row r="1325" spans="1:10" ht="14.4" x14ac:dyDescent="0.3">
      <c r="A1325" s="28" t="str">
        <f>B1325&amp;C1325&amp;D1325&amp;E1325</f>
        <v>Товары для домаТовары для кухниПосуда для приготовленияСотейники</v>
      </c>
      <c r="B1325" s="29" t="s">
        <v>59</v>
      </c>
      <c r="C1325" s="29" t="s">
        <v>60</v>
      </c>
      <c r="D1325" s="29" t="s">
        <v>487</v>
      </c>
      <c r="E1325" s="29" t="s">
        <v>2461</v>
      </c>
      <c r="F1325" s="30">
        <v>0.22</v>
      </c>
      <c r="G1325" s="31"/>
      <c r="H1325" s="31"/>
      <c r="I1325" s="31"/>
      <c r="J1325" s="31"/>
    </row>
    <row r="1326" spans="1:10" ht="14.4" x14ac:dyDescent="0.3">
      <c r="A1326" s="28" t="str">
        <f>B1326&amp;C1326&amp;D1326&amp;E1326</f>
        <v>Хобби и творчествоРукоделиеШитьеТкани</v>
      </c>
      <c r="B1326" s="29" t="s">
        <v>123</v>
      </c>
      <c r="C1326" s="29" t="s">
        <v>243</v>
      </c>
      <c r="D1326" s="29" t="s">
        <v>244</v>
      </c>
      <c r="E1326" s="29" t="s">
        <v>2462</v>
      </c>
      <c r="F1326" s="30">
        <v>0.22</v>
      </c>
      <c r="G1326" s="31"/>
      <c r="H1326" s="31"/>
      <c r="I1326" s="31"/>
      <c r="J1326" s="31"/>
    </row>
    <row r="1327" spans="1:10" ht="14.4" x14ac:dyDescent="0.3">
      <c r="A1327" s="28" t="str">
        <f>B1327&amp;C1327&amp;D1327&amp;E1327</f>
        <v>Спорт и отдыхФитнес и йогаФитнесСпортивные массажеры</v>
      </c>
      <c r="B1327" s="29" t="s">
        <v>101</v>
      </c>
      <c r="C1327" s="29" t="s">
        <v>169</v>
      </c>
      <c r="D1327" s="29" t="s">
        <v>170</v>
      </c>
      <c r="E1327" s="29" t="s">
        <v>2463</v>
      </c>
      <c r="F1327" s="30">
        <v>0.22</v>
      </c>
      <c r="G1327" s="31"/>
      <c r="H1327" s="31"/>
      <c r="I1327" s="31"/>
      <c r="J1327" s="31"/>
    </row>
    <row r="1328" spans="1:10" ht="14.4" x14ac:dyDescent="0.3">
      <c r="A1328" s="28" t="str">
        <f>B1328&amp;C1328&amp;D1328&amp;E1328</f>
        <v>Товары для домаТекстильПодушкиПодушки и матрасы автомобильные</v>
      </c>
      <c r="B1328" s="29" t="s">
        <v>59</v>
      </c>
      <c r="C1328" s="29" t="s">
        <v>325</v>
      </c>
      <c r="D1328" s="29" t="s">
        <v>1029</v>
      </c>
      <c r="E1328" s="29" t="s">
        <v>2474</v>
      </c>
      <c r="F1328" s="30">
        <v>0.22</v>
      </c>
      <c r="G1328" s="31"/>
      <c r="H1328" s="31"/>
      <c r="I1328" s="31"/>
      <c r="J1328" s="31"/>
    </row>
    <row r="1329" spans="1:10" ht="14.4" x14ac:dyDescent="0.3">
      <c r="A1329" s="28" t="str">
        <f>B1329&amp;C1329&amp;D1329&amp;E1329</f>
        <v>Хобби и творчествоЛепкаГлина полимернаяГлина полимерная</v>
      </c>
      <c r="B1329" s="29" t="s">
        <v>123</v>
      </c>
      <c r="C1329" s="29" t="s">
        <v>578</v>
      </c>
      <c r="D1329" s="29" t="s">
        <v>2485</v>
      </c>
      <c r="E1329" s="29" t="s">
        <v>2485</v>
      </c>
      <c r="F1329" s="30">
        <v>0.22</v>
      </c>
      <c r="G1329" s="31"/>
      <c r="H1329" s="31"/>
      <c r="I1329" s="31"/>
      <c r="J1329" s="31"/>
    </row>
    <row r="1330" spans="1:10" ht="14.4" x14ac:dyDescent="0.3">
      <c r="A1330" s="28" t="str">
        <f>B1330&amp;C1330&amp;D1330&amp;E1330</f>
        <v>Хобби и творчествоРукоделиеВышиваниеВышивание</v>
      </c>
      <c r="B1330" s="29" t="s">
        <v>123</v>
      </c>
      <c r="C1330" s="29" t="s">
        <v>243</v>
      </c>
      <c r="D1330" s="29" t="s">
        <v>2494</v>
      </c>
      <c r="E1330" s="29" t="s">
        <v>2494</v>
      </c>
      <c r="F1330" s="30">
        <v>0.22</v>
      </c>
      <c r="G1330" s="31"/>
      <c r="H1330" s="31"/>
      <c r="I1330" s="31"/>
      <c r="J1330" s="31"/>
    </row>
    <row r="1331" spans="1:10" ht="14.4" x14ac:dyDescent="0.3">
      <c r="A1331" s="28" t="str">
        <f>B1331&amp;C1331&amp;D1331&amp;E1331</f>
        <v>Спорт и отдыхФитнес и йогаПетли, лестницы, барьеры для кроссфитаУпоры для отжиманий</v>
      </c>
      <c r="B1331" s="29" t="s">
        <v>101</v>
      </c>
      <c r="C1331" s="29" t="s">
        <v>169</v>
      </c>
      <c r="D1331" s="29" t="s">
        <v>682</v>
      </c>
      <c r="E1331" s="29" t="s">
        <v>2497</v>
      </c>
      <c r="F1331" s="30">
        <v>0.22</v>
      </c>
      <c r="G1331" s="31"/>
      <c r="H1331" s="31"/>
      <c r="I1331" s="31"/>
      <c r="J1331" s="31"/>
    </row>
    <row r="1332" spans="1:10" ht="14.4" x14ac:dyDescent="0.3">
      <c r="A1332" s="28" t="str">
        <f>B1332&amp;C1332&amp;D1332&amp;E1332</f>
        <v>Спорт и отдыхФитнес и йогаФитнесПерчатки и пояса для фитнеса</v>
      </c>
      <c r="B1332" s="29" t="s">
        <v>101</v>
      </c>
      <c r="C1332" s="29" t="s">
        <v>169</v>
      </c>
      <c r="D1332" s="29" t="s">
        <v>170</v>
      </c>
      <c r="E1332" s="29" t="s">
        <v>2499</v>
      </c>
      <c r="F1332" s="30">
        <v>0.22</v>
      </c>
      <c r="G1332" s="31"/>
      <c r="H1332" s="31"/>
      <c r="I1332" s="31"/>
      <c r="J1332" s="31"/>
    </row>
    <row r="1333" spans="1:10" ht="14.4" x14ac:dyDescent="0.3">
      <c r="A1333" s="28" t="str">
        <f>B1333&amp;C1333&amp;D1333&amp;E1333</f>
        <v>ЗдоровьеВитамины и БАДыДетское здоровьеДетское здоровье</v>
      </c>
      <c r="B1333" s="29" t="s">
        <v>116</v>
      </c>
      <c r="C1333" s="29" t="s">
        <v>707</v>
      </c>
      <c r="D1333" s="29" t="s">
        <v>2506</v>
      </c>
      <c r="E1333" s="29" t="s">
        <v>2506</v>
      </c>
      <c r="F1333" s="30">
        <v>0.22</v>
      </c>
      <c r="G1333" s="31"/>
      <c r="H1333" s="31"/>
      <c r="I1333" s="31"/>
      <c r="J1333" s="31"/>
    </row>
    <row r="1334" spans="1:10" ht="14.4" x14ac:dyDescent="0.3">
      <c r="A1334" s="28" t="str">
        <f>B1334&amp;C1334&amp;D1334&amp;E1334</f>
        <v>Спорт и отдыхФитнес и йогаЙога и пилатесВалики</v>
      </c>
      <c r="B1334" s="29" t="s">
        <v>101</v>
      </c>
      <c r="C1334" s="29" t="s">
        <v>169</v>
      </c>
      <c r="D1334" s="29" t="s">
        <v>304</v>
      </c>
      <c r="E1334" s="29" t="s">
        <v>2516</v>
      </c>
      <c r="F1334" s="30">
        <v>0.22</v>
      </c>
      <c r="G1334" s="31"/>
      <c r="H1334" s="31"/>
      <c r="I1334" s="31"/>
      <c r="J1334" s="31"/>
    </row>
    <row r="1335" spans="1:10" ht="14.4" x14ac:dyDescent="0.3">
      <c r="A1335" s="28" t="str">
        <f>B1335&amp;C1335&amp;D1335&amp;E1335</f>
        <v>Товары для домаТовары для праздниковОформление праздникаКраски Холи</v>
      </c>
      <c r="B1335" s="29" t="s">
        <v>59</v>
      </c>
      <c r="C1335" s="29" t="s">
        <v>85</v>
      </c>
      <c r="D1335" s="29" t="s">
        <v>86</v>
      </c>
      <c r="E1335" s="29" t="s">
        <v>2518</v>
      </c>
      <c r="F1335" s="30">
        <v>0.22</v>
      </c>
      <c r="G1335" s="31"/>
      <c r="H1335" s="31"/>
      <c r="I1335" s="31"/>
      <c r="J1335" s="31"/>
    </row>
    <row r="1336" spans="1:10" ht="14.4" x14ac:dyDescent="0.3">
      <c r="A1336" s="28" t="str">
        <f>B1336&amp;C1336&amp;D1336&amp;E1336</f>
        <v>ЗдоровьеВитамины и БАДыДетоксикация и очищение организмаДетоксикация и очищение организма</v>
      </c>
      <c r="B1336" s="29" t="s">
        <v>116</v>
      </c>
      <c r="C1336" s="29" t="s">
        <v>707</v>
      </c>
      <c r="D1336" s="29" t="s">
        <v>2522</v>
      </c>
      <c r="E1336" s="29" t="s">
        <v>2522</v>
      </c>
      <c r="F1336" s="30">
        <v>0.22</v>
      </c>
      <c r="G1336" s="31"/>
      <c r="H1336" s="31"/>
      <c r="I1336" s="31"/>
      <c r="J1336" s="31"/>
    </row>
    <row r="1337" spans="1:10" ht="14.4" x14ac:dyDescent="0.3">
      <c r="A1337" s="28" t="str">
        <f>B1337&amp;C1337&amp;D1337&amp;E1337</f>
        <v>Товары для домаТовары для кухниПосуда для приготовленияСкороварки</v>
      </c>
      <c r="B1337" s="29" t="s">
        <v>59</v>
      </c>
      <c r="C1337" s="29" t="s">
        <v>60</v>
      </c>
      <c r="D1337" s="29" t="s">
        <v>487</v>
      </c>
      <c r="E1337" s="29" t="s">
        <v>2523</v>
      </c>
      <c r="F1337" s="30">
        <v>0.22</v>
      </c>
      <c r="G1337" s="31"/>
      <c r="H1337" s="31"/>
      <c r="I1337" s="31"/>
      <c r="J1337" s="31"/>
    </row>
    <row r="1338" spans="1:10" ht="14.4" x14ac:dyDescent="0.3">
      <c r="A1338" s="28" t="str">
        <f>B1338&amp;C1338&amp;D1338&amp;E1338</f>
        <v>Товары для домаТекстильШторы и карнизыФотошторы</v>
      </c>
      <c r="B1338" s="29" t="s">
        <v>59</v>
      </c>
      <c r="C1338" s="29" t="s">
        <v>325</v>
      </c>
      <c r="D1338" s="29" t="s">
        <v>334</v>
      </c>
      <c r="E1338" s="29" t="s">
        <v>2530</v>
      </c>
      <c r="F1338" s="30">
        <v>0.22</v>
      </c>
      <c r="G1338" s="31"/>
      <c r="H1338" s="31"/>
      <c r="I1338" s="31"/>
      <c r="J1338" s="31"/>
    </row>
    <row r="1339" spans="1:10" ht="14.4" x14ac:dyDescent="0.3">
      <c r="A1339" s="28" t="str">
        <f>B1339&amp;C1339&amp;D1339&amp;E1339</f>
        <v>Спорт и отдыхФитнес и йогаФитнесРолики для пресса</v>
      </c>
      <c r="B1339" s="29" t="s">
        <v>101</v>
      </c>
      <c r="C1339" s="29" t="s">
        <v>169</v>
      </c>
      <c r="D1339" s="29" t="s">
        <v>170</v>
      </c>
      <c r="E1339" s="29" t="s">
        <v>2545</v>
      </c>
      <c r="F1339" s="30">
        <v>0.22</v>
      </c>
      <c r="G1339" s="31"/>
      <c r="H1339" s="31"/>
      <c r="I1339" s="31"/>
      <c r="J1339" s="31"/>
    </row>
    <row r="1340" spans="1:10" ht="14.4" x14ac:dyDescent="0.3">
      <c r="A1340" s="28" t="str">
        <f>B1340&amp;C1340&amp;D1340&amp;E1340</f>
        <v>ЗдоровьеВитамины и БАДыФитопрепараты и чаиФитопрепараты и чаи</v>
      </c>
      <c r="B1340" s="29" t="s">
        <v>116</v>
      </c>
      <c r="C1340" s="29" t="s">
        <v>707</v>
      </c>
      <c r="D1340" s="29" t="s">
        <v>2554</v>
      </c>
      <c r="E1340" s="29" t="s">
        <v>2554</v>
      </c>
      <c r="F1340" s="30">
        <v>0.22</v>
      </c>
      <c r="G1340" s="31"/>
      <c r="H1340" s="31"/>
      <c r="I1340" s="31"/>
      <c r="J1340" s="31"/>
    </row>
    <row r="1341" spans="1:10" ht="14.4" x14ac:dyDescent="0.3">
      <c r="A1341" s="28" t="str">
        <f>B1341&amp;C1341&amp;D1341&amp;E1341</f>
        <v>Товары для домаТовары для кухниПосуда для приготовленияВоки</v>
      </c>
      <c r="B1341" s="29" t="s">
        <v>59</v>
      </c>
      <c r="C1341" s="29" t="s">
        <v>60</v>
      </c>
      <c r="D1341" s="29" t="s">
        <v>487</v>
      </c>
      <c r="E1341" s="29" t="s">
        <v>2569</v>
      </c>
      <c r="F1341" s="30">
        <v>0.22</v>
      </c>
      <c r="G1341" s="31"/>
      <c r="H1341" s="31"/>
      <c r="I1341" s="31"/>
      <c r="J1341" s="31"/>
    </row>
    <row r="1342" spans="1:10" ht="14.4" x14ac:dyDescent="0.3">
      <c r="A1342" s="28" t="str">
        <f>B1342&amp;C1342&amp;D1342&amp;E1342</f>
        <v>Спорт и отдыхСвободные весаДиски и блины для штангДиски и блины для штанг</v>
      </c>
      <c r="B1342" s="29" t="s">
        <v>101</v>
      </c>
      <c r="C1342" s="29" t="s">
        <v>734</v>
      </c>
      <c r="D1342" s="29" t="s">
        <v>2583</v>
      </c>
      <c r="E1342" s="29" t="s">
        <v>2583</v>
      </c>
      <c r="F1342" s="30">
        <v>0.22</v>
      </c>
      <c r="G1342" s="31"/>
      <c r="H1342" s="31"/>
      <c r="I1342" s="31"/>
      <c r="J1342" s="31"/>
    </row>
    <row r="1343" spans="1:10" ht="14.4" x14ac:dyDescent="0.3">
      <c r="A1343" s="28" t="str">
        <f>B1343&amp;C1343&amp;D1343&amp;E1343</f>
        <v>Хобби и творчествоСоздание картин, фоторамок, открытокКартины из пайетокКартины из пайеток</v>
      </c>
      <c r="B1343" s="29" t="s">
        <v>123</v>
      </c>
      <c r="C1343" s="29" t="s">
        <v>506</v>
      </c>
      <c r="D1343" s="29" t="s">
        <v>2589</v>
      </c>
      <c r="E1343" s="29" t="s">
        <v>2589</v>
      </c>
      <c r="F1343" s="30">
        <v>0.22</v>
      </c>
      <c r="G1343" s="31"/>
      <c r="H1343" s="31"/>
      <c r="I1343" s="31"/>
      <c r="J1343" s="31"/>
    </row>
    <row r="1344" spans="1:10" ht="14.4" x14ac:dyDescent="0.3">
      <c r="A1344" s="28" t="str">
        <f>B1344&amp;C1344&amp;D1344&amp;E1344</f>
        <v>Хобби и творчествоСоздание картин, фоторамок, открытокКартины по номерамЖивотные и птицы</v>
      </c>
      <c r="B1344" s="29" t="s">
        <v>123</v>
      </c>
      <c r="C1344" s="29" t="s">
        <v>506</v>
      </c>
      <c r="D1344" s="29" t="s">
        <v>507</v>
      </c>
      <c r="E1344" s="29" t="s">
        <v>2603</v>
      </c>
      <c r="F1344" s="30">
        <v>0.22</v>
      </c>
      <c r="G1344" s="31"/>
      <c r="H1344" s="31"/>
      <c r="I1344" s="31"/>
      <c r="J1344" s="31"/>
    </row>
    <row r="1345" spans="1:10" ht="14.4" x14ac:dyDescent="0.3">
      <c r="A1345" s="28" t="str">
        <f>B1345&amp;C1345&amp;D1345&amp;E1345</f>
        <v>Хобби и творчествоНастольные и карточные игрыИгральные картыИгральные карты</v>
      </c>
      <c r="B1345" s="29" t="s">
        <v>123</v>
      </c>
      <c r="C1345" s="29" t="s">
        <v>441</v>
      </c>
      <c r="D1345" s="29" t="s">
        <v>2630</v>
      </c>
      <c r="E1345" s="29" t="s">
        <v>2630</v>
      </c>
      <c r="F1345" s="30">
        <v>0.22</v>
      </c>
      <c r="G1345" s="31"/>
      <c r="H1345" s="31"/>
      <c r="I1345" s="31"/>
      <c r="J1345" s="31"/>
    </row>
    <row r="1346" spans="1:10" ht="14.4" x14ac:dyDescent="0.3">
      <c r="A1346" s="28" t="str">
        <f>B1346&amp;C1346&amp;D1346&amp;E1346</f>
        <v>Хобби и творчествоПрочие хоббиДекупажДекупаж</v>
      </c>
      <c r="B1346" s="29" t="s">
        <v>123</v>
      </c>
      <c r="C1346" s="29" t="s">
        <v>736</v>
      </c>
      <c r="D1346" s="29" t="s">
        <v>2642</v>
      </c>
      <c r="E1346" s="29" t="s">
        <v>2642</v>
      </c>
      <c r="F1346" s="30">
        <v>0.22</v>
      </c>
      <c r="G1346" s="31"/>
      <c r="H1346" s="31"/>
      <c r="I1346" s="31"/>
      <c r="J1346" s="31"/>
    </row>
    <row r="1347" spans="1:10" ht="14.4" x14ac:dyDescent="0.3">
      <c r="A1347" s="28" t="str">
        <f>B1347&amp;C1347&amp;D1347&amp;E1347</f>
        <v>Хобби и творчествоГадания и эзотерикаКарты ТароКарты Таро</v>
      </c>
      <c r="B1347" s="29" t="s">
        <v>123</v>
      </c>
      <c r="C1347" s="29" t="s">
        <v>909</v>
      </c>
      <c r="D1347" s="29" t="s">
        <v>2650</v>
      </c>
      <c r="E1347" s="29" t="s">
        <v>2650</v>
      </c>
      <c r="F1347" s="30">
        <v>0.22</v>
      </c>
      <c r="G1347" s="31"/>
      <c r="H1347" s="31"/>
      <c r="I1347" s="31"/>
      <c r="J1347" s="31"/>
    </row>
    <row r="1348" spans="1:10" ht="14.4" x14ac:dyDescent="0.3">
      <c r="A1348" s="28" t="str">
        <f>B1348&amp;C1348&amp;D1348&amp;E1348</f>
        <v>Товары для домаТекстильПостельное бельеКомплекты постельного белья</v>
      </c>
      <c r="B1348" s="29" t="s">
        <v>59</v>
      </c>
      <c r="C1348" s="29" t="s">
        <v>325</v>
      </c>
      <c r="D1348" s="29" t="s">
        <v>820</v>
      </c>
      <c r="E1348" s="29" t="s">
        <v>2719</v>
      </c>
      <c r="F1348" s="30">
        <v>0.22</v>
      </c>
      <c r="G1348" s="31"/>
      <c r="H1348" s="31"/>
      <c r="I1348" s="31"/>
      <c r="J1348" s="31"/>
    </row>
    <row r="1349" spans="1:10" ht="14.4" x14ac:dyDescent="0.3">
      <c r="A1349" s="28" t="str">
        <f>B1349&amp;C1349&amp;D1349&amp;E1349</f>
        <v>Хобби и творчествоПазлы, мозаика и фрескаПазлыПазлы</v>
      </c>
      <c r="B1349" s="29" t="s">
        <v>123</v>
      </c>
      <c r="C1349" s="29" t="s">
        <v>1081</v>
      </c>
      <c r="D1349" s="29" t="s">
        <v>2726</v>
      </c>
      <c r="E1349" s="29" t="s">
        <v>2726</v>
      </c>
      <c r="F1349" s="30">
        <v>0.22</v>
      </c>
      <c r="G1349" s="31"/>
      <c r="H1349" s="31"/>
      <c r="I1349" s="31"/>
      <c r="J1349" s="31"/>
    </row>
    <row r="1350" spans="1:10" ht="14.4" x14ac:dyDescent="0.3">
      <c r="A1350" s="28" t="str">
        <f>B1350&amp;C1350&amp;D1350&amp;E1350</f>
        <v>Хобби и творчествоРукоделиеИнструменты для рукоделияИнструменты для рукоделия</v>
      </c>
      <c r="B1350" s="29" t="s">
        <v>123</v>
      </c>
      <c r="C1350" s="29" t="s">
        <v>243</v>
      </c>
      <c r="D1350" s="29" t="s">
        <v>2734</v>
      </c>
      <c r="E1350" s="29" t="s">
        <v>2734</v>
      </c>
      <c r="F1350" s="30">
        <v>0.22</v>
      </c>
      <c r="G1350" s="31"/>
      <c r="H1350" s="31"/>
      <c r="I1350" s="31"/>
      <c r="J1350" s="31"/>
    </row>
    <row r="1351" spans="1:10" ht="14.4" x14ac:dyDescent="0.3">
      <c r="A1351" s="28" t="str">
        <f>B1351&amp;C1351&amp;D1351&amp;E1351</f>
        <v>Товары для домаТекстильКовры и ковровые дорожкиКоврики прикроватные</v>
      </c>
      <c r="B1351" s="29" t="s">
        <v>59</v>
      </c>
      <c r="C1351" s="29" t="s">
        <v>325</v>
      </c>
      <c r="D1351" s="29" t="s">
        <v>753</v>
      </c>
      <c r="E1351" s="29" t="s">
        <v>2738</v>
      </c>
      <c r="F1351" s="30">
        <v>0.22</v>
      </c>
      <c r="G1351" s="31"/>
      <c r="H1351" s="31"/>
      <c r="I1351" s="31"/>
      <c r="J1351" s="31"/>
    </row>
    <row r="1352" spans="1:10" ht="14.4" x14ac:dyDescent="0.3">
      <c r="A1352" s="28" t="str">
        <f>B1352&amp;C1352&amp;D1352&amp;E1352</f>
        <v>ЗдоровьеВитамины и БАДыУлучшение памятиУлучшение памяти</v>
      </c>
      <c r="B1352" s="29" t="s">
        <v>116</v>
      </c>
      <c r="C1352" s="29" t="s">
        <v>707</v>
      </c>
      <c r="D1352" s="29" t="s">
        <v>2739</v>
      </c>
      <c r="E1352" s="29" t="s">
        <v>2739</v>
      </c>
      <c r="F1352" s="30">
        <v>0.22</v>
      </c>
      <c r="G1352" s="31"/>
      <c r="H1352" s="31"/>
      <c r="I1352" s="31"/>
      <c r="J1352" s="31"/>
    </row>
    <row r="1353" spans="1:10" ht="14.4" x14ac:dyDescent="0.3">
      <c r="A1353" s="28" t="str">
        <f>B1353&amp;C1353&amp;D1353&amp;E1353</f>
        <v>КнигиБукинистикаНехудожественная литератураПублицистика</v>
      </c>
      <c r="B1353" s="29" t="s">
        <v>63</v>
      </c>
      <c r="C1353" s="29" t="s">
        <v>209</v>
      </c>
      <c r="D1353" s="29" t="s">
        <v>141</v>
      </c>
      <c r="E1353" s="29" t="s">
        <v>251</v>
      </c>
      <c r="F1353" s="30">
        <v>0.22</v>
      </c>
      <c r="G1353" s="31"/>
      <c r="H1353" s="31"/>
      <c r="I1353" s="31"/>
      <c r="J1353" s="31"/>
    </row>
    <row r="1354" spans="1:10" ht="14.4" x14ac:dyDescent="0.3">
      <c r="A1354" s="28" t="str">
        <f>B1354&amp;C1354&amp;D1354&amp;E1354</f>
        <v>Хобби и творчествоРисованиеХолстыХолсты</v>
      </c>
      <c r="B1354" s="29" t="s">
        <v>123</v>
      </c>
      <c r="C1354" s="29" t="s">
        <v>124</v>
      </c>
      <c r="D1354" s="29" t="s">
        <v>2750</v>
      </c>
      <c r="E1354" s="29" t="s">
        <v>2750</v>
      </c>
      <c r="F1354" s="30">
        <v>0.22</v>
      </c>
      <c r="G1354" s="31"/>
      <c r="H1354" s="31"/>
      <c r="I1354" s="31"/>
      <c r="J1354" s="31"/>
    </row>
    <row r="1355" spans="1:10" ht="14.4" x14ac:dyDescent="0.3">
      <c r="A1355" s="28" t="str">
        <f>B1355&amp;C1355&amp;D1355&amp;E1355</f>
        <v>Хобби и творчествоЛепкаГипс и масса для лепкиГипс и масса для лепки</v>
      </c>
      <c r="B1355" s="29" t="s">
        <v>123</v>
      </c>
      <c r="C1355" s="29" t="s">
        <v>578</v>
      </c>
      <c r="D1355" s="29" t="s">
        <v>2755</v>
      </c>
      <c r="E1355" s="29" t="s">
        <v>2755</v>
      </c>
      <c r="F1355" s="30">
        <v>0.22</v>
      </c>
      <c r="G1355" s="31"/>
      <c r="H1355" s="31"/>
      <c r="I1355" s="31"/>
      <c r="J1355" s="31"/>
    </row>
    <row r="1356" spans="1:10" ht="14.4" x14ac:dyDescent="0.3">
      <c r="A1356" s="28" t="str">
        <f>B1356&amp;C1356&amp;D1356&amp;E1356</f>
        <v>Хобби и творчествоПрочие хоббиМоделированиеМоделирование</v>
      </c>
      <c r="B1356" s="29" t="s">
        <v>123</v>
      </c>
      <c r="C1356" s="29" t="s">
        <v>736</v>
      </c>
      <c r="D1356" s="29" t="s">
        <v>2763</v>
      </c>
      <c r="E1356" s="29" t="s">
        <v>2763</v>
      </c>
      <c r="F1356" s="30">
        <v>0.22</v>
      </c>
      <c r="G1356" s="31"/>
      <c r="H1356" s="31"/>
      <c r="I1356" s="31"/>
      <c r="J1356" s="31"/>
    </row>
    <row r="1357" spans="1:10" ht="14.4" x14ac:dyDescent="0.3">
      <c r="A1357" s="28" t="str">
        <f>B1357&amp;C1357&amp;D1357&amp;E1357</f>
        <v>Хобби и творчествоРукоделиеВязаниеПрочие аксессуары для вязания</v>
      </c>
      <c r="B1357" s="29" t="s">
        <v>123</v>
      </c>
      <c r="C1357" s="29" t="s">
        <v>243</v>
      </c>
      <c r="D1357" s="29" t="s">
        <v>1617</v>
      </c>
      <c r="E1357" s="29" t="s">
        <v>2767</v>
      </c>
      <c r="F1357" s="30">
        <v>0.22</v>
      </c>
      <c r="G1357" s="31"/>
      <c r="H1357" s="31"/>
      <c r="I1357" s="31"/>
      <c r="J1357" s="31"/>
    </row>
    <row r="1358" spans="1:10" ht="14.4" x14ac:dyDescent="0.3">
      <c r="A1358" s="28" t="str">
        <f>B1358&amp;C1358&amp;D1358&amp;E1358</f>
        <v>КнигиБукинистикаХудожественная литератураФэнтези</v>
      </c>
      <c r="B1358" s="29" t="s">
        <v>63</v>
      </c>
      <c r="C1358" s="29" t="s">
        <v>209</v>
      </c>
      <c r="D1358" s="29" t="s">
        <v>374</v>
      </c>
      <c r="E1358" s="29" t="s">
        <v>2768</v>
      </c>
      <c r="F1358" s="30">
        <v>0.22</v>
      </c>
      <c r="G1358" s="31"/>
      <c r="H1358" s="31"/>
      <c r="I1358" s="31"/>
      <c r="J1358" s="31"/>
    </row>
    <row r="1359" spans="1:10" ht="14.4" x14ac:dyDescent="0.3">
      <c r="A1359" s="28" t="str">
        <f>B1359&amp;C1359&amp;D1359&amp;E1359</f>
        <v>Товары для домаТекстильКухонный текстильСалфетки</v>
      </c>
      <c r="B1359" s="29" t="s">
        <v>59</v>
      </c>
      <c r="C1359" s="29" t="s">
        <v>325</v>
      </c>
      <c r="D1359" s="29" t="s">
        <v>326</v>
      </c>
      <c r="E1359" s="29" t="s">
        <v>2786</v>
      </c>
      <c r="F1359" s="30">
        <v>0.22</v>
      </c>
      <c r="G1359" s="31"/>
      <c r="H1359" s="31"/>
      <c r="I1359" s="31"/>
      <c r="J1359" s="31"/>
    </row>
    <row r="1360" spans="1:10" ht="14.4" x14ac:dyDescent="0.3">
      <c r="A1360" s="28" t="str">
        <f>B1360&amp;C1360&amp;D1360&amp;E1360</f>
        <v>Хобби и творчествоСоздание картин, фоторамок, открытокНаборы для квиллингаНаборы для квиллинга</v>
      </c>
      <c r="B1360" s="29" t="s">
        <v>123</v>
      </c>
      <c r="C1360" s="29" t="s">
        <v>506</v>
      </c>
      <c r="D1360" s="29" t="s">
        <v>2794</v>
      </c>
      <c r="E1360" s="29" t="s">
        <v>2794</v>
      </c>
      <c r="F1360" s="30">
        <v>0.22</v>
      </c>
      <c r="G1360" s="31"/>
      <c r="H1360" s="31"/>
      <c r="I1360" s="31"/>
      <c r="J1360" s="31"/>
    </row>
    <row r="1361" spans="1:10" ht="14.4" x14ac:dyDescent="0.3">
      <c r="A1361" s="28" t="str">
        <f>B1361&amp;C1361&amp;D1361&amp;E1361</f>
        <v>Товары для домаТекстильНаматрасники и чехлыНаматрасники и чехлы для матрасов</v>
      </c>
      <c r="B1361" s="29" t="s">
        <v>59</v>
      </c>
      <c r="C1361" s="29" t="s">
        <v>325</v>
      </c>
      <c r="D1361" s="29" t="s">
        <v>1203</v>
      </c>
      <c r="E1361" s="29" t="s">
        <v>2795</v>
      </c>
      <c r="F1361" s="30">
        <v>0.22</v>
      </c>
      <c r="G1361" s="31"/>
      <c r="H1361" s="31"/>
      <c r="I1361" s="31"/>
      <c r="J1361" s="31"/>
    </row>
    <row r="1362" spans="1:10" ht="14.4" x14ac:dyDescent="0.3">
      <c r="A1362" s="28" t="str">
        <f>B1362&amp;C1362&amp;D1362&amp;E1362</f>
        <v>Хобби и творчествоСоздание картин, фоторамок, открытокНаборы для создания открытокНаборы для создания открыток</v>
      </c>
      <c r="B1362" s="29" t="s">
        <v>123</v>
      </c>
      <c r="C1362" s="29" t="s">
        <v>506</v>
      </c>
      <c r="D1362" s="29" t="s">
        <v>2801</v>
      </c>
      <c r="E1362" s="29" t="s">
        <v>2801</v>
      </c>
      <c r="F1362" s="30">
        <v>0.22</v>
      </c>
      <c r="G1362" s="31"/>
      <c r="H1362" s="31"/>
      <c r="I1362" s="31"/>
      <c r="J1362" s="31"/>
    </row>
    <row r="1363" spans="1:10" ht="14.4" x14ac:dyDescent="0.3">
      <c r="A1363" s="28" t="str">
        <f>B1363&amp;C1363&amp;D1363&amp;E1363</f>
        <v>ЗдоровьеВитамины и БАДыВитамины группы ВВитамины группы В</v>
      </c>
      <c r="B1363" s="29" t="s">
        <v>116</v>
      </c>
      <c r="C1363" s="29" t="s">
        <v>707</v>
      </c>
      <c r="D1363" s="29" t="s">
        <v>2807</v>
      </c>
      <c r="E1363" s="29" t="s">
        <v>2807</v>
      </c>
      <c r="F1363" s="30">
        <v>0.22</v>
      </c>
      <c r="G1363" s="31"/>
      <c r="H1363" s="31"/>
      <c r="I1363" s="31"/>
      <c r="J1363" s="31"/>
    </row>
    <row r="1364" spans="1:10" ht="14.4" x14ac:dyDescent="0.3">
      <c r="A1364" s="28" t="str">
        <f>B1364&amp;C1364&amp;D1364&amp;E1364</f>
        <v>Товары для домаТекстильПодушкиТравяные</v>
      </c>
      <c r="B1364" s="29" t="s">
        <v>59</v>
      </c>
      <c r="C1364" s="29" t="s">
        <v>325</v>
      </c>
      <c r="D1364" s="29" t="s">
        <v>1029</v>
      </c>
      <c r="E1364" s="29" t="s">
        <v>2815</v>
      </c>
      <c r="F1364" s="30">
        <v>0.22</v>
      </c>
      <c r="G1364" s="31"/>
      <c r="H1364" s="31"/>
      <c r="I1364" s="31"/>
      <c r="J1364" s="31"/>
    </row>
    <row r="1365" spans="1:10" ht="14.4" x14ac:dyDescent="0.3">
      <c r="A1365" s="28" t="str">
        <f>B1365&amp;C1365&amp;D1365&amp;E1365</f>
        <v>ЗдоровьеВитамины и БАДыДля глазДля глаз</v>
      </c>
      <c r="B1365" s="29" t="s">
        <v>116</v>
      </c>
      <c r="C1365" s="29" t="s">
        <v>707</v>
      </c>
      <c r="D1365" s="29" t="s">
        <v>2831</v>
      </c>
      <c r="E1365" s="29" t="s">
        <v>2831</v>
      </c>
      <c r="F1365" s="30">
        <v>0.22</v>
      </c>
      <c r="G1365" s="31"/>
      <c r="H1365" s="31"/>
      <c r="I1365" s="31"/>
      <c r="J1365" s="31"/>
    </row>
    <row r="1366" spans="1:10" ht="14.4" x14ac:dyDescent="0.3">
      <c r="A1366" s="28" t="str">
        <f>B1366&amp;C1366&amp;D1366&amp;E1366</f>
        <v>Товары для домаТекстильШторы и карнизыАксессуары для штор и карнизов</v>
      </c>
      <c r="B1366" s="29" t="s">
        <v>59</v>
      </c>
      <c r="C1366" s="29" t="s">
        <v>325</v>
      </c>
      <c r="D1366" s="29" t="s">
        <v>334</v>
      </c>
      <c r="E1366" s="29" t="s">
        <v>2835</v>
      </c>
      <c r="F1366" s="30">
        <v>0.22</v>
      </c>
      <c r="G1366" s="31"/>
      <c r="H1366" s="31"/>
      <c r="I1366" s="31"/>
      <c r="J1366" s="31"/>
    </row>
    <row r="1367" spans="1:10" ht="14.4" x14ac:dyDescent="0.3">
      <c r="A1367" s="28" t="str">
        <f>B1367&amp;C1367&amp;D1367&amp;E1367</f>
        <v>Хобби и творчествоГадания и эзотерикаМагические аксессуары и материалыМагические аксессуары и материалы</v>
      </c>
      <c r="B1367" s="29" t="s">
        <v>123</v>
      </c>
      <c r="C1367" s="29" t="s">
        <v>909</v>
      </c>
      <c r="D1367" s="29" t="s">
        <v>2840</v>
      </c>
      <c r="E1367" s="29" t="s">
        <v>2840</v>
      </c>
      <c r="F1367" s="30">
        <v>0.22</v>
      </c>
      <c r="G1367" s="31"/>
      <c r="H1367" s="31"/>
      <c r="I1367" s="31"/>
      <c r="J1367" s="31"/>
    </row>
    <row r="1368" spans="1:10" ht="14.4" x14ac:dyDescent="0.3">
      <c r="A1368" s="28" t="str">
        <f>B1368&amp;C1368&amp;D1368&amp;E1368</f>
        <v>Товары для домаТекстильКовры и ковровые дорожкиКовры</v>
      </c>
      <c r="B1368" s="29" t="s">
        <v>59</v>
      </c>
      <c r="C1368" s="29" t="s">
        <v>325</v>
      </c>
      <c r="D1368" s="29" t="s">
        <v>753</v>
      </c>
      <c r="E1368" s="29" t="s">
        <v>2854</v>
      </c>
      <c r="F1368" s="30">
        <v>0.22</v>
      </c>
      <c r="G1368" s="31"/>
      <c r="H1368" s="31"/>
      <c r="I1368" s="31"/>
      <c r="J1368" s="31"/>
    </row>
    <row r="1369" spans="1:10" ht="14.4" x14ac:dyDescent="0.3">
      <c r="A1369" s="28" t="str">
        <f>B1369&amp;C1369&amp;D1369&amp;E1369</f>
        <v>КнигиБукинистикаДетям и родителямДетям и родителям</v>
      </c>
      <c r="B1369" s="29" t="s">
        <v>63</v>
      </c>
      <c r="C1369" s="29" t="s">
        <v>209</v>
      </c>
      <c r="D1369" s="29" t="s">
        <v>258</v>
      </c>
      <c r="E1369" s="29" t="s">
        <v>258</v>
      </c>
      <c r="F1369" s="30">
        <v>0.22</v>
      </c>
      <c r="G1369" s="31"/>
      <c r="H1369" s="31"/>
      <c r="I1369" s="31"/>
      <c r="J1369" s="31"/>
    </row>
    <row r="1370" spans="1:10" ht="14.4" x14ac:dyDescent="0.3">
      <c r="A1370" s="28" t="str">
        <f>B1370&amp;C1370&amp;D1370&amp;E1370</f>
        <v>ЗдоровьеВитамины и БАДыНервная системаУспокоительные</v>
      </c>
      <c r="B1370" s="29" t="s">
        <v>116</v>
      </c>
      <c r="C1370" s="29" t="s">
        <v>707</v>
      </c>
      <c r="D1370" s="29" t="s">
        <v>2867</v>
      </c>
      <c r="E1370" s="29" t="s">
        <v>2868</v>
      </c>
      <c r="F1370" s="30">
        <v>0.22</v>
      </c>
      <c r="G1370" s="31"/>
      <c r="H1370" s="31"/>
      <c r="I1370" s="31"/>
      <c r="J1370" s="31"/>
    </row>
    <row r="1371" spans="1:10" ht="14.4" x14ac:dyDescent="0.3">
      <c r="A1371" s="28" t="str">
        <f>B1371&amp;C1371&amp;D1371&amp;E1371</f>
        <v>Товары для домаТекстильПодушкиПодушки для сна</v>
      </c>
      <c r="B1371" s="29" t="s">
        <v>59</v>
      </c>
      <c r="C1371" s="29" t="s">
        <v>325</v>
      </c>
      <c r="D1371" s="29" t="s">
        <v>1029</v>
      </c>
      <c r="E1371" s="29" t="s">
        <v>582</v>
      </c>
      <c r="F1371" s="30">
        <v>0.22</v>
      </c>
      <c r="G1371" s="31"/>
      <c r="H1371" s="31"/>
      <c r="I1371" s="31"/>
      <c r="J1371" s="31"/>
    </row>
    <row r="1372" spans="1:10" ht="14.4" x14ac:dyDescent="0.3">
      <c r="A1372" s="28" t="str">
        <f>B1372&amp;C1372&amp;D1372&amp;E1372</f>
        <v>Спорт и отдыхФитнес и йогаЙога и пилатесЗвонки и гонги</v>
      </c>
      <c r="B1372" s="29" t="s">
        <v>101</v>
      </c>
      <c r="C1372" s="29" t="s">
        <v>169</v>
      </c>
      <c r="D1372" s="29" t="s">
        <v>304</v>
      </c>
      <c r="E1372" s="29" t="s">
        <v>2880</v>
      </c>
      <c r="F1372" s="30">
        <v>0.22</v>
      </c>
      <c r="G1372" s="31"/>
      <c r="H1372" s="31"/>
      <c r="I1372" s="31"/>
      <c r="J1372" s="31"/>
    </row>
    <row r="1373" spans="1:10" ht="14.4" x14ac:dyDescent="0.3">
      <c r="A1373" s="28" t="str">
        <f>B1373&amp;C1373&amp;D1373&amp;E1373</f>
        <v>КнигиНехудожественная литератураКомпьютерные технологииМашинное обучение</v>
      </c>
      <c r="B1373" s="29" t="s">
        <v>63</v>
      </c>
      <c r="C1373" s="29" t="s">
        <v>141</v>
      </c>
      <c r="D1373" s="29" t="s">
        <v>450</v>
      </c>
      <c r="E1373" s="29" t="s">
        <v>2886</v>
      </c>
      <c r="F1373" s="30">
        <v>0.22</v>
      </c>
      <c r="G1373" s="31"/>
      <c r="H1373" s="31"/>
      <c r="I1373" s="31"/>
      <c r="J1373" s="31"/>
    </row>
    <row r="1374" spans="1:10" ht="14.4" x14ac:dyDescent="0.3">
      <c r="A1374" s="28" t="str">
        <f>B1374&amp;C1374&amp;D1374&amp;E1374</f>
        <v>КнигиНехудожественная литератураКомпьютерные технологииБазы данных</v>
      </c>
      <c r="B1374" s="29" t="s">
        <v>63</v>
      </c>
      <c r="C1374" s="29" t="s">
        <v>141</v>
      </c>
      <c r="D1374" s="29" t="s">
        <v>450</v>
      </c>
      <c r="E1374" s="29" t="s">
        <v>2890</v>
      </c>
      <c r="F1374" s="30">
        <v>0.22</v>
      </c>
      <c r="G1374" s="31"/>
      <c r="H1374" s="31"/>
      <c r="I1374" s="31"/>
      <c r="J1374" s="31"/>
    </row>
    <row r="1375" spans="1:10" ht="14.4" x14ac:dyDescent="0.3">
      <c r="A1375" s="28" t="str">
        <f>B1375&amp;C1375&amp;D1375&amp;E1375</f>
        <v>Хобби и творчествоГадания и эзотерикаАмулеты, обереги и талисманыАмулеты, обереги и талисманы</v>
      </c>
      <c r="B1375" s="29" t="s">
        <v>123</v>
      </c>
      <c r="C1375" s="29" t="s">
        <v>909</v>
      </c>
      <c r="D1375" s="29" t="s">
        <v>2914</v>
      </c>
      <c r="E1375" s="29" t="s">
        <v>2914</v>
      </c>
      <c r="F1375" s="30">
        <v>0.22</v>
      </c>
      <c r="G1375" s="31"/>
      <c r="H1375" s="31"/>
      <c r="I1375" s="31"/>
      <c r="J1375" s="31"/>
    </row>
    <row r="1376" spans="1:10" ht="14.4" x14ac:dyDescent="0.3">
      <c r="A1376" s="28" t="str">
        <f>B1376&amp;C1376&amp;D1376&amp;E1376</f>
        <v>Товары для домаТекстильКовры и ковровые дорожкиКоврики для ванной</v>
      </c>
      <c r="B1376" s="29" t="s">
        <v>59</v>
      </c>
      <c r="C1376" s="29" t="s">
        <v>325</v>
      </c>
      <c r="D1376" s="29" t="s">
        <v>753</v>
      </c>
      <c r="E1376" s="29" t="s">
        <v>2920</v>
      </c>
      <c r="F1376" s="30">
        <v>0.22</v>
      </c>
      <c r="G1376" s="31"/>
      <c r="H1376" s="31"/>
      <c r="I1376" s="31"/>
      <c r="J1376" s="31"/>
    </row>
    <row r="1377" spans="1:10" ht="14.4" x14ac:dyDescent="0.3">
      <c r="A1377" s="28" t="str">
        <f>B1377&amp;C1377&amp;D1377&amp;E1377</f>
        <v>Товары для домаТекстильКухонный текстильСкатерти</v>
      </c>
      <c r="B1377" s="29" t="s">
        <v>59</v>
      </c>
      <c r="C1377" s="29" t="s">
        <v>325</v>
      </c>
      <c r="D1377" s="29" t="s">
        <v>326</v>
      </c>
      <c r="E1377" s="29" t="s">
        <v>2946</v>
      </c>
      <c r="F1377" s="30">
        <v>0.22</v>
      </c>
      <c r="G1377" s="31"/>
      <c r="H1377" s="31"/>
      <c r="I1377" s="31"/>
      <c r="J1377" s="31"/>
    </row>
    <row r="1378" spans="1:10" ht="14.4" x14ac:dyDescent="0.3">
      <c r="A1378" s="28" t="str">
        <f>B1378&amp;C1378&amp;D1378&amp;E1378</f>
        <v>Хобби и творчествоСоздание картин, фоторамок, открытокКартины по номерамЦветы и натюрморты</v>
      </c>
      <c r="B1378" s="29" t="s">
        <v>123</v>
      </c>
      <c r="C1378" s="29" t="s">
        <v>506</v>
      </c>
      <c r="D1378" s="29" t="s">
        <v>507</v>
      </c>
      <c r="E1378" s="29" t="s">
        <v>2948</v>
      </c>
      <c r="F1378" s="30">
        <v>0.22</v>
      </c>
      <c r="G1378" s="31"/>
      <c r="H1378" s="31"/>
      <c r="I1378" s="31"/>
      <c r="J1378" s="31"/>
    </row>
    <row r="1379" spans="1:10" ht="14.4" x14ac:dyDescent="0.3">
      <c r="A1379" s="28" t="str">
        <f>B1379&amp;C1379&amp;D1379&amp;E1379</f>
        <v>КнигиЛитература на иностранных языкахКитайский языкКитайский язык</v>
      </c>
      <c r="B1379" s="29" t="s">
        <v>63</v>
      </c>
      <c r="C1379" s="29" t="s">
        <v>1188</v>
      </c>
      <c r="D1379" s="29" t="s">
        <v>2954</v>
      </c>
      <c r="E1379" s="29" t="s">
        <v>2954</v>
      </c>
      <c r="F1379" s="30">
        <v>0.22</v>
      </c>
      <c r="G1379" s="31"/>
      <c r="H1379" s="31"/>
      <c r="I1379" s="31"/>
      <c r="J1379" s="31"/>
    </row>
    <row r="1380" spans="1:10" ht="14.4" x14ac:dyDescent="0.3">
      <c r="A1380" s="28" t="str">
        <f>B1380&amp;C1380&amp;D1380&amp;E1380</f>
        <v>Хобби и творчествоРукоделиеШитьеТехнические ленты</v>
      </c>
      <c r="B1380" s="29" t="s">
        <v>123</v>
      </c>
      <c r="C1380" s="29" t="s">
        <v>243</v>
      </c>
      <c r="D1380" s="29" t="s">
        <v>244</v>
      </c>
      <c r="E1380" s="29" t="s">
        <v>2957</v>
      </c>
      <c r="F1380" s="30">
        <v>0.22</v>
      </c>
      <c r="G1380" s="31"/>
      <c r="H1380" s="31"/>
      <c r="I1380" s="31"/>
      <c r="J1380" s="31"/>
    </row>
    <row r="1381" spans="1:10" ht="14.4" x14ac:dyDescent="0.3">
      <c r="A1381" s="28" t="str">
        <f>B1381&amp;C1381&amp;D1381&amp;E1381</f>
        <v>Хобби и творчествоСоздание картин, фоторамок, открытокКартины по номерамРомантика и любовь</v>
      </c>
      <c r="B1381" s="29" t="s">
        <v>123</v>
      </c>
      <c r="C1381" s="29" t="s">
        <v>506</v>
      </c>
      <c r="D1381" s="29" t="s">
        <v>507</v>
      </c>
      <c r="E1381" s="29" t="s">
        <v>2971</v>
      </c>
      <c r="F1381" s="30">
        <v>0.22</v>
      </c>
      <c r="G1381" s="31"/>
      <c r="H1381" s="31"/>
      <c r="I1381" s="31"/>
      <c r="J1381" s="31"/>
    </row>
    <row r="1382" spans="1:10" ht="14.4" x14ac:dyDescent="0.3">
      <c r="A1382" s="28" t="str">
        <f>B1382&amp;C1382&amp;D1382&amp;E1382</f>
        <v>Хобби и творчествоРукоделиеШитьеМолнии</v>
      </c>
      <c r="B1382" s="29" t="s">
        <v>123</v>
      </c>
      <c r="C1382" s="29" t="s">
        <v>243</v>
      </c>
      <c r="D1382" s="29" t="s">
        <v>244</v>
      </c>
      <c r="E1382" s="29" t="s">
        <v>3041</v>
      </c>
      <c r="F1382" s="30">
        <v>0.22</v>
      </c>
      <c r="G1382" s="31"/>
      <c r="H1382" s="31"/>
      <c r="I1382" s="31"/>
      <c r="J1382" s="31"/>
    </row>
    <row r="1383" spans="1:10" ht="14.4" x14ac:dyDescent="0.3">
      <c r="A1383" s="28" t="str">
        <f>B1383&amp;C1383&amp;D1383&amp;E1383</f>
        <v>Хобби и творчествоРукоделиеПлетениеПлетение</v>
      </c>
      <c r="B1383" s="29" t="s">
        <v>123</v>
      </c>
      <c r="C1383" s="29" t="s">
        <v>243</v>
      </c>
      <c r="D1383" s="29" t="s">
        <v>3044</v>
      </c>
      <c r="E1383" s="29" t="s">
        <v>3044</v>
      </c>
      <c r="F1383" s="30">
        <v>0.22</v>
      </c>
      <c r="G1383" s="31"/>
      <c r="H1383" s="31"/>
      <c r="I1383" s="31"/>
      <c r="J1383" s="31"/>
    </row>
    <row r="1384" spans="1:10" ht="14.4" x14ac:dyDescent="0.3">
      <c r="A1384" s="28" t="str">
        <f>B1384&amp;C1384&amp;D1384&amp;E1384</f>
        <v>Хобби и творчествоНастольные и карточные игрыНаборы для покераНаборы для покера</v>
      </c>
      <c r="B1384" s="29" t="s">
        <v>123</v>
      </c>
      <c r="C1384" s="29" t="s">
        <v>441</v>
      </c>
      <c r="D1384" s="29" t="s">
        <v>3049</v>
      </c>
      <c r="E1384" s="29" t="s">
        <v>3049</v>
      </c>
      <c r="F1384" s="30">
        <v>0.22</v>
      </c>
      <c r="G1384" s="31"/>
      <c r="H1384" s="31"/>
      <c r="I1384" s="31"/>
      <c r="J1384" s="31"/>
    </row>
    <row r="1385" spans="1:10" ht="14.4" x14ac:dyDescent="0.3">
      <c r="A1385" s="28" t="str">
        <f>B1385&amp;C1385&amp;D1385&amp;E1385</f>
        <v>Хобби и творчествоРукоделиеШитьеФурнитура</v>
      </c>
      <c r="B1385" s="29" t="s">
        <v>123</v>
      </c>
      <c r="C1385" s="29" t="s">
        <v>243</v>
      </c>
      <c r="D1385" s="29" t="s">
        <v>244</v>
      </c>
      <c r="E1385" s="29" t="s">
        <v>1475</v>
      </c>
      <c r="F1385" s="30">
        <v>0.22</v>
      </c>
      <c r="G1385" s="31"/>
      <c r="H1385" s="31"/>
      <c r="I1385" s="31"/>
      <c r="J1385" s="31"/>
    </row>
    <row r="1386" spans="1:10" ht="14.4" x14ac:dyDescent="0.3">
      <c r="A1386" s="28" t="str">
        <f>B1386&amp;C1386&amp;D1386&amp;E1386</f>
        <v>Спорт и отдыхФитнес и йогаФитнесБодибары</v>
      </c>
      <c r="B1386" s="29" t="s">
        <v>101</v>
      </c>
      <c r="C1386" s="29" t="s">
        <v>169</v>
      </c>
      <c r="D1386" s="29" t="s">
        <v>170</v>
      </c>
      <c r="E1386" s="29" t="s">
        <v>3054</v>
      </c>
      <c r="F1386" s="30">
        <v>0.22</v>
      </c>
      <c r="G1386" s="31"/>
      <c r="H1386" s="31"/>
      <c r="I1386" s="31"/>
      <c r="J1386" s="31"/>
    </row>
    <row r="1387" spans="1:10" ht="14.4" x14ac:dyDescent="0.3">
      <c r="A1387" s="28" t="str">
        <f>B1387&amp;C1387&amp;D1387&amp;E1387</f>
        <v>ЗдоровьеВитамины и БАДыСеленСелен</v>
      </c>
      <c r="B1387" s="29" t="s">
        <v>116</v>
      </c>
      <c r="C1387" s="29" t="s">
        <v>707</v>
      </c>
      <c r="D1387" s="29" t="s">
        <v>3065</v>
      </c>
      <c r="E1387" s="29" t="s">
        <v>3065</v>
      </c>
      <c r="F1387" s="30">
        <v>0.22</v>
      </c>
      <c r="G1387" s="31"/>
      <c r="H1387" s="31"/>
      <c r="I1387" s="31"/>
      <c r="J1387" s="31"/>
    </row>
    <row r="1388" spans="1:10" ht="14.4" x14ac:dyDescent="0.3">
      <c r="A1388" s="28" t="str">
        <f>B1388&amp;C1388&amp;D1388&amp;E1388</f>
        <v>Спорт и отдыхОтдых на природе, рыбалка и охотаОхота и стрельбаРогатки</v>
      </c>
      <c r="B1388" s="29" t="s">
        <v>101</v>
      </c>
      <c r="C1388" s="29" t="s">
        <v>166</v>
      </c>
      <c r="D1388" s="29" t="s">
        <v>526</v>
      </c>
      <c r="E1388" s="29" t="s">
        <v>3067</v>
      </c>
      <c r="F1388" s="30">
        <v>0.22</v>
      </c>
      <c r="G1388" s="31"/>
      <c r="H1388" s="31"/>
      <c r="I1388" s="31"/>
      <c r="J1388" s="31"/>
    </row>
    <row r="1389" spans="1:10" ht="14.4" x14ac:dyDescent="0.3">
      <c r="A1389" s="28" t="str">
        <f>B1389&amp;C1389&amp;D1389&amp;E1389</f>
        <v>ЗдоровьеВитамины и БАДыЗдоровый сонЗдоровый сон</v>
      </c>
      <c r="B1389" s="29" t="s">
        <v>116</v>
      </c>
      <c r="C1389" s="29" t="s">
        <v>707</v>
      </c>
      <c r="D1389" s="29" t="s">
        <v>3068</v>
      </c>
      <c r="E1389" s="29" t="s">
        <v>3068</v>
      </c>
      <c r="F1389" s="30">
        <v>0.22</v>
      </c>
      <c r="G1389" s="31"/>
      <c r="H1389" s="31"/>
      <c r="I1389" s="31"/>
      <c r="J1389" s="31"/>
    </row>
    <row r="1390" spans="1:10" ht="14.4" x14ac:dyDescent="0.3">
      <c r="A1390" s="28" t="str">
        <f>B1390&amp;C1390&amp;D1390&amp;E1390</f>
        <v>Хобби и творчествоНастольные и карточные игрыАксессуары для настольных и карточных игрАксессуары для настольных и карточных игр</v>
      </c>
      <c r="B1390" s="29" t="s">
        <v>123</v>
      </c>
      <c r="C1390" s="29" t="s">
        <v>441</v>
      </c>
      <c r="D1390" s="29" t="s">
        <v>3070</v>
      </c>
      <c r="E1390" s="29" t="s">
        <v>3070</v>
      </c>
      <c r="F1390" s="30">
        <v>0.22</v>
      </c>
      <c r="G1390" s="31"/>
      <c r="H1390" s="31"/>
      <c r="I1390" s="31"/>
      <c r="J1390" s="31"/>
    </row>
    <row r="1391" spans="1:10" ht="14.4" x14ac:dyDescent="0.3">
      <c r="A1391" s="28" t="str">
        <f>B1391&amp;C1391&amp;D1391&amp;E1391</f>
        <v>ЗдоровьеВитамины и БАДыМагнийМагний</v>
      </c>
      <c r="B1391" s="29" t="s">
        <v>116</v>
      </c>
      <c r="C1391" s="29" t="s">
        <v>707</v>
      </c>
      <c r="D1391" s="29" t="s">
        <v>3071</v>
      </c>
      <c r="E1391" s="29" t="s">
        <v>3071</v>
      </c>
      <c r="F1391" s="30">
        <v>0.22</v>
      </c>
      <c r="G1391" s="31"/>
      <c r="H1391" s="31"/>
      <c r="I1391" s="31"/>
      <c r="J1391" s="31"/>
    </row>
    <row r="1392" spans="1:10" ht="14.4" x14ac:dyDescent="0.3">
      <c r="A1392" s="28" t="str">
        <f>B1392&amp;C1392&amp;D1392&amp;E1392</f>
        <v>Хобби и творчествоРукоделиеШитьеНожницы</v>
      </c>
      <c r="B1392" s="29" t="s">
        <v>123</v>
      </c>
      <c r="C1392" s="29" t="s">
        <v>243</v>
      </c>
      <c r="D1392" s="29" t="s">
        <v>244</v>
      </c>
      <c r="E1392" s="29" t="s">
        <v>1547</v>
      </c>
      <c r="F1392" s="30">
        <v>0.22</v>
      </c>
      <c r="G1392" s="31"/>
      <c r="H1392" s="31"/>
      <c r="I1392" s="31"/>
      <c r="J1392" s="31"/>
    </row>
    <row r="1393" spans="1:10" ht="14.4" x14ac:dyDescent="0.3">
      <c r="A1393" s="28" t="str">
        <f>B1393&amp;C1393&amp;D1393&amp;E1393</f>
        <v>Хобби и творчествоРисованиеВспомогательные жидкостиВспомогательные жидкости</v>
      </c>
      <c r="B1393" s="29" t="s">
        <v>123</v>
      </c>
      <c r="C1393" s="29" t="s">
        <v>124</v>
      </c>
      <c r="D1393" s="29" t="s">
        <v>3075</v>
      </c>
      <c r="E1393" s="29" t="s">
        <v>3075</v>
      </c>
      <c r="F1393" s="30">
        <v>0.22</v>
      </c>
      <c r="G1393" s="31"/>
      <c r="H1393" s="31"/>
      <c r="I1393" s="31"/>
      <c r="J1393" s="31"/>
    </row>
    <row r="1394" spans="1:10" ht="14.4" x14ac:dyDescent="0.3">
      <c r="A1394" s="28" t="str">
        <f>B1394&amp;C1394&amp;D1394&amp;E1394</f>
        <v>ЗдоровьеВитамины и БАДыДля пищеварительной системыДля пищеварительной системы</v>
      </c>
      <c r="B1394" s="29" t="s">
        <v>116</v>
      </c>
      <c r="C1394" s="29" t="s">
        <v>707</v>
      </c>
      <c r="D1394" s="29" t="s">
        <v>3077</v>
      </c>
      <c r="E1394" s="29" t="s">
        <v>3077</v>
      </c>
      <c r="F1394" s="30">
        <v>0.22</v>
      </c>
      <c r="G1394" s="31"/>
      <c r="H1394" s="31"/>
      <c r="I1394" s="31"/>
      <c r="J1394" s="31"/>
    </row>
    <row r="1395" spans="1:10" ht="14.4" x14ac:dyDescent="0.3">
      <c r="A1395" s="28" t="str">
        <f>B1395&amp;C1395&amp;D1395&amp;E1395</f>
        <v>Спорт и отдыхФитнес и йогаЙога и пилатесСумки и чехлы</v>
      </c>
      <c r="B1395" s="29" t="s">
        <v>101</v>
      </c>
      <c r="C1395" s="29" t="s">
        <v>169</v>
      </c>
      <c r="D1395" s="29" t="s">
        <v>304</v>
      </c>
      <c r="E1395" s="29" t="s">
        <v>3094</v>
      </c>
      <c r="F1395" s="30">
        <v>0.22</v>
      </c>
      <c r="G1395" s="31"/>
      <c r="H1395" s="31"/>
      <c r="I1395" s="31"/>
      <c r="J1395" s="31"/>
    </row>
    <row r="1396" spans="1:10" ht="14.4" x14ac:dyDescent="0.3">
      <c r="A1396" s="28" t="str">
        <f>B1396&amp;C1396&amp;D1396&amp;E1396</f>
        <v>Спорт и отдыхФитнес и йогаОдежда, пояса и пластыри для похуденияОдежда, пояса и пластыри для похудения</v>
      </c>
      <c r="B1396" s="29" t="s">
        <v>101</v>
      </c>
      <c r="C1396" s="29" t="s">
        <v>169</v>
      </c>
      <c r="D1396" s="29" t="s">
        <v>3117</v>
      </c>
      <c r="E1396" s="29" t="s">
        <v>3117</v>
      </c>
      <c r="F1396" s="30">
        <v>0.22</v>
      </c>
      <c r="G1396" s="31"/>
      <c r="H1396" s="31"/>
      <c r="I1396" s="31"/>
      <c r="J1396" s="31"/>
    </row>
    <row r="1397" spans="1:10" ht="14.4" x14ac:dyDescent="0.3">
      <c r="A1397" s="28" t="str">
        <f>B1397&amp;C1397&amp;D1397&amp;E1397</f>
        <v>Товары для домаТекстильКовры и ковровые дорожкиКовры для кухни</v>
      </c>
      <c r="B1397" s="29" t="s">
        <v>59</v>
      </c>
      <c r="C1397" s="29" t="s">
        <v>325</v>
      </c>
      <c r="D1397" s="29" t="s">
        <v>753</v>
      </c>
      <c r="E1397" s="29" t="s">
        <v>3125</v>
      </c>
      <c r="F1397" s="30">
        <v>0.22</v>
      </c>
      <c r="G1397" s="31"/>
      <c r="H1397" s="31"/>
      <c r="I1397" s="31"/>
      <c r="J1397" s="31"/>
    </row>
    <row r="1398" spans="1:10" ht="14.4" x14ac:dyDescent="0.3">
      <c r="A1398" s="28" t="str">
        <f>B1398&amp;C1398&amp;D1398&amp;E1398</f>
        <v>КнигиРелигиозные книгиИсламСийрат</v>
      </c>
      <c r="B1398" s="29" t="s">
        <v>63</v>
      </c>
      <c r="C1398" s="29" t="s">
        <v>64</v>
      </c>
      <c r="D1398" s="29" t="s">
        <v>65</v>
      </c>
      <c r="E1398" s="29" t="s">
        <v>66</v>
      </c>
      <c r="F1398" s="30">
        <v>0.2</v>
      </c>
      <c r="G1398" s="31"/>
      <c r="H1398" s="31"/>
      <c r="I1398" s="31"/>
      <c r="J1398" s="31"/>
    </row>
    <row r="1399" spans="1:10" ht="14.4" x14ac:dyDescent="0.3">
      <c r="A1399" s="28" t="str">
        <f>B1399&amp;C1399&amp;D1399&amp;E1399</f>
        <v>Красота и уходДля мужчинДля волосСредства для укладки</v>
      </c>
      <c r="B1399" s="29" t="s">
        <v>56</v>
      </c>
      <c r="C1399" s="29" t="s">
        <v>71</v>
      </c>
      <c r="D1399" s="29" t="s">
        <v>72</v>
      </c>
      <c r="E1399" s="29" t="s">
        <v>73</v>
      </c>
      <c r="F1399" s="30">
        <v>0.2</v>
      </c>
      <c r="G1399" s="31"/>
      <c r="H1399" s="31"/>
      <c r="I1399" s="31"/>
      <c r="J1399" s="31"/>
    </row>
    <row r="1400" spans="1:10" ht="14.4" x14ac:dyDescent="0.3">
      <c r="A1400" s="28" t="str">
        <f>B1400&amp;C1400&amp;D1400&amp;E1400</f>
        <v>ЭлектроникаНаушники и аудиотехникаНаушникиИгровые наушники</v>
      </c>
      <c r="B1400" s="29" t="s">
        <v>67</v>
      </c>
      <c r="C1400" s="29" t="s">
        <v>74</v>
      </c>
      <c r="D1400" s="29" t="s">
        <v>75</v>
      </c>
      <c r="E1400" s="29" t="s">
        <v>76</v>
      </c>
      <c r="F1400" s="30">
        <v>0.2</v>
      </c>
      <c r="G1400" s="31"/>
      <c r="H1400" s="31"/>
      <c r="I1400" s="31"/>
      <c r="J1400" s="31"/>
    </row>
    <row r="1401" spans="1:10" ht="14.4" x14ac:dyDescent="0.3">
      <c r="A1401" s="28" t="str">
        <f>B1401&amp;C1401&amp;D1401&amp;E1401</f>
        <v>Красота и уходПрофессиональная косметикаУход за теломУход за телом</v>
      </c>
      <c r="B1401" s="29" t="s">
        <v>56</v>
      </c>
      <c r="C1401" s="29" t="s">
        <v>99</v>
      </c>
      <c r="D1401" s="29" t="s">
        <v>100</v>
      </c>
      <c r="E1401" s="29" t="s">
        <v>100</v>
      </c>
      <c r="F1401" s="30">
        <v>0.2</v>
      </c>
      <c r="G1401" s="31"/>
      <c r="H1401" s="31"/>
      <c r="I1401" s="31"/>
      <c r="J1401" s="31"/>
    </row>
    <row r="1402" spans="1:10" ht="14.4" x14ac:dyDescent="0.3">
      <c r="A1402" s="28" t="str">
        <f>B1402&amp;C1402&amp;D1402&amp;E1402</f>
        <v>Детские товарыГигиена и подгузникиПеленки и клеенки для малышейПеленки-коконы</v>
      </c>
      <c r="B1402" s="29" t="s">
        <v>105</v>
      </c>
      <c r="C1402" s="29" t="s">
        <v>106</v>
      </c>
      <c r="D1402" s="29" t="s">
        <v>107</v>
      </c>
      <c r="E1402" s="29" t="s">
        <v>108</v>
      </c>
      <c r="F1402" s="30">
        <v>0.2</v>
      </c>
      <c r="G1402" s="31"/>
      <c r="H1402" s="31"/>
      <c r="I1402" s="31"/>
      <c r="J1402" s="31"/>
    </row>
    <row r="1403" spans="1:10" ht="14.4" x14ac:dyDescent="0.3">
      <c r="A1403" s="28" t="str">
        <f>B1403&amp;C1403&amp;D1403&amp;E1403</f>
        <v>Красота и уходУход за волосамиСредства для укладкиТовары для наращённых волос</v>
      </c>
      <c r="B1403" s="29" t="s">
        <v>56</v>
      </c>
      <c r="C1403" s="29" t="s">
        <v>109</v>
      </c>
      <c r="D1403" s="29" t="s">
        <v>73</v>
      </c>
      <c r="E1403" s="29" t="s">
        <v>115</v>
      </c>
      <c r="F1403" s="30">
        <v>0.2</v>
      </c>
      <c r="G1403" s="31"/>
      <c r="H1403" s="31"/>
      <c r="I1403" s="31"/>
      <c r="J1403" s="31"/>
    </row>
    <row r="1404" spans="1:10" ht="14.4" x14ac:dyDescent="0.3">
      <c r="A1404" s="28" t="str">
        <f>B1404&amp;C1404&amp;D1404&amp;E1404</f>
        <v>Красота и уходЛичная гигиенаГигиена полости ртаМежзубные ершики</v>
      </c>
      <c r="B1404" s="29" t="s">
        <v>56</v>
      </c>
      <c r="C1404" s="29" t="s">
        <v>120</v>
      </c>
      <c r="D1404" s="29" t="s">
        <v>121</v>
      </c>
      <c r="E1404" s="29" t="s">
        <v>122</v>
      </c>
      <c r="F1404" s="30">
        <v>0.2</v>
      </c>
      <c r="G1404" s="31"/>
      <c r="H1404" s="31"/>
      <c r="I1404" s="31"/>
      <c r="J1404" s="31"/>
    </row>
    <row r="1405" spans="1:10" ht="14.4" x14ac:dyDescent="0.3">
      <c r="A1405" s="28" t="str">
        <f>B1405&amp;C1405&amp;D1405&amp;E1405</f>
        <v>Красота и уходУход за теломУвлажнение и питаниеКонцентраты и бальзамы</v>
      </c>
      <c r="B1405" s="29" t="s">
        <v>56</v>
      </c>
      <c r="C1405" s="29" t="s">
        <v>100</v>
      </c>
      <c r="D1405" s="29" t="s">
        <v>134</v>
      </c>
      <c r="E1405" s="29" t="s">
        <v>135</v>
      </c>
      <c r="F1405" s="30">
        <v>0.2</v>
      </c>
      <c r="G1405" s="31"/>
      <c r="H1405" s="31"/>
      <c r="I1405" s="31"/>
      <c r="J1405" s="31"/>
    </row>
    <row r="1406" spans="1:10" ht="14.4" x14ac:dyDescent="0.3">
      <c r="A1406" s="28" t="str">
        <f>B1406&amp;C1406&amp;D1406&amp;E1406</f>
        <v>ЭлектроникаТелевизоры и видеотехникаПроекторы и аксессуарыПульты для презентаций</v>
      </c>
      <c r="B1406" s="29" t="s">
        <v>67</v>
      </c>
      <c r="C1406" s="29" t="s">
        <v>136</v>
      </c>
      <c r="D1406" s="29" t="s">
        <v>137</v>
      </c>
      <c r="E1406" s="29" t="s">
        <v>138</v>
      </c>
      <c r="F1406" s="30">
        <v>0.2</v>
      </c>
      <c r="G1406" s="31"/>
      <c r="H1406" s="31"/>
      <c r="I1406" s="31"/>
      <c r="J1406" s="31"/>
    </row>
    <row r="1407" spans="1:10" ht="14.4" x14ac:dyDescent="0.3">
      <c r="A1407" s="28" t="str">
        <f>B1407&amp;C1407&amp;D1407&amp;E1407</f>
        <v>КнигиНехудожественная литератураЮридическая литератураПраво</v>
      </c>
      <c r="B1407" s="29" t="s">
        <v>63</v>
      </c>
      <c r="C1407" s="29" t="s">
        <v>141</v>
      </c>
      <c r="D1407" s="29" t="s">
        <v>142</v>
      </c>
      <c r="E1407" s="29" t="s">
        <v>143</v>
      </c>
      <c r="F1407" s="30">
        <v>0.2</v>
      </c>
      <c r="G1407" s="31"/>
      <c r="H1407" s="31"/>
      <c r="I1407" s="31"/>
      <c r="J1407" s="31"/>
    </row>
    <row r="1408" spans="1:10" ht="14.4" x14ac:dyDescent="0.3">
      <c r="A1408" s="28" t="str">
        <f>B1408&amp;C1408&amp;D1408&amp;E1408</f>
        <v>Бытовая химияСредства для ухода за бытовой техникойДля крупной бытовой техникиДля крупной бытовой техники</v>
      </c>
      <c r="B1408" s="29" t="s">
        <v>146</v>
      </c>
      <c r="C1408" s="29" t="s">
        <v>147</v>
      </c>
      <c r="D1408" s="29" t="s">
        <v>148</v>
      </c>
      <c r="E1408" s="29" t="s">
        <v>148</v>
      </c>
      <c r="F1408" s="30">
        <v>0.2</v>
      </c>
      <c r="G1408" s="31"/>
      <c r="H1408" s="31"/>
      <c r="I1408" s="31"/>
      <c r="J1408" s="31"/>
    </row>
    <row r="1409" spans="1:10" ht="14.4" x14ac:dyDescent="0.3">
      <c r="A1409" s="28" t="str">
        <f>B1409&amp;C1409&amp;D1409&amp;E1409</f>
        <v>Красота и уходМакияжГубыПомады</v>
      </c>
      <c r="B1409" s="29" t="s">
        <v>56</v>
      </c>
      <c r="C1409" s="29" t="s">
        <v>151</v>
      </c>
      <c r="D1409" s="29" t="s">
        <v>152</v>
      </c>
      <c r="E1409" s="29" t="s">
        <v>153</v>
      </c>
      <c r="F1409" s="30">
        <v>0.2</v>
      </c>
      <c r="G1409" s="31"/>
      <c r="H1409" s="31"/>
      <c r="I1409" s="31"/>
      <c r="J1409" s="31"/>
    </row>
    <row r="1410" spans="1:10" ht="14.4" x14ac:dyDescent="0.3">
      <c r="A1410" s="28" t="str">
        <f>B1410&amp;C1410&amp;D1410&amp;E1410</f>
        <v>ЭлектроникаТелевизоры и видеотехникаАксессуары для телевизоровПрочие аксессуары для телевизоров</v>
      </c>
      <c r="B1410" s="29" t="s">
        <v>67</v>
      </c>
      <c r="C1410" s="29" t="s">
        <v>136</v>
      </c>
      <c r="D1410" s="29" t="s">
        <v>156</v>
      </c>
      <c r="E1410" s="29" t="s">
        <v>157</v>
      </c>
      <c r="F1410" s="30">
        <v>0.2</v>
      </c>
      <c r="G1410" s="31"/>
      <c r="H1410" s="31"/>
      <c r="I1410" s="31"/>
      <c r="J1410" s="31"/>
    </row>
    <row r="1411" spans="1:10" ht="14.4" x14ac:dyDescent="0.3">
      <c r="A1411" s="28" t="str">
        <f>B1411&amp;C1411&amp;D1411&amp;E1411</f>
        <v>КанцтоварыКалькуляторыКарманные калькуляторыКарманные калькуляторы</v>
      </c>
      <c r="B1411" s="29" t="s">
        <v>163</v>
      </c>
      <c r="C1411" s="29" t="s">
        <v>164</v>
      </c>
      <c r="D1411" s="29" t="s">
        <v>165</v>
      </c>
      <c r="E1411" s="29" t="s">
        <v>165</v>
      </c>
      <c r="F1411" s="30">
        <v>0.2</v>
      </c>
      <c r="G1411" s="31"/>
      <c r="H1411" s="31"/>
      <c r="I1411" s="31"/>
      <c r="J1411" s="31"/>
    </row>
    <row r="1412" spans="1:10" ht="14.4" x14ac:dyDescent="0.3">
      <c r="A1412" s="28" t="str">
        <f>B1412&amp;C1412&amp;D1412&amp;E1412</f>
        <v>ЭлектроникаФото и видеотехникаАксессуары для фото- и видеокамерАксессуары для экшн камер</v>
      </c>
      <c r="B1412" s="29" t="s">
        <v>67</v>
      </c>
      <c r="C1412" s="29" t="s">
        <v>174</v>
      </c>
      <c r="D1412" s="29" t="s">
        <v>175</v>
      </c>
      <c r="E1412" s="29" t="s">
        <v>176</v>
      </c>
      <c r="F1412" s="30">
        <v>0.2</v>
      </c>
      <c r="G1412" s="31"/>
      <c r="H1412" s="31"/>
      <c r="I1412" s="31"/>
      <c r="J1412" s="31"/>
    </row>
    <row r="1413" spans="1:10" ht="14.4" x14ac:dyDescent="0.3">
      <c r="A1413" s="28" t="str">
        <f>B1413&amp;C1413&amp;D1413&amp;E1413</f>
        <v>АвтотоварыАккумуляторы и аксессуарыПринадлежности для АКБПринадлежности для АКБ</v>
      </c>
      <c r="B1413" s="29" t="s">
        <v>12</v>
      </c>
      <c r="C1413" s="29" t="s">
        <v>177</v>
      </c>
      <c r="D1413" s="29" t="s">
        <v>178</v>
      </c>
      <c r="E1413" s="29" t="s">
        <v>178</v>
      </c>
      <c r="F1413" s="30">
        <v>0.2</v>
      </c>
      <c r="G1413" s="31"/>
      <c r="H1413" s="31"/>
      <c r="I1413" s="31"/>
      <c r="J1413" s="31"/>
    </row>
    <row r="1414" spans="1:10" ht="14.4" x14ac:dyDescent="0.3">
      <c r="A1414" s="28" t="str">
        <f>B1414&amp;C1414&amp;D1414&amp;E1414</f>
        <v>ОбувьЖенская обувьБалеткиБалетки с квадратным носом</v>
      </c>
      <c r="B1414" s="29" t="s">
        <v>180</v>
      </c>
      <c r="C1414" s="29" t="s">
        <v>181</v>
      </c>
      <c r="D1414" s="29" t="s">
        <v>182</v>
      </c>
      <c r="E1414" s="29" t="s">
        <v>183</v>
      </c>
      <c r="F1414" s="30">
        <v>0.2</v>
      </c>
      <c r="G1414" s="31"/>
      <c r="H1414" s="31"/>
      <c r="I1414" s="31"/>
      <c r="J1414" s="31"/>
    </row>
    <row r="1415" spans="1:10" ht="14.4" x14ac:dyDescent="0.3">
      <c r="A1415" s="28" t="str">
        <f>B1415&amp;C1415&amp;D1415&amp;E1415</f>
        <v>Детские товарыИгрушки и игрыРобототехника и Stem-игрушкиРобототехника и Stem-игрушки</v>
      </c>
      <c r="B1415" s="29" t="s">
        <v>105</v>
      </c>
      <c r="C1415" s="29" t="s">
        <v>184</v>
      </c>
      <c r="D1415" s="29" t="s">
        <v>185</v>
      </c>
      <c r="E1415" s="29" t="s">
        <v>185</v>
      </c>
      <c r="F1415" s="30">
        <v>0.2</v>
      </c>
      <c r="G1415" s="31"/>
      <c r="H1415" s="31"/>
      <c r="I1415" s="31"/>
      <c r="J1415" s="31"/>
    </row>
    <row r="1416" spans="1:10" ht="14.4" x14ac:dyDescent="0.3">
      <c r="A1416" s="28" t="str">
        <f>B1416&amp;C1416&amp;D1416&amp;E1416</f>
        <v>Красота и уходМаникюр и педикюрМатериалы для наращивания ногтейГели и пудры для наращивания ногтей</v>
      </c>
      <c r="B1416" s="29" t="s">
        <v>56</v>
      </c>
      <c r="C1416" s="29" t="s">
        <v>57</v>
      </c>
      <c r="D1416" s="29" t="s">
        <v>186</v>
      </c>
      <c r="E1416" s="29" t="s">
        <v>187</v>
      </c>
      <c r="F1416" s="30">
        <v>0.2</v>
      </c>
      <c r="G1416" s="31"/>
      <c r="H1416" s="31"/>
      <c r="I1416" s="31"/>
      <c r="J1416" s="31"/>
    </row>
    <row r="1417" spans="1:10" ht="14.4" x14ac:dyDescent="0.3">
      <c r="A1417" s="28" t="str">
        <f>B1417&amp;C1417&amp;D1417&amp;E1417</f>
        <v>ОбувьЖенская обувьСапоги и уггиБотфорты</v>
      </c>
      <c r="B1417" s="29" t="s">
        <v>180</v>
      </c>
      <c r="C1417" s="29" t="s">
        <v>181</v>
      </c>
      <c r="D1417" s="29" t="s">
        <v>190</v>
      </c>
      <c r="E1417" s="29" t="s">
        <v>191</v>
      </c>
      <c r="F1417" s="30">
        <v>0.2</v>
      </c>
      <c r="G1417" s="31"/>
      <c r="H1417" s="31"/>
      <c r="I1417" s="31"/>
      <c r="J1417" s="31"/>
    </row>
    <row r="1418" spans="1:10" ht="14.4" x14ac:dyDescent="0.3">
      <c r="A1418" s="28" t="str">
        <f>B1418&amp;C1418&amp;D1418&amp;E1418</f>
        <v>Товары для домаХозяйственные товарыАксессуары для ваннойСиденье на унитаз</v>
      </c>
      <c r="B1418" s="29" t="s">
        <v>59</v>
      </c>
      <c r="C1418" s="29" t="s">
        <v>193</v>
      </c>
      <c r="D1418" s="29" t="s">
        <v>194</v>
      </c>
      <c r="E1418" s="29" t="s">
        <v>195</v>
      </c>
      <c r="F1418" s="30">
        <v>0.2</v>
      </c>
      <c r="G1418" s="31"/>
      <c r="H1418" s="31"/>
      <c r="I1418" s="31"/>
      <c r="J1418" s="31"/>
    </row>
    <row r="1419" spans="1:10" ht="14.4" x14ac:dyDescent="0.3">
      <c r="A1419" s="28" t="str">
        <f>B1419&amp;C1419&amp;D1419&amp;E1419</f>
        <v>КнигиНехудожественная литератураЭзотерика и спиритизмЭзотерика и спиритизм</v>
      </c>
      <c r="B1419" s="29" t="s">
        <v>63</v>
      </c>
      <c r="C1419" s="29" t="s">
        <v>141</v>
      </c>
      <c r="D1419" s="29" t="s">
        <v>198</v>
      </c>
      <c r="E1419" s="29" t="s">
        <v>198</v>
      </c>
      <c r="F1419" s="30">
        <v>0.2</v>
      </c>
      <c r="G1419" s="31"/>
      <c r="H1419" s="31"/>
      <c r="I1419" s="31"/>
      <c r="J1419" s="31"/>
    </row>
    <row r="1420" spans="1:10" ht="14.4" x14ac:dyDescent="0.3">
      <c r="A1420" s="28" t="str">
        <f>B1420&amp;C1420&amp;D1420&amp;E1420</f>
        <v>Строительство и ремонтИнструментыИзмерительные инструментыМультиметры и тестеры</v>
      </c>
      <c r="B1420" s="29" t="s">
        <v>77</v>
      </c>
      <c r="C1420" s="29" t="s">
        <v>78</v>
      </c>
      <c r="D1420" s="29" t="s">
        <v>207</v>
      </c>
      <c r="E1420" s="29" t="s">
        <v>208</v>
      </c>
      <c r="F1420" s="30">
        <v>0.2</v>
      </c>
      <c r="G1420" s="31"/>
      <c r="H1420" s="31"/>
      <c r="I1420" s="31"/>
      <c r="J1420" s="31"/>
    </row>
    <row r="1421" spans="1:10" ht="14.4" x14ac:dyDescent="0.3">
      <c r="A1421" s="28" t="str">
        <f>B1421&amp;C1421&amp;D1421&amp;E1421</f>
        <v>КнигиБукинистикаУчебная литератураУчебная литература</v>
      </c>
      <c r="B1421" s="29" t="s">
        <v>63</v>
      </c>
      <c r="C1421" s="29" t="s">
        <v>209</v>
      </c>
      <c r="D1421" s="29" t="s">
        <v>210</v>
      </c>
      <c r="E1421" s="29" t="s">
        <v>210</v>
      </c>
      <c r="F1421" s="30">
        <v>0.2</v>
      </c>
      <c r="G1421" s="31"/>
      <c r="H1421" s="31"/>
      <c r="I1421" s="31"/>
      <c r="J1421" s="31"/>
    </row>
    <row r="1422" spans="1:10" ht="14.4" x14ac:dyDescent="0.3">
      <c r="A1422" s="28" t="str">
        <f>B1422&amp;C1422&amp;D1422&amp;E1422</f>
        <v>Красота и уходКорейская косметикаМакияжБрови</v>
      </c>
      <c r="B1422" s="29" t="s">
        <v>56</v>
      </c>
      <c r="C1422" s="29" t="s">
        <v>211</v>
      </c>
      <c r="D1422" s="29" t="s">
        <v>151</v>
      </c>
      <c r="E1422" s="29" t="s">
        <v>212</v>
      </c>
      <c r="F1422" s="30">
        <v>0.2</v>
      </c>
      <c r="G1422" s="31"/>
      <c r="H1422" s="31"/>
      <c r="I1422" s="31"/>
      <c r="J1422" s="31"/>
    </row>
    <row r="1423" spans="1:10" ht="14.4" x14ac:dyDescent="0.3">
      <c r="A1423" s="28" t="str">
        <f>B1423&amp;C1423&amp;D1423&amp;E1423</f>
        <v>Строительство и ремонтИнструментыИзмерительные инструментыПрочие измерительные инструменты</v>
      </c>
      <c r="B1423" s="29" t="s">
        <v>77</v>
      </c>
      <c r="C1423" s="29" t="s">
        <v>78</v>
      </c>
      <c r="D1423" s="29" t="s">
        <v>207</v>
      </c>
      <c r="E1423" s="29" t="s">
        <v>213</v>
      </c>
      <c r="F1423" s="30">
        <v>0.2</v>
      </c>
      <c r="G1423" s="31"/>
      <c r="H1423" s="31"/>
      <c r="I1423" s="31"/>
      <c r="J1423" s="31"/>
    </row>
    <row r="1424" spans="1:10" ht="14.4" x14ac:dyDescent="0.3">
      <c r="A1424" s="28" t="str">
        <f>B1424&amp;C1424&amp;D1424&amp;E1424</f>
        <v>Детские товарыИгрушки и игрыРазвивающие и обучающие игрушкиСюжетно-ролевые игры</v>
      </c>
      <c r="B1424" s="29" t="s">
        <v>105</v>
      </c>
      <c r="C1424" s="29" t="s">
        <v>184</v>
      </c>
      <c r="D1424" s="29" t="s">
        <v>218</v>
      </c>
      <c r="E1424" s="29" t="s">
        <v>219</v>
      </c>
      <c r="F1424" s="30">
        <v>0.2</v>
      </c>
      <c r="G1424" s="31"/>
      <c r="H1424" s="31"/>
      <c r="I1424" s="31"/>
      <c r="J1424" s="31"/>
    </row>
    <row r="1425" spans="1:10" ht="14.4" x14ac:dyDescent="0.3">
      <c r="A1425" s="28" t="str">
        <f>B1425&amp;C1425&amp;D1425&amp;E1425</f>
        <v>Товары для домаХозяйственные товарыСумки хозяйственныеСумки хозяйственные</v>
      </c>
      <c r="B1425" s="29" t="s">
        <v>59</v>
      </c>
      <c r="C1425" s="29" t="s">
        <v>193</v>
      </c>
      <c r="D1425" s="29" t="s">
        <v>226</v>
      </c>
      <c r="E1425" s="29" t="s">
        <v>226</v>
      </c>
      <c r="F1425" s="30">
        <v>0.2</v>
      </c>
      <c r="G1425" s="31"/>
      <c r="H1425" s="31"/>
      <c r="I1425" s="31"/>
      <c r="J1425" s="31"/>
    </row>
    <row r="1426" spans="1:10" ht="14.4" x14ac:dyDescent="0.3">
      <c r="A1426" s="28" t="str">
        <f>B1426&amp;C1426&amp;D1426&amp;E1426</f>
        <v>КанцтоварыОфисные принадлежностиЛотки и накопители для бумагЛотки и накопители для бумаг</v>
      </c>
      <c r="B1426" s="29" t="s">
        <v>163</v>
      </c>
      <c r="C1426" s="29" t="s">
        <v>227</v>
      </c>
      <c r="D1426" s="29" t="s">
        <v>228</v>
      </c>
      <c r="E1426" s="29" t="s">
        <v>228</v>
      </c>
      <c r="F1426" s="30">
        <v>0.2</v>
      </c>
      <c r="G1426" s="31"/>
      <c r="H1426" s="31"/>
      <c r="I1426" s="31"/>
      <c r="J1426" s="31"/>
    </row>
    <row r="1427" spans="1:10" ht="14.4" x14ac:dyDescent="0.3">
      <c r="A1427" s="28" t="str">
        <f>B1427&amp;C1427&amp;D1427&amp;E1427</f>
        <v>Красота и уходУход за лицомМаскиГлина</v>
      </c>
      <c r="B1427" s="29" t="s">
        <v>56</v>
      </c>
      <c r="C1427" s="29" t="s">
        <v>238</v>
      </c>
      <c r="D1427" s="29" t="s">
        <v>239</v>
      </c>
      <c r="E1427" s="29" t="s">
        <v>240</v>
      </c>
      <c r="F1427" s="30">
        <v>0.2</v>
      </c>
      <c r="G1427" s="31"/>
      <c r="H1427" s="31"/>
      <c r="I1427" s="31"/>
      <c r="J1427" s="31"/>
    </row>
    <row r="1428" spans="1:10" ht="14.4" x14ac:dyDescent="0.3">
      <c r="A1428" s="28" t="str">
        <f>B1428&amp;C1428&amp;D1428&amp;E1428</f>
        <v>Красота и уходЛичная гигиенаБумажная и ватная продукцияВатные диски</v>
      </c>
      <c r="B1428" s="29" t="s">
        <v>56</v>
      </c>
      <c r="C1428" s="29" t="s">
        <v>120</v>
      </c>
      <c r="D1428" s="29" t="s">
        <v>246</v>
      </c>
      <c r="E1428" s="29" t="s">
        <v>247</v>
      </c>
      <c r="F1428" s="30">
        <v>0.2</v>
      </c>
      <c r="G1428" s="31"/>
      <c r="H1428" s="31"/>
      <c r="I1428" s="31"/>
      <c r="J1428" s="31"/>
    </row>
    <row r="1429" spans="1:10" ht="14.4" x14ac:dyDescent="0.3">
      <c r="A1429" s="28" t="str">
        <f>B1429&amp;C1429&amp;D1429&amp;E1429</f>
        <v>Продукты питанияШоколад, конфеты, сладостиШоколадШоколад</v>
      </c>
      <c r="B1429" s="29" t="s">
        <v>248</v>
      </c>
      <c r="C1429" s="29" t="s">
        <v>249</v>
      </c>
      <c r="D1429" s="29" t="s">
        <v>250</v>
      </c>
      <c r="E1429" s="29" t="s">
        <v>250</v>
      </c>
      <c r="F1429" s="30">
        <v>0.2</v>
      </c>
      <c r="G1429" s="31"/>
      <c r="H1429" s="31"/>
      <c r="I1429" s="31"/>
      <c r="J1429" s="31"/>
    </row>
    <row r="1430" spans="1:10" ht="14.4" x14ac:dyDescent="0.3">
      <c r="A1430" s="28" t="str">
        <f>B1430&amp;C1430&amp;D1430&amp;E1430</f>
        <v>КнигиНехудожественная литератураПублицистикаБиографии известных людей</v>
      </c>
      <c r="B1430" s="29" t="s">
        <v>63</v>
      </c>
      <c r="C1430" s="29" t="s">
        <v>141</v>
      </c>
      <c r="D1430" s="29" t="s">
        <v>251</v>
      </c>
      <c r="E1430" s="29" t="s">
        <v>252</v>
      </c>
      <c r="F1430" s="30">
        <v>0.2</v>
      </c>
      <c r="G1430" s="31"/>
      <c r="H1430" s="31"/>
      <c r="I1430" s="31"/>
      <c r="J1430" s="31"/>
    </row>
    <row r="1431" spans="1:10" ht="14.4" x14ac:dyDescent="0.3">
      <c r="A1431" s="28" t="str">
        <f>B1431&amp;C1431&amp;D1431&amp;E1431</f>
        <v>КнигиДетям и родителямРазвитие детейУчимся читать</v>
      </c>
      <c r="B1431" s="29" t="s">
        <v>63</v>
      </c>
      <c r="C1431" s="29" t="s">
        <v>258</v>
      </c>
      <c r="D1431" s="29" t="s">
        <v>259</v>
      </c>
      <c r="E1431" s="29" t="s">
        <v>260</v>
      </c>
      <c r="F1431" s="30">
        <v>0.2</v>
      </c>
      <c r="G1431" s="31"/>
      <c r="H1431" s="31"/>
      <c r="I1431" s="31"/>
      <c r="J1431" s="31"/>
    </row>
    <row r="1432" spans="1:10" ht="14.4" x14ac:dyDescent="0.3">
      <c r="A1432" s="28" t="str">
        <f>B1432&amp;C1432&amp;D1432&amp;E1432</f>
        <v>КанцтоварыБумажная продукцияЗакладкиЗакладка</v>
      </c>
      <c r="B1432" s="29" t="s">
        <v>163</v>
      </c>
      <c r="C1432" s="29" t="s">
        <v>261</v>
      </c>
      <c r="D1432" s="29" t="s">
        <v>262</v>
      </c>
      <c r="E1432" s="29" t="s">
        <v>263</v>
      </c>
      <c r="F1432" s="30">
        <v>0.2</v>
      </c>
      <c r="G1432" s="31"/>
      <c r="H1432" s="31"/>
      <c r="I1432" s="31"/>
      <c r="J1432" s="31"/>
    </row>
    <row r="1433" spans="1:10" ht="14.4" x14ac:dyDescent="0.3">
      <c r="A1433" s="28" t="str">
        <f>B1433&amp;C1433&amp;D1433&amp;E1433</f>
        <v>ЭлектроникаСмартфоны и телефоныАксессуары для смартфоновАксессуары для мобильной съемки</v>
      </c>
      <c r="B1433" s="29" t="s">
        <v>67</v>
      </c>
      <c r="C1433" s="29" t="s">
        <v>96</v>
      </c>
      <c r="D1433" s="29" t="s">
        <v>97</v>
      </c>
      <c r="E1433" s="29" t="s">
        <v>264</v>
      </c>
      <c r="F1433" s="30">
        <v>0.2</v>
      </c>
      <c r="G1433" s="31"/>
      <c r="H1433" s="31"/>
      <c r="I1433" s="31"/>
      <c r="J1433" s="31"/>
    </row>
    <row r="1434" spans="1:10" ht="14.4" x14ac:dyDescent="0.3">
      <c r="A1434" s="28" t="str">
        <f>B1434&amp;C1434&amp;D1434&amp;E1434</f>
        <v>Красота и уходУход за лицомУвлажнение и питаниеКонцентраты</v>
      </c>
      <c r="B1434" s="29" t="s">
        <v>56</v>
      </c>
      <c r="C1434" s="29" t="s">
        <v>238</v>
      </c>
      <c r="D1434" s="29" t="s">
        <v>134</v>
      </c>
      <c r="E1434" s="29" t="s">
        <v>275</v>
      </c>
      <c r="F1434" s="30">
        <v>0.2</v>
      </c>
      <c r="G1434" s="31"/>
      <c r="H1434" s="31"/>
      <c r="I1434" s="31"/>
      <c r="J1434" s="31"/>
    </row>
    <row r="1435" spans="1:10" ht="14.4" x14ac:dyDescent="0.3">
      <c r="A1435" s="28" t="str">
        <f>B1435&amp;C1435&amp;D1435&amp;E1435</f>
        <v>ОбувьМужская обувьТуфлиБроги</v>
      </c>
      <c r="B1435" s="29" t="s">
        <v>180</v>
      </c>
      <c r="C1435" s="29" t="s">
        <v>279</v>
      </c>
      <c r="D1435" s="29" t="s">
        <v>280</v>
      </c>
      <c r="E1435" s="29" t="s">
        <v>281</v>
      </c>
      <c r="F1435" s="30">
        <v>0.2</v>
      </c>
      <c r="G1435" s="31"/>
      <c r="H1435" s="31"/>
      <c r="I1435" s="31"/>
      <c r="J1435" s="31"/>
    </row>
    <row r="1436" spans="1:10" ht="14.4" x14ac:dyDescent="0.3">
      <c r="A1436" s="28" t="str">
        <f>B1436&amp;C1436&amp;D1436&amp;E1436</f>
        <v>ЗоотоварыДля кошекКорма и лакомстваВлажные корма</v>
      </c>
      <c r="B1436" s="29" t="s">
        <v>214</v>
      </c>
      <c r="C1436" s="29" t="s">
        <v>283</v>
      </c>
      <c r="D1436" s="29" t="s">
        <v>284</v>
      </c>
      <c r="E1436" s="29" t="s">
        <v>285</v>
      </c>
      <c r="F1436" s="30">
        <v>0.2</v>
      </c>
      <c r="G1436" s="31"/>
      <c r="H1436" s="31"/>
      <c r="I1436" s="31"/>
      <c r="J1436" s="31"/>
    </row>
    <row r="1437" spans="1:10" ht="14.4" x14ac:dyDescent="0.3">
      <c r="A1437" s="28" t="str">
        <f>B1437&amp;C1437&amp;D1437&amp;E1437</f>
        <v>КанцтоварыБумажная продукцияБлокноты и записные книжкиБлокноты</v>
      </c>
      <c r="B1437" s="29" t="s">
        <v>163</v>
      </c>
      <c r="C1437" s="29" t="s">
        <v>261</v>
      </c>
      <c r="D1437" s="29" t="s">
        <v>286</v>
      </c>
      <c r="E1437" s="29" t="s">
        <v>287</v>
      </c>
      <c r="F1437" s="30">
        <v>0.2</v>
      </c>
      <c r="G1437" s="31"/>
      <c r="H1437" s="31"/>
      <c r="I1437" s="31"/>
      <c r="J1437" s="31"/>
    </row>
    <row r="1438" spans="1:10" ht="14.4" x14ac:dyDescent="0.3">
      <c r="A1438" s="28" t="str">
        <f>B1438&amp;C1438&amp;D1438&amp;E1438</f>
        <v>Красота и уходМаникюр и педикюрЛампы и фонарики для маникюраЛампы и фонарики для маникюра</v>
      </c>
      <c r="B1438" s="29" t="s">
        <v>56</v>
      </c>
      <c r="C1438" s="29" t="s">
        <v>57</v>
      </c>
      <c r="D1438" s="29" t="s">
        <v>288</v>
      </c>
      <c r="E1438" s="29" t="s">
        <v>288</v>
      </c>
      <c r="F1438" s="30">
        <v>0.2</v>
      </c>
      <c r="G1438" s="31"/>
      <c r="H1438" s="31"/>
      <c r="I1438" s="31"/>
      <c r="J1438" s="31"/>
    </row>
    <row r="1439" spans="1:10" ht="14.4" x14ac:dyDescent="0.3">
      <c r="A1439" s="28" t="str">
        <f>B1439&amp;C1439&amp;D1439&amp;E1439</f>
        <v>КанцтоварыПапки и файлыПленки для ламинированияПленки для ламинирования</v>
      </c>
      <c r="B1439" s="29" t="s">
        <v>163</v>
      </c>
      <c r="C1439" s="29" t="s">
        <v>293</v>
      </c>
      <c r="D1439" s="29" t="s">
        <v>294</v>
      </c>
      <c r="E1439" s="29" t="s">
        <v>294</v>
      </c>
      <c r="F1439" s="30">
        <v>0.2</v>
      </c>
      <c r="G1439" s="31"/>
      <c r="H1439" s="31"/>
      <c r="I1439" s="31"/>
      <c r="J1439" s="31"/>
    </row>
    <row r="1440" spans="1:10" ht="14.4" x14ac:dyDescent="0.3">
      <c r="A1440" s="28" t="str">
        <f>B1440&amp;C1440&amp;D1440&amp;E1440</f>
        <v>АвтотоварыАвтозвукАвтомобильные антенныАвтомобильные антенны</v>
      </c>
      <c r="B1440" s="29" t="s">
        <v>12</v>
      </c>
      <c r="C1440" s="29" t="s">
        <v>297</v>
      </c>
      <c r="D1440" s="29" t="s">
        <v>298</v>
      </c>
      <c r="E1440" s="29" t="s">
        <v>298</v>
      </c>
      <c r="F1440" s="30">
        <v>0.2</v>
      </c>
      <c r="G1440" s="31"/>
      <c r="H1440" s="31"/>
      <c r="I1440" s="31"/>
      <c r="J1440" s="31"/>
    </row>
    <row r="1441" spans="1:10" ht="14.4" x14ac:dyDescent="0.3">
      <c r="A1441" s="28" t="str">
        <f>B1441&amp;C1441&amp;D1441&amp;E1441</f>
        <v>Товары для домаМебельЭтажерки и обувницыЭтажерки и обувницы</v>
      </c>
      <c r="B1441" s="29" t="s">
        <v>59</v>
      </c>
      <c r="C1441" s="29" t="s">
        <v>302</v>
      </c>
      <c r="D1441" s="29" t="s">
        <v>303</v>
      </c>
      <c r="E1441" s="29" t="s">
        <v>303</v>
      </c>
      <c r="F1441" s="30">
        <v>0.2</v>
      </c>
      <c r="G1441" s="31"/>
      <c r="H1441" s="31"/>
      <c r="I1441" s="31"/>
      <c r="J1441" s="31"/>
    </row>
    <row r="1442" spans="1:10" ht="14.4" x14ac:dyDescent="0.3">
      <c r="A1442" s="28" t="str">
        <f>B1442&amp;C1442&amp;D1442&amp;E1442</f>
        <v>Товары для домаХозяйственные товарыИнвентарь для уборкиСтекломои и скребки</v>
      </c>
      <c r="B1442" s="29" t="s">
        <v>59</v>
      </c>
      <c r="C1442" s="29" t="s">
        <v>193</v>
      </c>
      <c r="D1442" s="29" t="s">
        <v>308</v>
      </c>
      <c r="E1442" s="29" t="s">
        <v>309</v>
      </c>
      <c r="F1442" s="30">
        <v>0.2</v>
      </c>
      <c r="G1442" s="31"/>
      <c r="H1442" s="31"/>
      <c r="I1442" s="31"/>
      <c r="J1442" s="31"/>
    </row>
    <row r="1443" spans="1:10" ht="14.4" x14ac:dyDescent="0.3">
      <c r="A1443" s="28" t="str">
        <f>B1443&amp;C1443&amp;D1443&amp;E1443</f>
        <v>Красота и уходУход за волосамиСредства для укладкиВода для расчесывания</v>
      </c>
      <c r="B1443" s="29" t="s">
        <v>56</v>
      </c>
      <c r="C1443" s="29" t="s">
        <v>109</v>
      </c>
      <c r="D1443" s="29" t="s">
        <v>73</v>
      </c>
      <c r="E1443" s="29" t="s">
        <v>312</v>
      </c>
      <c r="F1443" s="30">
        <v>0.2</v>
      </c>
      <c r="G1443" s="31"/>
      <c r="H1443" s="31"/>
      <c r="I1443" s="31"/>
      <c r="J1443" s="31"/>
    </row>
    <row r="1444" spans="1:10" ht="14.4" x14ac:dyDescent="0.3">
      <c r="A1444" s="28" t="str">
        <f>B1444&amp;C1444&amp;D1444&amp;E1444</f>
        <v>Товары для домаХозяйственные товарыАксессуары для ваннойПолки и подставки</v>
      </c>
      <c r="B1444" s="29" t="s">
        <v>59</v>
      </c>
      <c r="C1444" s="29" t="s">
        <v>193</v>
      </c>
      <c r="D1444" s="29" t="s">
        <v>194</v>
      </c>
      <c r="E1444" s="29" t="s">
        <v>313</v>
      </c>
      <c r="F1444" s="30">
        <v>0.2</v>
      </c>
      <c r="G1444" s="31"/>
      <c r="H1444" s="31"/>
      <c r="I1444" s="31"/>
      <c r="J1444" s="31"/>
    </row>
    <row r="1445" spans="1:10" ht="14.4" x14ac:dyDescent="0.3">
      <c r="A1445" s="28" t="str">
        <f>B1445&amp;C1445&amp;D1445&amp;E1445</f>
        <v>ЭлектроникаТелевизоры и видеотехникаЦифровое и спутниковое ТВCAM модули</v>
      </c>
      <c r="B1445" s="29" t="s">
        <v>67</v>
      </c>
      <c r="C1445" s="29" t="s">
        <v>136</v>
      </c>
      <c r="D1445" s="29" t="s">
        <v>321</v>
      </c>
      <c r="E1445" s="29" t="s">
        <v>322</v>
      </c>
      <c r="F1445" s="30">
        <v>0.2</v>
      </c>
      <c r="G1445" s="31"/>
      <c r="H1445" s="31"/>
      <c r="I1445" s="31"/>
      <c r="J1445" s="31"/>
    </row>
    <row r="1446" spans="1:10" ht="14.4" x14ac:dyDescent="0.3">
      <c r="A1446" s="28" t="str">
        <f>B1446&amp;C1446&amp;D1446&amp;E1446</f>
        <v>Товары для домаТовары для кухниСтоловая посудаКувшины и графины</v>
      </c>
      <c r="B1446" s="29" t="s">
        <v>59</v>
      </c>
      <c r="C1446" s="29" t="s">
        <v>60</v>
      </c>
      <c r="D1446" s="29" t="s">
        <v>328</v>
      </c>
      <c r="E1446" s="29" t="s">
        <v>329</v>
      </c>
      <c r="F1446" s="30">
        <v>0.2</v>
      </c>
      <c r="G1446" s="31"/>
      <c r="H1446" s="31"/>
      <c r="I1446" s="31"/>
      <c r="J1446" s="31"/>
    </row>
    <row r="1447" spans="1:10" ht="14.4" x14ac:dyDescent="0.3">
      <c r="A1447" s="28" t="str">
        <f>B1447&amp;C1447&amp;D1447&amp;E1447</f>
        <v>Товары для домаХозяйственные товарыУход за одеждой и обувьюАксессуары для стирки</v>
      </c>
      <c r="B1447" s="29" t="s">
        <v>59</v>
      </c>
      <c r="C1447" s="29" t="s">
        <v>193</v>
      </c>
      <c r="D1447" s="29" t="s">
        <v>332</v>
      </c>
      <c r="E1447" s="29" t="s">
        <v>333</v>
      </c>
      <c r="F1447" s="30">
        <v>0.2</v>
      </c>
      <c r="G1447" s="31"/>
      <c r="H1447" s="31"/>
      <c r="I1447" s="31"/>
      <c r="J1447" s="31"/>
    </row>
    <row r="1448" spans="1:10" ht="14.4" x14ac:dyDescent="0.3">
      <c r="A1448" s="28" t="str">
        <f>B1448&amp;C1448&amp;D1448&amp;E1448</f>
        <v>ОбувьЖенская обувьСандалииПовседневные сандалии</v>
      </c>
      <c r="B1448" s="29" t="s">
        <v>180</v>
      </c>
      <c r="C1448" s="29" t="s">
        <v>181</v>
      </c>
      <c r="D1448" s="29" t="s">
        <v>336</v>
      </c>
      <c r="E1448" s="29" t="s">
        <v>337</v>
      </c>
      <c r="F1448" s="30">
        <v>0.2</v>
      </c>
      <c r="G1448" s="31"/>
      <c r="H1448" s="31"/>
      <c r="I1448" s="31"/>
      <c r="J1448" s="31"/>
    </row>
    <row r="1449" spans="1:10" ht="14.4" x14ac:dyDescent="0.3">
      <c r="A1449" s="28" t="str">
        <f>B1449&amp;C1449&amp;D1449&amp;E1449</f>
        <v>ОбувьЖенская обувьБалеткиБалетки с острым носом</v>
      </c>
      <c r="B1449" s="29" t="s">
        <v>180</v>
      </c>
      <c r="C1449" s="29" t="s">
        <v>181</v>
      </c>
      <c r="D1449" s="29" t="s">
        <v>182</v>
      </c>
      <c r="E1449" s="29" t="s">
        <v>341</v>
      </c>
      <c r="F1449" s="30">
        <v>0.2</v>
      </c>
      <c r="G1449" s="31"/>
      <c r="H1449" s="31"/>
      <c r="I1449" s="31"/>
      <c r="J1449" s="31"/>
    </row>
    <row r="1450" spans="1:10" ht="14.4" x14ac:dyDescent="0.3">
      <c r="A1450" s="28" t="str">
        <f>B1450&amp;C1450&amp;D1450&amp;E1450</f>
        <v>Бытовая химияСредства по уходу за обувьюКраска для обувиКраска для обуви</v>
      </c>
      <c r="B1450" s="29" t="s">
        <v>146</v>
      </c>
      <c r="C1450" s="29" t="s">
        <v>344</v>
      </c>
      <c r="D1450" s="29" t="s">
        <v>345</v>
      </c>
      <c r="E1450" s="29" t="s">
        <v>345</v>
      </c>
      <c r="F1450" s="30">
        <v>0.2</v>
      </c>
      <c r="G1450" s="31"/>
      <c r="H1450" s="31"/>
      <c r="I1450" s="31"/>
      <c r="J1450" s="31"/>
    </row>
    <row r="1451" spans="1:10" ht="14.4" x14ac:dyDescent="0.3">
      <c r="A1451" s="28" t="str">
        <f>B1451&amp;C1451&amp;D1451&amp;E1451</f>
        <v>АвтотоварыЭлектроника для автоВентиляторы и увлажнители воздухаВентиляторы и увлажнители воздуха</v>
      </c>
      <c r="B1451" s="29" t="s">
        <v>12</v>
      </c>
      <c r="C1451" s="29" t="s">
        <v>360</v>
      </c>
      <c r="D1451" s="29" t="s">
        <v>361</v>
      </c>
      <c r="E1451" s="29" t="s">
        <v>361</v>
      </c>
      <c r="F1451" s="30">
        <v>0.2</v>
      </c>
      <c r="G1451" s="31"/>
      <c r="H1451" s="31"/>
      <c r="I1451" s="31"/>
      <c r="J1451" s="31"/>
    </row>
    <row r="1452" spans="1:10" ht="14.4" x14ac:dyDescent="0.3">
      <c r="A1452" s="28" t="str">
        <f>B1452&amp;C1452&amp;D1452&amp;E1452</f>
        <v>Красота и уходУход за волосамиОкрашивание и химическая завивкаКраски</v>
      </c>
      <c r="B1452" s="29" t="s">
        <v>56</v>
      </c>
      <c r="C1452" s="29" t="s">
        <v>109</v>
      </c>
      <c r="D1452" s="29" t="s">
        <v>362</v>
      </c>
      <c r="E1452" s="29" t="s">
        <v>363</v>
      </c>
      <c r="F1452" s="30">
        <v>0.2</v>
      </c>
      <c r="G1452" s="31"/>
      <c r="H1452" s="31"/>
      <c r="I1452" s="31"/>
      <c r="J1452" s="31"/>
    </row>
    <row r="1453" spans="1:10" ht="14.4" x14ac:dyDescent="0.3">
      <c r="A1453" s="28" t="str">
        <f>B1453&amp;C1453&amp;D1453&amp;E1453</f>
        <v>ЭлектроникаТелевизоры и видеотехникаЦифровое и спутниковое ТВКомплекты спутникового ТВ</v>
      </c>
      <c r="B1453" s="29" t="s">
        <v>67</v>
      </c>
      <c r="C1453" s="29" t="s">
        <v>136</v>
      </c>
      <c r="D1453" s="29" t="s">
        <v>321</v>
      </c>
      <c r="E1453" s="29" t="s">
        <v>370</v>
      </c>
      <c r="F1453" s="30">
        <v>0.2</v>
      </c>
      <c r="G1453" s="31"/>
      <c r="H1453" s="31"/>
      <c r="I1453" s="31"/>
      <c r="J1453" s="31"/>
    </row>
    <row r="1454" spans="1:10" ht="14.4" x14ac:dyDescent="0.3">
      <c r="A1454" s="28" t="str">
        <f>B1454&amp;C1454&amp;D1454&amp;E1454</f>
        <v>КнигиХудожественная литератураАнтичная литератураАнтичная литература</v>
      </c>
      <c r="B1454" s="29" t="s">
        <v>63</v>
      </c>
      <c r="C1454" s="29" t="s">
        <v>374</v>
      </c>
      <c r="D1454" s="29" t="s">
        <v>375</v>
      </c>
      <c r="E1454" s="29" t="s">
        <v>375</v>
      </c>
      <c r="F1454" s="30">
        <v>0.2</v>
      </c>
      <c r="G1454" s="31"/>
      <c r="H1454" s="31"/>
      <c r="I1454" s="31"/>
      <c r="J1454" s="31"/>
    </row>
    <row r="1455" spans="1:10" ht="14.4" x14ac:dyDescent="0.3">
      <c r="A1455" s="28" t="str">
        <f>B1455&amp;C1455&amp;D1455&amp;E1455</f>
        <v>Красота и уходУход за теломУвлажнение и питаниеМасла</v>
      </c>
      <c r="B1455" s="29" t="s">
        <v>56</v>
      </c>
      <c r="C1455" s="29" t="s">
        <v>100</v>
      </c>
      <c r="D1455" s="29" t="s">
        <v>134</v>
      </c>
      <c r="E1455" s="29" t="s">
        <v>368</v>
      </c>
      <c r="F1455" s="30">
        <v>0.2</v>
      </c>
      <c r="G1455" s="31"/>
      <c r="H1455" s="31"/>
      <c r="I1455" s="31"/>
      <c r="J1455" s="31"/>
    </row>
    <row r="1456" spans="1:10" ht="14.4" x14ac:dyDescent="0.3">
      <c r="A1456" s="28" t="str">
        <f>B1456&amp;C1456&amp;D1456&amp;E1456</f>
        <v>КнигиХудожественная литератураМолодежная и подростковая литератураМолодежная и подростковая литература</v>
      </c>
      <c r="B1456" s="29" t="s">
        <v>63</v>
      </c>
      <c r="C1456" s="29" t="s">
        <v>374</v>
      </c>
      <c r="D1456" s="29" t="s">
        <v>379</v>
      </c>
      <c r="E1456" s="29" t="s">
        <v>379</v>
      </c>
      <c r="F1456" s="30">
        <v>0.2</v>
      </c>
      <c r="G1456" s="31"/>
      <c r="H1456" s="31"/>
      <c r="I1456" s="31"/>
      <c r="J1456" s="31"/>
    </row>
    <row r="1457" spans="1:10" ht="14.4" x14ac:dyDescent="0.3">
      <c r="A1457" s="28" t="str">
        <f>B1457&amp;C1457&amp;D1457&amp;E1457</f>
        <v>Бытовая химияСредства от насекомых и грызуновРатицидыРатициды</v>
      </c>
      <c r="B1457" s="29" t="s">
        <v>146</v>
      </c>
      <c r="C1457" s="29" t="s">
        <v>384</v>
      </c>
      <c r="D1457" s="29" t="s">
        <v>385</v>
      </c>
      <c r="E1457" s="29" t="s">
        <v>385</v>
      </c>
      <c r="F1457" s="30">
        <v>0.2</v>
      </c>
      <c r="G1457" s="31"/>
      <c r="H1457" s="31"/>
      <c r="I1457" s="31"/>
      <c r="J1457" s="31"/>
    </row>
    <row r="1458" spans="1:10" ht="14.4" x14ac:dyDescent="0.3">
      <c r="A1458" s="28" t="str">
        <f>B1458&amp;C1458&amp;D1458&amp;E1458</f>
        <v>КнигиРелигиозные книгиИсламФикх</v>
      </c>
      <c r="B1458" s="29" t="s">
        <v>63</v>
      </c>
      <c r="C1458" s="29" t="s">
        <v>64</v>
      </c>
      <c r="D1458" s="29" t="s">
        <v>65</v>
      </c>
      <c r="E1458" s="29" t="s">
        <v>390</v>
      </c>
      <c r="F1458" s="30">
        <v>0.2</v>
      </c>
      <c r="G1458" s="31"/>
      <c r="H1458" s="31"/>
      <c r="I1458" s="31"/>
      <c r="J1458" s="31"/>
    </row>
    <row r="1459" spans="1:10" ht="14.4" x14ac:dyDescent="0.3">
      <c r="A1459" s="28" t="str">
        <f>B1459&amp;C1459&amp;D1459&amp;E1459</f>
        <v>КнигиНехудожественная литератураДом и хоббиКроссворды. Сканворды. Головоломки. Игры</v>
      </c>
      <c r="B1459" s="29" t="s">
        <v>63</v>
      </c>
      <c r="C1459" s="29" t="s">
        <v>141</v>
      </c>
      <c r="D1459" s="29" t="s">
        <v>391</v>
      </c>
      <c r="E1459" s="29" t="s">
        <v>392</v>
      </c>
      <c r="F1459" s="30">
        <v>0.2</v>
      </c>
      <c r="G1459" s="31"/>
      <c r="H1459" s="31"/>
      <c r="I1459" s="31"/>
      <c r="J1459" s="31"/>
    </row>
    <row r="1460" spans="1:10" ht="14.4" x14ac:dyDescent="0.3">
      <c r="A1460" s="28" t="str">
        <f>B1460&amp;C1460&amp;D1460&amp;E1460</f>
        <v>КанцтоварыНастольные подставки и визитницыПодставки для карандашей и ручекПодставки для карандашей и ручек</v>
      </c>
      <c r="B1460" s="29" t="s">
        <v>163</v>
      </c>
      <c r="C1460" s="29" t="s">
        <v>402</v>
      </c>
      <c r="D1460" s="29" t="s">
        <v>403</v>
      </c>
      <c r="E1460" s="29" t="s">
        <v>403</v>
      </c>
      <c r="F1460" s="30">
        <v>0.2</v>
      </c>
      <c r="G1460" s="31"/>
      <c r="H1460" s="31"/>
      <c r="I1460" s="31"/>
      <c r="J1460" s="31"/>
    </row>
    <row r="1461" spans="1:10" ht="14.4" x14ac:dyDescent="0.3">
      <c r="A1461" s="28" t="str">
        <f>B1461&amp;C1461&amp;D1461&amp;E1461</f>
        <v>АвтотоварыШины и дискиКолпаки на дискиКолпаки на диски</v>
      </c>
      <c r="B1461" s="29" t="s">
        <v>12</v>
      </c>
      <c r="C1461" s="29" t="s">
        <v>407</v>
      </c>
      <c r="D1461" s="29" t="s">
        <v>408</v>
      </c>
      <c r="E1461" s="29" t="s">
        <v>408</v>
      </c>
      <c r="F1461" s="30">
        <v>0.2</v>
      </c>
      <c r="G1461" s="31"/>
      <c r="H1461" s="31"/>
      <c r="I1461" s="31"/>
      <c r="J1461" s="31"/>
    </row>
    <row r="1462" spans="1:10" ht="14.4" x14ac:dyDescent="0.3">
      <c r="A1462" s="28" t="str">
        <f>B1462&amp;C1462&amp;D1462&amp;E1462</f>
        <v>ЭлектроникаУмный дом и безопасностьБезопасность домаОхранное оборудование для дома и дачи</v>
      </c>
      <c r="B1462" s="29" t="s">
        <v>67</v>
      </c>
      <c r="C1462" s="29" t="s">
        <v>411</v>
      </c>
      <c r="D1462" s="29" t="s">
        <v>412</v>
      </c>
      <c r="E1462" s="29" t="s">
        <v>413</v>
      </c>
      <c r="F1462" s="30">
        <v>0.2</v>
      </c>
      <c r="G1462" s="31"/>
      <c r="H1462" s="31"/>
      <c r="I1462" s="31"/>
      <c r="J1462" s="31"/>
    </row>
    <row r="1463" spans="1:10" ht="14.4" x14ac:dyDescent="0.3">
      <c r="A1463" s="28" t="str">
        <f>B1463&amp;C1463&amp;D1463&amp;E1463</f>
        <v>Детские товарыГигиена и подгузникиПеленки и клеенки для малышейПеленки многоразовые</v>
      </c>
      <c r="B1463" s="29" t="s">
        <v>105</v>
      </c>
      <c r="C1463" s="29" t="s">
        <v>106</v>
      </c>
      <c r="D1463" s="29" t="s">
        <v>107</v>
      </c>
      <c r="E1463" s="29" t="s">
        <v>415</v>
      </c>
      <c r="F1463" s="30">
        <v>0.2</v>
      </c>
      <c r="G1463" s="31"/>
      <c r="H1463" s="31"/>
      <c r="I1463" s="31"/>
      <c r="J1463" s="31"/>
    </row>
    <row r="1464" spans="1:10" ht="14.4" x14ac:dyDescent="0.3">
      <c r="A1464" s="28" t="str">
        <f>B1464&amp;C1464&amp;D1464&amp;E1464</f>
        <v>Строительство и ремонтИнструментыИзмерительные приборыИзмерение параметров тока</v>
      </c>
      <c r="B1464" s="29" t="s">
        <v>77</v>
      </c>
      <c r="C1464" s="29" t="s">
        <v>78</v>
      </c>
      <c r="D1464" s="29" t="s">
        <v>418</v>
      </c>
      <c r="E1464" s="29" t="s">
        <v>419</v>
      </c>
      <c r="F1464" s="30">
        <v>0.2</v>
      </c>
      <c r="G1464" s="31"/>
      <c r="H1464" s="31"/>
      <c r="I1464" s="31"/>
      <c r="J1464" s="31"/>
    </row>
    <row r="1465" spans="1:10" ht="14.4" x14ac:dyDescent="0.3">
      <c r="A1465" s="28" t="str">
        <f>B1465&amp;C1465&amp;D1465&amp;E1465</f>
        <v>Красота и уходКорейская косметикаУход за теломМочалки</v>
      </c>
      <c r="B1465" s="29" t="s">
        <v>56</v>
      </c>
      <c r="C1465" s="29" t="s">
        <v>211</v>
      </c>
      <c r="D1465" s="29" t="s">
        <v>100</v>
      </c>
      <c r="E1465" s="29" t="s">
        <v>420</v>
      </c>
      <c r="F1465" s="30">
        <v>0.2</v>
      </c>
      <c r="G1465" s="31"/>
      <c r="H1465" s="31"/>
      <c r="I1465" s="31"/>
      <c r="J1465" s="31"/>
    </row>
    <row r="1466" spans="1:10" ht="14.4" x14ac:dyDescent="0.3">
      <c r="A1466" s="28" t="str">
        <f>B1466&amp;C1466&amp;D1466&amp;E1466</f>
        <v>Строительство и ремонтИнструментыИзмерительные инструментыДетекторы металла и склерометры</v>
      </c>
      <c r="B1466" s="29" t="s">
        <v>77</v>
      </c>
      <c r="C1466" s="29" t="s">
        <v>78</v>
      </c>
      <c r="D1466" s="29" t="s">
        <v>207</v>
      </c>
      <c r="E1466" s="29" t="s">
        <v>422</v>
      </c>
      <c r="F1466" s="30">
        <v>0.2</v>
      </c>
      <c r="G1466" s="31"/>
      <c r="H1466" s="31"/>
      <c r="I1466" s="31"/>
      <c r="J1466" s="31"/>
    </row>
    <row r="1467" spans="1:10" ht="14.4" x14ac:dyDescent="0.3">
      <c r="A1467" s="28" t="str">
        <f>B1467&amp;C1467&amp;D1467&amp;E1467</f>
        <v>Детские товарыИгрушки и игрыДеревянные игрушкиДеревянные игрушки</v>
      </c>
      <c r="B1467" s="29" t="s">
        <v>105</v>
      </c>
      <c r="C1467" s="29" t="s">
        <v>184</v>
      </c>
      <c r="D1467" s="29" t="s">
        <v>438</v>
      </c>
      <c r="E1467" s="29" t="s">
        <v>438</v>
      </c>
      <c r="F1467" s="30">
        <v>0.2</v>
      </c>
      <c r="G1467" s="31"/>
      <c r="H1467" s="31"/>
      <c r="I1467" s="31"/>
      <c r="J1467" s="31"/>
    </row>
    <row r="1468" spans="1:10" ht="14.4" x14ac:dyDescent="0.3">
      <c r="A1468" s="28" t="str">
        <f>B1468&amp;C1468&amp;D1468&amp;E1468</f>
        <v>Строительство и ремонтИнструментыИзмерительные инструментыСчетчики электроэнергии</v>
      </c>
      <c r="B1468" s="29" t="s">
        <v>77</v>
      </c>
      <c r="C1468" s="29" t="s">
        <v>78</v>
      </c>
      <c r="D1468" s="29" t="s">
        <v>207</v>
      </c>
      <c r="E1468" s="29" t="s">
        <v>439</v>
      </c>
      <c r="F1468" s="30">
        <v>0.2</v>
      </c>
      <c r="G1468" s="31"/>
      <c r="H1468" s="31"/>
      <c r="I1468" s="31"/>
      <c r="J1468" s="31"/>
    </row>
    <row r="1469" spans="1:10" ht="14.4" x14ac:dyDescent="0.3">
      <c r="A1469" s="28" t="str">
        <f>B1469&amp;C1469&amp;D1469&amp;E1469</f>
        <v>Детские товарыДетское творчествоНастольные и карточные игрыНастольные игры для детей</v>
      </c>
      <c r="B1469" s="29" t="s">
        <v>105</v>
      </c>
      <c r="C1469" s="29" t="s">
        <v>440</v>
      </c>
      <c r="D1469" s="29" t="s">
        <v>441</v>
      </c>
      <c r="E1469" s="29" t="s">
        <v>442</v>
      </c>
      <c r="F1469" s="30">
        <v>0.2</v>
      </c>
      <c r="G1469" s="31"/>
      <c r="H1469" s="31"/>
      <c r="I1469" s="31"/>
      <c r="J1469" s="31"/>
    </row>
    <row r="1470" spans="1:10" ht="14.4" x14ac:dyDescent="0.3">
      <c r="A1470" s="28" t="str">
        <f>B1470&amp;C1470&amp;D1470&amp;E1470</f>
        <v>КнигиНехудожественная литератураКомпьютерные технологииКомпьютерные сети</v>
      </c>
      <c r="B1470" s="29" t="s">
        <v>63</v>
      </c>
      <c r="C1470" s="29" t="s">
        <v>141</v>
      </c>
      <c r="D1470" s="29" t="s">
        <v>450</v>
      </c>
      <c r="E1470" s="29" t="s">
        <v>451</v>
      </c>
      <c r="F1470" s="30">
        <v>0.2</v>
      </c>
      <c r="G1470" s="31"/>
      <c r="H1470" s="31"/>
      <c r="I1470" s="31"/>
      <c r="J1470" s="31"/>
    </row>
    <row r="1471" spans="1:10" ht="14.4" x14ac:dyDescent="0.3">
      <c r="A1471" s="28" t="str">
        <f>B1471&amp;C1471&amp;D1471&amp;E1471</f>
        <v>КнигиДетям и родителямРазвитие детейСаморазвитие</v>
      </c>
      <c r="B1471" s="29" t="s">
        <v>63</v>
      </c>
      <c r="C1471" s="29" t="s">
        <v>258</v>
      </c>
      <c r="D1471" s="29" t="s">
        <v>259</v>
      </c>
      <c r="E1471" s="29" t="s">
        <v>452</v>
      </c>
      <c r="F1471" s="30">
        <v>0.2</v>
      </c>
      <c r="G1471" s="31"/>
      <c r="H1471" s="31"/>
      <c r="I1471" s="31"/>
      <c r="J1471" s="31"/>
    </row>
    <row r="1472" spans="1:10" ht="14.4" x14ac:dyDescent="0.3">
      <c r="A1472" s="28" t="str">
        <f>B1472&amp;C1472&amp;D1472&amp;E1472</f>
        <v>Детские товарыДетская комнатаДекор и освещениеКорзины и органайзеры</v>
      </c>
      <c r="B1472" s="29" t="s">
        <v>105</v>
      </c>
      <c r="C1472" s="29" t="s">
        <v>397</v>
      </c>
      <c r="D1472" s="29" t="s">
        <v>455</v>
      </c>
      <c r="E1472" s="29" t="s">
        <v>456</v>
      </c>
      <c r="F1472" s="30">
        <v>0.2</v>
      </c>
      <c r="G1472" s="31"/>
      <c r="H1472" s="31"/>
      <c r="I1472" s="31"/>
      <c r="J1472" s="31"/>
    </row>
    <row r="1473" spans="1:10" ht="14.4" x14ac:dyDescent="0.3">
      <c r="A1473" s="28" t="str">
        <f>B1473&amp;C1473&amp;D1473&amp;E1473</f>
        <v>Красота и уходЛичная гигиенаДепиляция и эпиляцияАксессуары для депиляции и эпиляции</v>
      </c>
      <c r="B1473" s="29" t="s">
        <v>56</v>
      </c>
      <c r="C1473" s="29" t="s">
        <v>120</v>
      </c>
      <c r="D1473" s="29" t="s">
        <v>464</v>
      </c>
      <c r="E1473" s="29" t="s">
        <v>465</v>
      </c>
      <c r="F1473" s="30">
        <v>0.2</v>
      </c>
      <c r="G1473" s="31"/>
      <c r="H1473" s="31"/>
      <c r="I1473" s="31"/>
      <c r="J1473" s="31"/>
    </row>
    <row r="1474" spans="1:10" ht="14.4" x14ac:dyDescent="0.3">
      <c r="A1474" s="28" t="str">
        <f>B1474&amp;C1474&amp;D1474&amp;E1474</f>
        <v>КанцтоварыНастольные подставки и визитницыПодставки для учебниковПодставки для учебников</v>
      </c>
      <c r="B1474" s="29" t="s">
        <v>163</v>
      </c>
      <c r="C1474" s="29" t="s">
        <v>402</v>
      </c>
      <c r="D1474" s="29" t="s">
        <v>466</v>
      </c>
      <c r="E1474" s="29" t="s">
        <v>466</v>
      </c>
      <c r="F1474" s="30">
        <v>0.2</v>
      </c>
      <c r="G1474" s="31"/>
      <c r="H1474" s="31"/>
      <c r="I1474" s="31"/>
      <c r="J1474" s="31"/>
    </row>
    <row r="1475" spans="1:10" ht="14.4" x14ac:dyDescent="0.3">
      <c r="A1475" s="28" t="str">
        <f>B1475&amp;C1475&amp;D1475&amp;E1475</f>
        <v>КанцтоварыОфисные принадлежностиБейджи и аксессуарыБейджи и аксессуары</v>
      </c>
      <c r="B1475" s="29" t="s">
        <v>163</v>
      </c>
      <c r="C1475" s="29" t="s">
        <v>227</v>
      </c>
      <c r="D1475" s="29" t="s">
        <v>467</v>
      </c>
      <c r="E1475" s="29" t="s">
        <v>467</v>
      </c>
      <c r="F1475" s="30">
        <v>0.2</v>
      </c>
      <c r="G1475" s="31"/>
      <c r="H1475" s="31"/>
      <c r="I1475" s="31"/>
      <c r="J1475" s="31"/>
    </row>
    <row r="1476" spans="1:10" ht="14.4" x14ac:dyDescent="0.3">
      <c r="A1476" s="28" t="str">
        <f>B1476&amp;C1476&amp;D1476&amp;E1476</f>
        <v>КанцтоварыПапки и файлыПапки-планшетыПапки-планшеты</v>
      </c>
      <c r="B1476" s="29" t="s">
        <v>163</v>
      </c>
      <c r="C1476" s="29" t="s">
        <v>293</v>
      </c>
      <c r="D1476" s="29" t="s">
        <v>468</v>
      </c>
      <c r="E1476" s="29" t="s">
        <v>468</v>
      </c>
      <c r="F1476" s="30">
        <v>0.2</v>
      </c>
      <c r="G1476" s="31"/>
      <c r="H1476" s="31"/>
      <c r="I1476" s="31"/>
      <c r="J1476" s="31"/>
    </row>
    <row r="1477" spans="1:10" ht="14.4" x14ac:dyDescent="0.3">
      <c r="A1477" s="28" t="str">
        <f>B1477&amp;C1477&amp;D1477&amp;E1477</f>
        <v>КнигиДетям и родителямПознавательная литератураЭнциклопедии и атласы</v>
      </c>
      <c r="B1477" s="29" t="s">
        <v>63</v>
      </c>
      <c r="C1477" s="29" t="s">
        <v>258</v>
      </c>
      <c r="D1477" s="29" t="s">
        <v>475</v>
      </c>
      <c r="E1477" s="29" t="s">
        <v>476</v>
      </c>
      <c r="F1477" s="30">
        <v>0.2</v>
      </c>
      <c r="G1477" s="31"/>
      <c r="H1477" s="31"/>
      <c r="I1477" s="31"/>
      <c r="J1477" s="31"/>
    </row>
    <row r="1478" spans="1:10" ht="14.4" x14ac:dyDescent="0.3">
      <c r="A1478" s="28" t="str">
        <f>B1478&amp;C1478&amp;D1478&amp;E1478</f>
        <v>ОбувьЖенская обувьСапоги и уггиУгги</v>
      </c>
      <c r="B1478" s="29" t="s">
        <v>180</v>
      </c>
      <c r="C1478" s="29" t="s">
        <v>181</v>
      </c>
      <c r="D1478" s="29" t="s">
        <v>190</v>
      </c>
      <c r="E1478" s="29" t="s">
        <v>477</v>
      </c>
      <c r="F1478" s="30">
        <v>0.2</v>
      </c>
      <c r="G1478" s="31"/>
      <c r="H1478" s="31"/>
      <c r="I1478" s="31"/>
      <c r="J1478" s="31"/>
    </row>
    <row r="1479" spans="1:10" ht="14.4" x14ac:dyDescent="0.3">
      <c r="A1479" s="28" t="str">
        <f>B1479&amp;C1479&amp;D1479&amp;E1479</f>
        <v>АвтотоварыИнструменты и оборудованиеДомкратыДомкраты</v>
      </c>
      <c r="B1479" s="29" t="s">
        <v>12</v>
      </c>
      <c r="C1479" s="29" t="s">
        <v>479</v>
      </c>
      <c r="D1479" s="29" t="s">
        <v>480</v>
      </c>
      <c r="E1479" s="29" t="s">
        <v>480</v>
      </c>
      <c r="F1479" s="30">
        <v>0.2</v>
      </c>
      <c r="G1479" s="31"/>
      <c r="H1479" s="31"/>
      <c r="I1479" s="31"/>
      <c r="J1479" s="31"/>
    </row>
    <row r="1480" spans="1:10" ht="14.4" x14ac:dyDescent="0.3">
      <c r="A1480" s="28" t="str">
        <f>B1480&amp;C1480&amp;D1480&amp;E1480</f>
        <v>ЭлектроникаОптические приборыТеатральные биноклиТеатральные бинокли</v>
      </c>
      <c r="B1480" s="29" t="s">
        <v>67</v>
      </c>
      <c r="C1480" s="29" t="s">
        <v>481</v>
      </c>
      <c r="D1480" s="29" t="s">
        <v>482</v>
      </c>
      <c r="E1480" s="29" t="s">
        <v>482</v>
      </c>
      <c r="F1480" s="30">
        <v>0.2</v>
      </c>
      <c r="G1480" s="31"/>
      <c r="H1480" s="31"/>
      <c r="I1480" s="31"/>
      <c r="J1480" s="31"/>
    </row>
    <row r="1481" spans="1:10" ht="14.4" x14ac:dyDescent="0.3">
      <c r="A1481" s="28" t="str">
        <f>B1481&amp;C1481&amp;D1481&amp;E1481</f>
        <v>Красота и уходЛичная гигиенаИнтимная гигиенаСредства для интимной гигиены</v>
      </c>
      <c r="B1481" s="29" t="s">
        <v>56</v>
      </c>
      <c r="C1481" s="29" t="s">
        <v>120</v>
      </c>
      <c r="D1481" s="29" t="s">
        <v>483</v>
      </c>
      <c r="E1481" s="29" t="s">
        <v>484</v>
      </c>
      <c r="F1481" s="30">
        <v>0.2</v>
      </c>
      <c r="G1481" s="31"/>
      <c r="H1481" s="31"/>
      <c r="I1481" s="31"/>
      <c r="J1481" s="31"/>
    </row>
    <row r="1482" spans="1:10" ht="14.4" x14ac:dyDescent="0.3">
      <c r="A1482" s="28" t="str">
        <f>B1482&amp;C1482&amp;D1482&amp;E1482</f>
        <v>Красота и уходУход за теломУвлажнение и питаниеТермальная вода, тоники и спреи</v>
      </c>
      <c r="B1482" s="29" t="s">
        <v>56</v>
      </c>
      <c r="C1482" s="29" t="s">
        <v>100</v>
      </c>
      <c r="D1482" s="29" t="s">
        <v>134</v>
      </c>
      <c r="E1482" s="29" t="s">
        <v>486</v>
      </c>
      <c r="F1482" s="30">
        <v>0.2</v>
      </c>
      <c r="G1482" s="31"/>
      <c r="H1482" s="31"/>
      <c r="I1482" s="31"/>
      <c r="J1482" s="31"/>
    </row>
    <row r="1483" spans="1:10" ht="14.4" x14ac:dyDescent="0.3">
      <c r="A1483" s="28" t="str">
        <f>B1483&amp;C1483&amp;D1483&amp;E1483</f>
        <v>КанцтоварыЧертежные принадлежностиТранспортирыТранспортиры</v>
      </c>
      <c r="B1483" s="29" t="s">
        <v>163</v>
      </c>
      <c r="C1483" s="29" t="s">
        <v>492</v>
      </c>
      <c r="D1483" s="29" t="s">
        <v>493</v>
      </c>
      <c r="E1483" s="29" t="s">
        <v>493</v>
      </c>
      <c r="F1483" s="30">
        <v>0.2</v>
      </c>
      <c r="G1483" s="31"/>
      <c r="H1483" s="31"/>
      <c r="I1483" s="31"/>
      <c r="J1483" s="31"/>
    </row>
    <row r="1484" spans="1:10" ht="14.4" x14ac:dyDescent="0.3">
      <c r="A1484" s="28" t="str">
        <f>B1484&amp;C1484&amp;D1484&amp;E1484</f>
        <v>Товары для домаХозяйственные товарыМусорные ведра и бакиМусорные ведра и баки</v>
      </c>
      <c r="B1484" s="29" t="s">
        <v>59</v>
      </c>
      <c r="C1484" s="29" t="s">
        <v>193</v>
      </c>
      <c r="D1484" s="29" t="s">
        <v>494</v>
      </c>
      <c r="E1484" s="29" t="s">
        <v>494</v>
      </c>
      <c r="F1484" s="30">
        <v>0.2</v>
      </c>
      <c r="G1484" s="31"/>
      <c r="H1484" s="31"/>
      <c r="I1484" s="31"/>
      <c r="J1484" s="31"/>
    </row>
    <row r="1485" spans="1:10" ht="14.4" x14ac:dyDescent="0.3">
      <c r="A1485" s="28" t="str">
        <f>B1485&amp;C1485&amp;D1485&amp;E1485</f>
        <v>Красота и уходЛичная гигиенаГигиена полости ртаЗубные нити</v>
      </c>
      <c r="B1485" s="29" t="s">
        <v>56</v>
      </c>
      <c r="C1485" s="29" t="s">
        <v>120</v>
      </c>
      <c r="D1485" s="29" t="s">
        <v>121</v>
      </c>
      <c r="E1485" s="29" t="s">
        <v>500</v>
      </c>
      <c r="F1485" s="30">
        <v>0.2</v>
      </c>
      <c r="G1485" s="31"/>
      <c r="H1485" s="31"/>
      <c r="I1485" s="31"/>
      <c r="J1485" s="31"/>
    </row>
    <row r="1486" spans="1:10" ht="14.4" x14ac:dyDescent="0.3">
      <c r="A1486" s="28" t="str">
        <f>B1486&amp;C1486&amp;D1486&amp;E1486</f>
        <v>Красота и уходМакияжГлазаПраймеры для век</v>
      </c>
      <c r="B1486" s="29" t="s">
        <v>56</v>
      </c>
      <c r="C1486" s="29" t="s">
        <v>151</v>
      </c>
      <c r="D1486" s="29" t="s">
        <v>503</v>
      </c>
      <c r="E1486" s="29" t="s">
        <v>504</v>
      </c>
      <c r="F1486" s="30">
        <v>0.2</v>
      </c>
      <c r="G1486" s="31"/>
      <c r="H1486" s="31"/>
      <c r="I1486" s="31"/>
      <c r="J1486" s="31"/>
    </row>
    <row r="1487" spans="1:10" ht="14.4" x14ac:dyDescent="0.3">
      <c r="A1487" s="28" t="str">
        <f>B1487&amp;C1487&amp;D1487&amp;E1487</f>
        <v>ЗоотоварыДля собакМатрасы и лежакиМатрасы и лежаки</v>
      </c>
      <c r="B1487" s="29" t="s">
        <v>214</v>
      </c>
      <c r="C1487" s="29" t="s">
        <v>509</v>
      </c>
      <c r="D1487" s="29" t="s">
        <v>510</v>
      </c>
      <c r="E1487" s="29" t="s">
        <v>510</v>
      </c>
      <c r="F1487" s="30">
        <v>0.2</v>
      </c>
      <c r="G1487" s="31"/>
      <c r="H1487" s="31"/>
      <c r="I1487" s="31"/>
      <c r="J1487" s="31"/>
    </row>
    <row r="1488" spans="1:10" ht="14.4" x14ac:dyDescent="0.3">
      <c r="A1488" s="28" t="str">
        <f>B1488&amp;C1488&amp;D1488&amp;E1488</f>
        <v>Бытовая техникаТовары для кухниПрочая кухонная техникаДистилляторы</v>
      </c>
      <c r="B1488" s="29" t="s">
        <v>160</v>
      </c>
      <c r="C1488" s="29" t="s">
        <v>60</v>
      </c>
      <c r="D1488" s="29" t="s">
        <v>161</v>
      </c>
      <c r="E1488" s="29" t="s">
        <v>512</v>
      </c>
      <c r="F1488" s="30">
        <v>0.2</v>
      </c>
      <c r="G1488" s="31"/>
      <c r="H1488" s="31"/>
      <c r="I1488" s="31"/>
      <c r="J1488" s="31"/>
    </row>
    <row r="1489" spans="1:10" ht="14.4" x14ac:dyDescent="0.3">
      <c r="A1489" s="28" t="str">
        <f>B1489&amp;C1489&amp;D1489&amp;E1489</f>
        <v>Красота и уходУход за волосамиСредства для очищения и уходаМасла</v>
      </c>
      <c r="B1489" s="29" t="s">
        <v>56</v>
      </c>
      <c r="C1489" s="29" t="s">
        <v>109</v>
      </c>
      <c r="D1489" s="29" t="s">
        <v>513</v>
      </c>
      <c r="E1489" s="29" t="s">
        <v>368</v>
      </c>
      <c r="F1489" s="30">
        <v>0.2</v>
      </c>
      <c r="G1489" s="31"/>
      <c r="H1489" s="31"/>
      <c r="I1489" s="31"/>
      <c r="J1489" s="31"/>
    </row>
    <row r="1490" spans="1:10" ht="14.4" x14ac:dyDescent="0.3">
      <c r="A1490" s="28" t="str">
        <f>B1490&amp;C1490&amp;D1490&amp;E1490</f>
        <v>ОбувьМужская обувьБотинкиВысокие ботинки</v>
      </c>
      <c r="B1490" s="29" t="s">
        <v>180</v>
      </c>
      <c r="C1490" s="29" t="s">
        <v>279</v>
      </c>
      <c r="D1490" s="29" t="s">
        <v>515</v>
      </c>
      <c r="E1490" s="29" t="s">
        <v>516</v>
      </c>
      <c r="F1490" s="30">
        <v>0.2</v>
      </c>
      <c r="G1490" s="31"/>
      <c r="H1490" s="31"/>
      <c r="I1490" s="31"/>
      <c r="J1490" s="31"/>
    </row>
    <row r="1491" spans="1:10" ht="14.4" x14ac:dyDescent="0.3">
      <c r="A1491" s="28" t="str">
        <f>B1491&amp;C1491&amp;D1491&amp;E1491</f>
        <v>КнигиНехудожественная литератураИскусство и культураАртбуки</v>
      </c>
      <c r="B1491" s="29" t="s">
        <v>63</v>
      </c>
      <c r="C1491" s="29" t="s">
        <v>141</v>
      </c>
      <c r="D1491" s="29" t="s">
        <v>517</v>
      </c>
      <c r="E1491" s="29" t="s">
        <v>518</v>
      </c>
      <c r="F1491" s="30">
        <v>0.2</v>
      </c>
      <c r="G1491" s="31"/>
      <c r="H1491" s="31"/>
      <c r="I1491" s="31"/>
      <c r="J1491" s="31"/>
    </row>
    <row r="1492" spans="1:10" ht="14.4" x14ac:dyDescent="0.3">
      <c r="A1492" s="28" t="str">
        <f>B1492&amp;C1492&amp;D1492&amp;E1492</f>
        <v>ЭлектроникаФото и видеотехникаАксессуары для фото- и видеокамерПульты дистанционного управления</v>
      </c>
      <c r="B1492" s="29" t="s">
        <v>67</v>
      </c>
      <c r="C1492" s="29" t="s">
        <v>174</v>
      </c>
      <c r="D1492" s="29" t="s">
        <v>175</v>
      </c>
      <c r="E1492" s="29" t="s">
        <v>521</v>
      </c>
      <c r="F1492" s="30">
        <v>0.2</v>
      </c>
      <c r="G1492" s="31"/>
      <c r="H1492" s="31"/>
      <c r="I1492" s="31"/>
      <c r="J1492" s="31"/>
    </row>
    <row r="1493" spans="1:10" ht="14.4" x14ac:dyDescent="0.3">
      <c r="A1493" s="28" t="str">
        <f>B1493&amp;C1493&amp;D1493&amp;E1493</f>
        <v>Красота и уходУход за теломУвлажнение и питаниеГели и муссы</v>
      </c>
      <c r="B1493" s="29" t="s">
        <v>56</v>
      </c>
      <c r="C1493" s="29" t="s">
        <v>100</v>
      </c>
      <c r="D1493" s="29" t="s">
        <v>134</v>
      </c>
      <c r="E1493" s="29" t="s">
        <v>523</v>
      </c>
      <c r="F1493" s="30">
        <v>0.2</v>
      </c>
      <c r="G1493" s="31"/>
      <c r="H1493" s="31"/>
      <c r="I1493" s="31"/>
      <c r="J1493" s="31"/>
    </row>
    <row r="1494" spans="1:10" ht="14.4" x14ac:dyDescent="0.3">
      <c r="A1494" s="28" t="str">
        <f>B1494&amp;C1494&amp;D1494&amp;E1494</f>
        <v>ЭлектроникаНаушники и аудиотехникаНаушникиПроводные наушники</v>
      </c>
      <c r="B1494" s="29" t="s">
        <v>67</v>
      </c>
      <c r="C1494" s="29" t="s">
        <v>74</v>
      </c>
      <c r="D1494" s="29" t="s">
        <v>75</v>
      </c>
      <c r="E1494" s="29" t="s">
        <v>524</v>
      </c>
      <c r="F1494" s="30">
        <v>0.2</v>
      </c>
      <c r="G1494" s="31"/>
      <c r="H1494" s="31"/>
      <c r="I1494" s="31"/>
      <c r="J1494" s="31"/>
    </row>
    <row r="1495" spans="1:10" ht="14.4" x14ac:dyDescent="0.3">
      <c r="A1495" s="28" t="str">
        <f>B1495&amp;C1495&amp;D1495&amp;E1495</f>
        <v>ЗдоровьеМедицинские приборыГлюкометры и аксессуарыЛанцеты для глюкометра</v>
      </c>
      <c r="B1495" s="29" t="s">
        <v>116</v>
      </c>
      <c r="C1495" s="29" t="s">
        <v>381</v>
      </c>
      <c r="D1495" s="29" t="s">
        <v>382</v>
      </c>
      <c r="E1495" s="29" t="s">
        <v>525</v>
      </c>
      <c r="F1495" s="30">
        <v>0.2</v>
      </c>
      <c r="G1495" s="31"/>
      <c r="H1495" s="31"/>
      <c r="I1495" s="31"/>
      <c r="J1495" s="31"/>
    </row>
    <row r="1496" spans="1:10" ht="14.4" x14ac:dyDescent="0.3">
      <c r="A1496" s="28" t="str">
        <f>B1496&amp;C1496&amp;D1496&amp;E1496</f>
        <v>Красота и уходКорейская косметикаУход за лицомГлина</v>
      </c>
      <c r="B1496" s="29" t="s">
        <v>56</v>
      </c>
      <c r="C1496" s="29" t="s">
        <v>211</v>
      </c>
      <c r="D1496" s="29" t="s">
        <v>238</v>
      </c>
      <c r="E1496" s="29" t="s">
        <v>240</v>
      </c>
      <c r="F1496" s="30">
        <v>0.2</v>
      </c>
      <c r="G1496" s="31"/>
      <c r="H1496" s="31"/>
      <c r="I1496" s="31"/>
      <c r="J1496" s="31"/>
    </row>
    <row r="1497" spans="1:10" ht="14.4" x14ac:dyDescent="0.3">
      <c r="A1497" s="28" t="str">
        <f>B1497&amp;C1497&amp;D1497&amp;E1497</f>
        <v>Строительство и ремонтИнструментыИзмерительные инструментыРулетки и мерные ленты</v>
      </c>
      <c r="B1497" s="29" t="s">
        <v>77</v>
      </c>
      <c r="C1497" s="29" t="s">
        <v>78</v>
      </c>
      <c r="D1497" s="29" t="s">
        <v>207</v>
      </c>
      <c r="E1497" s="29" t="s">
        <v>546</v>
      </c>
      <c r="F1497" s="30">
        <v>0.2</v>
      </c>
      <c r="G1497" s="31"/>
      <c r="H1497" s="31"/>
      <c r="I1497" s="31"/>
      <c r="J1497" s="31"/>
    </row>
    <row r="1498" spans="1:10" ht="14.4" x14ac:dyDescent="0.3">
      <c r="A1498" s="28" t="str">
        <f>B1498&amp;C1498&amp;D1498&amp;E1498</f>
        <v>КнигиДетям и родителямХудожественная литератураСказки, фольклор и мифы</v>
      </c>
      <c r="B1498" s="29" t="s">
        <v>63</v>
      </c>
      <c r="C1498" s="29" t="s">
        <v>258</v>
      </c>
      <c r="D1498" s="29" t="s">
        <v>374</v>
      </c>
      <c r="E1498" s="29" t="s">
        <v>552</v>
      </c>
      <c r="F1498" s="30">
        <v>0.2</v>
      </c>
      <c r="G1498" s="31"/>
      <c r="H1498" s="31"/>
      <c r="I1498" s="31"/>
      <c r="J1498" s="31"/>
    </row>
    <row r="1499" spans="1:10" ht="14.4" x14ac:dyDescent="0.3">
      <c r="A1499" s="28" t="str">
        <f>B1499&amp;C1499&amp;D1499&amp;E1499</f>
        <v>Строительство и ремонтИнструментыИзмерительные инструментыМанометры</v>
      </c>
      <c r="B1499" s="29" t="s">
        <v>77</v>
      </c>
      <c r="C1499" s="29" t="s">
        <v>78</v>
      </c>
      <c r="D1499" s="29" t="s">
        <v>207</v>
      </c>
      <c r="E1499" s="29" t="s">
        <v>557</v>
      </c>
      <c r="F1499" s="30">
        <v>0.2</v>
      </c>
      <c r="G1499" s="31"/>
      <c r="H1499" s="31"/>
      <c r="I1499" s="31"/>
      <c r="J1499" s="31"/>
    </row>
    <row r="1500" spans="1:10" ht="14.4" x14ac:dyDescent="0.3">
      <c r="A1500" s="28" t="str">
        <f>B1500&amp;C1500&amp;D1500&amp;E1500</f>
        <v>Детские товарыГигиена и подгузникиУход за ребенкомДетские грелки и пояса</v>
      </c>
      <c r="B1500" s="29" t="s">
        <v>105</v>
      </c>
      <c r="C1500" s="29" t="s">
        <v>106</v>
      </c>
      <c r="D1500" s="29" t="s">
        <v>560</v>
      </c>
      <c r="E1500" s="29" t="s">
        <v>561</v>
      </c>
      <c r="F1500" s="30">
        <v>0.2</v>
      </c>
      <c r="G1500" s="31"/>
      <c r="H1500" s="31"/>
      <c r="I1500" s="31"/>
      <c r="J1500" s="31"/>
    </row>
    <row r="1501" spans="1:10" ht="14.4" x14ac:dyDescent="0.3">
      <c r="A1501" s="28" t="str">
        <f>B1501&amp;C1501&amp;D1501&amp;E1501</f>
        <v>Бытовая химияЧистящие и моющие средстваСредства для чистки стеколСредства для чистки стекол</v>
      </c>
      <c r="B1501" s="29" t="s">
        <v>146</v>
      </c>
      <c r="C1501" s="29" t="s">
        <v>567</v>
      </c>
      <c r="D1501" s="29" t="s">
        <v>568</v>
      </c>
      <c r="E1501" s="29" t="s">
        <v>568</v>
      </c>
      <c r="F1501" s="30">
        <v>0.2</v>
      </c>
      <c r="G1501" s="31"/>
      <c r="H1501" s="31"/>
      <c r="I1501" s="31"/>
      <c r="J1501" s="31"/>
    </row>
    <row r="1502" spans="1:10" ht="14.4" x14ac:dyDescent="0.3">
      <c r="A1502" s="28" t="str">
        <f>B1502&amp;C1502&amp;D1502&amp;E1502</f>
        <v>Красота и уходУход за волосамиСредства для укладкиСпреи</v>
      </c>
      <c r="B1502" s="29" t="s">
        <v>56</v>
      </c>
      <c r="C1502" s="29" t="s">
        <v>109</v>
      </c>
      <c r="D1502" s="29" t="s">
        <v>73</v>
      </c>
      <c r="E1502" s="29" t="s">
        <v>569</v>
      </c>
      <c r="F1502" s="30">
        <v>0.2</v>
      </c>
      <c r="G1502" s="31"/>
      <c r="H1502" s="31"/>
      <c r="I1502" s="31"/>
      <c r="J1502" s="31"/>
    </row>
    <row r="1503" spans="1:10" ht="14.4" x14ac:dyDescent="0.3">
      <c r="A1503" s="28" t="str">
        <f>B1503&amp;C1503&amp;D1503&amp;E1503</f>
        <v>Красота и уходУход за теломУвлажнение и питаниеМассажные масла</v>
      </c>
      <c r="B1503" s="29" t="s">
        <v>56</v>
      </c>
      <c r="C1503" s="29" t="s">
        <v>100</v>
      </c>
      <c r="D1503" s="29" t="s">
        <v>134</v>
      </c>
      <c r="E1503" s="29" t="s">
        <v>572</v>
      </c>
      <c r="F1503" s="30">
        <v>0.2</v>
      </c>
      <c r="G1503" s="31"/>
      <c r="H1503" s="31"/>
      <c r="I1503" s="31"/>
      <c r="J1503" s="31"/>
    </row>
    <row r="1504" spans="1:10" ht="14.4" x14ac:dyDescent="0.3">
      <c r="A1504" s="28" t="str">
        <f>B1504&amp;C1504&amp;D1504&amp;E1504</f>
        <v>ЭлектроникаФото и видеотехникаОборудование для фотографовСвет для фотостудии</v>
      </c>
      <c r="B1504" s="29" t="s">
        <v>67</v>
      </c>
      <c r="C1504" s="29" t="s">
        <v>174</v>
      </c>
      <c r="D1504" s="29" t="s">
        <v>575</v>
      </c>
      <c r="E1504" s="29" t="s">
        <v>576</v>
      </c>
      <c r="F1504" s="30">
        <v>0.2</v>
      </c>
      <c r="G1504" s="31"/>
      <c r="H1504" s="31"/>
      <c r="I1504" s="31"/>
      <c r="J1504" s="31"/>
    </row>
    <row r="1505" spans="1:10" ht="14.4" x14ac:dyDescent="0.3">
      <c r="A1505" s="28" t="str">
        <f>B1505&amp;C1505&amp;D1505&amp;E1505</f>
        <v>Красота и уходУход за теломУвлажнение и питаниеКремы для рук</v>
      </c>
      <c r="B1505" s="29" t="s">
        <v>56</v>
      </c>
      <c r="C1505" s="29" t="s">
        <v>100</v>
      </c>
      <c r="D1505" s="29" t="s">
        <v>134</v>
      </c>
      <c r="E1505" s="29" t="s">
        <v>580</v>
      </c>
      <c r="F1505" s="30">
        <v>0.2</v>
      </c>
      <c r="G1505" s="31"/>
      <c r="H1505" s="31"/>
      <c r="I1505" s="31"/>
      <c r="J1505" s="31"/>
    </row>
    <row r="1506" spans="1:10" ht="14.4" x14ac:dyDescent="0.3">
      <c r="A1506" s="28" t="str">
        <f>B1506&amp;C1506&amp;D1506&amp;E1506</f>
        <v>АксессуарыАксессуары для путешествийТовары для снаПодушки для сна</v>
      </c>
      <c r="B1506" s="29" t="s">
        <v>88</v>
      </c>
      <c r="C1506" s="29" t="s">
        <v>573</v>
      </c>
      <c r="D1506" s="29" t="s">
        <v>581</v>
      </c>
      <c r="E1506" s="29" t="s">
        <v>582</v>
      </c>
      <c r="F1506" s="30">
        <v>0.2</v>
      </c>
      <c r="G1506" s="31"/>
      <c r="H1506" s="31"/>
      <c r="I1506" s="31"/>
      <c r="J1506" s="31"/>
    </row>
    <row r="1507" spans="1:10" ht="14.4" x14ac:dyDescent="0.3">
      <c r="A1507" s="28" t="str">
        <f>B1507&amp;C1507&amp;D1507&amp;E1507</f>
        <v>Детские товарыГигиена и подгузникиУход за ребенкомВатные палочки для детей</v>
      </c>
      <c r="B1507" s="29" t="s">
        <v>105</v>
      </c>
      <c r="C1507" s="29" t="s">
        <v>106</v>
      </c>
      <c r="D1507" s="29" t="s">
        <v>560</v>
      </c>
      <c r="E1507" s="29" t="s">
        <v>583</v>
      </c>
      <c r="F1507" s="30">
        <v>0.2</v>
      </c>
      <c r="G1507" s="31"/>
      <c r="H1507" s="31"/>
      <c r="I1507" s="31"/>
      <c r="J1507" s="31"/>
    </row>
    <row r="1508" spans="1:10" ht="14.4" x14ac:dyDescent="0.3">
      <c r="A1508" s="28" t="str">
        <f>B1508&amp;C1508&amp;D1508&amp;E1508</f>
        <v>Детские товарыГигиена и подгузникиДетская косметикаДетская декоративная косметика</v>
      </c>
      <c r="B1508" s="29" t="s">
        <v>105</v>
      </c>
      <c r="C1508" s="29" t="s">
        <v>106</v>
      </c>
      <c r="D1508" s="29" t="s">
        <v>586</v>
      </c>
      <c r="E1508" s="29" t="s">
        <v>587</v>
      </c>
      <c r="F1508" s="30">
        <v>0.2</v>
      </c>
      <c r="G1508" s="31"/>
      <c r="H1508" s="31"/>
      <c r="I1508" s="31"/>
      <c r="J1508" s="31"/>
    </row>
    <row r="1509" spans="1:10" ht="14.4" x14ac:dyDescent="0.3">
      <c r="A1509" s="28" t="str">
        <f>B1509&amp;C1509&amp;D1509&amp;E1509</f>
        <v>Красота и уходКорейская косметикаУход за лицомЭссенции</v>
      </c>
      <c r="B1509" s="29" t="s">
        <v>56</v>
      </c>
      <c r="C1509" s="29" t="s">
        <v>211</v>
      </c>
      <c r="D1509" s="29" t="s">
        <v>238</v>
      </c>
      <c r="E1509" s="29" t="s">
        <v>588</v>
      </c>
      <c r="F1509" s="30">
        <v>0.2</v>
      </c>
      <c r="G1509" s="31"/>
      <c r="H1509" s="31"/>
      <c r="I1509" s="31"/>
      <c r="J1509" s="31"/>
    </row>
    <row r="1510" spans="1:10" ht="14.4" x14ac:dyDescent="0.3">
      <c r="A1510" s="28" t="str">
        <f>B1510&amp;C1510&amp;D1510&amp;E1510</f>
        <v>КанцтоварыБумажная продукцияЕженедельники и ежедневники, планнерыЕжедневники</v>
      </c>
      <c r="B1510" s="29" t="s">
        <v>163</v>
      </c>
      <c r="C1510" s="29" t="s">
        <v>261</v>
      </c>
      <c r="D1510" s="29" t="s">
        <v>590</v>
      </c>
      <c r="E1510" s="29" t="s">
        <v>591</v>
      </c>
      <c r="F1510" s="30">
        <v>0.2</v>
      </c>
      <c r="G1510" s="31"/>
      <c r="H1510" s="31"/>
      <c r="I1510" s="31"/>
      <c r="J1510" s="31"/>
    </row>
    <row r="1511" spans="1:10" ht="14.4" x14ac:dyDescent="0.3">
      <c r="A1511" s="28" t="str">
        <f>B1511&amp;C1511&amp;D1511&amp;E1511</f>
        <v>ОбувьЖенская обувьРезиновая обувьСабо</v>
      </c>
      <c r="B1511" s="29" t="s">
        <v>180</v>
      </c>
      <c r="C1511" s="29" t="s">
        <v>181</v>
      </c>
      <c r="D1511" s="29" t="s">
        <v>593</v>
      </c>
      <c r="E1511" s="29" t="s">
        <v>594</v>
      </c>
      <c r="F1511" s="30">
        <v>0.2</v>
      </c>
      <c r="G1511" s="31"/>
      <c r="H1511" s="31"/>
      <c r="I1511" s="31"/>
      <c r="J1511" s="31"/>
    </row>
    <row r="1512" spans="1:10" ht="14.4" x14ac:dyDescent="0.3">
      <c r="A1512" s="28" t="str">
        <f>B1512&amp;C1512&amp;D1512&amp;E1512</f>
        <v>Красота и уходМаникюр и педикюрЛечебные и уходовые средстваГели для ногтей</v>
      </c>
      <c r="B1512" s="29" t="s">
        <v>56</v>
      </c>
      <c r="C1512" s="29" t="s">
        <v>57</v>
      </c>
      <c r="D1512" s="29" t="s">
        <v>595</v>
      </c>
      <c r="E1512" s="29" t="s">
        <v>596</v>
      </c>
      <c r="F1512" s="30">
        <v>0.2</v>
      </c>
      <c r="G1512" s="31"/>
      <c r="H1512" s="31"/>
      <c r="I1512" s="31"/>
      <c r="J1512" s="31"/>
    </row>
    <row r="1513" spans="1:10" ht="14.4" x14ac:dyDescent="0.3">
      <c r="A1513" s="28" t="str">
        <f>B1513&amp;C1513&amp;D1513&amp;E1513</f>
        <v>Бытовая химияСредства по уходу за обувьюУсилители яркости цветаУсилители яркости цвета</v>
      </c>
      <c r="B1513" s="29" t="s">
        <v>146</v>
      </c>
      <c r="C1513" s="29" t="s">
        <v>344</v>
      </c>
      <c r="D1513" s="29" t="s">
        <v>598</v>
      </c>
      <c r="E1513" s="29" t="s">
        <v>598</v>
      </c>
      <c r="F1513" s="30">
        <v>0.2</v>
      </c>
      <c r="G1513" s="31"/>
      <c r="H1513" s="31"/>
      <c r="I1513" s="31"/>
      <c r="J1513" s="31"/>
    </row>
    <row r="1514" spans="1:10" ht="14.4" x14ac:dyDescent="0.3">
      <c r="A1514" s="28" t="str">
        <f>B1514&amp;C1514&amp;D1514&amp;E1514</f>
        <v>Красота и уходМакияжЛицоОсновы под макияж</v>
      </c>
      <c r="B1514" s="29" t="s">
        <v>56</v>
      </c>
      <c r="C1514" s="29" t="s">
        <v>151</v>
      </c>
      <c r="D1514" s="29" t="s">
        <v>602</v>
      </c>
      <c r="E1514" s="29" t="s">
        <v>603</v>
      </c>
      <c r="F1514" s="30">
        <v>0.2</v>
      </c>
      <c r="G1514" s="31"/>
      <c r="H1514" s="31"/>
      <c r="I1514" s="31"/>
      <c r="J1514" s="31"/>
    </row>
    <row r="1515" spans="1:10" ht="14.4" x14ac:dyDescent="0.3">
      <c r="A1515" s="28" t="str">
        <f>B1515&amp;C1515&amp;D1515&amp;E1515</f>
        <v>КнигиДетям и родителямРазвитие детейЗадания, головоломки и загадки</v>
      </c>
      <c r="B1515" s="29" t="s">
        <v>63</v>
      </c>
      <c r="C1515" s="29" t="s">
        <v>258</v>
      </c>
      <c r="D1515" s="29" t="s">
        <v>259</v>
      </c>
      <c r="E1515" s="29" t="s">
        <v>607</v>
      </c>
      <c r="F1515" s="30">
        <v>0.2</v>
      </c>
      <c r="G1515" s="31"/>
      <c r="H1515" s="31"/>
      <c r="I1515" s="31"/>
      <c r="J1515" s="31"/>
    </row>
    <row r="1516" spans="1:10" ht="14.4" x14ac:dyDescent="0.3">
      <c r="A1516" s="28" t="str">
        <f>B1516&amp;C1516&amp;D1516&amp;E1516</f>
        <v>Детские товарыДетская комнатаДетская мебельМольберты детские</v>
      </c>
      <c r="B1516" s="29" t="s">
        <v>105</v>
      </c>
      <c r="C1516" s="29" t="s">
        <v>397</v>
      </c>
      <c r="D1516" s="29" t="s">
        <v>617</v>
      </c>
      <c r="E1516" s="29" t="s">
        <v>618</v>
      </c>
      <c r="F1516" s="30">
        <v>0.2</v>
      </c>
      <c r="G1516" s="31"/>
      <c r="H1516" s="31"/>
      <c r="I1516" s="31"/>
      <c r="J1516" s="31"/>
    </row>
    <row r="1517" spans="1:10" ht="14.4" x14ac:dyDescent="0.3">
      <c r="A1517" s="28" t="str">
        <f>B1517&amp;C1517&amp;D1517&amp;E1517</f>
        <v>КнигиХудожественная литератураПрозаКлассическая проза</v>
      </c>
      <c r="B1517" s="29" t="s">
        <v>63</v>
      </c>
      <c r="C1517" s="29" t="s">
        <v>374</v>
      </c>
      <c r="D1517" s="29" t="s">
        <v>624</v>
      </c>
      <c r="E1517" s="29" t="s">
        <v>625</v>
      </c>
      <c r="F1517" s="30">
        <v>0.2</v>
      </c>
      <c r="G1517" s="31"/>
      <c r="H1517" s="31"/>
      <c r="I1517" s="31"/>
      <c r="J1517" s="31"/>
    </row>
    <row r="1518" spans="1:10" ht="14.4" x14ac:dyDescent="0.3">
      <c r="A1518" s="28" t="str">
        <f>B1518&amp;C1518&amp;D1518&amp;E1518</f>
        <v>Красота и уходКорейская косметикаМакияжЛицо</v>
      </c>
      <c r="B1518" s="29" t="s">
        <v>56</v>
      </c>
      <c r="C1518" s="29" t="s">
        <v>211</v>
      </c>
      <c r="D1518" s="29" t="s">
        <v>151</v>
      </c>
      <c r="E1518" s="29" t="s">
        <v>602</v>
      </c>
      <c r="F1518" s="30">
        <v>0.2</v>
      </c>
      <c r="G1518" s="31"/>
      <c r="H1518" s="31"/>
      <c r="I1518" s="31"/>
      <c r="J1518" s="31"/>
    </row>
    <row r="1519" spans="1:10" ht="14.4" x14ac:dyDescent="0.3">
      <c r="A1519" s="28" t="str">
        <f>B1519&amp;C1519&amp;D1519&amp;E1519</f>
        <v>Красота и уходУход за волосамиСредства для очищения и уходаБальзамы и кондиционеры</v>
      </c>
      <c r="B1519" s="29" t="s">
        <v>56</v>
      </c>
      <c r="C1519" s="29" t="s">
        <v>109</v>
      </c>
      <c r="D1519" s="29" t="s">
        <v>513</v>
      </c>
      <c r="E1519" s="29" t="s">
        <v>630</v>
      </c>
      <c r="F1519" s="30">
        <v>0.2</v>
      </c>
      <c r="G1519" s="31"/>
      <c r="H1519" s="31"/>
      <c r="I1519" s="31"/>
      <c r="J1519" s="31"/>
    </row>
    <row r="1520" spans="1:10" ht="14.4" x14ac:dyDescent="0.3">
      <c r="A1520" s="28" t="str">
        <f>B1520&amp;C1520&amp;D1520&amp;E1520</f>
        <v>Спорт и отдыхОтдых на природе, рыбалка и охотаРыбалкаЭхолоты и навигация</v>
      </c>
      <c r="B1520" s="29" t="s">
        <v>101</v>
      </c>
      <c r="C1520" s="29" t="s">
        <v>166</v>
      </c>
      <c r="D1520" s="29" t="s">
        <v>167</v>
      </c>
      <c r="E1520" s="29" t="s">
        <v>631</v>
      </c>
      <c r="F1520" s="30">
        <v>0.2</v>
      </c>
      <c r="G1520" s="31"/>
      <c r="H1520" s="31"/>
      <c r="I1520" s="31"/>
      <c r="J1520" s="31"/>
    </row>
    <row r="1521" spans="1:10" ht="14.4" x14ac:dyDescent="0.3">
      <c r="A1521" s="28" t="str">
        <f>B1521&amp;C1521&amp;D1521&amp;E1521</f>
        <v>Красота и уходЛичная гигиенаБумажная и ватная продукцияБумажные полотенца</v>
      </c>
      <c r="B1521" s="29" t="s">
        <v>56</v>
      </c>
      <c r="C1521" s="29" t="s">
        <v>120</v>
      </c>
      <c r="D1521" s="29" t="s">
        <v>246</v>
      </c>
      <c r="E1521" s="29" t="s">
        <v>635</v>
      </c>
      <c r="F1521" s="30">
        <v>0.2</v>
      </c>
      <c r="G1521" s="31"/>
      <c r="H1521" s="31"/>
      <c r="I1521" s="31"/>
      <c r="J1521" s="31"/>
    </row>
    <row r="1522" spans="1:10" ht="14.4" x14ac:dyDescent="0.3">
      <c r="A1522" s="28" t="str">
        <f>B1522&amp;C1522&amp;D1522&amp;E1522</f>
        <v>КнигиДетям и родителямРазвитие детейУчим иностранные языки</v>
      </c>
      <c r="B1522" s="29" t="s">
        <v>63</v>
      </c>
      <c r="C1522" s="29" t="s">
        <v>258</v>
      </c>
      <c r="D1522" s="29" t="s">
        <v>259</v>
      </c>
      <c r="E1522" s="29" t="s">
        <v>636</v>
      </c>
      <c r="F1522" s="30">
        <v>0.2</v>
      </c>
      <c r="G1522" s="31"/>
      <c r="H1522" s="31"/>
      <c r="I1522" s="31"/>
      <c r="J1522" s="31"/>
    </row>
    <row r="1523" spans="1:10" ht="14.4" x14ac:dyDescent="0.3">
      <c r="A1523" s="28" t="str">
        <f>B1523&amp;C1523&amp;D1523&amp;E1523</f>
        <v>Детские товарыТовары для кормленияПосуда и принадлежности для кормленияДетские столовые приборы</v>
      </c>
      <c r="B1523" s="29" t="s">
        <v>105</v>
      </c>
      <c r="C1523" s="29" t="s">
        <v>639</v>
      </c>
      <c r="D1523" s="29" t="s">
        <v>640</v>
      </c>
      <c r="E1523" s="29" t="s">
        <v>641</v>
      </c>
      <c r="F1523" s="30">
        <v>0.2</v>
      </c>
      <c r="G1523" s="31"/>
      <c r="H1523" s="31"/>
      <c r="I1523" s="31"/>
      <c r="J1523" s="31"/>
    </row>
    <row r="1524" spans="1:10" ht="14.4" x14ac:dyDescent="0.3">
      <c r="A1524" s="28" t="str">
        <f>B1524&amp;C1524&amp;D1524&amp;E1524</f>
        <v>Красота и уходКорейская косметикаНаборы корейской косметикиНабор для ухода за лицом</v>
      </c>
      <c r="B1524" s="29" t="s">
        <v>56</v>
      </c>
      <c r="C1524" s="29" t="s">
        <v>211</v>
      </c>
      <c r="D1524" s="29" t="s">
        <v>650</v>
      </c>
      <c r="E1524" s="29" t="s">
        <v>651</v>
      </c>
      <c r="F1524" s="30">
        <v>0.2</v>
      </c>
      <c r="G1524" s="31"/>
      <c r="H1524" s="31"/>
      <c r="I1524" s="31"/>
      <c r="J1524" s="31"/>
    </row>
    <row r="1525" spans="1:10" ht="14.4" x14ac:dyDescent="0.3">
      <c r="A1525" s="28" t="str">
        <f>B1525&amp;C1525&amp;D1525&amp;E1525</f>
        <v>Красота и уходМаникюр и педикюрДизайн ногтейНаклейки для ногтей</v>
      </c>
      <c r="B1525" s="29" t="s">
        <v>56</v>
      </c>
      <c r="C1525" s="29" t="s">
        <v>57</v>
      </c>
      <c r="D1525" s="29" t="s">
        <v>653</v>
      </c>
      <c r="E1525" s="29" t="s">
        <v>654</v>
      </c>
      <c r="F1525" s="30">
        <v>0.2</v>
      </c>
      <c r="G1525" s="31"/>
      <c r="H1525" s="31"/>
      <c r="I1525" s="31"/>
      <c r="J1525" s="31"/>
    </row>
    <row r="1526" spans="1:10" ht="14.4" x14ac:dyDescent="0.3">
      <c r="A1526" s="28" t="str">
        <f>B1526&amp;C1526&amp;D1526&amp;E1526</f>
        <v>Строительство и ремонтИнструментыИзмерительные инструментыЛинейки и угольники</v>
      </c>
      <c r="B1526" s="29" t="s">
        <v>77</v>
      </c>
      <c r="C1526" s="29" t="s">
        <v>78</v>
      </c>
      <c r="D1526" s="29" t="s">
        <v>207</v>
      </c>
      <c r="E1526" s="29" t="s">
        <v>657</v>
      </c>
      <c r="F1526" s="30">
        <v>0.2</v>
      </c>
      <c r="G1526" s="31"/>
      <c r="H1526" s="31"/>
      <c r="I1526" s="31"/>
      <c r="J1526" s="31"/>
    </row>
    <row r="1527" spans="1:10" ht="14.4" x14ac:dyDescent="0.3">
      <c r="A1527" s="28" t="str">
        <f>B1527&amp;C1527&amp;D1527&amp;E1527</f>
        <v>Строительство и ремонтИнструментыИзмерительные инструментыШаблон плиточника</v>
      </c>
      <c r="B1527" s="29" t="s">
        <v>77</v>
      </c>
      <c r="C1527" s="29" t="s">
        <v>78</v>
      </c>
      <c r="D1527" s="29" t="s">
        <v>207</v>
      </c>
      <c r="E1527" s="29" t="s">
        <v>661</v>
      </c>
      <c r="F1527" s="30">
        <v>0.2</v>
      </c>
      <c r="G1527" s="31"/>
      <c r="H1527" s="31"/>
      <c r="I1527" s="31"/>
      <c r="J1527" s="31"/>
    </row>
    <row r="1528" spans="1:10" ht="14.4" x14ac:dyDescent="0.3">
      <c r="A1528" s="28" t="str">
        <f>B1528&amp;C1528&amp;D1528&amp;E1528</f>
        <v>Детские товарыГигиена и подгузникиУход за ребенкомДетские маникюрные наборы</v>
      </c>
      <c r="B1528" s="29" t="s">
        <v>105</v>
      </c>
      <c r="C1528" s="29" t="s">
        <v>106</v>
      </c>
      <c r="D1528" s="29" t="s">
        <v>560</v>
      </c>
      <c r="E1528" s="29" t="s">
        <v>663</v>
      </c>
      <c r="F1528" s="30">
        <v>0.2</v>
      </c>
      <c r="G1528" s="31"/>
      <c r="H1528" s="31"/>
      <c r="I1528" s="31"/>
      <c r="J1528" s="31"/>
    </row>
    <row r="1529" spans="1:10" ht="14.4" x14ac:dyDescent="0.3">
      <c r="A1529" s="28" t="str">
        <f>B1529&amp;C1529&amp;D1529&amp;E1529</f>
        <v>Красота и уходДля мужчинДля бритьяСредства для бритья</v>
      </c>
      <c r="B1529" s="29" t="s">
        <v>56</v>
      </c>
      <c r="C1529" s="29" t="s">
        <v>71</v>
      </c>
      <c r="D1529" s="29" t="s">
        <v>665</v>
      </c>
      <c r="E1529" s="29" t="s">
        <v>666</v>
      </c>
      <c r="F1529" s="30">
        <v>0.2</v>
      </c>
      <c r="G1529" s="31"/>
      <c r="H1529" s="31"/>
      <c r="I1529" s="31"/>
      <c r="J1529" s="31"/>
    </row>
    <row r="1530" spans="1:10" ht="14.4" x14ac:dyDescent="0.3">
      <c r="A1530" s="28" t="str">
        <f>B1530&amp;C1530&amp;D1530&amp;E1530</f>
        <v>ЭлектроникаТелевизоры и видеотехникаТВ-приставки и медиаплеерыDVD-плееры</v>
      </c>
      <c r="B1530" s="29" t="s">
        <v>67</v>
      </c>
      <c r="C1530" s="29" t="s">
        <v>136</v>
      </c>
      <c r="D1530" s="29" t="s">
        <v>680</v>
      </c>
      <c r="E1530" s="29" t="s">
        <v>681</v>
      </c>
      <c r="F1530" s="30">
        <v>0.2</v>
      </c>
      <c r="G1530" s="31"/>
      <c r="H1530" s="31"/>
      <c r="I1530" s="31"/>
      <c r="J1530" s="31"/>
    </row>
    <row r="1531" spans="1:10" ht="14.4" x14ac:dyDescent="0.3">
      <c r="A1531" s="28" t="str">
        <f>B1531&amp;C1531&amp;D1531&amp;E1531</f>
        <v>КанцтоварыПисьменные принадлежностиМаркерыМаркеры</v>
      </c>
      <c r="B1531" s="29" t="s">
        <v>163</v>
      </c>
      <c r="C1531" s="29" t="s">
        <v>684</v>
      </c>
      <c r="D1531" s="29" t="s">
        <v>685</v>
      </c>
      <c r="E1531" s="29" t="s">
        <v>685</v>
      </c>
      <c r="F1531" s="30">
        <v>0.2</v>
      </c>
      <c r="G1531" s="31"/>
      <c r="H1531" s="31"/>
      <c r="I1531" s="31"/>
      <c r="J1531" s="31"/>
    </row>
    <row r="1532" spans="1:10" ht="14.4" x14ac:dyDescent="0.3">
      <c r="A1532" s="28" t="str">
        <f>B1532&amp;C1532&amp;D1532&amp;E1532</f>
        <v>КанцтоварыДемонстрационные доскиМаркерные доскиМаркерные доски</v>
      </c>
      <c r="B1532" s="29" t="s">
        <v>163</v>
      </c>
      <c r="C1532" s="29" t="s">
        <v>690</v>
      </c>
      <c r="D1532" s="29" t="s">
        <v>691</v>
      </c>
      <c r="E1532" s="29" t="s">
        <v>691</v>
      </c>
      <c r="F1532" s="30">
        <v>0.2</v>
      </c>
      <c r="G1532" s="31"/>
      <c r="H1532" s="31"/>
      <c r="I1532" s="31"/>
      <c r="J1532" s="31"/>
    </row>
    <row r="1533" spans="1:10" ht="14.4" x14ac:dyDescent="0.3">
      <c r="A1533" s="28" t="str">
        <f>B1533&amp;C1533&amp;D1533&amp;E1533</f>
        <v>КанцтоварыОфисные принадлежностиДержатели для бумагДержатели для бумаг</v>
      </c>
      <c r="B1533" s="29" t="s">
        <v>163</v>
      </c>
      <c r="C1533" s="29" t="s">
        <v>227</v>
      </c>
      <c r="D1533" s="29" t="s">
        <v>693</v>
      </c>
      <c r="E1533" s="29" t="s">
        <v>693</v>
      </c>
      <c r="F1533" s="30">
        <v>0.2</v>
      </c>
      <c r="G1533" s="31"/>
      <c r="H1533" s="31"/>
      <c r="I1533" s="31"/>
      <c r="J1533" s="31"/>
    </row>
    <row r="1534" spans="1:10" ht="14.4" x14ac:dyDescent="0.3">
      <c r="A1534" s="28" t="str">
        <f>B1534&amp;C1534&amp;D1534&amp;E1534</f>
        <v>Детские товарыДетская комнатаТовары для снаОрганайзеры в кроватку</v>
      </c>
      <c r="B1534" s="29" t="s">
        <v>105</v>
      </c>
      <c r="C1534" s="29" t="s">
        <v>397</v>
      </c>
      <c r="D1534" s="29" t="s">
        <v>581</v>
      </c>
      <c r="E1534" s="29" t="s">
        <v>697</v>
      </c>
      <c r="F1534" s="30">
        <v>0.2</v>
      </c>
      <c r="G1534" s="31"/>
      <c r="H1534" s="31"/>
      <c r="I1534" s="31"/>
      <c r="J1534" s="31"/>
    </row>
    <row r="1535" spans="1:10" ht="14.4" x14ac:dyDescent="0.3">
      <c r="A1535" s="28" t="str">
        <f>B1535&amp;C1535&amp;D1535&amp;E1535</f>
        <v>КанцтоварыПечати и штампыОснастки и футляры для штамповОснастки и футляры для штампов</v>
      </c>
      <c r="B1535" s="29" t="s">
        <v>163</v>
      </c>
      <c r="C1535" s="29" t="s">
        <v>698</v>
      </c>
      <c r="D1535" s="29" t="s">
        <v>699</v>
      </c>
      <c r="E1535" s="29" t="s">
        <v>699</v>
      </c>
      <c r="F1535" s="30">
        <v>0.2</v>
      </c>
      <c r="G1535" s="31"/>
      <c r="H1535" s="31"/>
      <c r="I1535" s="31"/>
      <c r="J1535" s="31"/>
    </row>
    <row r="1536" spans="1:10" ht="14.4" x14ac:dyDescent="0.3">
      <c r="A1536" s="28" t="str">
        <f>B1536&amp;C1536&amp;D1536&amp;E1536</f>
        <v>Детские товарыГигиена и подгузникиКупание ребенкаТермометры для воды</v>
      </c>
      <c r="B1536" s="29" t="s">
        <v>105</v>
      </c>
      <c r="C1536" s="29" t="s">
        <v>106</v>
      </c>
      <c r="D1536" s="29" t="s">
        <v>705</v>
      </c>
      <c r="E1536" s="29" t="s">
        <v>706</v>
      </c>
      <c r="F1536" s="30">
        <v>0.2</v>
      </c>
      <c r="G1536" s="31"/>
      <c r="H1536" s="31"/>
      <c r="I1536" s="31"/>
      <c r="J1536" s="31"/>
    </row>
    <row r="1537" spans="1:10" ht="14.4" x14ac:dyDescent="0.3">
      <c r="A1537" s="28" t="str">
        <f>B1537&amp;C1537&amp;D1537&amp;E1537</f>
        <v>Строительство и ремонтИнструментыИзмерительные инструментыШтангенциркули</v>
      </c>
      <c r="B1537" s="29" t="s">
        <v>77</v>
      </c>
      <c r="C1537" s="29" t="s">
        <v>78</v>
      </c>
      <c r="D1537" s="29" t="s">
        <v>207</v>
      </c>
      <c r="E1537" s="29" t="s">
        <v>711</v>
      </c>
      <c r="F1537" s="30">
        <v>0.2</v>
      </c>
      <c r="G1537" s="31"/>
      <c r="H1537" s="31"/>
      <c r="I1537" s="31"/>
      <c r="J1537" s="31"/>
    </row>
    <row r="1538" spans="1:10" ht="14.4" x14ac:dyDescent="0.3">
      <c r="A1538" s="28" t="str">
        <f>B1538&amp;C1538&amp;D1538&amp;E1538</f>
        <v>Товары для домаХозяйственные товарыУход за одеждой и обувьюАксессуары для сушки</v>
      </c>
      <c r="B1538" s="29" t="s">
        <v>59</v>
      </c>
      <c r="C1538" s="29" t="s">
        <v>193</v>
      </c>
      <c r="D1538" s="29" t="s">
        <v>332</v>
      </c>
      <c r="E1538" s="29" t="s">
        <v>720</v>
      </c>
      <c r="F1538" s="30">
        <v>0.2</v>
      </c>
      <c r="G1538" s="31"/>
      <c r="H1538" s="31"/>
      <c r="I1538" s="31"/>
      <c r="J1538" s="31"/>
    </row>
    <row r="1539" spans="1:10" ht="14.4" x14ac:dyDescent="0.3">
      <c r="A1539" s="28" t="str">
        <f>B1539&amp;C1539&amp;D1539&amp;E1539</f>
        <v>ЗоотоварыДля кошекДомики и лежаки для кошекДомики</v>
      </c>
      <c r="B1539" s="29" t="s">
        <v>214</v>
      </c>
      <c r="C1539" s="29" t="s">
        <v>283</v>
      </c>
      <c r="D1539" s="29" t="s">
        <v>721</v>
      </c>
      <c r="E1539" s="29" t="s">
        <v>722</v>
      </c>
      <c r="F1539" s="30">
        <v>0.2</v>
      </c>
      <c r="G1539" s="31"/>
      <c r="H1539" s="31"/>
      <c r="I1539" s="31"/>
      <c r="J1539" s="31"/>
    </row>
    <row r="1540" spans="1:10" ht="14.4" x14ac:dyDescent="0.3">
      <c r="A1540" s="28" t="str">
        <f>B1540&amp;C1540&amp;D1540&amp;E1540</f>
        <v>Бытовая химияЧистящие и моющие средстваСредства для ухода за мебелью и поломСредства для ухода за мебелью и полом</v>
      </c>
      <c r="B1540" s="29" t="s">
        <v>146</v>
      </c>
      <c r="C1540" s="29" t="s">
        <v>567</v>
      </c>
      <c r="D1540" s="29" t="s">
        <v>725</v>
      </c>
      <c r="E1540" s="29" t="s">
        <v>725</v>
      </c>
      <c r="F1540" s="30">
        <v>0.2</v>
      </c>
      <c r="G1540" s="31"/>
      <c r="H1540" s="31"/>
      <c r="I1540" s="31"/>
      <c r="J1540" s="31"/>
    </row>
    <row r="1541" spans="1:10" ht="14.4" x14ac:dyDescent="0.3">
      <c r="A1541" s="28" t="str">
        <f>B1541&amp;C1541&amp;D1541&amp;E1541</f>
        <v>ЗдоровьеМассажеры и массажное оборудованиеМассажные подушкиМассажные подушки</v>
      </c>
      <c r="B1541" s="29" t="s">
        <v>116</v>
      </c>
      <c r="C1541" s="29" t="s">
        <v>495</v>
      </c>
      <c r="D1541" s="29" t="s">
        <v>727</v>
      </c>
      <c r="E1541" s="29" t="s">
        <v>727</v>
      </c>
      <c r="F1541" s="30">
        <v>0.2</v>
      </c>
      <c r="G1541" s="31"/>
      <c r="H1541" s="31"/>
      <c r="I1541" s="31"/>
      <c r="J1541" s="31"/>
    </row>
    <row r="1542" spans="1:10" ht="14.4" x14ac:dyDescent="0.3">
      <c r="A1542" s="28" t="str">
        <f>B1542&amp;C1542&amp;D1542&amp;E1542</f>
        <v>Красота и уходУход за лицомОчищение и умываниеПенка для умывания</v>
      </c>
      <c r="B1542" s="29" t="s">
        <v>56</v>
      </c>
      <c r="C1542" s="29" t="s">
        <v>238</v>
      </c>
      <c r="D1542" s="29" t="s">
        <v>728</v>
      </c>
      <c r="E1542" s="29" t="s">
        <v>729</v>
      </c>
      <c r="F1542" s="30">
        <v>0.2</v>
      </c>
      <c r="G1542" s="31"/>
      <c r="H1542" s="31"/>
      <c r="I1542" s="31"/>
      <c r="J1542" s="31"/>
    </row>
    <row r="1543" spans="1:10" ht="14.4" x14ac:dyDescent="0.3">
      <c r="A1543" s="28" t="str">
        <f>B1543&amp;C1543&amp;D1543&amp;E1543</f>
        <v>Красота и уходЛичная гигиенаИнтимная гигиенаВкладыши от пота</v>
      </c>
      <c r="B1543" s="29" t="s">
        <v>56</v>
      </c>
      <c r="C1543" s="29" t="s">
        <v>120</v>
      </c>
      <c r="D1543" s="29" t="s">
        <v>483</v>
      </c>
      <c r="E1543" s="29" t="s">
        <v>731</v>
      </c>
      <c r="F1543" s="30">
        <v>0.2</v>
      </c>
      <c r="G1543" s="31"/>
      <c r="H1543" s="31"/>
      <c r="I1543" s="31"/>
      <c r="J1543" s="31"/>
    </row>
    <row r="1544" spans="1:10" ht="14.4" x14ac:dyDescent="0.3">
      <c r="A1544" s="28" t="str">
        <f>B1544&amp;C1544&amp;D1544&amp;E1544</f>
        <v>Красота и уходПрофессиональная косметикаУход за волосамиУход за волосами</v>
      </c>
      <c r="B1544" s="29" t="s">
        <v>56</v>
      </c>
      <c r="C1544" s="29" t="s">
        <v>99</v>
      </c>
      <c r="D1544" s="29" t="s">
        <v>109</v>
      </c>
      <c r="E1544" s="29" t="s">
        <v>109</v>
      </c>
      <c r="F1544" s="30">
        <v>0.2</v>
      </c>
      <c r="G1544" s="31"/>
      <c r="H1544" s="31"/>
      <c r="I1544" s="31"/>
      <c r="J1544" s="31"/>
    </row>
    <row r="1545" spans="1:10" ht="14.4" x14ac:dyDescent="0.3">
      <c r="A1545" s="28" t="str">
        <f>B1545&amp;C1545&amp;D1545&amp;E1545</f>
        <v>Строительство и ремонтЭлектрикаАвтоматические выключатели, УЗО, дифференциальные автоматыАвтоматические выключатели, УЗО, дифференциальные автоматы</v>
      </c>
      <c r="B1545" s="29" t="s">
        <v>77</v>
      </c>
      <c r="C1545" s="29" t="s">
        <v>600</v>
      </c>
      <c r="D1545" s="29" t="s">
        <v>733</v>
      </c>
      <c r="E1545" s="29" t="s">
        <v>733</v>
      </c>
      <c r="F1545" s="30">
        <v>0.2</v>
      </c>
      <c r="G1545" s="31"/>
      <c r="H1545" s="31"/>
      <c r="I1545" s="31"/>
      <c r="J1545" s="31"/>
    </row>
    <row r="1546" spans="1:10" ht="14.4" x14ac:dyDescent="0.3">
      <c r="A1546" s="28" t="str">
        <f>B1546&amp;C1546&amp;D1546&amp;E1546</f>
        <v>Бытовая химияОсвежители и нейтрализаторыАроматизаторы для домаАроматизаторы для дома</v>
      </c>
      <c r="B1546" s="29" t="s">
        <v>146</v>
      </c>
      <c r="C1546" s="29" t="s">
        <v>739</v>
      </c>
      <c r="D1546" s="29" t="s">
        <v>740</v>
      </c>
      <c r="E1546" s="29" t="s">
        <v>740</v>
      </c>
      <c r="F1546" s="30">
        <v>0.2</v>
      </c>
      <c r="G1546" s="31"/>
      <c r="H1546" s="31"/>
      <c r="I1546" s="31"/>
      <c r="J1546" s="31"/>
    </row>
    <row r="1547" spans="1:10" ht="14.4" x14ac:dyDescent="0.3">
      <c r="A1547" s="28" t="str">
        <f>B1547&amp;C1547&amp;D1547&amp;E1547</f>
        <v>КнигиХудожественная литератураПоэзияКлассическая поэзия</v>
      </c>
      <c r="B1547" s="29" t="s">
        <v>63</v>
      </c>
      <c r="C1547" s="29" t="s">
        <v>374</v>
      </c>
      <c r="D1547" s="29" t="s">
        <v>746</v>
      </c>
      <c r="E1547" s="29" t="s">
        <v>747</v>
      </c>
      <c r="F1547" s="30">
        <v>0.2</v>
      </c>
      <c r="G1547" s="31"/>
      <c r="H1547" s="31"/>
      <c r="I1547" s="31"/>
      <c r="J1547" s="31"/>
    </row>
    <row r="1548" spans="1:10" ht="14.4" x14ac:dyDescent="0.3">
      <c r="A1548" s="28" t="str">
        <f>B1548&amp;C1548&amp;D1548&amp;E1548</f>
        <v>Красота и уходУход за волосамиСредства для очищения и уходаШампуни</v>
      </c>
      <c r="B1548" s="29" t="s">
        <v>56</v>
      </c>
      <c r="C1548" s="29" t="s">
        <v>109</v>
      </c>
      <c r="D1548" s="29" t="s">
        <v>513</v>
      </c>
      <c r="E1548" s="29" t="s">
        <v>748</v>
      </c>
      <c r="F1548" s="30">
        <v>0.2</v>
      </c>
      <c r="G1548" s="31"/>
      <c r="H1548" s="31"/>
      <c r="I1548" s="31"/>
      <c r="J1548" s="31"/>
    </row>
    <row r="1549" spans="1:10" ht="14.4" x14ac:dyDescent="0.3">
      <c r="A1549" s="28" t="str">
        <f>B1549&amp;C1549&amp;D1549&amp;E1549</f>
        <v>Красота и уходКорейская косметикаОчищение лицаМасла гидрофильные</v>
      </c>
      <c r="B1549" s="29" t="s">
        <v>56</v>
      </c>
      <c r="C1549" s="29" t="s">
        <v>211</v>
      </c>
      <c r="D1549" s="29" t="s">
        <v>750</v>
      </c>
      <c r="E1549" s="29" t="s">
        <v>751</v>
      </c>
      <c r="F1549" s="30">
        <v>0.2</v>
      </c>
      <c r="G1549" s="31"/>
      <c r="H1549" s="31"/>
      <c r="I1549" s="31"/>
      <c r="J1549" s="31"/>
    </row>
    <row r="1550" spans="1:10" ht="14.4" x14ac:dyDescent="0.3">
      <c r="A1550" s="28" t="str">
        <f>B1550&amp;C1550&amp;D1550&amp;E1550</f>
        <v>Строительство и ремонтЭлектрикаОбогревателиОбогреватели</v>
      </c>
      <c r="B1550" s="29" t="s">
        <v>77</v>
      </c>
      <c r="C1550" s="29" t="s">
        <v>600</v>
      </c>
      <c r="D1550" s="29" t="s">
        <v>770</v>
      </c>
      <c r="E1550" s="29" t="s">
        <v>770</v>
      </c>
      <c r="F1550" s="30">
        <v>0.2</v>
      </c>
      <c r="G1550" s="31"/>
      <c r="H1550" s="31"/>
      <c r="I1550" s="31"/>
      <c r="J1550" s="31"/>
    </row>
    <row r="1551" spans="1:10" ht="14.4" x14ac:dyDescent="0.3">
      <c r="A1551" s="28" t="str">
        <f>B1551&amp;C1551&amp;D1551&amp;E1551</f>
        <v>Строительство и ремонтИнструментыИзмерительные инструментыИзмерители длин и углов</v>
      </c>
      <c r="B1551" s="29" t="s">
        <v>77</v>
      </c>
      <c r="C1551" s="29" t="s">
        <v>78</v>
      </c>
      <c r="D1551" s="29" t="s">
        <v>207</v>
      </c>
      <c r="E1551" s="29" t="s">
        <v>774</v>
      </c>
      <c r="F1551" s="30">
        <v>0.2</v>
      </c>
      <c r="G1551" s="31"/>
      <c r="H1551" s="31"/>
      <c r="I1551" s="31"/>
      <c r="J1551" s="31"/>
    </row>
    <row r="1552" spans="1:10" ht="14.4" x14ac:dyDescent="0.3">
      <c r="A1552" s="28" t="str">
        <f>B1552&amp;C1552&amp;D1552&amp;E1552</f>
        <v>КнигиДетям и родителямПознавательная литератураНаука, техника и космос</v>
      </c>
      <c r="B1552" s="29" t="s">
        <v>63</v>
      </c>
      <c r="C1552" s="29" t="s">
        <v>258</v>
      </c>
      <c r="D1552" s="29" t="s">
        <v>475</v>
      </c>
      <c r="E1552" s="29" t="s">
        <v>782</v>
      </c>
      <c r="F1552" s="30">
        <v>0.2</v>
      </c>
      <c r="G1552" s="31"/>
      <c r="H1552" s="31"/>
      <c r="I1552" s="31"/>
      <c r="J1552" s="31"/>
    </row>
    <row r="1553" spans="1:10" ht="14.4" x14ac:dyDescent="0.3">
      <c r="A1553" s="28" t="str">
        <f>B1553&amp;C1553&amp;D1553&amp;E1553</f>
        <v>Детские товарыИгрушки и игрыХранение игрушекХранение игрушек</v>
      </c>
      <c r="B1553" s="29" t="s">
        <v>105</v>
      </c>
      <c r="C1553" s="29" t="s">
        <v>184</v>
      </c>
      <c r="D1553" s="29" t="s">
        <v>785</v>
      </c>
      <c r="E1553" s="29" t="s">
        <v>785</v>
      </c>
      <c r="F1553" s="30">
        <v>0.2</v>
      </c>
      <c r="G1553" s="31"/>
      <c r="H1553" s="31"/>
      <c r="I1553" s="31"/>
      <c r="J1553" s="31"/>
    </row>
    <row r="1554" spans="1:10" ht="14.4" x14ac:dyDescent="0.3">
      <c r="A1554" s="28" t="str">
        <f>B1554&amp;C1554&amp;D1554&amp;E1554</f>
        <v>КнигиХудожественная литератураПрозаСовременная проза</v>
      </c>
      <c r="B1554" s="29" t="s">
        <v>63</v>
      </c>
      <c r="C1554" s="29" t="s">
        <v>374</v>
      </c>
      <c r="D1554" s="29" t="s">
        <v>624</v>
      </c>
      <c r="E1554" s="29" t="s">
        <v>790</v>
      </c>
      <c r="F1554" s="30">
        <v>0.2</v>
      </c>
      <c r="G1554" s="31"/>
      <c r="H1554" s="31"/>
      <c r="I1554" s="31"/>
      <c r="J1554" s="31"/>
    </row>
    <row r="1555" spans="1:10" ht="14.4" x14ac:dyDescent="0.3">
      <c r="A1555" s="28" t="str">
        <f>B1555&amp;C1555&amp;D1555&amp;E1555</f>
        <v>КанцтоварыДемонстрационные доскиМагнитные доскиМагнитные доски</v>
      </c>
      <c r="B1555" s="29" t="s">
        <v>163</v>
      </c>
      <c r="C1555" s="29" t="s">
        <v>690</v>
      </c>
      <c r="D1555" s="29" t="s">
        <v>793</v>
      </c>
      <c r="E1555" s="29" t="s">
        <v>793</v>
      </c>
      <c r="F1555" s="30">
        <v>0.2</v>
      </c>
      <c r="G1555" s="31"/>
      <c r="H1555" s="31"/>
      <c r="I1555" s="31"/>
      <c r="J1555" s="31"/>
    </row>
    <row r="1556" spans="1:10" ht="14.4" x14ac:dyDescent="0.3">
      <c r="A1556" s="28" t="str">
        <f>B1556&amp;C1556&amp;D1556&amp;E1556</f>
        <v>Бытовая химияСредства для стиркиОтбеливатели и пятновыводителиОтбеливатели и пятновыводители</v>
      </c>
      <c r="B1556" s="29" t="s">
        <v>146</v>
      </c>
      <c r="C1556" s="29" t="s">
        <v>797</v>
      </c>
      <c r="D1556" s="29" t="s">
        <v>798</v>
      </c>
      <c r="E1556" s="29" t="s">
        <v>798</v>
      </c>
      <c r="F1556" s="30">
        <v>0.2</v>
      </c>
      <c r="G1556" s="31"/>
      <c r="H1556" s="31"/>
      <c r="I1556" s="31"/>
      <c r="J1556" s="31"/>
    </row>
    <row r="1557" spans="1:10" ht="14.4" x14ac:dyDescent="0.3">
      <c r="A1557" s="28" t="str">
        <f>B1557&amp;C1557&amp;D1557&amp;E1557</f>
        <v>ЭлектроникаНаушники и аудиотехникаАудиотехникаДиктофоны</v>
      </c>
      <c r="B1557" s="29" t="s">
        <v>67</v>
      </c>
      <c r="C1557" s="29" t="s">
        <v>74</v>
      </c>
      <c r="D1557" s="29" t="s">
        <v>409</v>
      </c>
      <c r="E1557" s="29" t="s">
        <v>801</v>
      </c>
      <c r="F1557" s="30">
        <v>0.2</v>
      </c>
      <c r="G1557" s="31"/>
      <c r="H1557" s="31"/>
      <c r="I1557" s="31"/>
      <c r="J1557" s="31"/>
    </row>
    <row r="1558" spans="1:10" ht="14.4" x14ac:dyDescent="0.3">
      <c r="A1558" s="28" t="str">
        <f>B1558&amp;C1558&amp;D1558&amp;E1558</f>
        <v>АвтотоварыИнструменты и оборудованиеНаборы автоинструментовНаборы автоинструментов</v>
      </c>
      <c r="B1558" s="29" t="s">
        <v>12</v>
      </c>
      <c r="C1558" s="29" t="s">
        <v>479</v>
      </c>
      <c r="D1558" s="29" t="s">
        <v>809</v>
      </c>
      <c r="E1558" s="29" t="s">
        <v>809</v>
      </c>
      <c r="F1558" s="30">
        <v>0.2</v>
      </c>
      <c r="G1558" s="31"/>
      <c r="H1558" s="31"/>
      <c r="I1558" s="31"/>
      <c r="J1558" s="31"/>
    </row>
    <row r="1559" spans="1:10" ht="14.4" x14ac:dyDescent="0.3">
      <c r="A1559" s="28" t="str">
        <f>B1559&amp;C1559&amp;D1559&amp;E1559</f>
        <v>Красота и уходУход за лицомОчищение и умываниеОчищающие полоски</v>
      </c>
      <c r="B1559" s="29" t="s">
        <v>56</v>
      </c>
      <c r="C1559" s="29" t="s">
        <v>238</v>
      </c>
      <c r="D1559" s="29" t="s">
        <v>728</v>
      </c>
      <c r="E1559" s="29" t="s">
        <v>811</v>
      </c>
      <c r="F1559" s="30">
        <v>0.2</v>
      </c>
      <c r="G1559" s="31"/>
      <c r="H1559" s="31"/>
      <c r="I1559" s="31"/>
      <c r="J1559" s="31"/>
    </row>
    <row r="1560" spans="1:10" ht="14.4" x14ac:dyDescent="0.3">
      <c r="A1560" s="28" t="str">
        <f>B1560&amp;C1560&amp;D1560&amp;E1560</f>
        <v>КнигиРелигиозные книгиИсламАкида</v>
      </c>
      <c r="B1560" s="29" t="s">
        <v>63</v>
      </c>
      <c r="C1560" s="29" t="s">
        <v>64</v>
      </c>
      <c r="D1560" s="29" t="s">
        <v>65</v>
      </c>
      <c r="E1560" s="29" t="s">
        <v>812</v>
      </c>
      <c r="F1560" s="30">
        <v>0.2</v>
      </c>
      <c r="G1560" s="31"/>
      <c r="H1560" s="31"/>
      <c r="I1560" s="31"/>
      <c r="J1560" s="31"/>
    </row>
    <row r="1561" spans="1:10" ht="14.4" x14ac:dyDescent="0.3">
      <c r="A1561" s="28" t="str">
        <f>B1561&amp;C1561&amp;D1561&amp;E1561</f>
        <v>Товары для домаМебельПолкиПолки</v>
      </c>
      <c r="B1561" s="29" t="s">
        <v>59</v>
      </c>
      <c r="C1561" s="29" t="s">
        <v>302</v>
      </c>
      <c r="D1561" s="29" t="s">
        <v>817</v>
      </c>
      <c r="E1561" s="29" t="s">
        <v>817</v>
      </c>
      <c r="F1561" s="30">
        <v>0.2</v>
      </c>
      <c r="G1561" s="31"/>
      <c r="H1561" s="31"/>
      <c r="I1561" s="31"/>
      <c r="J1561" s="31"/>
    </row>
    <row r="1562" spans="1:10" ht="14.4" x14ac:dyDescent="0.3">
      <c r="A1562" s="28" t="str">
        <f>B1562&amp;C1562&amp;D1562&amp;E1562</f>
        <v>Детские товарыДетская комнатаТовары для снаПостельное белье</v>
      </c>
      <c r="B1562" s="29" t="s">
        <v>105</v>
      </c>
      <c r="C1562" s="29" t="s">
        <v>397</v>
      </c>
      <c r="D1562" s="29" t="s">
        <v>581</v>
      </c>
      <c r="E1562" s="29" t="s">
        <v>820</v>
      </c>
      <c r="F1562" s="30">
        <v>0.2</v>
      </c>
      <c r="G1562" s="31"/>
      <c r="H1562" s="31"/>
      <c r="I1562" s="31"/>
      <c r="J1562" s="31"/>
    </row>
    <row r="1563" spans="1:10" ht="14.4" x14ac:dyDescent="0.3">
      <c r="A1563" s="28" t="str">
        <f>B1563&amp;C1563&amp;D1563&amp;E1563</f>
        <v>Красота и уходПарфюмерияАтомайзеры и флаконы для духовАтомайзеры и флаконы для духов</v>
      </c>
      <c r="B1563" s="29" t="s">
        <v>56</v>
      </c>
      <c r="C1563" s="29" t="s">
        <v>824</v>
      </c>
      <c r="D1563" s="29" t="s">
        <v>825</v>
      </c>
      <c r="E1563" s="29" t="s">
        <v>825</v>
      </c>
      <c r="F1563" s="30">
        <v>0.2</v>
      </c>
      <c r="G1563" s="31"/>
      <c r="H1563" s="31"/>
      <c r="I1563" s="31"/>
      <c r="J1563" s="31"/>
    </row>
    <row r="1564" spans="1:10" ht="14.4" x14ac:dyDescent="0.3">
      <c r="A1564" s="28" t="str">
        <f>B1564&amp;C1564&amp;D1564&amp;E1564</f>
        <v>Строительство и ремонтИнструментыИзмерительные приборыЭндоскопы</v>
      </c>
      <c r="B1564" s="29" t="s">
        <v>77</v>
      </c>
      <c r="C1564" s="29" t="s">
        <v>78</v>
      </c>
      <c r="D1564" s="29" t="s">
        <v>418</v>
      </c>
      <c r="E1564" s="29" t="s">
        <v>827</v>
      </c>
      <c r="F1564" s="30">
        <v>0.2</v>
      </c>
      <c r="G1564" s="31"/>
      <c r="H1564" s="31"/>
      <c r="I1564" s="31"/>
      <c r="J1564" s="31"/>
    </row>
    <row r="1565" spans="1:10" ht="14.4" x14ac:dyDescent="0.3">
      <c r="A1565" s="28" t="str">
        <f>B1565&amp;C1565&amp;D1565&amp;E1565</f>
        <v>КнигиДетям и родителямДосуг и творчество детейИнтерактивные книги</v>
      </c>
      <c r="B1565" s="29" t="s">
        <v>63</v>
      </c>
      <c r="C1565" s="29" t="s">
        <v>258</v>
      </c>
      <c r="D1565" s="29" t="s">
        <v>829</v>
      </c>
      <c r="E1565" s="29" t="s">
        <v>830</v>
      </c>
      <c r="F1565" s="30">
        <v>0.2</v>
      </c>
      <c r="G1565" s="31"/>
      <c r="H1565" s="31"/>
      <c r="I1565" s="31"/>
      <c r="J1565" s="31"/>
    </row>
    <row r="1566" spans="1:10" ht="14.4" x14ac:dyDescent="0.3">
      <c r="A1566" s="28" t="str">
        <f>B1566&amp;C1566&amp;D1566&amp;E1566</f>
        <v>Красота и уходКорейская косметикаУход за теломКремы для ног</v>
      </c>
      <c r="B1566" s="29" t="s">
        <v>56</v>
      </c>
      <c r="C1566" s="29" t="s">
        <v>211</v>
      </c>
      <c r="D1566" s="29" t="s">
        <v>100</v>
      </c>
      <c r="E1566" s="29" t="s">
        <v>831</v>
      </c>
      <c r="F1566" s="30">
        <v>0.2</v>
      </c>
      <c r="G1566" s="31"/>
      <c r="H1566" s="31"/>
      <c r="I1566" s="31"/>
      <c r="J1566" s="31"/>
    </row>
    <row r="1567" spans="1:10" ht="14.4" x14ac:dyDescent="0.3">
      <c r="A1567" s="28" t="str">
        <f>B1567&amp;C1567&amp;D1567&amp;E1567</f>
        <v>ЗоотоварыДля кошекАмуницияАмуниция</v>
      </c>
      <c r="B1567" s="29" t="s">
        <v>214</v>
      </c>
      <c r="C1567" s="29" t="s">
        <v>283</v>
      </c>
      <c r="D1567" s="29" t="s">
        <v>832</v>
      </c>
      <c r="E1567" s="29" t="s">
        <v>832</v>
      </c>
      <c r="F1567" s="30">
        <v>0.2</v>
      </c>
      <c r="G1567" s="31"/>
      <c r="H1567" s="31"/>
      <c r="I1567" s="31"/>
      <c r="J1567" s="31"/>
    </row>
    <row r="1568" spans="1:10" ht="14.4" x14ac:dyDescent="0.3">
      <c r="A1568" s="28" t="str">
        <f>B1568&amp;C1568&amp;D1568&amp;E1568</f>
        <v>Детские товарыТовары для кормленияБутылочки и поильникиБутылочки и поильники</v>
      </c>
      <c r="B1568" s="29" t="s">
        <v>105</v>
      </c>
      <c r="C1568" s="29" t="s">
        <v>639</v>
      </c>
      <c r="D1568" s="29" t="s">
        <v>833</v>
      </c>
      <c r="E1568" s="29" t="s">
        <v>833</v>
      </c>
      <c r="F1568" s="30">
        <v>0.2</v>
      </c>
      <c r="G1568" s="31"/>
      <c r="H1568" s="31"/>
      <c r="I1568" s="31"/>
      <c r="J1568" s="31"/>
    </row>
    <row r="1569" spans="1:10" ht="14.4" x14ac:dyDescent="0.3">
      <c r="A1569" s="28" t="str">
        <f>B1569&amp;C1569&amp;D1569&amp;E1569</f>
        <v>КнигиХудожественная литератураПрозаПроза XX века</v>
      </c>
      <c r="B1569" s="29" t="s">
        <v>63</v>
      </c>
      <c r="C1569" s="29" t="s">
        <v>374</v>
      </c>
      <c r="D1569" s="29" t="s">
        <v>624</v>
      </c>
      <c r="E1569" s="29" t="s">
        <v>838</v>
      </c>
      <c r="F1569" s="30">
        <v>0.2</v>
      </c>
      <c r="G1569" s="31"/>
      <c r="H1569" s="31"/>
      <c r="I1569" s="31"/>
      <c r="J1569" s="31"/>
    </row>
    <row r="1570" spans="1:10" ht="14.4" x14ac:dyDescent="0.3">
      <c r="A1570" s="28" t="str">
        <f>B1570&amp;C1570&amp;D1570&amp;E1570</f>
        <v>ОбувьЖенская обувьБалеткиБалетки с круглым носом</v>
      </c>
      <c r="B1570" s="29" t="s">
        <v>180</v>
      </c>
      <c r="C1570" s="29" t="s">
        <v>181</v>
      </c>
      <c r="D1570" s="29" t="s">
        <v>182</v>
      </c>
      <c r="E1570" s="29" t="s">
        <v>846</v>
      </c>
      <c r="F1570" s="30">
        <v>0.2</v>
      </c>
      <c r="G1570" s="31"/>
      <c r="H1570" s="31"/>
      <c r="I1570" s="31"/>
      <c r="J1570" s="31"/>
    </row>
    <row r="1571" spans="1:10" ht="14.4" x14ac:dyDescent="0.3">
      <c r="A1571" s="28" t="str">
        <f>B1571&amp;C1571&amp;D1571&amp;E1571</f>
        <v>Красота и уходУход за волосамиСредства для укладкиВоск</v>
      </c>
      <c r="B1571" s="29" t="s">
        <v>56</v>
      </c>
      <c r="C1571" s="29" t="s">
        <v>109</v>
      </c>
      <c r="D1571" s="29" t="s">
        <v>73</v>
      </c>
      <c r="E1571" s="29" t="s">
        <v>847</v>
      </c>
      <c r="F1571" s="30">
        <v>0.2</v>
      </c>
      <c r="G1571" s="31"/>
      <c r="H1571" s="31"/>
      <c r="I1571" s="31"/>
      <c r="J1571" s="31"/>
    </row>
    <row r="1572" spans="1:10" ht="14.4" x14ac:dyDescent="0.3">
      <c r="A1572" s="28" t="str">
        <f>B1572&amp;C1572&amp;D1572&amp;E1572</f>
        <v>Красота и уходУход за теломУвлажнение и питаниеМаски и обертывание</v>
      </c>
      <c r="B1572" s="29" t="s">
        <v>56</v>
      </c>
      <c r="C1572" s="29" t="s">
        <v>100</v>
      </c>
      <c r="D1572" s="29" t="s">
        <v>134</v>
      </c>
      <c r="E1572" s="29" t="s">
        <v>853</v>
      </c>
      <c r="F1572" s="30">
        <v>0.2</v>
      </c>
      <c r="G1572" s="31"/>
      <c r="H1572" s="31"/>
      <c r="I1572" s="31"/>
      <c r="J1572" s="31"/>
    </row>
    <row r="1573" spans="1:10" ht="14.4" x14ac:dyDescent="0.3">
      <c r="A1573" s="28" t="str">
        <f>B1573&amp;C1573&amp;D1573&amp;E1573</f>
        <v>АвтотоварыМасла и автохимияЖидкости для быстрого запускаЖидкости для быстрого запуска</v>
      </c>
      <c r="B1573" s="29" t="s">
        <v>12</v>
      </c>
      <c r="C1573" s="29" t="s">
        <v>848</v>
      </c>
      <c r="D1573" s="29" t="s">
        <v>855</v>
      </c>
      <c r="E1573" s="29" t="s">
        <v>855</v>
      </c>
      <c r="F1573" s="30">
        <v>0.2</v>
      </c>
      <c r="G1573" s="31"/>
      <c r="H1573" s="31"/>
      <c r="I1573" s="31"/>
      <c r="J1573" s="31"/>
    </row>
    <row r="1574" spans="1:10" ht="14.4" x14ac:dyDescent="0.3">
      <c r="A1574" s="28" t="str">
        <f>B1574&amp;C1574&amp;D1574&amp;E1574</f>
        <v>Красота и уходДля мужчинМужская парфюмерияОдеколоны</v>
      </c>
      <c r="B1574" s="29" t="s">
        <v>56</v>
      </c>
      <c r="C1574" s="29" t="s">
        <v>71</v>
      </c>
      <c r="D1574" s="29" t="s">
        <v>856</v>
      </c>
      <c r="E1574" s="29" t="s">
        <v>857</v>
      </c>
      <c r="F1574" s="30">
        <v>0.2</v>
      </c>
      <c r="G1574" s="31"/>
      <c r="H1574" s="31"/>
      <c r="I1574" s="31"/>
      <c r="J1574" s="31"/>
    </row>
    <row r="1575" spans="1:10" ht="14.4" x14ac:dyDescent="0.3">
      <c r="A1575" s="28" t="str">
        <f>B1575&amp;C1575&amp;D1575&amp;E1575</f>
        <v>Товары для домаМебельСтулья и табуреткиСтулья и табуретки</v>
      </c>
      <c r="B1575" s="29" t="s">
        <v>59</v>
      </c>
      <c r="C1575" s="29" t="s">
        <v>302</v>
      </c>
      <c r="D1575" s="29" t="s">
        <v>858</v>
      </c>
      <c r="E1575" s="29" t="s">
        <v>858</v>
      </c>
      <c r="F1575" s="30">
        <v>0.2</v>
      </c>
      <c r="G1575" s="31"/>
      <c r="H1575" s="31"/>
      <c r="I1575" s="31"/>
      <c r="J1575" s="31"/>
    </row>
    <row r="1576" spans="1:10" ht="14.4" x14ac:dyDescent="0.3">
      <c r="A1576" s="28" t="str">
        <f>B1576&amp;C1576&amp;D1576&amp;E1576</f>
        <v>АвтотоварыАвтозвукFM-трансмиттерыFM-трансмиттеры</v>
      </c>
      <c r="B1576" s="29" t="s">
        <v>12</v>
      </c>
      <c r="C1576" s="29" t="s">
        <v>297</v>
      </c>
      <c r="D1576" s="29" t="s">
        <v>860</v>
      </c>
      <c r="E1576" s="29" t="s">
        <v>860</v>
      </c>
      <c r="F1576" s="30">
        <v>0.2</v>
      </c>
      <c r="G1576" s="31"/>
      <c r="H1576" s="31"/>
      <c r="I1576" s="31"/>
      <c r="J1576" s="31"/>
    </row>
    <row r="1577" spans="1:10" ht="14.4" x14ac:dyDescent="0.3">
      <c r="A1577" s="28" t="str">
        <f>B1577&amp;C1577&amp;D1577&amp;E1577</f>
        <v>КанцтоварыОфисные принадлежностиДыроколыДыроколы</v>
      </c>
      <c r="B1577" s="29" t="s">
        <v>163</v>
      </c>
      <c r="C1577" s="29" t="s">
        <v>227</v>
      </c>
      <c r="D1577" s="29" t="s">
        <v>861</v>
      </c>
      <c r="E1577" s="29" t="s">
        <v>861</v>
      </c>
      <c r="F1577" s="30">
        <v>0.2</v>
      </c>
      <c r="G1577" s="31"/>
      <c r="H1577" s="31"/>
      <c r="I1577" s="31"/>
      <c r="J1577" s="31"/>
    </row>
    <row r="1578" spans="1:10" ht="14.4" x14ac:dyDescent="0.3">
      <c r="A1578" s="28" t="str">
        <f>B1578&amp;C1578&amp;D1578&amp;E1578</f>
        <v>Красота и уходМаникюр и педикюрДизайн ногтейБисеры, стразы и блёстки</v>
      </c>
      <c r="B1578" s="29" t="s">
        <v>56</v>
      </c>
      <c r="C1578" s="29" t="s">
        <v>57</v>
      </c>
      <c r="D1578" s="29" t="s">
        <v>653</v>
      </c>
      <c r="E1578" s="29" t="s">
        <v>866</v>
      </c>
      <c r="F1578" s="30">
        <v>0.2</v>
      </c>
      <c r="G1578" s="31"/>
      <c r="H1578" s="31"/>
      <c r="I1578" s="31"/>
      <c r="J1578" s="31"/>
    </row>
    <row r="1579" spans="1:10" ht="14.4" x14ac:dyDescent="0.3">
      <c r="A1579" s="28" t="str">
        <f>B1579&amp;C1579&amp;D1579&amp;E1579</f>
        <v>Детские товарыГигиена и подгузникиДетская косметикаДетские наборы гигиенических средств</v>
      </c>
      <c r="B1579" s="29" t="s">
        <v>105</v>
      </c>
      <c r="C1579" s="29" t="s">
        <v>106</v>
      </c>
      <c r="D1579" s="29" t="s">
        <v>586</v>
      </c>
      <c r="E1579" s="29" t="s">
        <v>868</v>
      </c>
      <c r="F1579" s="30">
        <v>0.2</v>
      </c>
      <c r="G1579" s="31"/>
      <c r="H1579" s="31"/>
      <c r="I1579" s="31"/>
      <c r="J1579" s="31"/>
    </row>
    <row r="1580" spans="1:10" ht="14.4" x14ac:dyDescent="0.3">
      <c r="A1580" s="28" t="str">
        <f>B1580&amp;C1580&amp;D1580&amp;E1580</f>
        <v>Детские товарыДетская комнатаТовары для снаОдеяла, пледы, покрывала</v>
      </c>
      <c r="B1580" s="29" t="s">
        <v>105</v>
      </c>
      <c r="C1580" s="29" t="s">
        <v>397</v>
      </c>
      <c r="D1580" s="29" t="s">
        <v>581</v>
      </c>
      <c r="E1580" s="29" t="s">
        <v>869</v>
      </c>
      <c r="F1580" s="30">
        <v>0.2</v>
      </c>
      <c r="G1580" s="31"/>
      <c r="H1580" s="31"/>
      <c r="I1580" s="31"/>
      <c r="J1580" s="31"/>
    </row>
    <row r="1581" spans="1:10" ht="14.4" x14ac:dyDescent="0.3">
      <c r="A1581" s="28" t="str">
        <f>B1581&amp;C1581&amp;D1581&amp;E1581</f>
        <v>Продукты питанияШоколад, конфеты, сладостиКонфетыКарамельные конфеты</v>
      </c>
      <c r="B1581" s="29" t="s">
        <v>248</v>
      </c>
      <c r="C1581" s="29" t="s">
        <v>249</v>
      </c>
      <c r="D1581" s="29" t="s">
        <v>870</v>
      </c>
      <c r="E1581" s="29" t="s">
        <v>871</v>
      </c>
      <c r="F1581" s="30">
        <v>0.2</v>
      </c>
      <c r="G1581" s="31"/>
      <c r="H1581" s="31"/>
      <c r="I1581" s="31"/>
      <c r="J1581" s="31"/>
    </row>
    <row r="1582" spans="1:10" ht="14.4" x14ac:dyDescent="0.3">
      <c r="A1582" s="28" t="str">
        <f>B1582&amp;C1582&amp;D1582&amp;E1582</f>
        <v>АксессуарыАксессуары для путешествийТовары для снаБеруши для сна</v>
      </c>
      <c r="B1582" s="29" t="s">
        <v>88</v>
      </c>
      <c r="C1582" s="29" t="s">
        <v>573</v>
      </c>
      <c r="D1582" s="29" t="s">
        <v>581</v>
      </c>
      <c r="E1582" s="29" t="s">
        <v>872</v>
      </c>
      <c r="F1582" s="30">
        <v>0.2</v>
      </c>
      <c r="G1582" s="31"/>
      <c r="H1582" s="31"/>
      <c r="I1582" s="31"/>
      <c r="J1582" s="31"/>
    </row>
    <row r="1583" spans="1:10" ht="14.4" x14ac:dyDescent="0.3">
      <c r="A1583" s="28" t="str">
        <f>B1583&amp;C1583&amp;D1583&amp;E1583</f>
        <v>Детские товарыДетская комнатаДетская мебельПеленальные столики и доски</v>
      </c>
      <c r="B1583" s="29" t="s">
        <v>105</v>
      </c>
      <c r="C1583" s="29" t="s">
        <v>397</v>
      </c>
      <c r="D1583" s="29" t="s">
        <v>617</v>
      </c>
      <c r="E1583" s="29" t="s">
        <v>874</v>
      </c>
      <c r="F1583" s="30">
        <v>0.2</v>
      </c>
      <c r="G1583" s="31"/>
      <c r="H1583" s="31"/>
      <c r="I1583" s="31"/>
      <c r="J1583" s="31"/>
    </row>
    <row r="1584" spans="1:10" ht="14.4" x14ac:dyDescent="0.3">
      <c r="A1584" s="28" t="str">
        <f>B1584&amp;C1584&amp;D1584&amp;E1584</f>
        <v>ОбувьМужская обувьРезиновая обувьСабо</v>
      </c>
      <c r="B1584" s="29" t="s">
        <v>180</v>
      </c>
      <c r="C1584" s="29" t="s">
        <v>279</v>
      </c>
      <c r="D1584" s="29" t="s">
        <v>593</v>
      </c>
      <c r="E1584" s="29" t="s">
        <v>594</v>
      </c>
      <c r="F1584" s="30">
        <v>0.2</v>
      </c>
      <c r="G1584" s="31"/>
      <c r="H1584" s="31"/>
      <c r="I1584" s="31"/>
      <c r="J1584" s="31"/>
    </row>
    <row r="1585" spans="1:10" ht="14.4" x14ac:dyDescent="0.3">
      <c r="A1585" s="28" t="str">
        <f>B1585&amp;C1585&amp;D1585&amp;E1585</f>
        <v>Продукты питанияШоколад, конфеты, сладостиБатончикиБатончики</v>
      </c>
      <c r="B1585" s="29" t="s">
        <v>248</v>
      </c>
      <c r="C1585" s="29" t="s">
        <v>249</v>
      </c>
      <c r="D1585" s="29" t="s">
        <v>877</v>
      </c>
      <c r="E1585" s="29" t="s">
        <v>877</v>
      </c>
      <c r="F1585" s="30">
        <v>0.2</v>
      </c>
      <c r="G1585" s="31"/>
      <c r="H1585" s="31"/>
      <c r="I1585" s="31"/>
      <c r="J1585" s="31"/>
    </row>
    <row r="1586" spans="1:10" ht="14.4" x14ac:dyDescent="0.3">
      <c r="A1586" s="28" t="str">
        <f>B1586&amp;C1586&amp;D1586&amp;E1586</f>
        <v>Красота и уходЛичная гигиенаБумажная и ватная продукцияТуалетная бумага</v>
      </c>
      <c r="B1586" s="29" t="s">
        <v>56</v>
      </c>
      <c r="C1586" s="29" t="s">
        <v>120</v>
      </c>
      <c r="D1586" s="29" t="s">
        <v>246</v>
      </c>
      <c r="E1586" s="29" t="s">
        <v>878</v>
      </c>
      <c r="F1586" s="30">
        <v>0.2</v>
      </c>
      <c r="G1586" s="31"/>
      <c r="H1586" s="31"/>
      <c r="I1586" s="31"/>
      <c r="J1586" s="31"/>
    </row>
    <row r="1587" spans="1:10" ht="14.4" x14ac:dyDescent="0.3">
      <c r="A1587" s="28" t="str">
        <f>B1587&amp;C1587&amp;D1587&amp;E1587</f>
        <v>Красота и уходМакияжВременные татуировки и хна для мехендиВременные татуировки и хна для мехенди</v>
      </c>
      <c r="B1587" s="29" t="s">
        <v>56</v>
      </c>
      <c r="C1587" s="29" t="s">
        <v>151</v>
      </c>
      <c r="D1587" s="29" t="s">
        <v>881</v>
      </c>
      <c r="E1587" s="29" t="s">
        <v>881</v>
      </c>
      <c r="F1587" s="30">
        <v>0.2</v>
      </c>
      <c r="G1587" s="31"/>
      <c r="H1587" s="31"/>
      <c r="I1587" s="31"/>
      <c r="J1587" s="31"/>
    </row>
    <row r="1588" spans="1:10" ht="14.4" x14ac:dyDescent="0.3">
      <c r="A1588" s="28" t="str">
        <f>B1588&amp;C1588&amp;D1588&amp;E1588</f>
        <v>Красота и уходУход за лицомОчищение и умываниеСредства для снятия макияжа</v>
      </c>
      <c r="B1588" s="29" t="s">
        <v>56</v>
      </c>
      <c r="C1588" s="29" t="s">
        <v>238</v>
      </c>
      <c r="D1588" s="29" t="s">
        <v>728</v>
      </c>
      <c r="E1588" s="29" t="s">
        <v>882</v>
      </c>
      <c r="F1588" s="30">
        <v>0.2</v>
      </c>
      <c r="G1588" s="31"/>
      <c r="H1588" s="31"/>
      <c r="I1588" s="31"/>
      <c r="J1588" s="31"/>
    </row>
    <row r="1589" spans="1:10" ht="14.4" x14ac:dyDescent="0.3">
      <c r="A1589" s="28" t="str">
        <f>B1589&amp;C1589&amp;D1589&amp;E1589</f>
        <v>Красота и уходУход за волосамиОкрашивание и химическая завивкаОттеночные и тонирующие средства</v>
      </c>
      <c r="B1589" s="29" t="s">
        <v>56</v>
      </c>
      <c r="C1589" s="29" t="s">
        <v>109</v>
      </c>
      <c r="D1589" s="29" t="s">
        <v>362</v>
      </c>
      <c r="E1589" s="29" t="s">
        <v>884</v>
      </c>
      <c r="F1589" s="30">
        <v>0.2</v>
      </c>
      <c r="G1589" s="31"/>
      <c r="H1589" s="31"/>
      <c r="I1589" s="31"/>
      <c r="J1589" s="31"/>
    </row>
    <row r="1590" spans="1:10" ht="14.4" x14ac:dyDescent="0.3">
      <c r="A1590" s="28" t="str">
        <f>B1590&amp;C1590&amp;D1590&amp;E1590</f>
        <v>Красота и уходЛичная гигиенаБумажная и ватная продукцияВлажные салфетки</v>
      </c>
      <c r="B1590" s="29" t="s">
        <v>56</v>
      </c>
      <c r="C1590" s="29" t="s">
        <v>120</v>
      </c>
      <c r="D1590" s="29" t="s">
        <v>246</v>
      </c>
      <c r="E1590" s="29" t="s">
        <v>890</v>
      </c>
      <c r="F1590" s="30">
        <v>0.2</v>
      </c>
      <c r="G1590" s="31"/>
      <c r="H1590" s="31"/>
      <c r="I1590" s="31"/>
      <c r="J1590" s="31"/>
    </row>
    <row r="1591" spans="1:10" ht="14.4" x14ac:dyDescent="0.3">
      <c r="A1591" s="28" t="str">
        <f>B1591&amp;C1591&amp;D1591&amp;E1591</f>
        <v>КанцтоварыПисьменные принадлежностиКанцелярские наборыКанцелярские наборы</v>
      </c>
      <c r="B1591" s="29" t="s">
        <v>163</v>
      </c>
      <c r="C1591" s="29" t="s">
        <v>684</v>
      </c>
      <c r="D1591" s="29" t="s">
        <v>894</v>
      </c>
      <c r="E1591" s="29" t="s">
        <v>894</v>
      </c>
      <c r="F1591" s="30">
        <v>0.2</v>
      </c>
      <c r="G1591" s="31"/>
      <c r="H1591" s="31"/>
      <c r="I1591" s="31"/>
      <c r="J1591" s="31"/>
    </row>
    <row r="1592" spans="1:10" ht="14.4" x14ac:dyDescent="0.3">
      <c r="A1592" s="28" t="str">
        <f>B1592&amp;C1592&amp;D1592&amp;E1592</f>
        <v>ОбувьЖенская обувьСапоги и уггиПолусапоги</v>
      </c>
      <c r="B1592" s="29" t="s">
        <v>180</v>
      </c>
      <c r="C1592" s="29" t="s">
        <v>181</v>
      </c>
      <c r="D1592" s="29" t="s">
        <v>190</v>
      </c>
      <c r="E1592" s="29" t="s">
        <v>896</v>
      </c>
      <c r="F1592" s="30">
        <v>0.2</v>
      </c>
      <c r="G1592" s="31"/>
      <c r="H1592" s="31"/>
      <c r="I1592" s="31"/>
      <c r="J1592" s="31"/>
    </row>
    <row r="1593" spans="1:10" ht="14.4" x14ac:dyDescent="0.3">
      <c r="A1593" s="28" t="str">
        <f>B1593&amp;C1593&amp;D1593&amp;E1593</f>
        <v>Дача, сад и огородСадовая техникаПрочая садовая техникаПрочая садовая техника</v>
      </c>
      <c r="B1593" s="29" t="s">
        <v>352</v>
      </c>
      <c r="C1593" s="29" t="s">
        <v>839</v>
      </c>
      <c r="D1593" s="29" t="s">
        <v>900</v>
      </c>
      <c r="E1593" s="29" t="s">
        <v>900</v>
      </c>
      <c r="F1593" s="30">
        <v>0.2</v>
      </c>
      <c r="G1593" s="31"/>
      <c r="H1593" s="31"/>
      <c r="I1593" s="31"/>
      <c r="J1593" s="31"/>
    </row>
    <row r="1594" spans="1:10" ht="14.4" x14ac:dyDescent="0.3">
      <c r="A1594" s="28" t="str">
        <f>B1594&amp;C1594&amp;D1594&amp;E1594</f>
        <v>Спорт и отдыхРоликовые коньки, экипировка и запчастиРоликовые конькиРоликовые коньки</v>
      </c>
      <c r="B1594" s="29" t="s">
        <v>101</v>
      </c>
      <c r="C1594" s="29" t="s">
        <v>904</v>
      </c>
      <c r="D1594" s="29" t="s">
        <v>905</v>
      </c>
      <c r="E1594" s="29" t="s">
        <v>905</v>
      </c>
      <c r="F1594" s="30">
        <v>0.2</v>
      </c>
      <c r="G1594" s="31"/>
      <c r="H1594" s="31"/>
      <c r="I1594" s="31"/>
      <c r="J1594" s="31"/>
    </row>
    <row r="1595" spans="1:10" ht="14.4" x14ac:dyDescent="0.3">
      <c r="A1595" s="28" t="str">
        <f>B1595&amp;C1595&amp;D1595&amp;E1595</f>
        <v>ЭлектроникаТелевизоры и видеотехникаАксессуары для телевизоровЗапчасти для телевизоров</v>
      </c>
      <c r="B1595" s="29" t="s">
        <v>67</v>
      </c>
      <c r="C1595" s="29" t="s">
        <v>136</v>
      </c>
      <c r="D1595" s="29" t="s">
        <v>156</v>
      </c>
      <c r="E1595" s="29" t="s">
        <v>906</v>
      </c>
      <c r="F1595" s="30">
        <v>0.2</v>
      </c>
      <c r="G1595" s="31"/>
      <c r="H1595" s="31"/>
      <c r="I1595" s="31"/>
      <c r="J1595" s="31"/>
    </row>
    <row r="1596" spans="1:10" ht="14.4" x14ac:dyDescent="0.3">
      <c r="A1596" s="28" t="str">
        <f>B1596&amp;C1596&amp;D1596&amp;E1596</f>
        <v>ЗдоровьеМассажеры и массажное оборудованиеМассажные накидкиМассажные накидки</v>
      </c>
      <c r="B1596" s="29" t="s">
        <v>116</v>
      </c>
      <c r="C1596" s="29" t="s">
        <v>495</v>
      </c>
      <c r="D1596" s="29" t="s">
        <v>914</v>
      </c>
      <c r="E1596" s="29" t="s">
        <v>914</v>
      </c>
      <c r="F1596" s="30">
        <v>0.2</v>
      </c>
      <c r="G1596" s="31"/>
      <c r="H1596" s="31"/>
      <c r="I1596" s="31"/>
      <c r="J1596" s="31"/>
    </row>
    <row r="1597" spans="1:10" ht="14.4" x14ac:dyDescent="0.3">
      <c r="A1597" s="28" t="str">
        <f>B1597&amp;C1597&amp;D1597&amp;E1597</f>
        <v>Детские товарыИгрушки и игрыРазвивающие и обучающие игрушкиНаборы для опытов и экспериментов</v>
      </c>
      <c r="B1597" s="29" t="s">
        <v>105</v>
      </c>
      <c r="C1597" s="29" t="s">
        <v>184</v>
      </c>
      <c r="D1597" s="29" t="s">
        <v>218</v>
      </c>
      <c r="E1597" s="29" t="s">
        <v>917</v>
      </c>
      <c r="F1597" s="30">
        <v>0.2</v>
      </c>
      <c r="G1597" s="31"/>
      <c r="H1597" s="31"/>
      <c r="I1597" s="31"/>
      <c r="J1597" s="31"/>
    </row>
    <row r="1598" spans="1:10" ht="14.4" x14ac:dyDescent="0.3">
      <c r="A1598" s="28" t="str">
        <f>B1598&amp;C1598&amp;D1598&amp;E1598</f>
        <v>Детские товарыИгрушки и игрыКуклы и аксессуарыКуклы и аксессуары</v>
      </c>
      <c r="B1598" s="29" t="s">
        <v>105</v>
      </c>
      <c r="C1598" s="29" t="s">
        <v>184</v>
      </c>
      <c r="D1598" s="29" t="s">
        <v>919</v>
      </c>
      <c r="E1598" s="29" t="s">
        <v>919</v>
      </c>
      <c r="F1598" s="30">
        <v>0.2</v>
      </c>
      <c r="G1598" s="31"/>
      <c r="H1598" s="31"/>
      <c r="I1598" s="31"/>
      <c r="J1598" s="31"/>
    </row>
    <row r="1599" spans="1:10" ht="14.4" x14ac:dyDescent="0.3">
      <c r="A1599" s="28" t="str">
        <f>B1599&amp;C1599&amp;D1599&amp;E1599</f>
        <v>КанцтоварыОфисные принадлежностиКанцелярские ножницы и ножиКанцелярские ножницы и ножи</v>
      </c>
      <c r="B1599" s="29" t="s">
        <v>163</v>
      </c>
      <c r="C1599" s="29" t="s">
        <v>227</v>
      </c>
      <c r="D1599" s="29" t="s">
        <v>922</v>
      </c>
      <c r="E1599" s="29" t="s">
        <v>922</v>
      </c>
      <c r="F1599" s="30">
        <v>0.2</v>
      </c>
      <c r="G1599" s="31"/>
      <c r="H1599" s="31"/>
      <c r="I1599" s="31"/>
      <c r="J1599" s="31"/>
    </row>
    <row r="1600" spans="1:10" ht="14.4" x14ac:dyDescent="0.3">
      <c r="A1600" s="28" t="str">
        <f>B1600&amp;C1600&amp;D1600&amp;E1600</f>
        <v>Красота и уходКорейская косметикаОчищение лицаОчищение лица</v>
      </c>
      <c r="B1600" s="29" t="s">
        <v>56</v>
      </c>
      <c r="C1600" s="29" t="s">
        <v>211</v>
      </c>
      <c r="D1600" s="29" t="s">
        <v>750</v>
      </c>
      <c r="E1600" s="29" t="s">
        <v>750</v>
      </c>
      <c r="F1600" s="30">
        <v>0.2</v>
      </c>
      <c r="G1600" s="31"/>
      <c r="H1600" s="31"/>
      <c r="I1600" s="31"/>
      <c r="J1600" s="31"/>
    </row>
    <row r="1601" spans="1:10" ht="14.4" x14ac:dyDescent="0.3">
      <c r="A1601" s="28" t="str">
        <f>B1601&amp;C1601&amp;D1601&amp;E1601</f>
        <v>Товары для домаМебельМебельная фурнитураМебельная фурнитура</v>
      </c>
      <c r="B1601" s="29" t="s">
        <v>59</v>
      </c>
      <c r="C1601" s="29" t="s">
        <v>302</v>
      </c>
      <c r="D1601" s="29" t="s">
        <v>924</v>
      </c>
      <c r="E1601" s="29" t="s">
        <v>924</v>
      </c>
      <c r="F1601" s="30">
        <v>0.2</v>
      </c>
      <c r="G1601" s="31"/>
      <c r="H1601" s="31"/>
      <c r="I1601" s="31"/>
      <c r="J1601" s="31"/>
    </row>
    <row r="1602" spans="1:10" ht="14.4" x14ac:dyDescent="0.3">
      <c r="A1602" s="28" t="str">
        <f>B1602&amp;C1602&amp;D1602&amp;E1602</f>
        <v>ЭлектроникаТелевизоры и видеотехникаСтойки и кронштейны для телевизоровКронштейны для телевизора</v>
      </c>
      <c r="B1602" s="29" t="s">
        <v>67</v>
      </c>
      <c r="C1602" s="29" t="s">
        <v>136</v>
      </c>
      <c r="D1602" s="29" t="s">
        <v>927</v>
      </c>
      <c r="E1602" s="29" t="s">
        <v>928</v>
      </c>
      <c r="F1602" s="30">
        <v>0.2</v>
      </c>
      <c r="G1602" s="31"/>
      <c r="H1602" s="31"/>
      <c r="I1602" s="31"/>
      <c r="J1602" s="31"/>
    </row>
    <row r="1603" spans="1:10" ht="14.4" x14ac:dyDescent="0.3">
      <c r="A1603" s="28" t="str">
        <f>B1603&amp;C1603&amp;D1603&amp;E1603</f>
        <v>ЭлектроникаОптические приборыАксессуары для телескоповАксессуары для телескопов</v>
      </c>
      <c r="B1603" s="29" t="s">
        <v>67</v>
      </c>
      <c r="C1603" s="29" t="s">
        <v>481</v>
      </c>
      <c r="D1603" s="29" t="s">
        <v>932</v>
      </c>
      <c r="E1603" s="29" t="s">
        <v>932</v>
      </c>
      <c r="F1603" s="30">
        <v>0.2</v>
      </c>
      <c r="G1603" s="31"/>
      <c r="H1603" s="31"/>
      <c r="I1603" s="31"/>
      <c r="J1603" s="31"/>
    </row>
    <row r="1604" spans="1:10" ht="14.4" x14ac:dyDescent="0.3">
      <c r="A1604" s="28" t="str">
        <f>B1604&amp;C1604&amp;D1604&amp;E1604</f>
        <v>Детские товарыИгрушки и игрыИгрушки - антистрессИгрушки - антистресс</v>
      </c>
      <c r="B1604" s="29" t="s">
        <v>105</v>
      </c>
      <c r="C1604" s="29" t="s">
        <v>184</v>
      </c>
      <c r="D1604" s="29" t="s">
        <v>934</v>
      </c>
      <c r="E1604" s="29" t="s">
        <v>934</v>
      </c>
      <c r="F1604" s="30">
        <v>0.2</v>
      </c>
      <c r="G1604" s="31"/>
      <c r="H1604" s="31"/>
      <c r="I1604" s="31"/>
      <c r="J1604" s="31"/>
    </row>
    <row r="1605" spans="1:10" ht="14.4" x14ac:dyDescent="0.3">
      <c r="A1605" s="28" t="str">
        <f>B1605&amp;C1605&amp;D1605&amp;E1605</f>
        <v>Детские товарыДетский спорт и активный отдыхПесок и песочницыПесочницы для лепки</v>
      </c>
      <c r="B1605" s="29" t="s">
        <v>105</v>
      </c>
      <c r="C1605" s="29" t="s">
        <v>427</v>
      </c>
      <c r="D1605" s="29" t="s">
        <v>937</v>
      </c>
      <c r="E1605" s="29" t="s">
        <v>938</v>
      </c>
      <c r="F1605" s="30">
        <v>0.2</v>
      </c>
      <c r="G1605" s="31"/>
      <c r="H1605" s="31"/>
      <c r="I1605" s="31"/>
      <c r="J1605" s="31"/>
    </row>
    <row r="1606" spans="1:10" ht="14.4" x14ac:dyDescent="0.3">
      <c r="A1606" s="28" t="str">
        <f>B1606&amp;C1606&amp;D1606&amp;E1606</f>
        <v>ОбувьЖенская обувьДутая обувьСлипоны</v>
      </c>
      <c r="B1606" s="29" t="s">
        <v>180</v>
      </c>
      <c r="C1606" s="29" t="s">
        <v>181</v>
      </c>
      <c r="D1606" s="29" t="s">
        <v>939</v>
      </c>
      <c r="E1606" s="29" t="s">
        <v>940</v>
      </c>
      <c r="F1606" s="30">
        <v>0.2</v>
      </c>
      <c r="G1606" s="31"/>
      <c r="H1606" s="31"/>
      <c r="I1606" s="31"/>
      <c r="J1606" s="31"/>
    </row>
    <row r="1607" spans="1:10" ht="14.4" x14ac:dyDescent="0.3">
      <c r="A1607" s="28" t="str">
        <f>B1607&amp;C1607&amp;D1607&amp;E1607</f>
        <v>КанцтоварыОборудование для торговлиЦенникиЦенники</v>
      </c>
      <c r="B1607" s="29" t="s">
        <v>163</v>
      </c>
      <c r="C1607" s="29" t="s">
        <v>943</v>
      </c>
      <c r="D1607" s="29" t="s">
        <v>944</v>
      </c>
      <c r="E1607" s="29" t="s">
        <v>944</v>
      </c>
      <c r="F1607" s="30">
        <v>0.2</v>
      </c>
      <c r="G1607" s="31"/>
      <c r="H1607" s="31"/>
      <c r="I1607" s="31"/>
      <c r="J1607" s="31"/>
    </row>
    <row r="1608" spans="1:10" ht="14.4" x14ac:dyDescent="0.3">
      <c r="A1608" s="28" t="str">
        <f>B1608&amp;C1608&amp;D1608&amp;E1608</f>
        <v>КанцтоварыБумажная продукцияКоробки почтовыеКоробки почтовые</v>
      </c>
      <c r="B1608" s="29" t="s">
        <v>163</v>
      </c>
      <c r="C1608" s="29" t="s">
        <v>261</v>
      </c>
      <c r="D1608" s="29" t="s">
        <v>948</v>
      </c>
      <c r="E1608" s="29" t="s">
        <v>948</v>
      </c>
      <c r="F1608" s="30">
        <v>0.2</v>
      </c>
      <c r="G1608" s="31"/>
      <c r="H1608" s="31"/>
      <c r="I1608" s="31"/>
      <c r="J1608" s="31"/>
    </row>
    <row r="1609" spans="1:10" ht="14.4" x14ac:dyDescent="0.3">
      <c r="A1609" s="28" t="str">
        <f>B1609&amp;C1609&amp;D1609&amp;E1609</f>
        <v>Красота и уходЛичная гигиенаДепиляция и эпиляцияВосковая эпиляция</v>
      </c>
      <c r="B1609" s="29" t="s">
        <v>56</v>
      </c>
      <c r="C1609" s="29" t="s">
        <v>120</v>
      </c>
      <c r="D1609" s="29" t="s">
        <v>464</v>
      </c>
      <c r="E1609" s="29" t="s">
        <v>956</v>
      </c>
      <c r="F1609" s="30">
        <v>0.2</v>
      </c>
      <c r="G1609" s="31"/>
      <c r="H1609" s="31"/>
      <c r="I1609" s="31"/>
      <c r="J1609" s="31"/>
    </row>
    <row r="1610" spans="1:10" ht="14.4" x14ac:dyDescent="0.3">
      <c r="A1610" s="28" t="str">
        <f>B1610&amp;C1610&amp;D1610&amp;E1610</f>
        <v>Детские товарыТовары для кормленияПосуда и принадлежности для кормленияЩетки и ершики для чистки бутылочек</v>
      </c>
      <c r="B1610" s="29" t="s">
        <v>105</v>
      </c>
      <c r="C1610" s="29" t="s">
        <v>639</v>
      </c>
      <c r="D1610" s="29" t="s">
        <v>640</v>
      </c>
      <c r="E1610" s="29" t="s">
        <v>957</v>
      </c>
      <c r="F1610" s="30">
        <v>0.2</v>
      </c>
      <c r="G1610" s="31"/>
      <c r="H1610" s="31"/>
      <c r="I1610" s="31"/>
      <c r="J1610" s="31"/>
    </row>
    <row r="1611" spans="1:10" ht="14.4" x14ac:dyDescent="0.3">
      <c r="A1611" s="28" t="str">
        <f>B1611&amp;C1611&amp;D1611&amp;E1611</f>
        <v>ЗоотоварыДля кошекКорма и лакомстваЛакомства</v>
      </c>
      <c r="B1611" s="29" t="s">
        <v>214</v>
      </c>
      <c r="C1611" s="29" t="s">
        <v>283</v>
      </c>
      <c r="D1611" s="29" t="s">
        <v>284</v>
      </c>
      <c r="E1611" s="29" t="s">
        <v>962</v>
      </c>
      <c r="F1611" s="30">
        <v>0.2</v>
      </c>
      <c r="G1611" s="31"/>
      <c r="H1611" s="31"/>
      <c r="I1611" s="31"/>
      <c r="J1611" s="31"/>
    </row>
    <row r="1612" spans="1:10" ht="14.4" x14ac:dyDescent="0.3">
      <c r="A1612" s="28" t="str">
        <f>B1612&amp;C1612&amp;D1612&amp;E1612</f>
        <v>Красота и уходКорейская косметикаУход за лицомДневные кремы</v>
      </c>
      <c r="B1612" s="29" t="s">
        <v>56</v>
      </c>
      <c r="C1612" s="29" t="s">
        <v>211</v>
      </c>
      <c r="D1612" s="29" t="s">
        <v>238</v>
      </c>
      <c r="E1612" s="29" t="s">
        <v>969</v>
      </c>
      <c r="F1612" s="30">
        <v>0.2</v>
      </c>
      <c r="G1612" s="31"/>
      <c r="H1612" s="31"/>
      <c r="I1612" s="31"/>
      <c r="J1612" s="31"/>
    </row>
    <row r="1613" spans="1:10" ht="14.4" x14ac:dyDescent="0.3">
      <c r="A1613" s="28" t="str">
        <f>B1613&amp;C1613&amp;D1613&amp;E1613</f>
        <v>Красота и уходМакияжБровиКарандаши для бровей</v>
      </c>
      <c r="B1613" s="29" t="s">
        <v>56</v>
      </c>
      <c r="C1613" s="29" t="s">
        <v>151</v>
      </c>
      <c r="D1613" s="29" t="s">
        <v>212</v>
      </c>
      <c r="E1613" s="29" t="s">
        <v>971</v>
      </c>
      <c r="F1613" s="30">
        <v>0.2</v>
      </c>
      <c r="G1613" s="31"/>
      <c r="H1613" s="31"/>
      <c r="I1613" s="31"/>
      <c r="J1613" s="31"/>
    </row>
    <row r="1614" spans="1:10" ht="14.4" x14ac:dyDescent="0.3">
      <c r="A1614" s="28" t="str">
        <f>B1614&amp;C1614&amp;D1614&amp;E1614</f>
        <v>Продукты питанияШоколад, конфеты, сладостиКонфетыКонфеты драже</v>
      </c>
      <c r="B1614" s="29" t="s">
        <v>248</v>
      </c>
      <c r="C1614" s="29" t="s">
        <v>249</v>
      </c>
      <c r="D1614" s="29" t="s">
        <v>870</v>
      </c>
      <c r="E1614" s="29" t="s">
        <v>973</v>
      </c>
      <c r="F1614" s="30">
        <v>0.2</v>
      </c>
      <c r="G1614" s="31"/>
      <c r="H1614" s="31"/>
      <c r="I1614" s="31"/>
      <c r="J1614" s="31"/>
    </row>
    <row r="1615" spans="1:10" ht="14.4" x14ac:dyDescent="0.3">
      <c r="A1615" s="28" t="str">
        <f>B1615&amp;C1615&amp;D1615&amp;E1615</f>
        <v>ЗдоровьеМедицинские изделия и расходные материалыАнтибактериальные средстваАнтибактериальные средства</v>
      </c>
      <c r="B1615" s="29" t="s">
        <v>116</v>
      </c>
      <c r="C1615" s="29" t="s">
        <v>436</v>
      </c>
      <c r="D1615" s="29" t="s">
        <v>975</v>
      </c>
      <c r="E1615" s="29" t="s">
        <v>975</v>
      </c>
      <c r="F1615" s="30">
        <v>0.2</v>
      </c>
      <c r="G1615" s="31"/>
      <c r="H1615" s="31"/>
      <c r="I1615" s="31"/>
      <c r="J1615" s="31"/>
    </row>
    <row r="1616" spans="1:10" ht="14.4" x14ac:dyDescent="0.3">
      <c r="A1616" s="28" t="str">
        <f>B1616&amp;C1616&amp;D1616&amp;E1616</f>
        <v>Красота и уходДля мужчинМужская парфюмерияДухи</v>
      </c>
      <c r="B1616" s="29" t="s">
        <v>56</v>
      </c>
      <c r="C1616" s="29" t="s">
        <v>71</v>
      </c>
      <c r="D1616" s="29" t="s">
        <v>856</v>
      </c>
      <c r="E1616" s="29" t="s">
        <v>980</v>
      </c>
      <c r="F1616" s="30">
        <v>0.2</v>
      </c>
      <c r="G1616" s="31"/>
      <c r="H1616" s="31"/>
      <c r="I1616" s="31"/>
      <c r="J1616" s="31"/>
    </row>
    <row r="1617" spans="1:10" ht="14.4" x14ac:dyDescent="0.3">
      <c r="A1617" s="28" t="str">
        <f>B1617&amp;C1617&amp;D1617&amp;E1617</f>
        <v>Красота и уходКорейская косметикаУход за волосамиБальзамы и кондиционеры</v>
      </c>
      <c r="B1617" s="29" t="s">
        <v>56</v>
      </c>
      <c r="C1617" s="29" t="s">
        <v>211</v>
      </c>
      <c r="D1617" s="29" t="s">
        <v>109</v>
      </c>
      <c r="E1617" s="29" t="s">
        <v>630</v>
      </c>
      <c r="F1617" s="30">
        <v>0.2</v>
      </c>
      <c r="G1617" s="31"/>
      <c r="H1617" s="31"/>
      <c r="I1617" s="31"/>
      <c r="J1617" s="31"/>
    </row>
    <row r="1618" spans="1:10" ht="14.4" x14ac:dyDescent="0.3">
      <c r="A1618" s="28" t="str">
        <f>B1618&amp;C1618&amp;D1618&amp;E1618</f>
        <v>Детские товарыГигиена и подгузникиДетская косметикаДетские бальзамы и спреи для волос</v>
      </c>
      <c r="B1618" s="29" t="s">
        <v>105</v>
      </c>
      <c r="C1618" s="29" t="s">
        <v>106</v>
      </c>
      <c r="D1618" s="29" t="s">
        <v>586</v>
      </c>
      <c r="E1618" s="29" t="s">
        <v>986</v>
      </c>
      <c r="F1618" s="30">
        <v>0.2</v>
      </c>
      <c r="G1618" s="31"/>
      <c r="H1618" s="31"/>
      <c r="I1618" s="31"/>
      <c r="J1618" s="31"/>
    </row>
    <row r="1619" spans="1:10" ht="14.4" x14ac:dyDescent="0.3">
      <c r="A1619" s="28" t="str">
        <f>B1619&amp;C1619&amp;D1619&amp;E1619</f>
        <v>Красота и уходЛичная гигиенаИнструменты для чистки ушей и носаИнструменты для чистки ушей и носа</v>
      </c>
      <c r="B1619" s="29" t="s">
        <v>56</v>
      </c>
      <c r="C1619" s="29" t="s">
        <v>120</v>
      </c>
      <c r="D1619" s="29" t="s">
        <v>989</v>
      </c>
      <c r="E1619" s="29" t="s">
        <v>989</v>
      </c>
      <c r="F1619" s="30">
        <v>0.2</v>
      </c>
      <c r="G1619" s="31"/>
      <c r="H1619" s="31"/>
      <c r="I1619" s="31"/>
      <c r="J1619" s="31"/>
    </row>
    <row r="1620" spans="1:10" ht="14.4" x14ac:dyDescent="0.3">
      <c r="A1620" s="28" t="str">
        <f>B1620&amp;C1620&amp;D1620&amp;E1620</f>
        <v>КанцтоварыБумажная продукцияКалендариКалендари</v>
      </c>
      <c r="B1620" s="29" t="s">
        <v>163</v>
      </c>
      <c r="C1620" s="29" t="s">
        <v>261</v>
      </c>
      <c r="D1620" s="29" t="s">
        <v>992</v>
      </c>
      <c r="E1620" s="29" t="s">
        <v>992</v>
      </c>
      <c r="F1620" s="30">
        <v>0.2</v>
      </c>
      <c r="G1620" s="31"/>
      <c r="H1620" s="31"/>
      <c r="I1620" s="31"/>
      <c r="J1620" s="31"/>
    </row>
    <row r="1621" spans="1:10" ht="14.4" x14ac:dyDescent="0.3">
      <c r="A1621" s="28" t="str">
        <f>B1621&amp;C1621&amp;D1621&amp;E1621</f>
        <v>Красота и уходМакияжЛицоРумяна и бронзеры</v>
      </c>
      <c r="B1621" s="29" t="s">
        <v>56</v>
      </c>
      <c r="C1621" s="29" t="s">
        <v>151</v>
      </c>
      <c r="D1621" s="29" t="s">
        <v>602</v>
      </c>
      <c r="E1621" s="29" t="s">
        <v>1013</v>
      </c>
      <c r="F1621" s="30">
        <v>0.2</v>
      </c>
      <c r="G1621" s="31"/>
      <c r="H1621" s="31"/>
      <c r="I1621" s="31"/>
      <c r="J1621" s="31"/>
    </row>
    <row r="1622" spans="1:10" ht="14.4" x14ac:dyDescent="0.3">
      <c r="A1622" s="28" t="str">
        <f>B1622&amp;C1622&amp;D1622&amp;E1622</f>
        <v>Дача, сад и огородСадовая техникаМойки высокого давления и аксессуарыАксессуары для моек высокого давления</v>
      </c>
      <c r="B1622" s="29" t="s">
        <v>352</v>
      </c>
      <c r="C1622" s="29" t="s">
        <v>839</v>
      </c>
      <c r="D1622" s="29" t="s">
        <v>1024</v>
      </c>
      <c r="E1622" s="29" t="s">
        <v>1025</v>
      </c>
      <c r="F1622" s="30">
        <v>0.2</v>
      </c>
      <c r="G1622" s="31"/>
      <c r="H1622" s="31"/>
      <c r="I1622" s="31"/>
      <c r="J1622" s="31"/>
    </row>
    <row r="1623" spans="1:10" ht="14.4" x14ac:dyDescent="0.3">
      <c r="A1623" s="28" t="str">
        <f>B1623&amp;C1623&amp;D1623&amp;E1623</f>
        <v>Детские товарыГигиена и подгузникиКупание ребенкаШапочки и козырьки для купания</v>
      </c>
      <c r="B1623" s="29" t="s">
        <v>105</v>
      </c>
      <c r="C1623" s="29" t="s">
        <v>106</v>
      </c>
      <c r="D1623" s="29" t="s">
        <v>705</v>
      </c>
      <c r="E1623" s="29" t="s">
        <v>1026</v>
      </c>
      <c r="F1623" s="30">
        <v>0.2</v>
      </c>
      <c r="G1623" s="31"/>
      <c r="H1623" s="31"/>
      <c r="I1623" s="31"/>
      <c r="J1623" s="31"/>
    </row>
    <row r="1624" spans="1:10" ht="14.4" x14ac:dyDescent="0.3">
      <c r="A1624" s="28" t="str">
        <f>B1624&amp;C1624&amp;D1624&amp;E1624</f>
        <v>Детские товарыИгрушки и игрыКонструкторыМеталлические</v>
      </c>
      <c r="B1624" s="29" t="s">
        <v>105</v>
      </c>
      <c r="C1624" s="29" t="s">
        <v>184</v>
      </c>
      <c r="D1624" s="29" t="s">
        <v>1027</v>
      </c>
      <c r="E1624" s="29" t="s">
        <v>1028</v>
      </c>
      <c r="F1624" s="30">
        <v>0.2</v>
      </c>
      <c r="G1624" s="31"/>
      <c r="H1624" s="31"/>
      <c r="I1624" s="31"/>
      <c r="J1624" s="31"/>
    </row>
    <row r="1625" spans="1:10" ht="14.4" x14ac:dyDescent="0.3">
      <c r="A1625" s="28" t="str">
        <f>B1625&amp;C1625&amp;D1625&amp;E1625</f>
        <v>Детские товарыДетская комнатаТовары для снаПодушки</v>
      </c>
      <c r="B1625" s="29" t="s">
        <v>105</v>
      </c>
      <c r="C1625" s="29" t="s">
        <v>397</v>
      </c>
      <c r="D1625" s="29" t="s">
        <v>581</v>
      </c>
      <c r="E1625" s="29" t="s">
        <v>1029</v>
      </c>
      <c r="F1625" s="30">
        <v>0.2</v>
      </c>
      <c r="G1625" s="31"/>
      <c r="H1625" s="31"/>
      <c r="I1625" s="31"/>
      <c r="J1625" s="31"/>
    </row>
    <row r="1626" spans="1:10" ht="14.4" x14ac:dyDescent="0.3">
      <c r="A1626" s="28" t="str">
        <f>B1626&amp;C1626&amp;D1626&amp;E1626</f>
        <v>Спорт и отдыхАктивные виды отдыхаБильярдБильярдные кии</v>
      </c>
      <c r="B1626" s="29" t="s">
        <v>101</v>
      </c>
      <c r="C1626" s="29" t="s">
        <v>941</v>
      </c>
      <c r="D1626" s="29" t="s">
        <v>1030</v>
      </c>
      <c r="E1626" s="29" t="s">
        <v>1031</v>
      </c>
      <c r="F1626" s="30">
        <v>0.2</v>
      </c>
      <c r="G1626" s="31"/>
      <c r="H1626" s="31"/>
      <c r="I1626" s="31"/>
      <c r="J1626" s="31"/>
    </row>
    <row r="1627" spans="1:10" ht="14.4" x14ac:dyDescent="0.3">
      <c r="A1627" s="28" t="str">
        <f>B1627&amp;C1627&amp;D1627&amp;E1627</f>
        <v>КнигиБизнес-литератураЭкономикаЭкономика</v>
      </c>
      <c r="B1627" s="29" t="s">
        <v>63</v>
      </c>
      <c r="C1627" s="29" t="s">
        <v>1032</v>
      </c>
      <c r="D1627" s="29" t="s">
        <v>1033</v>
      </c>
      <c r="E1627" s="29" t="s">
        <v>1033</v>
      </c>
      <c r="F1627" s="30">
        <v>0.2</v>
      </c>
      <c r="G1627" s="31"/>
      <c r="H1627" s="31"/>
      <c r="I1627" s="31"/>
      <c r="J1627" s="31"/>
    </row>
    <row r="1628" spans="1:10" ht="14.4" x14ac:dyDescent="0.3">
      <c r="A1628" s="28" t="str">
        <f>B1628&amp;C1628&amp;D1628&amp;E1628</f>
        <v>ЗоотоварыДля собакПосудаМиски</v>
      </c>
      <c r="B1628" s="29" t="s">
        <v>214</v>
      </c>
      <c r="C1628" s="29" t="s">
        <v>509</v>
      </c>
      <c r="D1628" s="29" t="s">
        <v>1035</v>
      </c>
      <c r="E1628" s="29" t="s">
        <v>1036</v>
      </c>
      <c r="F1628" s="30">
        <v>0.2</v>
      </c>
      <c r="G1628" s="31"/>
      <c r="H1628" s="31"/>
      <c r="I1628" s="31"/>
      <c r="J1628" s="31"/>
    </row>
    <row r="1629" spans="1:10" ht="14.4" x14ac:dyDescent="0.3">
      <c r="A1629" s="28" t="str">
        <f>B1629&amp;C1629&amp;D1629&amp;E1629</f>
        <v>ЗоотоварыДля собакАксессуары для перевозки собакАксессуары для перевозки</v>
      </c>
      <c r="B1629" s="29" t="s">
        <v>214</v>
      </c>
      <c r="C1629" s="29" t="s">
        <v>509</v>
      </c>
      <c r="D1629" s="29" t="s">
        <v>1041</v>
      </c>
      <c r="E1629" s="29" t="s">
        <v>1042</v>
      </c>
      <c r="F1629" s="30">
        <v>0.2</v>
      </c>
      <c r="G1629" s="31"/>
      <c r="H1629" s="31"/>
      <c r="I1629" s="31"/>
      <c r="J1629" s="31"/>
    </row>
    <row r="1630" spans="1:10" ht="14.4" x14ac:dyDescent="0.3">
      <c r="A1630" s="28" t="str">
        <f>B1630&amp;C1630&amp;D1630&amp;E1630</f>
        <v>КанцтоварыБумажная продукцияПленка самоклеящаяся, наклейки и этикеткиЭтикетки</v>
      </c>
      <c r="B1630" s="29" t="s">
        <v>163</v>
      </c>
      <c r="C1630" s="29" t="s">
        <v>261</v>
      </c>
      <c r="D1630" s="29" t="s">
        <v>1050</v>
      </c>
      <c r="E1630" s="29" t="s">
        <v>1051</v>
      </c>
      <c r="F1630" s="30">
        <v>0.2</v>
      </c>
      <c r="G1630" s="31"/>
      <c r="H1630" s="31"/>
      <c r="I1630" s="31"/>
      <c r="J1630" s="31"/>
    </row>
    <row r="1631" spans="1:10" ht="14.4" x14ac:dyDescent="0.3">
      <c r="A1631" s="28" t="str">
        <f>B1631&amp;C1631&amp;D1631&amp;E1631</f>
        <v>ЗдоровьеМедицинские изделия и расходные материалыДиагностические тестыЭкспресс-тесты</v>
      </c>
      <c r="B1631" s="29" t="s">
        <v>116</v>
      </c>
      <c r="C1631" s="29" t="s">
        <v>436</v>
      </c>
      <c r="D1631" s="29" t="s">
        <v>1052</v>
      </c>
      <c r="E1631" s="29" t="s">
        <v>1053</v>
      </c>
      <c r="F1631" s="30">
        <v>0.2</v>
      </c>
      <c r="G1631" s="31"/>
      <c r="H1631" s="31"/>
      <c r="I1631" s="31"/>
      <c r="J1631" s="31"/>
    </row>
    <row r="1632" spans="1:10" ht="14.4" x14ac:dyDescent="0.3">
      <c r="A1632" s="28" t="str">
        <f>B1632&amp;C1632&amp;D1632&amp;E1632</f>
        <v>КнигиНехудожественная литератураКомпьютерные технологииЯзыки программирования</v>
      </c>
      <c r="B1632" s="29" t="s">
        <v>63</v>
      </c>
      <c r="C1632" s="29" t="s">
        <v>141</v>
      </c>
      <c r="D1632" s="29" t="s">
        <v>450</v>
      </c>
      <c r="E1632" s="29" t="s">
        <v>1062</v>
      </c>
      <c r="F1632" s="30">
        <v>0.2</v>
      </c>
      <c r="G1632" s="31"/>
      <c r="H1632" s="31"/>
      <c r="I1632" s="31"/>
      <c r="J1632" s="31"/>
    </row>
    <row r="1633" spans="1:10" ht="14.4" x14ac:dyDescent="0.3">
      <c r="A1633" s="28" t="str">
        <f>B1633&amp;C1633&amp;D1633&amp;E1633</f>
        <v>Детские товарыГигиена и подгузникиДетская косметикаДетские гели для душа</v>
      </c>
      <c r="B1633" s="29" t="s">
        <v>105</v>
      </c>
      <c r="C1633" s="29" t="s">
        <v>106</v>
      </c>
      <c r="D1633" s="29" t="s">
        <v>586</v>
      </c>
      <c r="E1633" s="29" t="s">
        <v>1063</v>
      </c>
      <c r="F1633" s="30">
        <v>0.2</v>
      </c>
      <c r="G1633" s="31"/>
      <c r="H1633" s="31"/>
      <c r="I1633" s="31"/>
      <c r="J1633" s="31"/>
    </row>
    <row r="1634" spans="1:10" ht="14.4" x14ac:dyDescent="0.3">
      <c r="A1634" s="28" t="str">
        <f>B1634&amp;C1634&amp;D1634&amp;E1634</f>
        <v>КанцтоварыБумажная продукцияПланингиПланинги</v>
      </c>
      <c r="B1634" s="29" t="s">
        <v>163</v>
      </c>
      <c r="C1634" s="29" t="s">
        <v>261</v>
      </c>
      <c r="D1634" s="29" t="s">
        <v>1065</v>
      </c>
      <c r="E1634" s="29" t="s">
        <v>1065</v>
      </c>
      <c r="F1634" s="30">
        <v>0.2</v>
      </c>
      <c r="G1634" s="31"/>
      <c r="H1634" s="31"/>
      <c r="I1634" s="31"/>
      <c r="J1634" s="31"/>
    </row>
    <row r="1635" spans="1:10" ht="14.4" x14ac:dyDescent="0.3">
      <c r="A1635" s="28" t="str">
        <f>B1635&amp;C1635&amp;D1635&amp;E1635</f>
        <v>АвтотоварыЭлектроника для автоАлкотестерыАлкотестеры</v>
      </c>
      <c r="B1635" s="29" t="s">
        <v>12</v>
      </c>
      <c r="C1635" s="29" t="s">
        <v>360</v>
      </c>
      <c r="D1635" s="29" t="s">
        <v>1066</v>
      </c>
      <c r="E1635" s="29" t="s">
        <v>1066</v>
      </c>
      <c r="F1635" s="30">
        <v>0.2</v>
      </c>
      <c r="G1635" s="31"/>
      <c r="H1635" s="31"/>
      <c r="I1635" s="31"/>
      <c r="J1635" s="31"/>
    </row>
    <row r="1636" spans="1:10" ht="14.4" x14ac:dyDescent="0.3">
      <c r="A1636" s="28" t="str">
        <f>B1636&amp;C1636&amp;D1636&amp;E1636</f>
        <v>КнигиБизнес-литератураБизнес образование и развитие карьерыБизнес образование и развитие карьеры</v>
      </c>
      <c r="B1636" s="29" t="s">
        <v>63</v>
      </c>
      <c r="C1636" s="29" t="s">
        <v>1032</v>
      </c>
      <c r="D1636" s="29" t="s">
        <v>1070</v>
      </c>
      <c r="E1636" s="29" t="s">
        <v>1070</v>
      </c>
      <c r="F1636" s="30">
        <v>0.2</v>
      </c>
      <c r="G1636" s="31"/>
      <c r="H1636" s="31"/>
      <c r="I1636" s="31"/>
      <c r="J1636" s="31"/>
    </row>
    <row r="1637" spans="1:10" ht="14.4" x14ac:dyDescent="0.3">
      <c r="A1637" s="28" t="str">
        <f>B1637&amp;C1637&amp;D1637&amp;E1637</f>
        <v>ЗоотоварыДля кошекАвтокормушки и автопоилкиАвтокормушки и автопоилки</v>
      </c>
      <c r="B1637" s="29" t="s">
        <v>214</v>
      </c>
      <c r="C1637" s="29" t="s">
        <v>283</v>
      </c>
      <c r="D1637" s="29" t="s">
        <v>1071</v>
      </c>
      <c r="E1637" s="29" t="s">
        <v>1071</v>
      </c>
      <c r="F1637" s="30">
        <v>0.2</v>
      </c>
      <c r="G1637" s="31"/>
      <c r="H1637" s="31"/>
      <c r="I1637" s="31"/>
      <c r="J1637" s="31"/>
    </row>
    <row r="1638" spans="1:10" ht="14.4" x14ac:dyDescent="0.3">
      <c r="A1638" s="28" t="str">
        <f>B1638&amp;C1638&amp;D1638&amp;E1638</f>
        <v>КанцтоварыБумажная продукцияЕженедельники и ежедневники, планнерыЕженедельники</v>
      </c>
      <c r="B1638" s="29" t="s">
        <v>163</v>
      </c>
      <c r="C1638" s="29" t="s">
        <v>261</v>
      </c>
      <c r="D1638" s="29" t="s">
        <v>590</v>
      </c>
      <c r="E1638" s="29" t="s">
        <v>1074</v>
      </c>
      <c r="F1638" s="30">
        <v>0.2</v>
      </c>
      <c r="G1638" s="31"/>
      <c r="H1638" s="31"/>
      <c r="I1638" s="31"/>
      <c r="J1638" s="31"/>
    </row>
    <row r="1639" spans="1:10" ht="14.4" x14ac:dyDescent="0.3">
      <c r="A1639" s="28" t="str">
        <f>B1639&amp;C1639&amp;D1639&amp;E1639</f>
        <v>ОбувьЖенская обувьСабо и мюлиМюли</v>
      </c>
      <c r="B1639" s="29" t="s">
        <v>180</v>
      </c>
      <c r="C1639" s="29" t="s">
        <v>181</v>
      </c>
      <c r="D1639" s="29" t="s">
        <v>1079</v>
      </c>
      <c r="E1639" s="29" t="s">
        <v>1080</v>
      </c>
      <c r="F1639" s="30">
        <v>0.2</v>
      </c>
      <c r="G1639" s="31"/>
      <c r="H1639" s="31"/>
      <c r="I1639" s="31"/>
      <c r="J1639" s="31"/>
    </row>
    <row r="1640" spans="1:10" ht="14.4" x14ac:dyDescent="0.3">
      <c r="A1640" s="28" t="str">
        <f>B1640&amp;C1640&amp;D1640&amp;E1640</f>
        <v>КнигиУчебная литература3 класс3 класс</v>
      </c>
      <c r="B1640" s="29" t="s">
        <v>63</v>
      </c>
      <c r="C1640" s="29" t="s">
        <v>210</v>
      </c>
      <c r="D1640" s="29" t="s">
        <v>1083</v>
      </c>
      <c r="E1640" s="29" t="s">
        <v>1083</v>
      </c>
      <c r="F1640" s="30">
        <v>0.2</v>
      </c>
      <c r="G1640" s="31"/>
      <c r="H1640" s="31"/>
      <c r="I1640" s="31"/>
      <c r="J1640" s="31"/>
    </row>
    <row r="1641" spans="1:10" ht="14.4" x14ac:dyDescent="0.3">
      <c r="A1641" s="28" t="str">
        <f>B1641&amp;C1641&amp;D1641&amp;E1641</f>
        <v>Красота и уходЛичная гигиенаДепиляция и эпиляцияСредства до и после депиляции</v>
      </c>
      <c r="B1641" s="29" t="s">
        <v>56</v>
      </c>
      <c r="C1641" s="29" t="s">
        <v>120</v>
      </c>
      <c r="D1641" s="29" t="s">
        <v>464</v>
      </c>
      <c r="E1641" s="29" t="s">
        <v>1086</v>
      </c>
      <c r="F1641" s="30">
        <v>0.2</v>
      </c>
      <c r="G1641" s="31"/>
      <c r="H1641" s="31"/>
      <c r="I1641" s="31"/>
      <c r="J1641" s="31"/>
    </row>
    <row r="1642" spans="1:10" ht="14.4" x14ac:dyDescent="0.3">
      <c r="A1642" s="28" t="str">
        <f>B1642&amp;C1642&amp;D1642&amp;E1642</f>
        <v>Красота и уходДля мужчинДля бороды и усовСыворотки и масла для бороды и усов</v>
      </c>
      <c r="B1642" s="29" t="s">
        <v>56</v>
      </c>
      <c r="C1642" s="29" t="s">
        <v>71</v>
      </c>
      <c r="D1642" s="29" t="s">
        <v>1087</v>
      </c>
      <c r="E1642" s="29" t="s">
        <v>1088</v>
      </c>
      <c r="F1642" s="30">
        <v>0.2</v>
      </c>
      <c r="G1642" s="31"/>
      <c r="H1642" s="31"/>
      <c r="I1642" s="31"/>
      <c r="J1642" s="31"/>
    </row>
    <row r="1643" spans="1:10" ht="14.4" x14ac:dyDescent="0.3">
      <c r="A1643" s="28" t="str">
        <f>B1643&amp;C1643&amp;D1643&amp;E1643</f>
        <v>Красота и уходУход за волосамиСредства для укладкиГлина</v>
      </c>
      <c r="B1643" s="29" t="s">
        <v>56</v>
      </c>
      <c r="C1643" s="29" t="s">
        <v>109</v>
      </c>
      <c r="D1643" s="29" t="s">
        <v>73</v>
      </c>
      <c r="E1643" s="29" t="s">
        <v>240</v>
      </c>
      <c r="F1643" s="30">
        <v>0.2</v>
      </c>
      <c r="G1643" s="31"/>
      <c r="H1643" s="31"/>
      <c r="I1643" s="31"/>
      <c r="J1643" s="31"/>
    </row>
    <row r="1644" spans="1:10" ht="14.4" x14ac:dyDescent="0.3">
      <c r="A1644" s="28" t="str">
        <f>B1644&amp;C1644&amp;D1644&amp;E1644</f>
        <v>КанцтоварыОфисные принадлежностиКоврики на столКоврики на стол</v>
      </c>
      <c r="B1644" s="29" t="s">
        <v>163</v>
      </c>
      <c r="C1644" s="29" t="s">
        <v>227</v>
      </c>
      <c r="D1644" s="29" t="s">
        <v>1091</v>
      </c>
      <c r="E1644" s="29" t="s">
        <v>1091</v>
      </c>
      <c r="F1644" s="30">
        <v>0.2</v>
      </c>
      <c r="G1644" s="31"/>
      <c r="H1644" s="31"/>
      <c r="I1644" s="31"/>
      <c r="J1644" s="31"/>
    </row>
    <row r="1645" spans="1:10" ht="14.4" x14ac:dyDescent="0.3">
      <c r="A1645" s="28" t="str">
        <f>B1645&amp;C1645&amp;D1645&amp;E1645</f>
        <v>Красота и уходМакияжБровиСредства для укладки бровей</v>
      </c>
      <c r="B1645" s="29" t="s">
        <v>56</v>
      </c>
      <c r="C1645" s="29" t="s">
        <v>151</v>
      </c>
      <c r="D1645" s="29" t="s">
        <v>212</v>
      </c>
      <c r="E1645" s="29" t="s">
        <v>1095</v>
      </c>
      <c r="F1645" s="30">
        <v>0.2</v>
      </c>
      <c r="G1645" s="31"/>
      <c r="H1645" s="31"/>
      <c r="I1645" s="31"/>
      <c r="J1645" s="31"/>
    </row>
    <row r="1646" spans="1:10" ht="14.4" x14ac:dyDescent="0.3">
      <c r="A1646" s="28" t="str">
        <f>B1646&amp;C1646&amp;D1646&amp;E1646</f>
        <v>КанцтоварыПечати и штампыШтампыШтампы</v>
      </c>
      <c r="B1646" s="29" t="s">
        <v>163</v>
      </c>
      <c r="C1646" s="29" t="s">
        <v>698</v>
      </c>
      <c r="D1646" s="29" t="s">
        <v>1097</v>
      </c>
      <c r="E1646" s="29" t="s">
        <v>1097</v>
      </c>
      <c r="F1646" s="30">
        <v>0.2</v>
      </c>
      <c r="G1646" s="31"/>
      <c r="H1646" s="31"/>
      <c r="I1646" s="31"/>
      <c r="J1646" s="31"/>
    </row>
    <row r="1647" spans="1:10" ht="14.4" x14ac:dyDescent="0.3">
      <c r="A1647" s="28" t="str">
        <f>B1647&amp;C1647&amp;D1647&amp;E1647</f>
        <v>ЭлектроникаОптические приборыОкулярыОкуляры</v>
      </c>
      <c r="B1647" s="29" t="s">
        <v>67</v>
      </c>
      <c r="C1647" s="29" t="s">
        <v>481</v>
      </c>
      <c r="D1647" s="29" t="s">
        <v>1098</v>
      </c>
      <c r="E1647" s="29" t="s">
        <v>1098</v>
      </c>
      <c r="F1647" s="30">
        <v>0.2</v>
      </c>
      <c r="G1647" s="31"/>
      <c r="H1647" s="31"/>
      <c r="I1647" s="31"/>
      <c r="J1647" s="31"/>
    </row>
    <row r="1648" spans="1:10" ht="14.4" x14ac:dyDescent="0.3">
      <c r="A1648" s="28" t="str">
        <f>B1648&amp;C1648&amp;D1648&amp;E1648</f>
        <v>ЭлектроникаУмный дом и безопасностьБезопасность домаЭлектронные ключи и пульты</v>
      </c>
      <c r="B1648" s="29" t="s">
        <v>67</v>
      </c>
      <c r="C1648" s="29" t="s">
        <v>411</v>
      </c>
      <c r="D1648" s="29" t="s">
        <v>412</v>
      </c>
      <c r="E1648" s="29" t="s">
        <v>1099</v>
      </c>
      <c r="F1648" s="30">
        <v>0.2</v>
      </c>
      <c r="G1648" s="31"/>
      <c r="H1648" s="31"/>
      <c r="I1648" s="31"/>
      <c r="J1648" s="31"/>
    </row>
    <row r="1649" spans="1:10" ht="14.4" x14ac:dyDescent="0.3">
      <c r="A1649" s="28" t="str">
        <f>B1649&amp;C1649&amp;D1649&amp;E1649</f>
        <v>КанцтоварыКалькуляторыНастольные калькуляторыНастольные калькуляторы</v>
      </c>
      <c r="B1649" s="29" t="s">
        <v>163</v>
      </c>
      <c r="C1649" s="29" t="s">
        <v>164</v>
      </c>
      <c r="D1649" s="29" t="s">
        <v>1100</v>
      </c>
      <c r="E1649" s="29" t="s">
        <v>1100</v>
      </c>
      <c r="F1649" s="30">
        <v>0.2</v>
      </c>
      <c r="G1649" s="31"/>
      <c r="H1649" s="31"/>
      <c r="I1649" s="31"/>
      <c r="J1649" s="31"/>
    </row>
    <row r="1650" spans="1:10" ht="14.4" x14ac:dyDescent="0.3">
      <c r="A1650" s="28" t="str">
        <f>B1650&amp;C1650&amp;D1650&amp;E1650</f>
        <v>Детские товарыДетское творчествоНастольные и карточные игрыДомино для детей</v>
      </c>
      <c r="B1650" s="29" t="s">
        <v>105</v>
      </c>
      <c r="C1650" s="29" t="s">
        <v>440</v>
      </c>
      <c r="D1650" s="29" t="s">
        <v>441</v>
      </c>
      <c r="E1650" s="29" t="s">
        <v>1101</v>
      </c>
      <c r="F1650" s="30">
        <v>0.2</v>
      </c>
      <c r="G1650" s="31"/>
      <c r="H1650" s="31"/>
      <c r="I1650" s="31"/>
      <c r="J1650" s="31"/>
    </row>
    <row r="1651" spans="1:10" ht="14.4" x14ac:dyDescent="0.3">
      <c r="A1651" s="28" t="str">
        <f>B1651&amp;C1651&amp;D1651&amp;E1651</f>
        <v>АвтотоварыМасла и автохимияГидравлические жидкости и маслаГидравлические жидкости и масла</v>
      </c>
      <c r="B1651" s="29" t="s">
        <v>12</v>
      </c>
      <c r="C1651" s="29" t="s">
        <v>848</v>
      </c>
      <c r="D1651" s="29" t="s">
        <v>1102</v>
      </c>
      <c r="E1651" s="29" t="s">
        <v>1102</v>
      </c>
      <c r="F1651" s="30">
        <v>0.2</v>
      </c>
      <c r="G1651" s="31"/>
      <c r="H1651" s="31"/>
      <c r="I1651" s="31"/>
      <c r="J1651" s="31"/>
    </row>
    <row r="1652" spans="1:10" ht="14.4" x14ac:dyDescent="0.3">
      <c r="A1652" s="28" t="str">
        <f>B1652&amp;C1652&amp;D1652&amp;E1652</f>
        <v>Красота и уходКорейская косметикаУход за лицомУход за лицом</v>
      </c>
      <c r="B1652" s="29" t="s">
        <v>56</v>
      </c>
      <c r="C1652" s="29" t="s">
        <v>211</v>
      </c>
      <c r="D1652" s="29" t="s">
        <v>238</v>
      </c>
      <c r="E1652" s="29" t="s">
        <v>238</v>
      </c>
      <c r="F1652" s="30">
        <v>0.2</v>
      </c>
      <c r="G1652" s="31"/>
      <c r="H1652" s="31"/>
      <c r="I1652" s="31"/>
      <c r="J1652" s="31"/>
    </row>
    <row r="1653" spans="1:10" ht="14.4" x14ac:dyDescent="0.3">
      <c r="A1653" s="28" t="str">
        <f>B1653&amp;C1653&amp;D1653&amp;E1653</f>
        <v>КанцтоварыБумажная продукцияБумага миллиметроваяБумага миллиметровая</v>
      </c>
      <c r="B1653" s="29" t="s">
        <v>163</v>
      </c>
      <c r="C1653" s="29" t="s">
        <v>261</v>
      </c>
      <c r="D1653" s="29" t="s">
        <v>1108</v>
      </c>
      <c r="E1653" s="29" t="s">
        <v>1108</v>
      </c>
      <c r="F1653" s="30">
        <v>0.2</v>
      </c>
      <c r="G1653" s="31"/>
      <c r="H1653" s="31"/>
      <c r="I1653" s="31"/>
      <c r="J1653" s="31"/>
    </row>
    <row r="1654" spans="1:10" ht="14.4" x14ac:dyDescent="0.3">
      <c r="A1654" s="28" t="str">
        <f>B1654&amp;C1654&amp;D1654&amp;E1654</f>
        <v>КнигиБукинистикаКомиксыКомиксы</v>
      </c>
      <c r="B1654" s="29" t="s">
        <v>63</v>
      </c>
      <c r="C1654" s="29" t="s">
        <v>209</v>
      </c>
      <c r="D1654" s="29" t="s">
        <v>1112</v>
      </c>
      <c r="E1654" s="29" t="s">
        <v>1112</v>
      </c>
      <c r="F1654" s="30">
        <v>0.2</v>
      </c>
      <c r="G1654" s="31"/>
      <c r="H1654" s="31"/>
      <c r="I1654" s="31"/>
      <c r="J1654" s="31"/>
    </row>
    <row r="1655" spans="1:10" ht="14.4" x14ac:dyDescent="0.3">
      <c r="A1655" s="28" t="str">
        <f>B1655&amp;C1655&amp;D1655&amp;E1655</f>
        <v>Красота и уходКорейская косметикаОчищение лицаПенки для умывания</v>
      </c>
      <c r="B1655" s="29" t="s">
        <v>56</v>
      </c>
      <c r="C1655" s="29" t="s">
        <v>211</v>
      </c>
      <c r="D1655" s="29" t="s">
        <v>750</v>
      </c>
      <c r="E1655" s="29" t="s">
        <v>1119</v>
      </c>
      <c r="F1655" s="30">
        <v>0.2</v>
      </c>
      <c r="G1655" s="31"/>
      <c r="H1655" s="31"/>
      <c r="I1655" s="31"/>
      <c r="J1655" s="31"/>
    </row>
    <row r="1656" spans="1:10" ht="14.4" x14ac:dyDescent="0.3">
      <c r="A1656" s="28" t="str">
        <f>B1656&amp;C1656&amp;D1656&amp;E1656</f>
        <v>КанцтоварыБумажная продукцияБумага цветнаяБумага цветная</v>
      </c>
      <c r="B1656" s="29" t="s">
        <v>163</v>
      </c>
      <c r="C1656" s="29" t="s">
        <v>261</v>
      </c>
      <c r="D1656" s="29" t="s">
        <v>1130</v>
      </c>
      <c r="E1656" s="29" t="s">
        <v>1130</v>
      </c>
      <c r="F1656" s="30">
        <v>0.2</v>
      </c>
      <c r="G1656" s="31"/>
      <c r="H1656" s="31"/>
      <c r="I1656" s="31"/>
      <c r="J1656" s="31"/>
    </row>
    <row r="1657" spans="1:10" ht="14.4" x14ac:dyDescent="0.3">
      <c r="A1657" s="28" t="str">
        <f>B1657&amp;C1657&amp;D1657&amp;E1657</f>
        <v>Детские товарыИгрушки и игрыДля детей до 3 летДля детей до 3 лет</v>
      </c>
      <c r="B1657" s="29" t="s">
        <v>105</v>
      </c>
      <c r="C1657" s="29" t="s">
        <v>184</v>
      </c>
      <c r="D1657" s="29" t="s">
        <v>1135</v>
      </c>
      <c r="E1657" s="29" t="s">
        <v>1135</v>
      </c>
      <c r="F1657" s="30">
        <v>0.2</v>
      </c>
      <c r="G1657" s="31"/>
      <c r="H1657" s="31"/>
      <c r="I1657" s="31"/>
      <c r="J1657" s="31"/>
    </row>
    <row r="1658" spans="1:10" ht="14.4" x14ac:dyDescent="0.3">
      <c r="A1658" s="28" t="str">
        <f>B1658&amp;C1658&amp;D1658&amp;E1658</f>
        <v>Красота и уходЛичная гигиенаДепиляция и эпиляцияСредства для депиляции</v>
      </c>
      <c r="B1658" s="29" t="s">
        <v>56</v>
      </c>
      <c r="C1658" s="29" t="s">
        <v>120</v>
      </c>
      <c r="D1658" s="29" t="s">
        <v>464</v>
      </c>
      <c r="E1658" s="29" t="s">
        <v>1138</v>
      </c>
      <c r="F1658" s="30">
        <v>0.2</v>
      </c>
      <c r="G1658" s="31"/>
      <c r="H1658" s="31"/>
      <c r="I1658" s="31"/>
      <c r="J1658" s="31"/>
    </row>
    <row r="1659" spans="1:10" ht="14.4" x14ac:dyDescent="0.3">
      <c r="A1659" s="28" t="str">
        <f>B1659&amp;C1659&amp;D1659&amp;E1659</f>
        <v>ЭлектроникаУмный дом и безопасностьВидеонаблюдениеМуляжи камер видеонаблюдения</v>
      </c>
      <c r="B1659" s="29" t="s">
        <v>67</v>
      </c>
      <c r="C1659" s="29" t="s">
        <v>411</v>
      </c>
      <c r="D1659" s="29" t="s">
        <v>1139</v>
      </c>
      <c r="E1659" s="29" t="s">
        <v>1140</v>
      </c>
      <c r="F1659" s="30">
        <v>0.2</v>
      </c>
      <c r="G1659" s="31"/>
      <c r="H1659" s="31"/>
      <c r="I1659" s="31"/>
      <c r="J1659" s="31"/>
    </row>
    <row r="1660" spans="1:10" ht="14.4" x14ac:dyDescent="0.3">
      <c r="A1660" s="28" t="str">
        <f>B1660&amp;C1660&amp;D1660&amp;E1660</f>
        <v>Красота и уходМакияжГлазаНаклейки для коррекции век</v>
      </c>
      <c r="B1660" s="29" t="s">
        <v>56</v>
      </c>
      <c r="C1660" s="29" t="s">
        <v>151</v>
      </c>
      <c r="D1660" s="29" t="s">
        <v>503</v>
      </c>
      <c r="E1660" s="29" t="s">
        <v>1141</v>
      </c>
      <c r="F1660" s="30">
        <v>0.2</v>
      </c>
      <c r="G1660" s="31"/>
      <c r="H1660" s="31"/>
      <c r="I1660" s="31"/>
      <c r="J1660" s="31"/>
    </row>
    <row r="1661" spans="1:10" ht="14.4" x14ac:dyDescent="0.3">
      <c r="A1661" s="28" t="str">
        <f>B1661&amp;C1661&amp;D1661&amp;E1661</f>
        <v>КнигиНехудожественная литератураЭнциклопедии, справочникиЭнциклопедии, справочники</v>
      </c>
      <c r="B1661" s="29" t="s">
        <v>63</v>
      </c>
      <c r="C1661" s="29" t="s">
        <v>141</v>
      </c>
      <c r="D1661" s="29" t="s">
        <v>1142</v>
      </c>
      <c r="E1661" s="29" t="s">
        <v>1142</v>
      </c>
      <c r="F1661" s="30">
        <v>0.2</v>
      </c>
      <c r="G1661" s="31"/>
      <c r="H1661" s="31"/>
      <c r="I1661" s="31"/>
      <c r="J1661" s="31"/>
    </row>
    <row r="1662" spans="1:10" ht="14.4" x14ac:dyDescent="0.3">
      <c r="A1662" s="28" t="str">
        <f>B1662&amp;C1662&amp;D1662&amp;E1662</f>
        <v>АвтотоварыЭлектроника для автоАвтомобильные системы видеонаблюденияАвтомобильные системы видеонаблюдения</v>
      </c>
      <c r="B1662" s="29" t="s">
        <v>12</v>
      </c>
      <c r="C1662" s="29" t="s">
        <v>360</v>
      </c>
      <c r="D1662" s="29" t="s">
        <v>1143</v>
      </c>
      <c r="E1662" s="29" t="s">
        <v>1143</v>
      </c>
      <c r="F1662" s="30">
        <v>0.2</v>
      </c>
      <c r="G1662" s="31"/>
      <c r="H1662" s="31"/>
      <c r="I1662" s="31"/>
      <c r="J1662" s="31"/>
    </row>
    <row r="1663" spans="1:10" ht="14.4" x14ac:dyDescent="0.3">
      <c r="A1663" s="28" t="str">
        <f>B1663&amp;C1663&amp;D1663&amp;E1663</f>
        <v>Красота и уходМакияжЛицоТональные кремы</v>
      </c>
      <c r="B1663" s="29" t="s">
        <v>56</v>
      </c>
      <c r="C1663" s="29" t="s">
        <v>151</v>
      </c>
      <c r="D1663" s="29" t="s">
        <v>602</v>
      </c>
      <c r="E1663" s="29" t="s">
        <v>1146</v>
      </c>
      <c r="F1663" s="30">
        <v>0.2</v>
      </c>
      <c r="G1663" s="31"/>
      <c r="H1663" s="31"/>
      <c r="I1663" s="31"/>
      <c r="J1663" s="31"/>
    </row>
    <row r="1664" spans="1:10" ht="14.4" x14ac:dyDescent="0.3">
      <c r="A1664" s="28" t="str">
        <f>B1664&amp;C1664&amp;D1664&amp;E1664</f>
        <v>ОбувьЖенская обувьСандалииСандалии на завязках</v>
      </c>
      <c r="B1664" s="29" t="s">
        <v>180</v>
      </c>
      <c r="C1664" s="29" t="s">
        <v>181</v>
      </c>
      <c r="D1664" s="29" t="s">
        <v>336</v>
      </c>
      <c r="E1664" s="29" t="s">
        <v>1147</v>
      </c>
      <c r="F1664" s="30">
        <v>0.2</v>
      </c>
      <c r="G1664" s="31"/>
      <c r="H1664" s="31"/>
      <c r="I1664" s="31"/>
      <c r="J1664" s="31"/>
    </row>
    <row r="1665" spans="1:10" ht="14.4" x14ac:dyDescent="0.3">
      <c r="A1665" s="28" t="str">
        <f>B1665&amp;C1665&amp;D1665&amp;E1665</f>
        <v>Красота и уходДля мужчинНаборы для мужчинНаборы для мужчин</v>
      </c>
      <c r="B1665" s="29" t="s">
        <v>56</v>
      </c>
      <c r="C1665" s="29" t="s">
        <v>71</v>
      </c>
      <c r="D1665" s="29" t="s">
        <v>1151</v>
      </c>
      <c r="E1665" s="29" t="s">
        <v>1151</v>
      </c>
      <c r="F1665" s="30">
        <v>0.2</v>
      </c>
      <c r="G1665" s="31"/>
      <c r="H1665" s="31"/>
      <c r="I1665" s="31"/>
      <c r="J1665" s="31"/>
    </row>
    <row r="1666" spans="1:10" ht="14.4" x14ac:dyDescent="0.3">
      <c r="A1666" s="28" t="str">
        <f>B1666&amp;C1666&amp;D1666&amp;E1666</f>
        <v>Товары для домаХозяйственные товарыУход за одеждой и обувьюАксессуары для глажки</v>
      </c>
      <c r="B1666" s="29" t="s">
        <v>59</v>
      </c>
      <c r="C1666" s="29" t="s">
        <v>193</v>
      </c>
      <c r="D1666" s="29" t="s">
        <v>332</v>
      </c>
      <c r="E1666" s="29" t="s">
        <v>1152</v>
      </c>
      <c r="F1666" s="30">
        <v>0.2</v>
      </c>
      <c r="G1666" s="31"/>
      <c r="H1666" s="31"/>
      <c r="I1666" s="31"/>
      <c r="J1666" s="31"/>
    </row>
    <row r="1667" spans="1:10" ht="14.4" x14ac:dyDescent="0.3">
      <c r="A1667" s="28" t="str">
        <f>B1667&amp;C1667&amp;D1667&amp;E1667</f>
        <v>Красота и уходЛичная гигиенаДепиляция и эпиляцияШугаринг</v>
      </c>
      <c r="B1667" s="29" t="s">
        <v>56</v>
      </c>
      <c r="C1667" s="29" t="s">
        <v>120</v>
      </c>
      <c r="D1667" s="29" t="s">
        <v>464</v>
      </c>
      <c r="E1667" s="29" t="s">
        <v>1153</v>
      </c>
      <c r="F1667" s="30">
        <v>0.2</v>
      </c>
      <c r="G1667" s="31"/>
      <c r="H1667" s="31"/>
      <c r="I1667" s="31"/>
      <c r="J1667" s="31"/>
    </row>
    <row r="1668" spans="1:10" ht="14.4" x14ac:dyDescent="0.3">
      <c r="A1668" s="28" t="str">
        <f>B1668&amp;C1668&amp;D1668&amp;E1668</f>
        <v>Детские товарыДетское творчествоДетское рисованиеДетское рисование</v>
      </c>
      <c r="B1668" s="29" t="s">
        <v>105</v>
      </c>
      <c r="C1668" s="29" t="s">
        <v>440</v>
      </c>
      <c r="D1668" s="29" t="s">
        <v>1164</v>
      </c>
      <c r="E1668" s="29" t="s">
        <v>1164</v>
      </c>
      <c r="F1668" s="30">
        <v>0.2</v>
      </c>
      <c r="G1668" s="31"/>
      <c r="H1668" s="31"/>
      <c r="I1668" s="31"/>
      <c r="J1668" s="31"/>
    </row>
    <row r="1669" spans="1:10" ht="14.4" x14ac:dyDescent="0.3">
      <c r="A1669" s="28" t="str">
        <f>B1669&amp;C1669&amp;D1669&amp;E1669</f>
        <v>Спорт и отдыхЗимний спортГорнолыжные маски и очкиГорнолыжные маски и очки</v>
      </c>
      <c r="B1669" s="29" t="s">
        <v>101</v>
      </c>
      <c r="C1669" s="29" t="s">
        <v>1173</v>
      </c>
      <c r="D1669" s="29" t="s">
        <v>1174</v>
      </c>
      <c r="E1669" s="29" t="s">
        <v>1174</v>
      </c>
      <c r="F1669" s="30">
        <v>0.2</v>
      </c>
      <c r="G1669" s="31"/>
      <c r="H1669" s="31"/>
      <c r="I1669" s="31"/>
      <c r="J1669" s="31"/>
    </row>
    <row r="1670" spans="1:10" ht="14.4" x14ac:dyDescent="0.3">
      <c r="A1670" s="28" t="str">
        <f>B1670&amp;C1670&amp;D1670&amp;E1670</f>
        <v>Дача, сад и огородУдобрения и уход за растениямиУкрывной материалУкрывной материал</v>
      </c>
      <c r="B1670" s="29" t="s">
        <v>352</v>
      </c>
      <c r="C1670" s="29" t="s">
        <v>1175</v>
      </c>
      <c r="D1670" s="29" t="s">
        <v>1176</v>
      </c>
      <c r="E1670" s="29" t="s">
        <v>1176</v>
      </c>
      <c r="F1670" s="30">
        <v>0.2</v>
      </c>
      <c r="G1670" s="31"/>
      <c r="H1670" s="31"/>
      <c r="I1670" s="31"/>
      <c r="J1670" s="31"/>
    </row>
    <row r="1671" spans="1:10" ht="14.4" x14ac:dyDescent="0.3">
      <c r="A1671" s="28" t="str">
        <f>B1671&amp;C1671&amp;D1671&amp;E1671</f>
        <v>Бытовая техникаТовары для кухниПрочая кухонная техникаСушилки для овощей и фруктов</v>
      </c>
      <c r="B1671" s="29" t="s">
        <v>160</v>
      </c>
      <c r="C1671" s="29" t="s">
        <v>60</v>
      </c>
      <c r="D1671" s="29" t="s">
        <v>161</v>
      </c>
      <c r="E1671" s="29" t="s">
        <v>1179</v>
      </c>
      <c r="F1671" s="30">
        <v>0.2</v>
      </c>
      <c r="G1671" s="31"/>
      <c r="H1671" s="31"/>
      <c r="I1671" s="31"/>
      <c r="J1671" s="31"/>
    </row>
    <row r="1672" spans="1:10" ht="14.4" x14ac:dyDescent="0.3">
      <c r="A1672" s="28" t="str">
        <f>B1672&amp;C1672&amp;D1672&amp;E1672</f>
        <v>КнигиНехудожественная литератураМедицинаНародная медицина</v>
      </c>
      <c r="B1672" s="29" t="s">
        <v>63</v>
      </c>
      <c r="C1672" s="29" t="s">
        <v>141</v>
      </c>
      <c r="D1672" s="29" t="s">
        <v>1183</v>
      </c>
      <c r="E1672" s="29" t="s">
        <v>1184</v>
      </c>
      <c r="F1672" s="30">
        <v>0.2</v>
      </c>
      <c r="G1672" s="31"/>
      <c r="H1672" s="31"/>
      <c r="I1672" s="31"/>
      <c r="J1672" s="31"/>
    </row>
    <row r="1673" spans="1:10" ht="14.4" x14ac:dyDescent="0.3">
      <c r="A1673" s="28" t="str">
        <f>B1673&amp;C1673&amp;D1673&amp;E1673</f>
        <v>Строительство и ремонтЭлектрикаУмный домУмный дом</v>
      </c>
      <c r="B1673" s="29" t="s">
        <v>77</v>
      </c>
      <c r="C1673" s="29" t="s">
        <v>600</v>
      </c>
      <c r="D1673" s="29" t="s">
        <v>1187</v>
      </c>
      <c r="E1673" s="29" t="s">
        <v>1187</v>
      </c>
      <c r="F1673" s="30">
        <v>0.2</v>
      </c>
      <c r="G1673" s="31"/>
      <c r="H1673" s="31"/>
      <c r="I1673" s="31"/>
      <c r="J1673" s="31"/>
    </row>
    <row r="1674" spans="1:10" ht="14.4" x14ac:dyDescent="0.3">
      <c r="A1674" s="28" t="str">
        <f>B1674&amp;C1674&amp;D1674&amp;E1674</f>
        <v>КнигиЛитература на иностранных языкахНемецкий языкНемецкий язык</v>
      </c>
      <c r="B1674" s="29" t="s">
        <v>63</v>
      </c>
      <c r="C1674" s="29" t="s">
        <v>1188</v>
      </c>
      <c r="D1674" s="29" t="s">
        <v>1189</v>
      </c>
      <c r="E1674" s="29" t="s">
        <v>1189</v>
      </c>
      <c r="F1674" s="30">
        <v>0.2</v>
      </c>
      <c r="G1674" s="31"/>
      <c r="H1674" s="31"/>
      <c r="I1674" s="31"/>
      <c r="J1674" s="31"/>
    </row>
    <row r="1675" spans="1:10" ht="14.4" x14ac:dyDescent="0.3">
      <c r="A1675" s="28" t="str">
        <f>B1675&amp;C1675&amp;D1675&amp;E1675</f>
        <v>Красота и уходКорейская косметикаМакияжГлаза</v>
      </c>
      <c r="B1675" s="29" t="s">
        <v>56</v>
      </c>
      <c r="C1675" s="29" t="s">
        <v>211</v>
      </c>
      <c r="D1675" s="29" t="s">
        <v>151</v>
      </c>
      <c r="E1675" s="29" t="s">
        <v>503</v>
      </c>
      <c r="F1675" s="30">
        <v>0.2</v>
      </c>
      <c r="G1675" s="31"/>
      <c r="H1675" s="31"/>
      <c r="I1675" s="31"/>
      <c r="J1675" s="31"/>
    </row>
    <row r="1676" spans="1:10" ht="14.4" x14ac:dyDescent="0.3">
      <c r="A1676" s="28" t="str">
        <f>B1676&amp;C1676&amp;D1676&amp;E1676</f>
        <v>ЗоотоварыДля грызуновКорма и лакомства для грызуновМинеральные камни</v>
      </c>
      <c r="B1676" s="29" t="s">
        <v>214</v>
      </c>
      <c r="C1676" s="29" t="s">
        <v>215</v>
      </c>
      <c r="D1676" s="29" t="s">
        <v>216</v>
      </c>
      <c r="E1676" s="29" t="s">
        <v>1194</v>
      </c>
      <c r="F1676" s="30">
        <v>0.2</v>
      </c>
      <c r="G1676" s="31"/>
      <c r="H1676" s="31"/>
      <c r="I1676" s="31"/>
      <c r="J1676" s="31"/>
    </row>
    <row r="1677" spans="1:10" ht="14.4" x14ac:dyDescent="0.3">
      <c r="A1677" s="28" t="str">
        <f>B1677&amp;C1677&amp;D1677&amp;E1677</f>
        <v>ЭлектроникаОптические приборыАксессуары для микроскоповАксессуары для микроскопов</v>
      </c>
      <c r="B1677" s="29" t="s">
        <v>67</v>
      </c>
      <c r="C1677" s="29" t="s">
        <v>481</v>
      </c>
      <c r="D1677" s="29" t="s">
        <v>1195</v>
      </c>
      <c r="E1677" s="29" t="s">
        <v>1195</v>
      </c>
      <c r="F1677" s="30">
        <v>0.2</v>
      </c>
      <c r="G1677" s="31"/>
      <c r="H1677" s="31"/>
      <c r="I1677" s="31"/>
      <c r="J1677" s="31"/>
    </row>
    <row r="1678" spans="1:10" ht="14.4" x14ac:dyDescent="0.3">
      <c r="A1678" s="28" t="str">
        <f>B1678&amp;C1678&amp;D1678&amp;E1678</f>
        <v>Товары для домаТовары для кухниСтоловая посудаРозетки и креманки</v>
      </c>
      <c r="B1678" s="29" t="s">
        <v>59</v>
      </c>
      <c r="C1678" s="29" t="s">
        <v>60</v>
      </c>
      <c r="D1678" s="29" t="s">
        <v>328</v>
      </c>
      <c r="E1678" s="29" t="s">
        <v>1196</v>
      </c>
      <c r="F1678" s="30">
        <v>0.2</v>
      </c>
      <c r="G1678" s="31"/>
      <c r="H1678" s="31"/>
      <c r="I1678" s="31"/>
      <c r="J1678" s="31"/>
    </row>
    <row r="1679" spans="1:10" ht="14.4" x14ac:dyDescent="0.3">
      <c r="A1679" s="28" t="str">
        <f>B1679&amp;C1679&amp;D1679&amp;E1679</f>
        <v>Красота и уходУход за теломСредства для душа и ванныГели для душа</v>
      </c>
      <c r="B1679" s="29" t="s">
        <v>56</v>
      </c>
      <c r="C1679" s="29" t="s">
        <v>100</v>
      </c>
      <c r="D1679" s="29" t="s">
        <v>1205</v>
      </c>
      <c r="E1679" s="29" t="s">
        <v>1206</v>
      </c>
      <c r="F1679" s="30">
        <v>0.2</v>
      </c>
      <c r="G1679" s="31"/>
      <c r="H1679" s="31"/>
      <c r="I1679" s="31"/>
      <c r="J1679" s="31"/>
    </row>
    <row r="1680" spans="1:10" ht="14.4" x14ac:dyDescent="0.3">
      <c r="A1680" s="28" t="str">
        <f>B1680&amp;C1680&amp;D1680&amp;E1680</f>
        <v>КнигиНехудожественная литератураСаморазвитиеЛидерство, переговоры и публичные выступления</v>
      </c>
      <c r="B1680" s="29" t="s">
        <v>63</v>
      </c>
      <c r="C1680" s="29" t="s">
        <v>141</v>
      </c>
      <c r="D1680" s="29" t="s">
        <v>452</v>
      </c>
      <c r="E1680" s="29" t="s">
        <v>1209</v>
      </c>
      <c r="F1680" s="30">
        <v>0.2</v>
      </c>
      <c r="G1680" s="31"/>
      <c r="H1680" s="31"/>
      <c r="I1680" s="31"/>
      <c r="J1680" s="31"/>
    </row>
    <row r="1681" spans="1:10" ht="14.4" x14ac:dyDescent="0.3">
      <c r="A1681" s="28" t="str">
        <f>B1681&amp;C1681&amp;D1681&amp;E1681</f>
        <v>Красота и уходУход за волосамиСредства для укладкиПудры</v>
      </c>
      <c r="B1681" s="29" t="s">
        <v>56</v>
      </c>
      <c r="C1681" s="29" t="s">
        <v>109</v>
      </c>
      <c r="D1681" s="29" t="s">
        <v>73</v>
      </c>
      <c r="E1681" s="29" t="s">
        <v>1211</v>
      </c>
      <c r="F1681" s="30">
        <v>0.2</v>
      </c>
      <c r="G1681" s="31"/>
      <c r="H1681" s="31"/>
      <c r="I1681" s="31"/>
      <c r="J1681" s="31"/>
    </row>
    <row r="1682" spans="1:10" ht="14.4" x14ac:dyDescent="0.3">
      <c r="A1682" s="28" t="str">
        <f>B1682&amp;C1682&amp;D1682&amp;E1682</f>
        <v>ОбувьМужская обувьТуфлиЛоферы</v>
      </c>
      <c r="B1682" s="29" t="s">
        <v>180</v>
      </c>
      <c r="C1682" s="29" t="s">
        <v>279</v>
      </c>
      <c r="D1682" s="29" t="s">
        <v>280</v>
      </c>
      <c r="E1682" s="29" t="s">
        <v>1212</v>
      </c>
      <c r="F1682" s="30">
        <v>0.2</v>
      </c>
      <c r="G1682" s="31"/>
      <c r="H1682" s="31"/>
      <c r="I1682" s="31"/>
      <c r="J1682" s="31"/>
    </row>
    <row r="1683" spans="1:10" ht="14.4" x14ac:dyDescent="0.3">
      <c r="A1683" s="28" t="str">
        <f>B1683&amp;C1683&amp;D1683&amp;E1683</f>
        <v>ОбувьМужская обувьСапоги и уггиПолусапоги</v>
      </c>
      <c r="B1683" s="29" t="s">
        <v>180</v>
      </c>
      <c r="C1683" s="29" t="s">
        <v>279</v>
      </c>
      <c r="D1683" s="29" t="s">
        <v>190</v>
      </c>
      <c r="E1683" s="29" t="s">
        <v>896</v>
      </c>
      <c r="F1683" s="30">
        <v>0.2</v>
      </c>
      <c r="G1683" s="31"/>
      <c r="H1683" s="31"/>
      <c r="I1683" s="31"/>
      <c r="J1683" s="31"/>
    </row>
    <row r="1684" spans="1:10" ht="14.4" x14ac:dyDescent="0.3">
      <c r="A1684" s="28" t="str">
        <f>B1684&amp;C1684&amp;D1684&amp;E1684</f>
        <v>Детские товарыТовары для кормленияПосуда и принадлежности для кормленияДозаторы для смеси и лекарств</v>
      </c>
      <c r="B1684" s="29" t="s">
        <v>105</v>
      </c>
      <c r="C1684" s="29" t="s">
        <v>639</v>
      </c>
      <c r="D1684" s="29" t="s">
        <v>640</v>
      </c>
      <c r="E1684" s="29" t="s">
        <v>1217</v>
      </c>
      <c r="F1684" s="30">
        <v>0.2</v>
      </c>
      <c r="G1684" s="31"/>
      <c r="H1684" s="31"/>
      <c r="I1684" s="31"/>
      <c r="J1684" s="31"/>
    </row>
    <row r="1685" spans="1:10" ht="14.4" x14ac:dyDescent="0.3">
      <c r="A1685" s="28" t="str">
        <f>B1685&amp;C1685&amp;D1685&amp;E1685</f>
        <v>КнигиУчебная литератураИтоговое тестирование и ВПРИтоговое тестирование и ВПР</v>
      </c>
      <c r="B1685" s="29" t="s">
        <v>63</v>
      </c>
      <c r="C1685" s="29" t="s">
        <v>210</v>
      </c>
      <c r="D1685" s="29" t="s">
        <v>1232</v>
      </c>
      <c r="E1685" s="29" t="s">
        <v>1232</v>
      </c>
      <c r="F1685" s="30">
        <v>0.2</v>
      </c>
      <c r="G1685" s="31"/>
      <c r="H1685" s="31"/>
      <c r="I1685" s="31"/>
      <c r="J1685" s="31"/>
    </row>
    <row r="1686" spans="1:10" ht="14.4" x14ac:dyDescent="0.3">
      <c r="A1686" s="28" t="str">
        <f>B1686&amp;C1686&amp;D1686&amp;E1686</f>
        <v>Товары для домаХозяйственные товарыИнвентарь для уборкиШвабры</v>
      </c>
      <c r="B1686" s="29" t="s">
        <v>59</v>
      </c>
      <c r="C1686" s="29" t="s">
        <v>193</v>
      </c>
      <c r="D1686" s="29" t="s">
        <v>308</v>
      </c>
      <c r="E1686" s="29" t="s">
        <v>1234</v>
      </c>
      <c r="F1686" s="30">
        <v>0.2</v>
      </c>
      <c r="G1686" s="31"/>
      <c r="H1686" s="31"/>
      <c r="I1686" s="31"/>
      <c r="J1686" s="31"/>
    </row>
    <row r="1687" spans="1:10" ht="14.4" x14ac:dyDescent="0.3">
      <c r="A1687" s="28" t="str">
        <f>B1687&amp;C1687&amp;D1687&amp;E1687</f>
        <v>Детские товарыИгрушки и игрыКонструкторыМагнитные</v>
      </c>
      <c r="B1687" s="29" t="s">
        <v>105</v>
      </c>
      <c r="C1687" s="29" t="s">
        <v>184</v>
      </c>
      <c r="D1687" s="29" t="s">
        <v>1027</v>
      </c>
      <c r="E1687" s="29" t="s">
        <v>1237</v>
      </c>
      <c r="F1687" s="30">
        <v>0.2</v>
      </c>
      <c r="G1687" s="31"/>
      <c r="H1687" s="31"/>
      <c r="I1687" s="31"/>
      <c r="J1687" s="31"/>
    </row>
    <row r="1688" spans="1:10" ht="14.4" x14ac:dyDescent="0.3">
      <c r="A1688" s="28" t="str">
        <f>B1688&amp;C1688&amp;D1688&amp;E1688</f>
        <v>КнигиУчебная литератураОбразовательные программыОбразовательные программы</v>
      </c>
      <c r="B1688" s="29" t="s">
        <v>63</v>
      </c>
      <c r="C1688" s="29" t="s">
        <v>210</v>
      </c>
      <c r="D1688" s="29" t="s">
        <v>1240</v>
      </c>
      <c r="E1688" s="29" t="s">
        <v>1240</v>
      </c>
      <c r="F1688" s="30">
        <v>0.2</v>
      </c>
      <c r="G1688" s="31"/>
      <c r="H1688" s="31"/>
      <c r="I1688" s="31"/>
      <c r="J1688" s="31"/>
    </row>
    <row r="1689" spans="1:10" ht="14.4" x14ac:dyDescent="0.3">
      <c r="A1689" s="28" t="str">
        <f>B1689&amp;C1689&amp;D1689&amp;E1689</f>
        <v>Красота и уходМаникюр и педикюрДизайн ногтейЛаковые полоски</v>
      </c>
      <c r="B1689" s="29" t="s">
        <v>56</v>
      </c>
      <c r="C1689" s="29" t="s">
        <v>57</v>
      </c>
      <c r="D1689" s="29" t="s">
        <v>653</v>
      </c>
      <c r="E1689" s="29" t="s">
        <v>1241</v>
      </c>
      <c r="F1689" s="30">
        <v>0.2</v>
      </c>
      <c r="G1689" s="31"/>
      <c r="H1689" s="31"/>
      <c r="I1689" s="31"/>
      <c r="J1689" s="31"/>
    </row>
    <row r="1690" spans="1:10" ht="14.4" x14ac:dyDescent="0.3">
      <c r="A1690" s="28" t="str">
        <f>B1690&amp;C1690&amp;D1690&amp;E1690</f>
        <v>КнигиБизнес-литератураМаркетинг и продажиМаркетинг и продажи</v>
      </c>
      <c r="B1690" s="29" t="s">
        <v>63</v>
      </c>
      <c r="C1690" s="29" t="s">
        <v>1032</v>
      </c>
      <c r="D1690" s="29" t="s">
        <v>1242</v>
      </c>
      <c r="E1690" s="29" t="s">
        <v>1242</v>
      </c>
      <c r="F1690" s="30">
        <v>0.2</v>
      </c>
      <c r="G1690" s="31"/>
      <c r="H1690" s="31"/>
      <c r="I1690" s="31"/>
      <c r="J1690" s="31"/>
    </row>
    <row r="1691" spans="1:10" ht="14.4" x14ac:dyDescent="0.3">
      <c r="A1691" s="28" t="str">
        <f>B1691&amp;C1691&amp;D1691&amp;E1691</f>
        <v>Бытовая химияСредства для стиркиКапсулы для стиркиКапсулы для стирки</v>
      </c>
      <c r="B1691" s="29" t="s">
        <v>146</v>
      </c>
      <c r="C1691" s="29" t="s">
        <v>797</v>
      </c>
      <c r="D1691" s="29" t="s">
        <v>1243</v>
      </c>
      <c r="E1691" s="29" t="s">
        <v>1243</v>
      </c>
      <c r="F1691" s="30">
        <v>0.2</v>
      </c>
      <c r="G1691" s="31"/>
      <c r="H1691" s="31"/>
      <c r="I1691" s="31"/>
      <c r="J1691" s="31"/>
    </row>
    <row r="1692" spans="1:10" ht="14.4" x14ac:dyDescent="0.3">
      <c r="A1692" s="28" t="str">
        <f>B1692&amp;C1692&amp;D1692&amp;E1692</f>
        <v>КнигиУчебная литератураУчебно-методическая литератураУчебно-методическая литература</v>
      </c>
      <c r="B1692" s="29" t="s">
        <v>63</v>
      </c>
      <c r="C1692" s="29" t="s">
        <v>210</v>
      </c>
      <c r="D1692" s="29" t="s">
        <v>1245</v>
      </c>
      <c r="E1692" s="29" t="s">
        <v>1245</v>
      </c>
      <c r="F1692" s="30">
        <v>0.2</v>
      </c>
      <c r="G1692" s="31"/>
      <c r="H1692" s="31"/>
      <c r="I1692" s="31"/>
      <c r="J1692" s="31"/>
    </row>
    <row r="1693" spans="1:10" ht="14.4" x14ac:dyDescent="0.3">
      <c r="A1693" s="28" t="str">
        <f>B1693&amp;C1693&amp;D1693&amp;E1693</f>
        <v>ЭлектроникаФото и видеотехникаОборудование для фотографовСтудийное оборудование</v>
      </c>
      <c r="B1693" s="29" t="s">
        <v>67</v>
      </c>
      <c r="C1693" s="29" t="s">
        <v>174</v>
      </c>
      <c r="D1693" s="29" t="s">
        <v>575</v>
      </c>
      <c r="E1693" s="29" t="s">
        <v>1252</v>
      </c>
      <c r="F1693" s="30">
        <v>0.2</v>
      </c>
      <c r="G1693" s="31"/>
      <c r="H1693" s="31"/>
      <c r="I1693" s="31"/>
      <c r="J1693" s="31"/>
    </row>
    <row r="1694" spans="1:10" ht="14.4" x14ac:dyDescent="0.3">
      <c r="A1694" s="28" t="str">
        <f>B1694&amp;C1694&amp;D1694&amp;E1694</f>
        <v>Красота и уходУход за лицомСкрабы и пилингСкрабы и пилинг</v>
      </c>
      <c r="B1694" s="29" t="s">
        <v>56</v>
      </c>
      <c r="C1694" s="29" t="s">
        <v>238</v>
      </c>
      <c r="D1694" s="29" t="s">
        <v>1255</v>
      </c>
      <c r="E1694" s="29" t="s">
        <v>1255</v>
      </c>
      <c r="F1694" s="30">
        <v>0.2</v>
      </c>
      <c r="G1694" s="31"/>
      <c r="H1694" s="31"/>
      <c r="I1694" s="31"/>
      <c r="J1694" s="31"/>
    </row>
    <row r="1695" spans="1:10" ht="14.4" x14ac:dyDescent="0.3">
      <c r="A1695" s="28" t="str">
        <f>B1695&amp;C1695&amp;D1695&amp;E1695</f>
        <v>Хобби и творчествоМузыкальные инструментыСтрунные инструментыСтрунные инструменты</v>
      </c>
      <c r="B1695" s="29" t="s">
        <v>123</v>
      </c>
      <c r="C1695" s="29" t="s">
        <v>949</v>
      </c>
      <c r="D1695" s="29" t="s">
        <v>1259</v>
      </c>
      <c r="E1695" s="29" t="s">
        <v>1259</v>
      </c>
      <c r="F1695" s="30">
        <v>0.2</v>
      </c>
      <c r="G1695" s="31"/>
      <c r="H1695" s="31"/>
      <c r="I1695" s="31"/>
      <c r="J1695" s="31"/>
    </row>
    <row r="1696" spans="1:10" ht="14.4" x14ac:dyDescent="0.3">
      <c r="A1696" s="28" t="str">
        <f>B1696&amp;C1696&amp;D1696&amp;E1696</f>
        <v>ЗоотоварыДля собакТуалеты для собакТуалеты для собак</v>
      </c>
      <c r="B1696" s="29" t="s">
        <v>214</v>
      </c>
      <c r="C1696" s="29" t="s">
        <v>509</v>
      </c>
      <c r="D1696" s="29" t="s">
        <v>1260</v>
      </c>
      <c r="E1696" s="29" t="s">
        <v>1260</v>
      </c>
      <c r="F1696" s="30">
        <v>0.2</v>
      </c>
      <c r="G1696" s="31"/>
      <c r="H1696" s="31"/>
      <c r="I1696" s="31"/>
      <c r="J1696" s="31"/>
    </row>
    <row r="1697" spans="1:10" ht="14.4" x14ac:dyDescent="0.3">
      <c r="A1697" s="28" t="str">
        <f>B1697&amp;C1697&amp;D1697&amp;E1697</f>
        <v>ОбувьЖенская обувьБотинкиНизкие ботинки</v>
      </c>
      <c r="B1697" s="29" t="s">
        <v>180</v>
      </c>
      <c r="C1697" s="29" t="s">
        <v>181</v>
      </c>
      <c r="D1697" s="29" t="s">
        <v>515</v>
      </c>
      <c r="E1697" s="29" t="s">
        <v>1262</v>
      </c>
      <c r="F1697" s="30">
        <v>0.2</v>
      </c>
      <c r="G1697" s="31"/>
      <c r="H1697" s="31"/>
      <c r="I1697" s="31"/>
      <c r="J1697" s="31"/>
    </row>
    <row r="1698" spans="1:10" ht="14.4" x14ac:dyDescent="0.3">
      <c r="A1698" s="28" t="str">
        <f>B1698&amp;C1698&amp;D1698&amp;E1698</f>
        <v>Товары для домаХозяйственные товарыИнвентарь для уборкиПерчатки хозяйственные</v>
      </c>
      <c r="B1698" s="29" t="s">
        <v>59</v>
      </c>
      <c r="C1698" s="29" t="s">
        <v>193</v>
      </c>
      <c r="D1698" s="29" t="s">
        <v>308</v>
      </c>
      <c r="E1698" s="29" t="s">
        <v>1265</v>
      </c>
      <c r="F1698" s="30">
        <v>0.2</v>
      </c>
      <c r="G1698" s="31"/>
      <c r="H1698" s="31"/>
      <c r="I1698" s="31"/>
      <c r="J1698" s="31"/>
    </row>
    <row r="1699" spans="1:10" ht="14.4" x14ac:dyDescent="0.3">
      <c r="A1699" s="28" t="str">
        <f>B1699&amp;C1699&amp;D1699&amp;E1699</f>
        <v>Бытовая химияСредства для посудомоечных машинОполаскиватели для пммОполаскиватели для пмм</v>
      </c>
      <c r="B1699" s="29" t="s">
        <v>146</v>
      </c>
      <c r="C1699" s="29" t="s">
        <v>1266</v>
      </c>
      <c r="D1699" s="29" t="s">
        <v>1267</v>
      </c>
      <c r="E1699" s="29" t="s">
        <v>1267</v>
      </c>
      <c r="F1699" s="30">
        <v>0.2</v>
      </c>
      <c r="G1699" s="31"/>
      <c r="H1699" s="31"/>
      <c r="I1699" s="31"/>
      <c r="J1699" s="31"/>
    </row>
    <row r="1700" spans="1:10" ht="14.4" x14ac:dyDescent="0.3">
      <c r="A1700" s="28" t="str">
        <f>B1700&amp;C1700&amp;D1700&amp;E1700</f>
        <v>КнигиДетям и родителямРазвитие детейРазвитие речи</v>
      </c>
      <c r="B1700" s="29" t="s">
        <v>63</v>
      </c>
      <c r="C1700" s="29" t="s">
        <v>258</v>
      </c>
      <c r="D1700" s="29" t="s">
        <v>259</v>
      </c>
      <c r="E1700" s="29" t="s">
        <v>1268</v>
      </c>
      <c r="F1700" s="30">
        <v>0.2</v>
      </c>
      <c r="G1700" s="31"/>
      <c r="H1700" s="31"/>
      <c r="I1700" s="31"/>
      <c r="J1700" s="31"/>
    </row>
    <row r="1701" spans="1:10" ht="14.4" x14ac:dyDescent="0.3">
      <c r="A1701" s="28" t="str">
        <f>B1701&amp;C1701&amp;D1701&amp;E1701</f>
        <v>КанцтоварыБумажная продукцияПленка самоклеящаяся, наклейки и этикеткиНаклейка декоративная</v>
      </c>
      <c r="B1701" s="29" t="s">
        <v>163</v>
      </c>
      <c r="C1701" s="29" t="s">
        <v>261</v>
      </c>
      <c r="D1701" s="29" t="s">
        <v>1050</v>
      </c>
      <c r="E1701" s="29" t="s">
        <v>1273</v>
      </c>
      <c r="F1701" s="30">
        <v>0.2</v>
      </c>
      <c r="G1701" s="31"/>
      <c r="H1701" s="31"/>
      <c r="I1701" s="31"/>
      <c r="J1701" s="31"/>
    </row>
    <row r="1702" spans="1:10" ht="14.4" x14ac:dyDescent="0.3">
      <c r="A1702" s="28" t="str">
        <f>B1702&amp;C1702&amp;D1702&amp;E1702</f>
        <v>ОбувьЖенская обувьСапоги и уггиСапоги</v>
      </c>
      <c r="B1702" s="29" t="s">
        <v>180</v>
      </c>
      <c r="C1702" s="29" t="s">
        <v>181</v>
      </c>
      <c r="D1702" s="29" t="s">
        <v>190</v>
      </c>
      <c r="E1702" s="29" t="s">
        <v>1277</v>
      </c>
      <c r="F1702" s="30">
        <v>0.2</v>
      </c>
      <c r="G1702" s="31"/>
      <c r="H1702" s="31"/>
      <c r="I1702" s="31"/>
      <c r="J1702" s="31"/>
    </row>
    <row r="1703" spans="1:10" ht="14.4" x14ac:dyDescent="0.3">
      <c r="A1703" s="28" t="str">
        <f>B1703&amp;C1703&amp;D1703&amp;E1703</f>
        <v>Товары для домаТовары для кухниСтоловая посудаСалфетницы</v>
      </c>
      <c r="B1703" s="29" t="s">
        <v>59</v>
      </c>
      <c r="C1703" s="29" t="s">
        <v>60</v>
      </c>
      <c r="D1703" s="29" t="s">
        <v>328</v>
      </c>
      <c r="E1703" s="29" t="s">
        <v>1281</v>
      </c>
      <c r="F1703" s="30">
        <v>0.2</v>
      </c>
      <c r="G1703" s="31"/>
      <c r="H1703" s="31"/>
      <c r="I1703" s="31"/>
      <c r="J1703" s="31"/>
    </row>
    <row r="1704" spans="1:10" ht="14.4" x14ac:dyDescent="0.3">
      <c r="A1704" s="28" t="str">
        <f>B1704&amp;C1704&amp;D1704&amp;E1704</f>
        <v>ОбувьМужская обувьДомашняя обувьДомашняя обувь</v>
      </c>
      <c r="B1704" s="29" t="s">
        <v>180</v>
      </c>
      <c r="C1704" s="29" t="s">
        <v>279</v>
      </c>
      <c r="D1704" s="29" t="s">
        <v>1283</v>
      </c>
      <c r="E1704" s="29" t="s">
        <v>1283</v>
      </c>
      <c r="F1704" s="30">
        <v>0.2</v>
      </c>
      <c r="G1704" s="31"/>
      <c r="H1704" s="31"/>
      <c r="I1704" s="31"/>
      <c r="J1704" s="31"/>
    </row>
    <row r="1705" spans="1:10" ht="14.4" x14ac:dyDescent="0.3">
      <c r="A1705" s="28" t="str">
        <f>B1705&amp;C1705&amp;D1705&amp;E1705</f>
        <v>Товары для домаХозяйственные товарыИнвентарь для уборкиЩетки и сметки</v>
      </c>
      <c r="B1705" s="29" t="s">
        <v>59</v>
      </c>
      <c r="C1705" s="29" t="s">
        <v>193</v>
      </c>
      <c r="D1705" s="29" t="s">
        <v>308</v>
      </c>
      <c r="E1705" s="29" t="s">
        <v>1285</v>
      </c>
      <c r="F1705" s="30">
        <v>0.2</v>
      </c>
      <c r="G1705" s="31"/>
      <c r="H1705" s="31"/>
      <c r="I1705" s="31"/>
      <c r="J1705" s="31"/>
    </row>
    <row r="1706" spans="1:10" ht="14.4" x14ac:dyDescent="0.3">
      <c r="A1706" s="28" t="str">
        <f>B1706&amp;C1706&amp;D1706&amp;E1706</f>
        <v>Бытовая химияСредства для стиркиКондиционеры и ополаскивателиКондиционеры и ополаскиватели</v>
      </c>
      <c r="B1706" s="29" t="s">
        <v>146</v>
      </c>
      <c r="C1706" s="29" t="s">
        <v>797</v>
      </c>
      <c r="D1706" s="29" t="s">
        <v>1288</v>
      </c>
      <c r="E1706" s="29" t="s">
        <v>1288</v>
      </c>
      <c r="F1706" s="30">
        <v>0.2</v>
      </c>
      <c r="G1706" s="31"/>
      <c r="H1706" s="31"/>
      <c r="I1706" s="31"/>
      <c r="J1706" s="31"/>
    </row>
    <row r="1707" spans="1:10" ht="14.4" x14ac:dyDescent="0.3">
      <c r="A1707" s="28" t="str">
        <f>B1707&amp;C1707&amp;D1707&amp;E1707</f>
        <v>ОбувьМужская обувьСапоги и уггиУгги</v>
      </c>
      <c r="B1707" s="29" t="s">
        <v>180</v>
      </c>
      <c r="C1707" s="29" t="s">
        <v>279</v>
      </c>
      <c r="D1707" s="29" t="s">
        <v>190</v>
      </c>
      <c r="E1707" s="29" t="s">
        <v>477</v>
      </c>
      <c r="F1707" s="30">
        <v>0.2</v>
      </c>
      <c r="G1707" s="31"/>
      <c r="H1707" s="31"/>
      <c r="I1707" s="31"/>
      <c r="J1707" s="31"/>
    </row>
    <row r="1708" spans="1:10" ht="14.4" x14ac:dyDescent="0.3">
      <c r="A1708" s="28" t="str">
        <f>B1708&amp;C1708&amp;D1708&amp;E1708</f>
        <v>Красота и уходУход за волосамиСредства для очищения и уходаСухие и твердые шампуни</v>
      </c>
      <c r="B1708" s="29" t="s">
        <v>56</v>
      </c>
      <c r="C1708" s="29" t="s">
        <v>109</v>
      </c>
      <c r="D1708" s="29" t="s">
        <v>513</v>
      </c>
      <c r="E1708" s="29" t="s">
        <v>1290</v>
      </c>
      <c r="F1708" s="30">
        <v>0.2</v>
      </c>
      <c r="G1708" s="31"/>
      <c r="H1708" s="31"/>
      <c r="I1708" s="31"/>
      <c r="J1708" s="31"/>
    </row>
    <row r="1709" spans="1:10" ht="14.4" x14ac:dyDescent="0.3">
      <c r="A1709" s="28" t="str">
        <f>B1709&amp;C1709&amp;D1709&amp;E1709</f>
        <v>Детские товарыДетская комнатаДетская мебельМанежи</v>
      </c>
      <c r="B1709" s="29" t="s">
        <v>105</v>
      </c>
      <c r="C1709" s="29" t="s">
        <v>397</v>
      </c>
      <c r="D1709" s="29" t="s">
        <v>617</v>
      </c>
      <c r="E1709" s="29" t="s">
        <v>1291</v>
      </c>
      <c r="F1709" s="30">
        <v>0.2</v>
      </c>
      <c r="G1709" s="31"/>
      <c r="H1709" s="31"/>
      <c r="I1709" s="31"/>
      <c r="J1709" s="31"/>
    </row>
    <row r="1710" spans="1:10" ht="14.4" x14ac:dyDescent="0.3">
      <c r="A1710" s="28" t="str">
        <f>B1710&amp;C1710&amp;D1710&amp;E1710</f>
        <v>Товары для домаХозяйственные товарыАксессуары для ваннойШторы и карнизы</v>
      </c>
      <c r="B1710" s="29" t="s">
        <v>59</v>
      </c>
      <c r="C1710" s="29" t="s">
        <v>193</v>
      </c>
      <c r="D1710" s="29" t="s">
        <v>194</v>
      </c>
      <c r="E1710" s="29" t="s">
        <v>334</v>
      </c>
      <c r="F1710" s="30">
        <v>0.2</v>
      </c>
      <c r="G1710" s="31"/>
      <c r="H1710" s="31"/>
      <c r="I1710" s="31"/>
      <c r="J1710" s="31"/>
    </row>
    <row r="1711" spans="1:10" ht="14.4" x14ac:dyDescent="0.3">
      <c r="A1711" s="28" t="str">
        <f>B1711&amp;C1711&amp;D1711&amp;E1711</f>
        <v>КанцтоварыБумажная продукцияБумага газетнаяБумага газетная</v>
      </c>
      <c r="B1711" s="29" t="s">
        <v>163</v>
      </c>
      <c r="C1711" s="29" t="s">
        <v>261</v>
      </c>
      <c r="D1711" s="29" t="s">
        <v>1294</v>
      </c>
      <c r="E1711" s="29" t="s">
        <v>1294</v>
      </c>
      <c r="F1711" s="30">
        <v>0.2</v>
      </c>
      <c r="G1711" s="31"/>
      <c r="H1711" s="31"/>
      <c r="I1711" s="31"/>
      <c r="J1711" s="31"/>
    </row>
    <row r="1712" spans="1:10" ht="14.4" x14ac:dyDescent="0.3">
      <c r="A1712" s="28" t="str">
        <f>B1712&amp;C1712&amp;D1712&amp;E1712</f>
        <v>Детские товарыГигиена и подгузникиУход за ребенкомДетские наборы инструментов для чистки ушей</v>
      </c>
      <c r="B1712" s="29" t="s">
        <v>105</v>
      </c>
      <c r="C1712" s="29" t="s">
        <v>106</v>
      </c>
      <c r="D1712" s="29" t="s">
        <v>560</v>
      </c>
      <c r="E1712" s="29" t="s">
        <v>1301</v>
      </c>
      <c r="F1712" s="30">
        <v>0.2</v>
      </c>
      <c r="G1712" s="31"/>
      <c r="H1712" s="31"/>
      <c r="I1712" s="31"/>
      <c r="J1712" s="31"/>
    </row>
    <row r="1713" spans="1:10" ht="14.4" x14ac:dyDescent="0.3">
      <c r="A1713" s="28" t="str">
        <f>B1713&amp;C1713&amp;D1713&amp;E1713</f>
        <v>ОбувьЖенская обувьМокасины и топсайдерыМокасины</v>
      </c>
      <c r="B1713" s="29" t="s">
        <v>180</v>
      </c>
      <c r="C1713" s="29" t="s">
        <v>181</v>
      </c>
      <c r="D1713" s="29" t="s">
        <v>1302</v>
      </c>
      <c r="E1713" s="29" t="s">
        <v>1303</v>
      </c>
      <c r="F1713" s="30">
        <v>0.2</v>
      </c>
      <c r="G1713" s="31"/>
      <c r="H1713" s="31"/>
      <c r="I1713" s="31"/>
      <c r="J1713" s="31"/>
    </row>
    <row r="1714" spans="1:10" ht="14.4" x14ac:dyDescent="0.3">
      <c r="A1714" s="28" t="str">
        <f>B1714&amp;C1714&amp;D1714&amp;E1714</f>
        <v>КнигиНехудожественная литератураПсихологияСчастье</v>
      </c>
      <c r="B1714" s="29" t="s">
        <v>63</v>
      </c>
      <c r="C1714" s="29" t="s">
        <v>141</v>
      </c>
      <c r="D1714" s="29" t="s">
        <v>1304</v>
      </c>
      <c r="E1714" s="29" t="s">
        <v>1305</v>
      </c>
      <c r="F1714" s="30">
        <v>0.2</v>
      </c>
      <c r="G1714" s="31"/>
      <c r="H1714" s="31"/>
      <c r="I1714" s="31"/>
      <c r="J1714" s="31"/>
    </row>
    <row r="1715" spans="1:10" ht="14.4" x14ac:dyDescent="0.3">
      <c r="A1715" s="28" t="str">
        <f>B1715&amp;C1715&amp;D1715&amp;E1715</f>
        <v>КнигиХудожественная литератураУжасы, триллерыУжасы, триллеры</v>
      </c>
      <c r="B1715" s="29" t="s">
        <v>63</v>
      </c>
      <c r="C1715" s="29" t="s">
        <v>374</v>
      </c>
      <c r="D1715" s="29" t="s">
        <v>1306</v>
      </c>
      <c r="E1715" s="29" t="s">
        <v>1306</v>
      </c>
      <c r="F1715" s="30">
        <v>0.2</v>
      </c>
      <c r="G1715" s="31"/>
      <c r="H1715" s="31"/>
      <c r="I1715" s="31"/>
      <c r="J1715" s="31"/>
    </row>
    <row r="1716" spans="1:10" ht="14.4" x14ac:dyDescent="0.3">
      <c r="A1716" s="28" t="str">
        <f>B1716&amp;C1716&amp;D1716&amp;E1716</f>
        <v>КнигиХудожественная литератураФольклорСказки и басни</v>
      </c>
      <c r="B1716" s="29" t="s">
        <v>63</v>
      </c>
      <c r="C1716" s="29" t="s">
        <v>374</v>
      </c>
      <c r="D1716" s="29" t="s">
        <v>1307</v>
      </c>
      <c r="E1716" s="29" t="s">
        <v>1308</v>
      </c>
      <c r="F1716" s="30">
        <v>0.2</v>
      </c>
      <c r="G1716" s="31"/>
      <c r="H1716" s="31"/>
      <c r="I1716" s="31"/>
      <c r="J1716" s="31"/>
    </row>
    <row r="1717" spans="1:10" ht="14.4" x14ac:dyDescent="0.3">
      <c r="A1717" s="28" t="str">
        <f>B1717&amp;C1717&amp;D1717&amp;E1717</f>
        <v>ОбувьМужская обувьСандалии и сабоСандалии</v>
      </c>
      <c r="B1717" s="29" t="s">
        <v>180</v>
      </c>
      <c r="C1717" s="29" t="s">
        <v>279</v>
      </c>
      <c r="D1717" s="29" t="s">
        <v>1318</v>
      </c>
      <c r="E1717" s="29" t="s">
        <v>336</v>
      </c>
      <c r="F1717" s="30">
        <v>0.2</v>
      </c>
      <c r="G1717" s="31"/>
      <c r="H1717" s="31"/>
      <c r="I1717" s="31"/>
      <c r="J1717" s="31"/>
    </row>
    <row r="1718" spans="1:10" ht="14.4" x14ac:dyDescent="0.3">
      <c r="A1718" s="28" t="str">
        <f>B1718&amp;C1718&amp;D1718&amp;E1718</f>
        <v>Товары для домаМебельПуфики и банкеткиПуфики и банкетки</v>
      </c>
      <c r="B1718" s="29" t="s">
        <v>59</v>
      </c>
      <c r="C1718" s="29" t="s">
        <v>302</v>
      </c>
      <c r="D1718" s="29" t="s">
        <v>1321</v>
      </c>
      <c r="E1718" s="29" t="s">
        <v>1321</v>
      </c>
      <c r="F1718" s="30">
        <v>0.2</v>
      </c>
      <c r="G1718" s="31"/>
      <c r="H1718" s="31"/>
      <c r="I1718" s="31"/>
      <c r="J1718" s="31"/>
    </row>
    <row r="1719" spans="1:10" ht="14.4" x14ac:dyDescent="0.3">
      <c r="A1719" s="28" t="str">
        <f>B1719&amp;C1719&amp;D1719&amp;E1719</f>
        <v>Товары для домаМебельКреслаКресла</v>
      </c>
      <c r="B1719" s="29" t="s">
        <v>59</v>
      </c>
      <c r="C1719" s="29" t="s">
        <v>302</v>
      </c>
      <c r="D1719" s="29" t="s">
        <v>1324</v>
      </c>
      <c r="E1719" s="29" t="s">
        <v>1324</v>
      </c>
      <c r="F1719" s="30">
        <v>0.2</v>
      </c>
      <c r="G1719" s="31"/>
      <c r="H1719" s="31"/>
      <c r="I1719" s="31"/>
      <c r="J1719" s="31"/>
    </row>
    <row r="1720" spans="1:10" ht="14.4" x14ac:dyDescent="0.3">
      <c r="A1720" s="28" t="str">
        <f>B1720&amp;C1720&amp;D1720&amp;E1720</f>
        <v>Детские товарыГигиена и подгузникиУход за ребенкомАспираторы назальные</v>
      </c>
      <c r="B1720" s="29" t="s">
        <v>105</v>
      </c>
      <c r="C1720" s="29" t="s">
        <v>106</v>
      </c>
      <c r="D1720" s="29" t="s">
        <v>560</v>
      </c>
      <c r="E1720" s="29" t="s">
        <v>1331</v>
      </c>
      <c r="F1720" s="30">
        <v>0.2</v>
      </c>
      <c r="G1720" s="31"/>
      <c r="H1720" s="31"/>
      <c r="I1720" s="31"/>
      <c r="J1720" s="31"/>
    </row>
    <row r="1721" spans="1:10" ht="14.4" x14ac:dyDescent="0.3">
      <c r="A1721" s="28" t="str">
        <f>B1721&amp;C1721&amp;D1721&amp;E1721</f>
        <v>ОбувьЖенская обувьТуфли и лоферыТуфли</v>
      </c>
      <c r="B1721" s="29" t="s">
        <v>180</v>
      </c>
      <c r="C1721" s="29" t="s">
        <v>181</v>
      </c>
      <c r="D1721" s="29" t="s">
        <v>1332</v>
      </c>
      <c r="E1721" s="29" t="s">
        <v>280</v>
      </c>
      <c r="F1721" s="30">
        <v>0.2</v>
      </c>
      <c r="G1721" s="31"/>
      <c r="H1721" s="31"/>
      <c r="I1721" s="31"/>
      <c r="J1721" s="31"/>
    </row>
    <row r="1722" spans="1:10" ht="14.4" x14ac:dyDescent="0.3">
      <c r="A1722" s="28" t="str">
        <f>B1722&amp;C1722&amp;D1722&amp;E1722</f>
        <v>Бытовая химияЧистящие и моющие средстваСредства для ванной и туалетаСредства для ванной и туалета</v>
      </c>
      <c r="B1722" s="29" t="s">
        <v>146</v>
      </c>
      <c r="C1722" s="29" t="s">
        <v>567</v>
      </c>
      <c r="D1722" s="29" t="s">
        <v>1333</v>
      </c>
      <c r="E1722" s="29" t="s">
        <v>1333</v>
      </c>
      <c r="F1722" s="30">
        <v>0.2</v>
      </c>
      <c r="G1722" s="31"/>
      <c r="H1722" s="31"/>
      <c r="I1722" s="31"/>
      <c r="J1722" s="31"/>
    </row>
    <row r="1723" spans="1:10" ht="14.4" x14ac:dyDescent="0.3">
      <c r="A1723" s="28" t="str">
        <f>B1723&amp;C1723&amp;D1723&amp;E1723</f>
        <v>КанцтоварыПечати и штампыКассыКассы</v>
      </c>
      <c r="B1723" s="29" t="s">
        <v>163</v>
      </c>
      <c r="C1723" s="29" t="s">
        <v>698</v>
      </c>
      <c r="D1723" s="29" t="s">
        <v>1334</v>
      </c>
      <c r="E1723" s="29" t="s">
        <v>1334</v>
      </c>
      <c r="F1723" s="30">
        <v>0.2</v>
      </c>
      <c r="G1723" s="31"/>
      <c r="H1723" s="31"/>
      <c r="I1723" s="31"/>
      <c r="J1723" s="31"/>
    </row>
    <row r="1724" spans="1:10" ht="14.4" x14ac:dyDescent="0.3">
      <c r="A1724" s="28" t="str">
        <f>B1724&amp;C1724&amp;D1724&amp;E1724</f>
        <v>КанцтоварыПисьменные принадлежностиКарандашиКарандаши</v>
      </c>
      <c r="B1724" s="29" t="s">
        <v>163</v>
      </c>
      <c r="C1724" s="29" t="s">
        <v>684</v>
      </c>
      <c r="D1724" s="29" t="s">
        <v>1335</v>
      </c>
      <c r="E1724" s="29" t="s">
        <v>1335</v>
      </c>
      <c r="F1724" s="30">
        <v>0.2</v>
      </c>
      <c r="G1724" s="31"/>
      <c r="H1724" s="31"/>
      <c r="I1724" s="31"/>
      <c r="J1724" s="31"/>
    </row>
    <row r="1725" spans="1:10" ht="14.4" x14ac:dyDescent="0.3">
      <c r="A1725" s="28" t="str">
        <f>B1725&amp;C1725&amp;D1725&amp;E1725</f>
        <v>Строительство и ремонтИнструментыИзмерительные инструментыУровни и отвесы</v>
      </c>
      <c r="B1725" s="29" t="s">
        <v>77</v>
      </c>
      <c r="C1725" s="29" t="s">
        <v>78</v>
      </c>
      <c r="D1725" s="29" t="s">
        <v>207</v>
      </c>
      <c r="E1725" s="29" t="s">
        <v>1336</v>
      </c>
      <c r="F1725" s="30">
        <v>0.2</v>
      </c>
      <c r="G1725" s="31"/>
      <c r="H1725" s="31"/>
      <c r="I1725" s="31"/>
      <c r="J1725" s="31"/>
    </row>
    <row r="1726" spans="1:10" ht="14.4" x14ac:dyDescent="0.3">
      <c r="A1726" s="28" t="str">
        <f>B1726&amp;C1726&amp;D1726&amp;E1726</f>
        <v>Товары для домаХозяйственные товарыАксессуары для ваннойМыльницы, стаканы</v>
      </c>
      <c r="B1726" s="29" t="s">
        <v>59</v>
      </c>
      <c r="C1726" s="29" t="s">
        <v>193</v>
      </c>
      <c r="D1726" s="29" t="s">
        <v>194</v>
      </c>
      <c r="E1726" s="29" t="s">
        <v>1337</v>
      </c>
      <c r="F1726" s="30">
        <v>0.2</v>
      </c>
      <c r="G1726" s="31"/>
      <c r="H1726" s="31"/>
      <c r="I1726" s="31"/>
      <c r="J1726" s="31"/>
    </row>
    <row r="1727" spans="1:10" ht="14.4" x14ac:dyDescent="0.3">
      <c r="A1727" s="28" t="str">
        <f>B1727&amp;C1727&amp;D1727&amp;E1727</f>
        <v>КнигиЛитература на иностранных языкахАнглийский языкАнглийский язык</v>
      </c>
      <c r="B1727" s="29" t="s">
        <v>63</v>
      </c>
      <c r="C1727" s="29" t="s">
        <v>1188</v>
      </c>
      <c r="D1727" s="29" t="s">
        <v>1339</v>
      </c>
      <c r="E1727" s="29" t="s">
        <v>1339</v>
      </c>
      <c r="F1727" s="30">
        <v>0.2</v>
      </c>
      <c r="G1727" s="31"/>
      <c r="H1727" s="31"/>
      <c r="I1727" s="31"/>
      <c r="J1727" s="31"/>
    </row>
    <row r="1728" spans="1:10" ht="14.4" x14ac:dyDescent="0.3">
      <c r="A1728" s="28" t="str">
        <f>B1728&amp;C1728&amp;D1728&amp;E1728</f>
        <v>Красота и уходКорейская косметикаУход за лицомСыворотки</v>
      </c>
      <c r="B1728" s="29" t="s">
        <v>56</v>
      </c>
      <c r="C1728" s="29" t="s">
        <v>211</v>
      </c>
      <c r="D1728" s="29" t="s">
        <v>238</v>
      </c>
      <c r="E1728" s="29" t="s">
        <v>1340</v>
      </c>
      <c r="F1728" s="30">
        <v>0.2</v>
      </c>
      <c r="G1728" s="31"/>
      <c r="H1728" s="31"/>
      <c r="I1728" s="31"/>
      <c r="J1728" s="31"/>
    </row>
    <row r="1729" spans="1:10" ht="14.4" x14ac:dyDescent="0.3">
      <c r="A1729" s="28" t="str">
        <f>B1729&amp;C1729&amp;D1729&amp;E1729</f>
        <v>Красота и уходУход за волосамиОкрашивание и химическая завивкаОсветлители</v>
      </c>
      <c r="B1729" s="29" t="s">
        <v>56</v>
      </c>
      <c r="C1729" s="29" t="s">
        <v>109</v>
      </c>
      <c r="D1729" s="29" t="s">
        <v>362</v>
      </c>
      <c r="E1729" s="29" t="s">
        <v>1349</v>
      </c>
      <c r="F1729" s="30">
        <v>0.2</v>
      </c>
      <c r="G1729" s="31"/>
      <c r="H1729" s="31"/>
      <c r="I1729" s="31"/>
      <c r="J1729" s="31"/>
    </row>
    <row r="1730" spans="1:10" ht="14.4" x14ac:dyDescent="0.3">
      <c r="A1730" s="28" t="str">
        <f>B1730&amp;C1730&amp;D1730&amp;E1730</f>
        <v>Красота и уходУход за лицомСредства для проблемной кожиКремы</v>
      </c>
      <c r="B1730" s="29" t="s">
        <v>56</v>
      </c>
      <c r="C1730" s="29" t="s">
        <v>238</v>
      </c>
      <c r="D1730" s="29" t="s">
        <v>1354</v>
      </c>
      <c r="E1730" s="29" t="s">
        <v>1355</v>
      </c>
      <c r="F1730" s="30">
        <v>0.2</v>
      </c>
      <c r="G1730" s="31"/>
      <c r="H1730" s="31"/>
      <c r="I1730" s="31"/>
      <c r="J1730" s="31"/>
    </row>
    <row r="1731" spans="1:10" ht="14.4" x14ac:dyDescent="0.3">
      <c r="A1731" s="28" t="str">
        <f>B1731&amp;C1731&amp;D1731&amp;E1731</f>
        <v>КанцтоварыОфисные принадлежностиЛупыЛупы</v>
      </c>
      <c r="B1731" s="29" t="s">
        <v>163</v>
      </c>
      <c r="C1731" s="29" t="s">
        <v>227</v>
      </c>
      <c r="D1731" s="29" t="s">
        <v>1358</v>
      </c>
      <c r="E1731" s="29" t="s">
        <v>1358</v>
      </c>
      <c r="F1731" s="30">
        <v>0.2</v>
      </c>
      <c r="G1731" s="31"/>
      <c r="H1731" s="31"/>
      <c r="I1731" s="31"/>
      <c r="J1731" s="31"/>
    </row>
    <row r="1732" spans="1:10" ht="14.4" x14ac:dyDescent="0.3">
      <c r="A1732" s="28" t="str">
        <f>B1732&amp;C1732&amp;D1732&amp;E1732</f>
        <v>Спорт и отдыхАктивные виды отдыхаКомпрессионные повязки и рукаваКомпрессионные повязки и рукава</v>
      </c>
      <c r="B1732" s="29" t="s">
        <v>101</v>
      </c>
      <c r="C1732" s="29" t="s">
        <v>941</v>
      </c>
      <c r="D1732" s="29" t="s">
        <v>1361</v>
      </c>
      <c r="E1732" s="29" t="s">
        <v>1361</v>
      </c>
      <c r="F1732" s="30">
        <v>0.2</v>
      </c>
      <c r="G1732" s="31"/>
      <c r="H1732" s="31"/>
      <c r="I1732" s="31"/>
      <c r="J1732" s="31"/>
    </row>
    <row r="1733" spans="1:10" ht="14.4" x14ac:dyDescent="0.3">
      <c r="A1733" s="28" t="str">
        <f>B1733&amp;C1733&amp;D1733&amp;E1733</f>
        <v>ЭлектроникаФото и видеотехникаФото- и видеокамерыВидеокамеры</v>
      </c>
      <c r="B1733" s="29" t="s">
        <v>67</v>
      </c>
      <c r="C1733" s="29" t="s">
        <v>174</v>
      </c>
      <c r="D1733" s="29" t="s">
        <v>648</v>
      </c>
      <c r="E1733" s="29" t="s">
        <v>1365</v>
      </c>
      <c r="F1733" s="30">
        <v>0.2</v>
      </c>
      <c r="G1733" s="31"/>
      <c r="H1733" s="31"/>
      <c r="I1733" s="31"/>
      <c r="J1733" s="31"/>
    </row>
    <row r="1734" spans="1:10" ht="14.4" x14ac:dyDescent="0.3">
      <c r="A1734" s="28" t="str">
        <f>B1734&amp;C1734&amp;D1734&amp;E1734</f>
        <v>КнигиНехудожественная литератураНаучная литератураФилософия</v>
      </c>
      <c r="B1734" s="29" t="s">
        <v>63</v>
      </c>
      <c r="C1734" s="29" t="s">
        <v>141</v>
      </c>
      <c r="D1734" s="29" t="s">
        <v>1224</v>
      </c>
      <c r="E1734" s="29" t="s">
        <v>1369</v>
      </c>
      <c r="F1734" s="30">
        <v>0.2</v>
      </c>
      <c r="G1734" s="31"/>
      <c r="H1734" s="31"/>
      <c r="I1734" s="31"/>
      <c r="J1734" s="31"/>
    </row>
    <row r="1735" spans="1:10" ht="14.4" x14ac:dyDescent="0.3">
      <c r="A1735" s="28" t="str">
        <f>B1735&amp;C1735&amp;D1735&amp;E1735</f>
        <v>Детские товарыИгрушки и игрыРазвивающие и обучающие игрушкиДетские пирамидки</v>
      </c>
      <c r="B1735" s="29" t="s">
        <v>105</v>
      </c>
      <c r="C1735" s="29" t="s">
        <v>184</v>
      </c>
      <c r="D1735" s="29" t="s">
        <v>218</v>
      </c>
      <c r="E1735" s="29" t="s">
        <v>1371</v>
      </c>
      <c r="F1735" s="30">
        <v>0.2</v>
      </c>
      <c r="G1735" s="31"/>
      <c r="H1735" s="31"/>
      <c r="I1735" s="31"/>
      <c r="J1735" s="31"/>
    </row>
    <row r="1736" spans="1:10" ht="14.4" x14ac:dyDescent="0.3">
      <c r="A1736" s="28" t="str">
        <f>B1736&amp;C1736&amp;D1736&amp;E1736</f>
        <v>Красота и уходНаборы для красотыНаборы для маникюра и педикюраНаборы для маникюра и педикюра</v>
      </c>
      <c r="B1736" s="29" t="s">
        <v>56</v>
      </c>
      <c r="C1736" s="29" t="s">
        <v>1372</v>
      </c>
      <c r="D1736" s="29" t="s">
        <v>1373</v>
      </c>
      <c r="E1736" s="29" t="s">
        <v>1373</v>
      </c>
      <c r="F1736" s="30">
        <v>0.2</v>
      </c>
      <c r="G1736" s="31"/>
      <c r="H1736" s="31"/>
      <c r="I1736" s="31"/>
      <c r="J1736" s="31"/>
    </row>
    <row r="1737" spans="1:10" ht="14.4" x14ac:dyDescent="0.3">
      <c r="A1737" s="28" t="str">
        <f>B1737&amp;C1737&amp;D1737&amp;E1737</f>
        <v>Бытовая химияСредства от насекомых и грызуновИнсектицидыИнсектициды</v>
      </c>
      <c r="B1737" s="29" t="s">
        <v>146</v>
      </c>
      <c r="C1737" s="29" t="s">
        <v>384</v>
      </c>
      <c r="D1737" s="29" t="s">
        <v>1378</v>
      </c>
      <c r="E1737" s="29" t="s">
        <v>1378</v>
      </c>
      <c r="F1737" s="30">
        <v>0.2</v>
      </c>
      <c r="G1737" s="31"/>
      <c r="H1737" s="31"/>
      <c r="I1737" s="31"/>
      <c r="J1737" s="31"/>
    </row>
    <row r="1738" spans="1:10" ht="14.4" x14ac:dyDescent="0.3">
      <c r="A1738" s="28" t="str">
        <f>B1738&amp;C1738&amp;D1738&amp;E1738</f>
        <v>Красота и уходУход за волосамиСредства для очищения и уходаМаски и сыворотки</v>
      </c>
      <c r="B1738" s="29" t="s">
        <v>56</v>
      </c>
      <c r="C1738" s="29" t="s">
        <v>109</v>
      </c>
      <c r="D1738" s="29" t="s">
        <v>513</v>
      </c>
      <c r="E1738" s="29" t="s">
        <v>1380</v>
      </c>
      <c r="F1738" s="30">
        <v>0.2</v>
      </c>
      <c r="G1738" s="31"/>
      <c r="H1738" s="31"/>
      <c r="I1738" s="31"/>
      <c r="J1738" s="31"/>
    </row>
    <row r="1739" spans="1:10" ht="14.4" x14ac:dyDescent="0.3">
      <c r="A1739" s="28" t="str">
        <f>B1739&amp;C1739&amp;D1739&amp;E1739</f>
        <v>Товары для домаТовары для кухниСтоловая посудаНаборы посуды</v>
      </c>
      <c r="B1739" s="29" t="s">
        <v>59</v>
      </c>
      <c r="C1739" s="29" t="s">
        <v>60</v>
      </c>
      <c r="D1739" s="29" t="s">
        <v>328</v>
      </c>
      <c r="E1739" s="29" t="s">
        <v>1385</v>
      </c>
      <c r="F1739" s="30">
        <v>0.2</v>
      </c>
      <c r="G1739" s="31"/>
      <c r="H1739" s="31"/>
      <c r="I1739" s="31"/>
      <c r="J1739" s="31"/>
    </row>
    <row r="1740" spans="1:10" ht="14.4" x14ac:dyDescent="0.3">
      <c r="A1740" s="28" t="str">
        <f>B1740&amp;C1740&amp;D1740&amp;E1740</f>
        <v>Товары для домаКоврики для намазаКоврики для намазаКоврики для намаза</v>
      </c>
      <c r="B1740" s="29" t="s">
        <v>59</v>
      </c>
      <c r="C1740" s="29" t="s">
        <v>1389</v>
      </c>
      <c r="D1740" s="29" t="s">
        <v>1389</v>
      </c>
      <c r="E1740" s="29" t="s">
        <v>1389</v>
      </c>
      <c r="F1740" s="30">
        <v>0.2</v>
      </c>
      <c r="G1740" s="31"/>
      <c r="H1740" s="31"/>
      <c r="I1740" s="31"/>
      <c r="J1740" s="31"/>
    </row>
    <row r="1741" spans="1:10" ht="14.4" x14ac:dyDescent="0.3">
      <c r="A1741" s="28" t="str">
        <f>B1741&amp;C1741&amp;D1741&amp;E1741</f>
        <v>КанцтоварыПисьменные принадлежностиАксессуары и расходники для карандашейАксессуары и расходники для карандашей</v>
      </c>
      <c r="B1741" s="29" t="s">
        <v>163</v>
      </c>
      <c r="C1741" s="29" t="s">
        <v>684</v>
      </c>
      <c r="D1741" s="29" t="s">
        <v>1391</v>
      </c>
      <c r="E1741" s="29" t="s">
        <v>1391</v>
      </c>
      <c r="F1741" s="30">
        <v>0.2</v>
      </c>
      <c r="G1741" s="31"/>
      <c r="H1741" s="31"/>
      <c r="I1741" s="31"/>
      <c r="J1741" s="31"/>
    </row>
    <row r="1742" spans="1:10" ht="14.4" x14ac:dyDescent="0.3">
      <c r="A1742" s="28" t="str">
        <f>B1742&amp;C1742&amp;D1742&amp;E1742</f>
        <v>Красота и уходУход за лицомОчищение и умываниеМусс для ухода за кожей</v>
      </c>
      <c r="B1742" s="29" t="s">
        <v>56</v>
      </c>
      <c r="C1742" s="29" t="s">
        <v>238</v>
      </c>
      <c r="D1742" s="29" t="s">
        <v>728</v>
      </c>
      <c r="E1742" s="29" t="s">
        <v>1394</v>
      </c>
      <c r="F1742" s="30">
        <v>0.2</v>
      </c>
      <c r="G1742" s="31"/>
      <c r="H1742" s="31"/>
      <c r="I1742" s="31"/>
      <c r="J1742" s="31"/>
    </row>
    <row r="1743" spans="1:10" ht="14.4" x14ac:dyDescent="0.3">
      <c r="A1743" s="28" t="str">
        <f>B1743&amp;C1743&amp;D1743&amp;E1743</f>
        <v>Красота и уходУход за лицомУход за губамиГигиенические помады</v>
      </c>
      <c r="B1743" s="29" t="s">
        <v>56</v>
      </c>
      <c r="C1743" s="29" t="s">
        <v>238</v>
      </c>
      <c r="D1743" s="29" t="s">
        <v>1400</v>
      </c>
      <c r="E1743" s="29" t="s">
        <v>1401</v>
      </c>
      <c r="F1743" s="30">
        <v>0.2</v>
      </c>
      <c r="G1743" s="31"/>
      <c r="H1743" s="31"/>
      <c r="I1743" s="31"/>
      <c r="J1743" s="31"/>
    </row>
    <row r="1744" spans="1:10" ht="14.4" x14ac:dyDescent="0.3">
      <c r="A1744" s="28" t="str">
        <f>B1744&amp;C1744&amp;D1744&amp;E1744</f>
        <v>Красота и уходМакияжБровиШтамп-пудры для бровей</v>
      </c>
      <c r="B1744" s="29" t="s">
        <v>56</v>
      </c>
      <c r="C1744" s="29" t="s">
        <v>151</v>
      </c>
      <c r="D1744" s="29" t="s">
        <v>212</v>
      </c>
      <c r="E1744" s="29" t="s">
        <v>1413</v>
      </c>
      <c r="F1744" s="30">
        <v>0.2</v>
      </c>
      <c r="G1744" s="31"/>
      <c r="H1744" s="31"/>
      <c r="I1744" s="31"/>
      <c r="J1744" s="31"/>
    </row>
    <row r="1745" spans="1:10" ht="14.4" x14ac:dyDescent="0.3">
      <c r="A1745" s="28" t="str">
        <f>B1745&amp;C1745&amp;D1745&amp;E1745</f>
        <v>Детские товарыДетская комнатаТовары для снаДетские матрасы</v>
      </c>
      <c r="B1745" s="29" t="s">
        <v>105</v>
      </c>
      <c r="C1745" s="29" t="s">
        <v>397</v>
      </c>
      <c r="D1745" s="29" t="s">
        <v>581</v>
      </c>
      <c r="E1745" s="29" t="s">
        <v>1414</v>
      </c>
      <c r="F1745" s="30">
        <v>0.2</v>
      </c>
      <c r="G1745" s="31"/>
      <c r="H1745" s="31"/>
      <c r="I1745" s="31"/>
      <c r="J1745" s="31"/>
    </row>
    <row r="1746" spans="1:10" ht="14.4" x14ac:dyDescent="0.3">
      <c r="A1746" s="28" t="str">
        <f>B1746&amp;C1746&amp;D1746&amp;E1746</f>
        <v>Детские товарыДетское творчествоПазлы для детейПазлы для детей</v>
      </c>
      <c r="B1746" s="29" t="s">
        <v>105</v>
      </c>
      <c r="C1746" s="29" t="s">
        <v>440</v>
      </c>
      <c r="D1746" s="29" t="s">
        <v>1415</v>
      </c>
      <c r="E1746" s="29" t="s">
        <v>1415</v>
      </c>
      <c r="F1746" s="30">
        <v>0.2</v>
      </c>
      <c r="G1746" s="31"/>
      <c r="H1746" s="31"/>
      <c r="I1746" s="31"/>
      <c r="J1746" s="31"/>
    </row>
    <row r="1747" spans="1:10" ht="14.4" x14ac:dyDescent="0.3">
      <c r="A1747" s="28" t="str">
        <f>B1747&amp;C1747&amp;D1747&amp;E1747</f>
        <v>Товары для домаТовары для кухниСтоловая посудаПредметы сервировки</v>
      </c>
      <c r="B1747" s="29" t="s">
        <v>59</v>
      </c>
      <c r="C1747" s="29" t="s">
        <v>60</v>
      </c>
      <c r="D1747" s="29" t="s">
        <v>328</v>
      </c>
      <c r="E1747" s="29" t="s">
        <v>1417</v>
      </c>
      <c r="F1747" s="30">
        <v>0.2</v>
      </c>
      <c r="G1747" s="31"/>
      <c r="H1747" s="31"/>
      <c r="I1747" s="31"/>
      <c r="J1747" s="31"/>
    </row>
    <row r="1748" spans="1:10" ht="14.4" x14ac:dyDescent="0.3">
      <c r="A1748" s="28" t="str">
        <f>B1748&amp;C1748&amp;D1748&amp;E1748</f>
        <v>КанцтоварыНастольные подставки и визитницыСменные блоки для визитницСменные блоки для визитниц</v>
      </c>
      <c r="B1748" s="29" t="s">
        <v>163</v>
      </c>
      <c r="C1748" s="29" t="s">
        <v>402</v>
      </c>
      <c r="D1748" s="29" t="s">
        <v>1421</v>
      </c>
      <c r="E1748" s="29" t="s">
        <v>1421</v>
      </c>
      <c r="F1748" s="30">
        <v>0.2</v>
      </c>
      <c r="G1748" s="31"/>
      <c r="H1748" s="31"/>
      <c r="I1748" s="31"/>
      <c r="J1748" s="31"/>
    </row>
    <row r="1749" spans="1:10" ht="14.4" x14ac:dyDescent="0.3">
      <c r="A1749" s="28" t="str">
        <f>B1749&amp;C1749&amp;D1749&amp;E1749</f>
        <v>Детские товарыДетская комнатаДекор и освещениеОсвещение для детской</v>
      </c>
      <c r="B1749" s="29" t="s">
        <v>105</v>
      </c>
      <c r="C1749" s="29" t="s">
        <v>397</v>
      </c>
      <c r="D1749" s="29" t="s">
        <v>455</v>
      </c>
      <c r="E1749" s="29" t="s">
        <v>1422</v>
      </c>
      <c r="F1749" s="30">
        <v>0.2</v>
      </c>
      <c r="G1749" s="31"/>
      <c r="H1749" s="31"/>
      <c r="I1749" s="31"/>
      <c r="J1749" s="31"/>
    </row>
    <row r="1750" spans="1:10" ht="14.4" x14ac:dyDescent="0.3">
      <c r="A1750" s="28" t="str">
        <f>B1750&amp;C1750&amp;D1750&amp;E1750</f>
        <v>Красота и уходМакияжГлазаНаращивание ресниц</v>
      </c>
      <c r="B1750" s="29" t="s">
        <v>56</v>
      </c>
      <c r="C1750" s="29" t="s">
        <v>151</v>
      </c>
      <c r="D1750" s="29" t="s">
        <v>503</v>
      </c>
      <c r="E1750" s="29" t="s">
        <v>1423</v>
      </c>
      <c r="F1750" s="30">
        <v>0.2</v>
      </c>
      <c r="G1750" s="31"/>
      <c r="H1750" s="31"/>
      <c r="I1750" s="31"/>
      <c r="J1750" s="31"/>
    </row>
    <row r="1751" spans="1:10" ht="14.4" x14ac:dyDescent="0.3">
      <c r="A1751" s="28" t="str">
        <f>B1751&amp;C1751&amp;D1751&amp;E1751</f>
        <v>Товары для домаМебельЖурнальные столикиЖурнальные столики</v>
      </c>
      <c r="B1751" s="29" t="s">
        <v>59</v>
      </c>
      <c r="C1751" s="29" t="s">
        <v>302</v>
      </c>
      <c r="D1751" s="29" t="s">
        <v>1424</v>
      </c>
      <c r="E1751" s="29" t="s">
        <v>1424</v>
      </c>
      <c r="F1751" s="30">
        <v>0.2</v>
      </c>
      <c r="G1751" s="31"/>
      <c r="H1751" s="31"/>
      <c r="I1751" s="31"/>
      <c r="J1751" s="31"/>
    </row>
    <row r="1752" spans="1:10" ht="14.4" x14ac:dyDescent="0.3">
      <c r="A1752" s="28" t="str">
        <f>B1752&amp;C1752&amp;D1752&amp;E1752</f>
        <v>ОбувьЖенская обувьСлипоныНизкие слипоны</v>
      </c>
      <c r="B1752" s="29" t="s">
        <v>180</v>
      </c>
      <c r="C1752" s="29" t="s">
        <v>181</v>
      </c>
      <c r="D1752" s="29" t="s">
        <v>940</v>
      </c>
      <c r="E1752" s="29" t="s">
        <v>1427</v>
      </c>
      <c r="F1752" s="30">
        <v>0.2</v>
      </c>
      <c r="G1752" s="31"/>
      <c r="H1752" s="31"/>
      <c r="I1752" s="31"/>
      <c r="J1752" s="31"/>
    </row>
    <row r="1753" spans="1:10" ht="14.4" x14ac:dyDescent="0.3">
      <c r="A1753" s="28" t="str">
        <f>B1753&amp;C1753&amp;D1753&amp;E1753</f>
        <v>Бытовая химияСредства от насекомых и грызуновРепеллентыРепелленты</v>
      </c>
      <c r="B1753" s="29" t="s">
        <v>146</v>
      </c>
      <c r="C1753" s="29" t="s">
        <v>384</v>
      </c>
      <c r="D1753" s="29" t="s">
        <v>1428</v>
      </c>
      <c r="E1753" s="29" t="s">
        <v>1428</v>
      </c>
      <c r="F1753" s="30">
        <v>0.2</v>
      </c>
      <c r="G1753" s="31"/>
      <c r="H1753" s="31"/>
      <c r="I1753" s="31"/>
      <c r="J1753" s="31"/>
    </row>
    <row r="1754" spans="1:10" ht="14.4" x14ac:dyDescent="0.3">
      <c r="A1754" s="28" t="str">
        <f>B1754&amp;C1754&amp;D1754&amp;E1754</f>
        <v>Красота и уходНаборы для красотыПарфюмированный наборПарфюмированный набор</v>
      </c>
      <c r="B1754" s="29" t="s">
        <v>56</v>
      </c>
      <c r="C1754" s="29" t="s">
        <v>1372</v>
      </c>
      <c r="D1754" s="29" t="s">
        <v>1429</v>
      </c>
      <c r="E1754" s="29" t="s">
        <v>1429</v>
      </c>
      <c r="F1754" s="30">
        <v>0.2</v>
      </c>
      <c r="G1754" s="31"/>
      <c r="H1754" s="31"/>
      <c r="I1754" s="31"/>
      <c r="J1754" s="31"/>
    </row>
    <row r="1755" spans="1:10" ht="14.4" x14ac:dyDescent="0.3">
      <c r="A1755" s="28" t="str">
        <f>B1755&amp;C1755&amp;D1755&amp;E1755</f>
        <v>КнигиХудожественная литератураПоэзияСовременная поэзия</v>
      </c>
      <c r="B1755" s="29" t="s">
        <v>63</v>
      </c>
      <c r="C1755" s="29" t="s">
        <v>374</v>
      </c>
      <c r="D1755" s="29" t="s">
        <v>746</v>
      </c>
      <c r="E1755" s="29" t="s">
        <v>1430</v>
      </c>
      <c r="F1755" s="30">
        <v>0.2</v>
      </c>
      <c r="G1755" s="31"/>
      <c r="H1755" s="31"/>
      <c r="I1755" s="31"/>
      <c r="J1755" s="31"/>
    </row>
    <row r="1756" spans="1:10" ht="14.4" x14ac:dyDescent="0.3">
      <c r="A1756" s="28" t="str">
        <f>B1756&amp;C1756&amp;D1756&amp;E1756</f>
        <v>КнигиУчебная литература1 класс1 класс</v>
      </c>
      <c r="B1756" s="29" t="s">
        <v>63</v>
      </c>
      <c r="C1756" s="29" t="s">
        <v>210</v>
      </c>
      <c r="D1756" s="29" t="s">
        <v>1434</v>
      </c>
      <c r="E1756" s="29" t="s">
        <v>1434</v>
      </c>
      <c r="F1756" s="30">
        <v>0.2</v>
      </c>
      <c r="G1756" s="31"/>
      <c r="H1756" s="31"/>
      <c r="I1756" s="31"/>
      <c r="J1756" s="31"/>
    </row>
    <row r="1757" spans="1:10" ht="14.4" x14ac:dyDescent="0.3">
      <c r="A1757" s="28" t="str">
        <f>B1757&amp;C1757&amp;D1757&amp;E1757</f>
        <v>КнигиУчебная литература4 класс4 класс</v>
      </c>
      <c r="B1757" s="29" t="s">
        <v>63</v>
      </c>
      <c r="C1757" s="29" t="s">
        <v>210</v>
      </c>
      <c r="D1757" s="29" t="s">
        <v>1436</v>
      </c>
      <c r="E1757" s="29" t="s">
        <v>1436</v>
      </c>
      <c r="F1757" s="30">
        <v>0.2</v>
      </c>
      <c r="G1757" s="31"/>
      <c r="H1757" s="31"/>
      <c r="I1757" s="31"/>
      <c r="J1757" s="31"/>
    </row>
    <row r="1758" spans="1:10" ht="14.4" x14ac:dyDescent="0.3">
      <c r="A1758" s="28" t="str">
        <f>B1758&amp;C1758&amp;D1758&amp;E1758</f>
        <v>Красота и уходМакияжГлазаЛаминирование ресниц</v>
      </c>
      <c r="B1758" s="29" t="s">
        <v>56</v>
      </c>
      <c r="C1758" s="29" t="s">
        <v>151</v>
      </c>
      <c r="D1758" s="29" t="s">
        <v>503</v>
      </c>
      <c r="E1758" s="29" t="s">
        <v>1437</v>
      </c>
      <c r="F1758" s="30">
        <v>0.2</v>
      </c>
      <c r="G1758" s="31"/>
      <c r="H1758" s="31"/>
      <c r="I1758" s="31"/>
      <c r="J1758" s="31"/>
    </row>
    <row r="1759" spans="1:10" ht="14.4" x14ac:dyDescent="0.3">
      <c r="A1759" s="28" t="str">
        <f>B1759&amp;C1759&amp;D1759&amp;E1759</f>
        <v>ЗоотоварыДля собакКормушки и подставки для мисокКормушки</v>
      </c>
      <c r="B1759" s="29" t="s">
        <v>214</v>
      </c>
      <c r="C1759" s="29" t="s">
        <v>509</v>
      </c>
      <c r="D1759" s="29" t="s">
        <v>1445</v>
      </c>
      <c r="E1759" s="29" t="s">
        <v>585</v>
      </c>
      <c r="F1759" s="30">
        <v>0.2</v>
      </c>
      <c r="G1759" s="31"/>
      <c r="H1759" s="31"/>
      <c r="I1759" s="31"/>
      <c r="J1759" s="31"/>
    </row>
    <row r="1760" spans="1:10" ht="14.4" x14ac:dyDescent="0.3">
      <c r="A1760" s="28" t="str">
        <f>B1760&amp;C1760&amp;D1760&amp;E1760</f>
        <v>ЭлектроникаНаушники и аудиотехникаНаушникиБеспроводные наушники</v>
      </c>
      <c r="B1760" s="29" t="s">
        <v>67</v>
      </c>
      <c r="C1760" s="29" t="s">
        <v>74</v>
      </c>
      <c r="D1760" s="29" t="s">
        <v>75</v>
      </c>
      <c r="E1760" s="29" t="s">
        <v>1447</v>
      </c>
      <c r="F1760" s="30">
        <v>0.2</v>
      </c>
      <c r="G1760" s="31"/>
      <c r="H1760" s="31"/>
      <c r="I1760" s="31"/>
      <c r="J1760" s="31"/>
    </row>
    <row r="1761" spans="1:10" ht="14.4" x14ac:dyDescent="0.3">
      <c r="A1761" s="28" t="str">
        <f>B1761&amp;C1761&amp;D1761&amp;E1761</f>
        <v>АвтотоварыМасла и автохимияМоторные маслаМоторные масла</v>
      </c>
      <c r="B1761" s="29" t="s">
        <v>12</v>
      </c>
      <c r="C1761" s="29" t="s">
        <v>848</v>
      </c>
      <c r="D1761" s="29" t="s">
        <v>1449</v>
      </c>
      <c r="E1761" s="29" t="s">
        <v>1449</v>
      </c>
      <c r="F1761" s="30">
        <v>0.2</v>
      </c>
      <c r="G1761" s="31"/>
      <c r="H1761" s="31"/>
      <c r="I1761" s="31"/>
      <c r="J1761" s="31"/>
    </row>
    <row r="1762" spans="1:10" ht="14.4" x14ac:dyDescent="0.3">
      <c r="A1762" s="28" t="str">
        <f>B1762&amp;C1762&amp;D1762&amp;E1762</f>
        <v>КнигиНехудожественная литератураНаучная литератураЕстественные науки</v>
      </c>
      <c r="B1762" s="29" t="s">
        <v>63</v>
      </c>
      <c r="C1762" s="29" t="s">
        <v>141</v>
      </c>
      <c r="D1762" s="29" t="s">
        <v>1224</v>
      </c>
      <c r="E1762" s="29" t="s">
        <v>1450</v>
      </c>
      <c r="F1762" s="30">
        <v>0.2</v>
      </c>
      <c r="G1762" s="31"/>
      <c r="H1762" s="31"/>
      <c r="I1762" s="31"/>
      <c r="J1762" s="31"/>
    </row>
    <row r="1763" spans="1:10" ht="14.4" x14ac:dyDescent="0.3">
      <c r="A1763" s="28" t="str">
        <f>B1763&amp;C1763&amp;D1763&amp;E1763</f>
        <v>КнигиНехудожественная литератураНаучная литератураМатематика</v>
      </c>
      <c r="B1763" s="29" t="s">
        <v>63</v>
      </c>
      <c r="C1763" s="29" t="s">
        <v>141</v>
      </c>
      <c r="D1763" s="29" t="s">
        <v>1224</v>
      </c>
      <c r="E1763" s="29" t="s">
        <v>1452</v>
      </c>
      <c r="F1763" s="30">
        <v>0.2</v>
      </c>
      <c r="G1763" s="31"/>
      <c r="H1763" s="31"/>
      <c r="I1763" s="31"/>
      <c r="J1763" s="31"/>
    </row>
    <row r="1764" spans="1:10" ht="14.4" x14ac:dyDescent="0.3">
      <c r="A1764" s="28" t="str">
        <f>B1764&amp;C1764&amp;D1764&amp;E1764</f>
        <v>Строительство и ремонтЭлектрикаДомофоны, звонки и системы безопасностиДомофоны, звонки и системы безопасности</v>
      </c>
      <c r="B1764" s="29" t="s">
        <v>77</v>
      </c>
      <c r="C1764" s="29" t="s">
        <v>600</v>
      </c>
      <c r="D1764" s="29" t="s">
        <v>1453</v>
      </c>
      <c r="E1764" s="29" t="s">
        <v>1453</v>
      </c>
      <c r="F1764" s="30">
        <v>0.2</v>
      </c>
      <c r="G1764" s="31"/>
      <c r="H1764" s="31"/>
      <c r="I1764" s="31"/>
      <c r="J1764" s="31"/>
    </row>
    <row r="1765" spans="1:10" ht="14.4" x14ac:dyDescent="0.3">
      <c r="A1765" s="28" t="str">
        <f>B1765&amp;C1765&amp;D1765&amp;E1765</f>
        <v>КнигиНехудожественная литератураИсторияИстория войн</v>
      </c>
      <c r="B1765" s="29" t="s">
        <v>63</v>
      </c>
      <c r="C1765" s="29" t="s">
        <v>141</v>
      </c>
      <c r="D1765" s="29" t="s">
        <v>951</v>
      </c>
      <c r="E1765" s="29" t="s">
        <v>1454</v>
      </c>
      <c r="F1765" s="30">
        <v>0.2</v>
      </c>
      <c r="G1765" s="31"/>
      <c r="H1765" s="31"/>
      <c r="I1765" s="31"/>
      <c r="J1765" s="31"/>
    </row>
    <row r="1766" spans="1:10" ht="14.4" x14ac:dyDescent="0.3">
      <c r="A1766" s="28" t="str">
        <f>B1766&amp;C1766&amp;D1766&amp;E1766</f>
        <v>КанцтоварыОфисные принадлежностиКорзины для бумагКорзины для бумаг</v>
      </c>
      <c r="B1766" s="29" t="s">
        <v>163</v>
      </c>
      <c r="C1766" s="29" t="s">
        <v>227</v>
      </c>
      <c r="D1766" s="29" t="s">
        <v>1457</v>
      </c>
      <c r="E1766" s="29" t="s">
        <v>1457</v>
      </c>
      <c r="F1766" s="30">
        <v>0.2</v>
      </c>
      <c r="G1766" s="31"/>
      <c r="H1766" s="31"/>
      <c r="I1766" s="31"/>
      <c r="J1766" s="31"/>
    </row>
    <row r="1767" spans="1:10" ht="14.4" x14ac:dyDescent="0.3">
      <c r="A1767" s="28" t="str">
        <f>B1767&amp;C1767&amp;D1767&amp;E1767</f>
        <v>КнигиУчебная литература2 класс2 класс</v>
      </c>
      <c r="B1767" s="29" t="s">
        <v>63</v>
      </c>
      <c r="C1767" s="29" t="s">
        <v>210</v>
      </c>
      <c r="D1767" s="29" t="s">
        <v>1466</v>
      </c>
      <c r="E1767" s="29" t="s">
        <v>1466</v>
      </c>
      <c r="F1767" s="30">
        <v>0.2</v>
      </c>
      <c r="G1767" s="31"/>
      <c r="H1767" s="31"/>
      <c r="I1767" s="31"/>
      <c r="J1767" s="31"/>
    </row>
    <row r="1768" spans="1:10" ht="14.4" x14ac:dyDescent="0.3">
      <c r="A1768" s="28" t="str">
        <f>B1768&amp;C1768&amp;D1768&amp;E1768</f>
        <v>КанцтоварыКалькуляторыИнженерные калькуляторыИнженерные калькуляторы</v>
      </c>
      <c r="B1768" s="29" t="s">
        <v>163</v>
      </c>
      <c r="C1768" s="29" t="s">
        <v>164</v>
      </c>
      <c r="D1768" s="29" t="s">
        <v>1468</v>
      </c>
      <c r="E1768" s="29" t="s">
        <v>1468</v>
      </c>
      <c r="F1768" s="30">
        <v>0.2</v>
      </c>
      <c r="G1768" s="31"/>
      <c r="H1768" s="31"/>
      <c r="I1768" s="31"/>
      <c r="J1768" s="31"/>
    </row>
    <row r="1769" spans="1:10" ht="14.4" x14ac:dyDescent="0.3">
      <c r="A1769" s="28" t="str">
        <f>B1769&amp;C1769&amp;D1769&amp;E1769</f>
        <v>Товары для домаХозяйственные товарыУход за одеждой и обувьюАксессуары для чистки</v>
      </c>
      <c r="B1769" s="29" t="s">
        <v>59</v>
      </c>
      <c r="C1769" s="29" t="s">
        <v>193</v>
      </c>
      <c r="D1769" s="29" t="s">
        <v>332</v>
      </c>
      <c r="E1769" s="29" t="s">
        <v>1469</v>
      </c>
      <c r="F1769" s="30">
        <v>0.2</v>
      </c>
      <c r="G1769" s="31"/>
      <c r="H1769" s="31"/>
      <c r="I1769" s="31"/>
      <c r="J1769" s="31"/>
    </row>
    <row r="1770" spans="1:10" ht="14.4" x14ac:dyDescent="0.3">
      <c r="A1770" s="28" t="str">
        <f>B1770&amp;C1770&amp;D1770&amp;E1770</f>
        <v>АвтотоварыАвтозвукАксессуары для автозвукаАксессуары для автозвука</v>
      </c>
      <c r="B1770" s="29" t="s">
        <v>12</v>
      </c>
      <c r="C1770" s="29" t="s">
        <v>297</v>
      </c>
      <c r="D1770" s="29" t="s">
        <v>1473</v>
      </c>
      <c r="E1770" s="29" t="s">
        <v>1473</v>
      </c>
      <c r="F1770" s="30">
        <v>0.2</v>
      </c>
      <c r="G1770" s="31"/>
      <c r="H1770" s="31"/>
      <c r="I1770" s="31"/>
      <c r="J1770" s="31"/>
    </row>
    <row r="1771" spans="1:10" ht="14.4" x14ac:dyDescent="0.3">
      <c r="A1771" s="28" t="str">
        <f>B1771&amp;C1771&amp;D1771&amp;E1771</f>
        <v>Детские товарыДетская комнатаДетская мебельКомплекты детской мебели</v>
      </c>
      <c r="B1771" s="29" t="s">
        <v>105</v>
      </c>
      <c r="C1771" s="29" t="s">
        <v>397</v>
      </c>
      <c r="D1771" s="29" t="s">
        <v>617</v>
      </c>
      <c r="E1771" s="29" t="s">
        <v>1482</v>
      </c>
      <c r="F1771" s="30">
        <v>0.2</v>
      </c>
      <c r="G1771" s="31"/>
      <c r="H1771" s="31"/>
      <c r="I1771" s="31"/>
      <c r="J1771" s="31"/>
    </row>
    <row r="1772" spans="1:10" ht="14.4" x14ac:dyDescent="0.3">
      <c r="A1772" s="28" t="str">
        <f>B1772&amp;C1772&amp;D1772&amp;E1772</f>
        <v>КнигиНехудожественная литератураСаморазвитиеМотивация</v>
      </c>
      <c r="B1772" s="29" t="s">
        <v>63</v>
      </c>
      <c r="C1772" s="29" t="s">
        <v>141</v>
      </c>
      <c r="D1772" s="29" t="s">
        <v>452</v>
      </c>
      <c r="E1772" s="29" t="s">
        <v>1484</v>
      </c>
      <c r="F1772" s="30">
        <v>0.2</v>
      </c>
      <c r="G1772" s="31"/>
      <c r="H1772" s="31"/>
      <c r="I1772" s="31"/>
      <c r="J1772" s="31"/>
    </row>
    <row r="1773" spans="1:10" ht="14.4" x14ac:dyDescent="0.3">
      <c r="A1773" s="28" t="str">
        <f>B1773&amp;C1773&amp;D1773&amp;E1773</f>
        <v>АвтотоварыТовары для мототехники, мотоэкипировкаЭкипировка для мотоциклистовЭкипировка для мотоциклистов</v>
      </c>
      <c r="B1773" s="29" t="s">
        <v>12</v>
      </c>
      <c r="C1773" s="29" t="s">
        <v>1486</v>
      </c>
      <c r="D1773" s="29" t="s">
        <v>1487</v>
      </c>
      <c r="E1773" s="29" t="s">
        <v>1487</v>
      </c>
      <c r="F1773" s="30">
        <v>0.2</v>
      </c>
      <c r="G1773" s="31"/>
      <c r="H1773" s="31"/>
      <c r="I1773" s="31"/>
      <c r="J1773" s="31"/>
    </row>
    <row r="1774" spans="1:10" ht="14.4" x14ac:dyDescent="0.3">
      <c r="A1774" s="28" t="str">
        <f>B1774&amp;C1774&amp;D1774&amp;E1774</f>
        <v>Красота и уходУход за лицомСредства для проблемной кожиСкраб</v>
      </c>
      <c r="B1774" s="29" t="s">
        <v>56</v>
      </c>
      <c r="C1774" s="29" t="s">
        <v>238</v>
      </c>
      <c r="D1774" s="29" t="s">
        <v>1354</v>
      </c>
      <c r="E1774" s="29" t="s">
        <v>1488</v>
      </c>
      <c r="F1774" s="30">
        <v>0.2</v>
      </c>
      <c r="G1774" s="31"/>
      <c r="H1774" s="31"/>
      <c r="I1774" s="31"/>
      <c r="J1774" s="31"/>
    </row>
    <row r="1775" spans="1:10" ht="14.4" x14ac:dyDescent="0.3">
      <c r="A1775" s="28" t="str">
        <f>B1775&amp;C1775&amp;D1775&amp;E1775</f>
        <v>Красота и уходУход за теломУвлажнение и питаниеЛосьоны и молочко</v>
      </c>
      <c r="B1775" s="29" t="s">
        <v>56</v>
      </c>
      <c r="C1775" s="29" t="s">
        <v>100</v>
      </c>
      <c r="D1775" s="29" t="s">
        <v>134</v>
      </c>
      <c r="E1775" s="29" t="s">
        <v>1489</v>
      </c>
      <c r="F1775" s="30">
        <v>0.2</v>
      </c>
      <c r="G1775" s="31"/>
      <c r="H1775" s="31"/>
      <c r="I1775" s="31"/>
      <c r="J1775" s="31"/>
    </row>
    <row r="1776" spans="1:10" ht="14.4" x14ac:dyDescent="0.3">
      <c r="A1776" s="28" t="str">
        <f>B1776&amp;C1776&amp;D1776&amp;E1776</f>
        <v>КанцтоварыПапки и файлыОбложки для переплетаОбложки для переплета</v>
      </c>
      <c r="B1776" s="29" t="s">
        <v>163</v>
      </c>
      <c r="C1776" s="29" t="s">
        <v>293</v>
      </c>
      <c r="D1776" s="29" t="s">
        <v>1490</v>
      </c>
      <c r="E1776" s="29" t="s">
        <v>1490</v>
      </c>
      <c r="F1776" s="30">
        <v>0.2</v>
      </c>
      <c r="G1776" s="31"/>
      <c r="H1776" s="31"/>
      <c r="I1776" s="31"/>
      <c r="J1776" s="31"/>
    </row>
    <row r="1777" spans="1:10" ht="14.4" x14ac:dyDescent="0.3">
      <c r="A1777" s="28" t="str">
        <f>B1777&amp;C1777&amp;D1777&amp;E1777</f>
        <v>КнигиУчебная литератураАбитуриентам, студентам и аспирантамАбитуриентам, студентам и аспирантам</v>
      </c>
      <c r="B1777" s="29" t="s">
        <v>63</v>
      </c>
      <c r="C1777" s="29" t="s">
        <v>210</v>
      </c>
      <c r="D1777" s="29" t="s">
        <v>1493</v>
      </c>
      <c r="E1777" s="29" t="s">
        <v>1493</v>
      </c>
      <c r="F1777" s="30">
        <v>0.2</v>
      </c>
      <c r="G1777" s="31"/>
      <c r="H1777" s="31"/>
      <c r="I1777" s="31"/>
      <c r="J1777" s="31"/>
    </row>
    <row r="1778" spans="1:10" ht="14.4" x14ac:dyDescent="0.3">
      <c r="A1778" s="28" t="str">
        <f>B1778&amp;C1778&amp;D1778&amp;E1778</f>
        <v>Красота и уходУход за лицомМаскиАльгинатные, гелевые и кремовые маски</v>
      </c>
      <c r="B1778" s="29" t="s">
        <v>56</v>
      </c>
      <c r="C1778" s="29" t="s">
        <v>238</v>
      </c>
      <c r="D1778" s="29" t="s">
        <v>239</v>
      </c>
      <c r="E1778" s="29" t="s">
        <v>1499</v>
      </c>
      <c r="F1778" s="30">
        <v>0.2</v>
      </c>
      <c r="G1778" s="31"/>
      <c r="H1778" s="31"/>
      <c r="I1778" s="31"/>
      <c r="J1778" s="31"/>
    </row>
    <row r="1779" spans="1:10" ht="14.4" x14ac:dyDescent="0.3">
      <c r="A1779" s="28" t="str">
        <f>B1779&amp;C1779&amp;D1779&amp;E1779</f>
        <v>Детские товарыИгрушки и игрыКонструкторыБлочные</v>
      </c>
      <c r="B1779" s="29" t="s">
        <v>105</v>
      </c>
      <c r="C1779" s="29" t="s">
        <v>184</v>
      </c>
      <c r="D1779" s="29" t="s">
        <v>1027</v>
      </c>
      <c r="E1779" s="29" t="s">
        <v>1501</v>
      </c>
      <c r="F1779" s="30">
        <v>0.2</v>
      </c>
      <c r="G1779" s="31"/>
      <c r="H1779" s="31"/>
      <c r="I1779" s="31"/>
      <c r="J1779" s="31"/>
    </row>
    <row r="1780" spans="1:10" ht="14.4" x14ac:dyDescent="0.3">
      <c r="A1780" s="28" t="str">
        <f>B1780&amp;C1780&amp;D1780&amp;E1780</f>
        <v>КанцтоварыБумажная продукцияТрудовые и медицинские книжки, удостоверенияБланк для удостоверения</v>
      </c>
      <c r="B1780" s="29" t="s">
        <v>163</v>
      </c>
      <c r="C1780" s="29" t="s">
        <v>261</v>
      </c>
      <c r="D1780" s="29" t="s">
        <v>1505</v>
      </c>
      <c r="E1780" s="29" t="s">
        <v>1506</v>
      </c>
      <c r="F1780" s="30">
        <v>0.2</v>
      </c>
      <c r="G1780" s="31"/>
      <c r="H1780" s="31"/>
      <c r="I1780" s="31"/>
      <c r="J1780" s="31"/>
    </row>
    <row r="1781" spans="1:10" ht="14.4" x14ac:dyDescent="0.3">
      <c r="A1781" s="28" t="str">
        <f>B1781&amp;C1781&amp;D1781&amp;E1781</f>
        <v>ЗоотоварыДля кошекДомики и лежаки для кошекЛежаки и кровати</v>
      </c>
      <c r="B1781" s="29" t="s">
        <v>214</v>
      </c>
      <c r="C1781" s="29" t="s">
        <v>283</v>
      </c>
      <c r="D1781" s="29" t="s">
        <v>721</v>
      </c>
      <c r="E1781" s="29" t="s">
        <v>1510</v>
      </c>
      <c r="F1781" s="30">
        <v>0.2</v>
      </c>
      <c r="G1781" s="31"/>
      <c r="H1781" s="31"/>
      <c r="I1781" s="31"/>
      <c r="J1781" s="31"/>
    </row>
    <row r="1782" spans="1:10" ht="14.4" x14ac:dyDescent="0.3">
      <c r="A1782" s="28" t="str">
        <f>B1782&amp;C1782&amp;D1782&amp;E1782</f>
        <v>КнигиНехудожественная литератураКомпьютерные технологииРазработка и алгоритмы</v>
      </c>
      <c r="B1782" s="29" t="s">
        <v>63</v>
      </c>
      <c r="C1782" s="29" t="s">
        <v>141</v>
      </c>
      <c r="D1782" s="29" t="s">
        <v>450</v>
      </c>
      <c r="E1782" s="29" t="s">
        <v>1511</v>
      </c>
      <c r="F1782" s="30">
        <v>0.2</v>
      </c>
      <c r="G1782" s="31"/>
      <c r="H1782" s="31"/>
      <c r="I1782" s="31"/>
      <c r="J1782" s="31"/>
    </row>
    <row r="1783" spans="1:10" ht="14.4" x14ac:dyDescent="0.3">
      <c r="A1783" s="28" t="str">
        <f>B1783&amp;C1783&amp;D1783&amp;E1783</f>
        <v>Красота и уходУход за лицомУвлажнение и питаниеЭликсиры для лица</v>
      </c>
      <c r="B1783" s="29" t="s">
        <v>56</v>
      </c>
      <c r="C1783" s="29" t="s">
        <v>238</v>
      </c>
      <c r="D1783" s="29" t="s">
        <v>134</v>
      </c>
      <c r="E1783" s="29" t="s">
        <v>1514</v>
      </c>
      <c r="F1783" s="30">
        <v>0.2</v>
      </c>
      <c r="G1783" s="31"/>
      <c r="H1783" s="31"/>
      <c r="I1783" s="31"/>
      <c r="J1783" s="31"/>
    </row>
    <row r="1784" spans="1:10" ht="14.4" x14ac:dyDescent="0.3">
      <c r="A1784" s="28" t="str">
        <f>B1784&amp;C1784&amp;D1784&amp;E1784</f>
        <v>ОбувьМужская обувьРезиновая обувьСланцы</v>
      </c>
      <c r="B1784" s="29" t="s">
        <v>180</v>
      </c>
      <c r="C1784" s="29" t="s">
        <v>279</v>
      </c>
      <c r="D1784" s="29" t="s">
        <v>593</v>
      </c>
      <c r="E1784" s="29" t="s">
        <v>1515</v>
      </c>
      <c r="F1784" s="30">
        <v>0.2</v>
      </c>
      <c r="G1784" s="31"/>
      <c r="H1784" s="31"/>
      <c r="I1784" s="31"/>
      <c r="J1784" s="31"/>
    </row>
    <row r="1785" spans="1:10" ht="14.4" x14ac:dyDescent="0.3">
      <c r="A1785" s="28" t="str">
        <f>B1785&amp;C1785&amp;D1785&amp;E1785</f>
        <v>КнигиНехудожественная литератураКулинарные книгиКулинарные книги</v>
      </c>
      <c r="B1785" s="29" t="s">
        <v>63</v>
      </c>
      <c r="C1785" s="29" t="s">
        <v>141</v>
      </c>
      <c r="D1785" s="29" t="s">
        <v>1517</v>
      </c>
      <c r="E1785" s="29" t="s">
        <v>1517</v>
      </c>
      <c r="F1785" s="30">
        <v>0.2</v>
      </c>
      <c r="G1785" s="31"/>
      <c r="H1785" s="31"/>
      <c r="I1785" s="31"/>
      <c r="J1785" s="31"/>
    </row>
    <row r="1786" spans="1:10" ht="14.4" x14ac:dyDescent="0.3">
      <c r="A1786" s="28" t="str">
        <f>B1786&amp;C1786&amp;D1786&amp;E1786</f>
        <v>КанцтоварыПечати и штампыПодушки штемпельныеПодушки штемпельные</v>
      </c>
      <c r="B1786" s="29" t="s">
        <v>163</v>
      </c>
      <c r="C1786" s="29" t="s">
        <v>698</v>
      </c>
      <c r="D1786" s="29" t="s">
        <v>1519</v>
      </c>
      <c r="E1786" s="29" t="s">
        <v>1519</v>
      </c>
      <c r="F1786" s="30">
        <v>0.2</v>
      </c>
      <c r="G1786" s="31"/>
      <c r="H1786" s="31"/>
      <c r="I1786" s="31"/>
      <c r="J1786" s="31"/>
    </row>
    <row r="1787" spans="1:10" ht="14.4" x14ac:dyDescent="0.3">
      <c r="A1787" s="28" t="str">
        <f>B1787&amp;C1787&amp;D1787&amp;E1787</f>
        <v>Детские товарыИгрушки и игрыРадиоуправляемые модели и игрушкиРадиоуправляемые модели и игрушки</v>
      </c>
      <c r="B1787" s="29" t="s">
        <v>105</v>
      </c>
      <c r="C1787" s="29" t="s">
        <v>184</v>
      </c>
      <c r="D1787" s="29" t="s">
        <v>1520</v>
      </c>
      <c r="E1787" s="29" t="s">
        <v>1520</v>
      </c>
      <c r="F1787" s="30">
        <v>0.2</v>
      </c>
      <c r="G1787" s="31"/>
      <c r="H1787" s="31"/>
      <c r="I1787" s="31"/>
      <c r="J1787" s="31"/>
    </row>
    <row r="1788" spans="1:10" ht="14.4" x14ac:dyDescent="0.3">
      <c r="A1788" s="28" t="str">
        <f>B1788&amp;C1788&amp;D1788&amp;E1788</f>
        <v>Красота и уходКорейская косметикаУход за лицомТонеры</v>
      </c>
      <c r="B1788" s="29" t="s">
        <v>56</v>
      </c>
      <c r="C1788" s="29" t="s">
        <v>211</v>
      </c>
      <c r="D1788" s="29" t="s">
        <v>238</v>
      </c>
      <c r="E1788" s="29" t="s">
        <v>1522</v>
      </c>
      <c r="F1788" s="30">
        <v>0.2</v>
      </c>
      <c r="G1788" s="31"/>
      <c r="H1788" s="31"/>
      <c r="I1788" s="31"/>
      <c r="J1788" s="31"/>
    </row>
    <row r="1789" spans="1:10" ht="14.4" x14ac:dyDescent="0.3">
      <c r="A1789" s="28" t="str">
        <f>B1789&amp;C1789&amp;D1789&amp;E1789</f>
        <v>Красота и уходУход за лицомУход за губамиМаски и скрабы для губ</v>
      </c>
      <c r="B1789" s="29" t="s">
        <v>56</v>
      </c>
      <c r="C1789" s="29" t="s">
        <v>238</v>
      </c>
      <c r="D1789" s="29" t="s">
        <v>1400</v>
      </c>
      <c r="E1789" s="29" t="s">
        <v>1524</v>
      </c>
      <c r="F1789" s="30">
        <v>0.2</v>
      </c>
      <c r="G1789" s="31"/>
      <c r="H1789" s="31"/>
      <c r="I1789" s="31"/>
      <c r="J1789" s="31"/>
    </row>
    <row r="1790" spans="1:10" ht="14.4" x14ac:dyDescent="0.3">
      <c r="A1790" s="28" t="str">
        <f>B1790&amp;C1790&amp;D1790&amp;E1790</f>
        <v>ОбувьМужская обувьРезиновая обувьСапоги</v>
      </c>
      <c r="B1790" s="29" t="s">
        <v>180</v>
      </c>
      <c r="C1790" s="29" t="s">
        <v>279</v>
      </c>
      <c r="D1790" s="29" t="s">
        <v>593</v>
      </c>
      <c r="E1790" s="29" t="s">
        <v>1277</v>
      </c>
      <c r="F1790" s="30">
        <v>0.2</v>
      </c>
      <c r="G1790" s="31"/>
      <c r="H1790" s="31"/>
      <c r="I1790" s="31"/>
      <c r="J1790" s="31"/>
    </row>
    <row r="1791" spans="1:10" ht="14.4" x14ac:dyDescent="0.3">
      <c r="A1791" s="28" t="str">
        <f>B1791&amp;C1791&amp;D1791&amp;E1791</f>
        <v>КнигиНехудожественная литератураСаморазвитиеСамооценка и уверенность в себе</v>
      </c>
      <c r="B1791" s="29" t="s">
        <v>63</v>
      </c>
      <c r="C1791" s="29" t="s">
        <v>141</v>
      </c>
      <c r="D1791" s="29" t="s">
        <v>452</v>
      </c>
      <c r="E1791" s="29" t="s">
        <v>1528</v>
      </c>
      <c r="F1791" s="30">
        <v>0.2</v>
      </c>
      <c r="G1791" s="31"/>
      <c r="H1791" s="31"/>
      <c r="I1791" s="31"/>
      <c r="J1791" s="31"/>
    </row>
    <row r="1792" spans="1:10" ht="14.4" x14ac:dyDescent="0.3">
      <c r="A1792" s="28" t="str">
        <f>B1792&amp;C1792&amp;D1792&amp;E1792</f>
        <v>Красота и уходУход за теломСредства против целлюлита и растяжекСредство антицеллюлитное</v>
      </c>
      <c r="B1792" s="29" t="s">
        <v>56</v>
      </c>
      <c r="C1792" s="29" t="s">
        <v>100</v>
      </c>
      <c r="D1792" s="29" t="s">
        <v>1530</v>
      </c>
      <c r="E1792" s="29" t="s">
        <v>1531</v>
      </c>
      <c r="F1792" s="30">
        <v>0.2</v>
      </c>
      <c r="G1792" s="31"/>
      <c r="H1792" s="31"/>
      <c r="I1792" s="31"/>
      <c r="J1792" s="31"/>
    </row>
    <row r="1793" spans="1:10" ht="14.4" x14ac:dyDescent="0.3">
      <c r="A1793" s="28" t="str">
        <f>B1793&amp;C1793&amp;D1793&amp;E1793</f>
        <v>ОбувьЖенская обувьКазакиКазаки</v>
      </c>
      <c r="B1793" s="29" t="s">
        <v>180</v>
      </c>
      <c r="C1793" s="29" t="s">
        <v>181</v>
      </c>
      <c r="D1793" s="29" t="s">
        <v>1537</v>
      </c>
      <c r="E1793" s="29" t="s">
        <v>1537</v>
      </c>
      <c r="F1793" s="30">
        <v>0.2</v>
      </c>
      <c r="G1793" s="31"/>
      <c r="H1793" s="31"/>
      <c r="I1793" s="31"/>
      <c r="J1793" s="31"/>
    </row>
    <row r="1794" spans="1:10" ht="14.4" x14ac:dyDescent="0.3">
      <c r="A1794" s="28" t="str">
        <f>B1794&amp;C1794&amp;D1794&amp;E1794</f>
        <v>Красота и уходУход за лицомУвлажнение и питаниеЭмульсии</v>
      </c>
      <c r="B1794" s="29" t="s">
        <v>56</v>
      </c>
      <c r="C1794" s="29" t="s">
        <v>238</v>
      </c>
      <c r="D1794" s="29" t="s">
        <v>134</v>
      </c>
      <c r="E1794" s="29" t="s">
        <v>1538</v>
      </c>
      <c r="F1794" s="30">
        <v>0.2</v>
      </c>
      <c r="G1794" s="31"/>
      <c r="H1794" s="31"/>
      <c r="I1794" s="31"/>
      <c r="J1794" s="31"/>
    </row>
    <row r="1795" spans="1:10" ht="14.4" x14ac:dyDescent="0.3">
      <c r="A1795" s="28" t="str">
        <f>B1795&amp;C1795&amp;D1795&amp;E1795</f>
        <v>Детские товарыГигиена и подгузникиПеленки и клеенки для малышейКлеенки и наматрасники</v>
      </c>
      <c r="B1795" s="29" t="s">
        <v>105</v>
      </c>
      <c r="C1795" s="29" t="s">
        <v>106</v>
      </c>
      <c r="D1795" s="29" t="s">
        <v>107</v>
      </c>
      <c r="E1795" s="29" t="s">
        <v>1540</v>
      </c>
      <c r="F1795" s="30">
        <v>0.2</v>
      </c>
      <c r="G1795" s="31"/>
      <c r="H1795" s="31"/>
      <c r="I1795" s="31"/>
      <c r="J1795" s="31"/>
    </row>
    <row r="1796" spans="1:10" ht="14.4" x14ac:dyDescent="0.3">
      <c r="A1796" s="28" t="str">
        <f>B1796&amp;C1796&amp;D1796&amp;E1796</f>
        <v>Красота и уходДля мужчинУход за лицомУход за лицом</v>
      </c>
      <c r="B1796" s="29" t="s">
        <v>56</v>
      </c>
      <c r="C1796" s="29" t="s">
        <v>71</v>
      </c>
      <c r="D1796" s="29" t="s">
        <v>238</v>
      </c>
      <c r="E1796" s="29" t="s">
        <v>238</v>
      </c>
      <c r="F1796" s="30">
        <v>0.2</v>
      </c>
      <c r="G1796" s="31"/>
      <c r="H1796" s="31"/>
      <c r="I1796" s="31"/>
      <c r="J1796" s="31"/>
    </row>
    <row r="1797" spans="1:10" ht="14.4" x14ac:dyDescent="0.3">
      <c r="A1797" s="28" t="str">
        <f>B1797&amp;C1797&amp;D1797&amp;E1797</f>
        <v>КнигиНехудожественная литератураКрасота, здоровье и спортДиеты</v>
      </c>
      <c r="B1797" s="29" t="s">
        <v>63</v>
      </c>
      <c r="C1797" s="29" t="s">
        <v>141</v>
      </c>
      <c r="D1797" s="29" t="s">
        <v>888</v>
      </c>
      <c r="E1797" s="29" t="s">
        <v>1545</v>
      </c>
      <c r="F1797" s="30">
        <v>0.2</v>
      </c>
      <c r="G1797" s="31"/>
      <c r="H1797" s="31"/>
      <c r="I1797" s="31"/>
      <c r="J1797" s="31"/>
    </row>
    <row r="1798" spans="1:10" ht="14.4" x14ac:dyDescent="0.3">
      <c r="A1798" s="28" t="str">
        <f>B1798&amp;C1798&amp;D1798&amp;E1798</f>
        <v>Красота и уходУход за волосамиПрофессиональные инструменты парикмахераНожницы</v>
      </c>
      <c r="B1798" s="29" t="s">
        <v>56</v>
      </c>
      <c r="C1798" s="29" t="s">
        <v>109</v>
      </c>
      <c r="D1798" s="29" t="s">
        <v>1546</v>
      </c>
      <c r="E1798" s="29" t="s">
        <v>1547</v>
      </c>
      <c r="F1798" s="30">
        <v>0.2</v>
      </c>
      <c r="G1798" s="31"/>
      <c r="H1798" s="31"/>
      <c r="I1798" s="31"/>
      <c r="J1798" s="31"/>
    </row>
    <row r="1799" spans="1:10" ht="14.4" x14ac:dyDescent="0.3">
      <c r="A1799" s="28" t="str">
        <f>B1799&amp;C1799&amp;D1799&amp;E1799</f>
        <v>Красота и уходУход за лицомУвлажнение и питаниеКремы для глаз</v>
      </c>
      <c r="B1799" s="29" t="s">
        <v>56</v>
      </c>
      <c r="C1799" s="29" t="s">
        <v>238</v>
      </c>
      <c r="D1799" s="29" t="s">
        <v>134</v>
      </c>
      <c r="E1799" s="29" t="s">
        <v>1553</v>
      </c>
      <c r="F1799" s="30">
        <v>0.2</v>
      </c>
      <c r="G1799" s="31"/>
      <c r="H1799" s="31"/>
      <c r="I1799" s="31"/>
      <c r="J1799" s="31"/>
    </row>
    <row r="1800" spans="1:10" ht="14.4" x14ac:dyDescent="0.3">
      <c r="A1800" s="28" t="str">
        <f>B1800&amp;C1800&amp;D1800&amp;E1800</f>
        <v>КнигиНехудожественная литератураПсихологияПсихология общения</v>
      </c>
      <c r="B1800" s="29" t="s">
        <v>63</v>
      </c>
      <c r="C1800" s="29" t="s">
        <v>141</v>
      </c>
      <c r="D1800" s="29" t="s">
        <v>1304</v>
      </c>
      <c r="E1800" s="29" t="s">
        <v>1554</v>
      </c>
      <c r="F1800" s="30">
        <v>0.2</v>
      </c>
      <c r="G1800" s="31"/>
      <c r="H1800" s="31"/>
      <c r="I1800" s="31"/>
      <c r="J1800" s="31"/>
    </row>
    <row r="1801" spans="1:10" ht="14.4" x14ac:dyDescent="0.3">
      <c r="A1801" s="28" t="str">
        <f>B1801&amp;C1801&amp;D1801&amp;E1801</f>
        <v>Красота и уходЛичная гигиенаМылоСувенирное мыло</v>
      </c>
      <c r="B1801" s="29" t="s">
        <v>56</v>
      </c>
      <c r="C1801" s="29" t="s">
        <v>120</v>
      </c>
      <c r="D1801" s="29" t="s">
        <v>1559</v>
      </c>
      <c r="E1801" s="29" t="s">
        <v>1560</v>
      </c>
      <c r="F1801" s="30">
        <v>0.2</v>
      </c>
      <c r="G1801" s="31"/>
      <c r="H1801" s="31"/>
      <c r="I1801" s="31"/>
      <c r="J1801" s="31"/>
    </row>
    <row r="1802" spans="1:10" ht="14.4" x14ac:dyDescent="0.3">
      <c r="A1802" s="28" t="str">
        <f>B1802&amp;C1802&amp;D1802&amp;E1802</f>
        <v>КнигиЖурналы, газетыЖурналы, газетыЖурналы, газеты</v>
      </c>
      <c r="B1802" s="29" t="s">
        <v>63</v>
      </c>
      <c r="C1802" s="29" t="s">
        <v>1563</v>
      </c>
      <c r="D1802" s="29" t="s">
        <v>1563</v>
      </c>
      <c r="E1802" s="29" t="s">
        <v>1563</v>
      </c>
      <c r="F1802" s="30">
        <v>0.2</v>
      </c>
      <c r="G1802" s="31"/>
      <c r="H1802" s="31"/>
      <c r="I1802" s="31"/>
      <c r="J1802" s="31"/>
    </row>
    <row r="1803" spans="1:10" ht="14.4" x14ac:dyDescent="0.3">
      <c r="A1803" s="28" t="str">
        <f>B1803&amp;C1803&amp;D1803&amp;E1803</f>
        <v>ЗоотоварыДля кошекКогтеточки и игровые комплексыИгровые комплексы</v>
      </c>
      <c r="B1803" s="29" t="s">
        <v>214</v>
      </c>
      <c r="C1803" s="29" t="s">
        <v>283</v>
      </c>
      <c r="D1803" s="29" t="s">
        <v>1564</v>
      </c>
      <c r="E1803" s="29" t="s">
        <v>1565</v>
      </c>
      <c r="F1803" s="30">
        <v>0.2</v>
      </c>
      <c r="G1803" s="31"/>
      <c r="H1803" s="31"/>
      <c r="I1803" s="31"/>
      <c r="J1803" s="31"/>
    </row>
    <row r="1804" spans="1:10" ht="14.4" x14ac:dyDescent="0.3">
      <c r="A1804" s="28" t="str">
        <f>B1804&amp;C1804&amp;D1804&amp;E1804</f>
        <v>КанцтоварыТовары для школы и обученияКарты мираГеографическая карта</v>
      </c>
      <c r="B1804" s="29" t="s">
        <v>163</v>
      </c>
      <c r="C1804" s="29" t="s">
        <v>1568</v>
      </c>
      <c r="D1804" s="29" t="s">
        <v>1569</v>
      </c>
      <c r="E1804" s="29" t="s">
        <v>1570</v>
      </c>
      <c r="F1804" s="30">
        <v>0.2</v>
      </c>
      <c r="G1804" s="31"/>
      <c r="H1804" s="31"/>
      <c r="I1804" s="31"/>
      <c r="J1804" s="31"/>
    </row>
    <row r="1805" spans="1:10" ht="14.4" x14ac:dyDescent="0.3">
      <c r="A1805" s="28" t="str">
        <f>B1805&amp;C1805&amp;D1805&amp;E1805</f>
        <v>Строительство и ремонтИнструментыИзмерительные инструментыЩупы и термопары</v>
      </c>
      <c r="B1805" s="29" t="s">
        <v>77</v>
      </c>
      <c r="C1805" s="29" t="s">
        <v>78</v>
      </c>
      <c r="D1805" s="29" t="s">
        <v>207</v>
      </c>
      <c r="E1805" s="29" t="s">
        <v>1580</v>
      </c>
      <c r="F1805" s="30">
        <v>0.2</v>
      </c>
      <c r="G1805" s="31"/>
      <c r="H1805" s="31"/>
      <c r="I1805" s="31"/>
      <c r="J1805" s="31"/>
    </row>
    <row r="1806" spans="1:10" ht="14.4" x14ac:dyDescent="0.3">
      <c r="A1806" s="28" t="str">
        <f>B1806&amp;C1806&amp;D1806&amp;E1806</f>
        <v>ОбувьМужская обувьБотинкиЧелси</v>
      </c>
      <c r="B1806" s="29" t="s">
        <v>180</v>
      </c>
      <c r="C1806" s="29" t="s">
        <v>279</v>
      </c>
      <c r="D1806" s="29" t="s">
        <v>515</v>
      </c>
      <c r="E1806" s="29" t="s">
        <v>1582</v>
      </c>
      <c r="F1806" s="30">
        <v>0.2</v>
      </c>
      <c r="G1806" s="31"/>
      <c r="H1806" s="31"/>
      <c r="I1806" s="31"/>
      <c r="J1806" s="31"/>
    </row>
    <row r="1807" spans="1:10" ht="14.4" x14ac:dyDescent="0.3">
      <c r="A1807" s="28" t="str">
        <f>B1807&amp;C1807&amp;D1807&amp;E1807</f>
        <v>КнигиРелигиозные книгиИсламИстория Ислама</v>
      </c>
      <c r="B1807" s="29" t="s">
        <v>63</v>
      </c>
      <c r="C1807" s="29" t="s">
        <v>64</v>
      </c>
      <c r="D1807" s="29" t="s">
        <v>65</v>
      </c>
      <c r="E1807" s="29" t="s">
        <v>1583</v>
      </c>
      <c r="F1807" s="30">
        <v>0.2</v>
      </c>
      <c r="G1807" s="31"/>
      <c r="H1807" s="31"/>
      <c r="I1807" s="31"/>
      <c r="J1807" s="31"/>
    </row>
    <row r="1808" spans="1:10" ht="14.4" x14ac:dyDescent="0.3">
      <c r="A1808" s="28" t="str">
        <f>B1808&amp;C1808&amp;D1808&amp;E1808</f>
        <v>Красота и уходУход за волосамиОкрашивание и химическая завивкаСредства для снятия цвета</v>
      </c>
      <c r="B1808" s="29" t="s">
        <v>56</v>
      </c>
      <c r="C1808" s="29" t="s">
        <v>109</v>
      </c>
      <c r="D1808" s="29" t="s">
        <v>362</v>
      </c>
      <c r="E1808" s="29" t="s">
        <v>1587</v>
      </c>
      <c r="F1808" s="30">
        <v>0.2</v>
      </c>
      <c r="G1808" s="31"/>
      <c r="H1808" s="31"/>
      <c r="I1808" s="31"/>
      <c r="J1808" s="31"/>
    </row>
    <row r="1809" spans="1:10" ht="14.4" x14ac:dyDescent="0.3">
      <c r="A1809" s="28" t="str">
        <f>B1809&amp;C1809&amp;D1809&amp;E1809</f>
        <v>Красота и уходЛичная гигиенаИнтимная гигиенаМенструальные чаши</v>
      </c>
      <c r="B1809" s="29" t="s">
        <v>56</v>
      </c>
      <c r="C1809" s="29" t="s">
        <v>120</v>
      </c>
      <c r="D1809" s="29" t="s">
        <v>483</v>
      </c>
      <c r="E1809" s="29" t="s">
        <v>1588</v>
      </c>
      <c r="F1809" s="30">
        <v>0.2</v>
      </c>
      <c r="G1809" s="31"/>
      <c r="H1809" s="31"/>
      <c r="I1809" s="31"/>
      <c r="J1809" s="31"/>
    </row>
    <row r="1810" spans="1:10" ht="14.4" x14ac:dyDescent="0.3">
      <c r="A1810" s="28" t="str">
        <f>B1810&amp;C1810&amp;D1810&amp;E1810</f>
        <v>Красота и уходКорейская косметикаОчищение лицаГели для умывания</v>
      </c>
      <c r="B1810" s="29" t="s">
        <v>56</v>
      </c>
      <c r="C1810" s="29" t="s">
        <v>211</v>
      </c>
      <c r="D1810" s="29" t="s">
        <v>750</v>
      </c>
      <c r="E1810" s="29" t="s">
        <v>1590</v>
      </c>
      <c r="F1810" s="30">
        <v>0.2</v>
      </c>
      <c r="G1810" s="31"/>
      <c r="H1810" s="31"/>
      <c r="I1810" s="31"/>
      <c r="J1810" s="31"/>
    </row>
    <row r="1811" spans="1:10" ht="14.4" x14ac:dyDescent="0.3">
      <c r="A1811" s="28" t="str">
        <f>B1811&amp;C1811&amp;D1811&amp;E1811</f>
        <v>Строительство и ремонтИнструментыИзмерительные приборыДинамометры</v>
      </c>
      <c r="B1811" s="29" t="s">
        <v>77</v>
      </c>
      <c r="C1811" s="29" t="s">
        <v>78</v>
      </c>
      <c r="D1811" s="29" t="s">
        <v>418</v>
      </c>
      <c r="E1811" s="29" t="s">
        <v>1600</v>
      </c>
      <c r="F1811" s="30">
        <v>0.2</v>
      </c>
      <c r="G1811" s="31"/>
      <c r="H1811" s="31"/>
      <c r="I1811" s="31"/>
      <c r="J1811" s="31"/>
    </row>
    <row r="1812" spans="1:10" ht="14.4" x14ac:dyDescent="0.3">
      <c r="A1812" s="28" t="str">
        <f>B1812&amp;C1812&amp;D1812&amp;E1812</f>
        <v>АвтотоварыАксессуары и принадлежностиТюнинг и внешний декорПодарочные наборы для автомобилистов</v>
      </c>
      <c r="B1812" s="29" t="s">
        <v>12</v>
      </c>
      <c r="C1812" s="29" t="s">
        <v>253</v>
      </c>
      <c r="D1812" s="29" t="s">
        <v>254</v>
      </c>
      <c r="E1812" s="29" t="s">
        <v>1602</v>
      </c>
      <c r="F1812" s="30">
        <v>0.2</v>
      </c>
      <c r="G1812" s="31"/>
      <c r="H1812" s="31"/>
      <c r="I1812" s="31"/>
      <c r="J1812" s="31"/>
    </row>
    <row r="1813" spans="1:10" ht="14.4" x14ac:dyDescent="0.3">
      <c r="A1813" s="28" t="str">
        <f>B1813&amp;C1813&amp;D1813&amp;E1813</f>
        <v>КнигиДетям и родителямДосуг и творчество детейВиммельбухи и находилки</v>
      </c>
      <c r="B1813" s="29" t="s">
        <v>63</v>
      </c>
      <c r="C1813" s="29" t="s">
        <v>258</v>
      </c>
      <c r="D1813" s="29" t="s">
        <v>829</v>
      </c>
      <c r="E1813" s="29" t="s">
        <v>1603</v>
      </c>
      <c r="F1813" s="30">
        <v>0.2</v>
      </c>
      <c r="G1813" s="31"/>
      <c r="H1813" s="31"/>
      <c r="I1813" s="31"/>
      <c r="J1813" s="31"/>
    </row>
    <row r="1814" spans="1:10" ht="14.4" x14ac:dyDescent="0.3">
      <c r="A1814" s="28" t="str">
        <f>B1814&amp;C1814&amp;D1814&amp;E1814</f>
        <v>ЭлектроникаОптические приборыМикроскопыМикроскопы</v>
      </c>
      <c r="B1814" s="29" t="s">
        <v>67</v>
      </c>
      <c r="C1814" s="29" t="s">
        <v>481</v>
      </c>
      <c r="D1814" s="29" t="s">
        <v>1604</v>
      </c>
      <c r="E1814" s="29" t="s">
        <v>1604</v>
      </c>
      <c r="F1814" s="30">
        <v>0.2</v>
      </c>
      <c r="G1814" s="31"/>
      <c r="H1814" s="31"/>
      <c r="I1814" s="31"/>
      <c r="J1814" s="31"/>
    </row>
    <row r="1815" spans="1:10" ht="14.4" x14ac:dyDescent="0.3">
      <c r="A1815" s="28" t="str">
        <f>B1815&amp;C1815&amp;D1815&amp;E1815</f>
        <v>Красота и уходУход за теломСредства для душа и ванныПена для ванны</v>
      </c>
      <c r="B1815" s="29" t="s">
        <v>56</v>
      </c>
      <c r="C1815" s="29" t="s">
        <v>100</v>
      </c>
      <c r="D1815" s="29" t="s">
        <v>1205</v>
      </c>
      <c r="E1815" s="29" t="s">
        <v>1608</v>
      </c>
      <c r="F1815" s="30">
        <v>0.2</v>
      </c>
      <c r="G1815" s="31"/>
      <c r="H1815" s="31"/>
      <c r="I1815" s="31"/>
      <c r="J1815" s="31"/>
    </row>
    <row r="1816" spans="1:10" ht="14.4" x14ac:dyDescent="0.3">
      <c r="A1816" s="28" t="str">
        <f>B1816&amp;C1816&amp;D1816&amp;E1816</f>
        <v>Товары для домаМебельСтолыСтолы</v>
      </c>
      <c r="B1816" s="29" t="s">
        <v>59</v>
      </c>
      <c r="C1816" s="29" t="s">
        <v>302</v>
      </c>
      <c r="D1816" s="29" t="s">
        <v>1622</v>
      </c>
      <c r="E1816" s="29" t="s">
        <v>1622</v>
      </c>
      <c r="F1816" s="30">
        <v>0.2</v>
      </c>
      <c r="G1816" s="31"/>
      <c r="H1816" s="31"/>
      <c r="I1816" s="31"/>
      <c r="J1816" s="31"/>
    </row>
    <row r="1817" spans="1:10" ht="14.4" x14ac:dyDescent="0.3">
      <c r="A1817" s="28" t="str">
        <f>B1817&amp;C1817&amp;D1817&amp;E1817</f>
        <v>Красота и уходУход за волосамиСредства для укладкиПасты и помады</v>
      </c>
      <c r="B1817" s="29" t="s">
        <v>56</v>
      </c>
      <c r="C1817" s="29" t="s">
        <v>109</v>
      </c>
      <c r="D1817" s="29" t="s">
        <v>73</v>
      </c>
      <c r="E1817" s="29" t="s">
        <v>1623</v>
      </c>
      <c r="F1817" s="30">
        <v>0.2</v>
      </c>
      <c r="G1817" s="31"/>
      <c r="H1817" s="31"/>
      <c r="I1817" s="31"/>
      <c r="J1817" s="31"/>
    </row>
    <row r="1818" spans="1:10" ht="14.4" x14ac:dyDescent="0.3">
      <c r="A1818" s="28" t="str">
        <f>B1818&amp;C1818&amp;D1818&amp;E1818</f>
        <v>ЭлектроникаТелевизоры и видеотехникаАксессуары для телевизоровУсилители ТВ сигнала</v>
      </c>
      <c r="B1818" s="29" t="s">
        <v>67</v>
      </c>
      <c r="C1818" s="29" t="s">
        <v>136</v>
      </c>
      <c r="D1818" s="29" t="s">
        <v>156</v>
      </c>
      <c r="E1818" s="29" t="s">
        <v>1630</v>
      </c>
      <c r="F1818" s="30">
        <v>0.2</v>
      </c>
      <c r="G1818" s="31"/>
      <c r="H1818" s="31"/>
      <c r="I1818" s="31"/>
      <c r="J1818" s="31"/>
    </row>
    <row r="1819" spans="1:10" ht="14.4" x14ac:dyDescent="0.3">
      <c r="A1819" s="28" t="str">
        <f>B1819&amp;C1819&amp;D1819&amp;E1819</f>
        <v>КнигиНехудожественная литератураКрасота, здоровье и спортБорьба с вредными привычками</v>
      </c>
      <c r="B1819" s="29" t="s">
        <v>63</v>
      </c>
      <c r="C1819" s="29" t="s">
        <v>141</v>
      </c>
      <c r="D1819" s="29" t="s">
        <v>888</v>
      </c>
      <c r="E1819" s="29" t="s">
        <v>1634</v>
      </c>
      <c r="F1819" s="30">
        <v>0.2</v>
      </c>
      <c r="G1819" s="31"/>
      <c r="H1819" s="31"/>
      <c r="I1819" s="31"/>
      <c r="J1819" s="31"/>
    </row>
    <row r="1820" spans="1:10" ht="14.4" x14ac:dyDescent="0.3">
      <c r="A1820" s="28" t="str">
        <f>B1820&amp;C1820&amp;D1820&amp;E1820</f>
        <v>Красота и уходМаникюр и педикюрЛечебные и уходовые средстваМасла и сыворотки для ногтей</v>
      </c>
      <c r="B1820" s="29" t="s">
        <v>56</v>
      </c>
      <c r="C1820" s="29" t="s">
        <v>57</v>
      </c>
      <c r="D1820" s="29" t="s">
        <v>595</v>
      </c>
      <c r="E1820" s="29" t="s">
        <v>1637</v>
      </c>
      <c r="F1820" s="30">
        <v>0.2</v>
      </c>
      <c r="G1820" s="31"/>
      <c r="H1820" s="31"/>
      <c r="I1820" s="31"/>
      <c r="J1820" s="31"/>
    </row>
    <row r="1821" spans="1:10" ht="14.4" x14ac:dyDescent="0.3">
      <c r="A1821" s="28" t="str">
        <f>B1821&amp;C1821&amp;D1821&amp;E1821</f>
        <v>Красота и уходУход за теломСредства против целлюлита и растяжекКрем для ухода за кожей</v>
      </c>
      <c r="B1821" s="29" t="s">
        <v>56</v>
      </c>
      <c r="C1821" s="29" t="s">
        <v>100</v>
      </c>
      <c r="D1821" s="29" t="s">
        <v>1530</v>
      </c>
      <c r="E1821" s="29" t="s">
        <v>1638</v>
      </c>
      <c r="F1821" s="30">
        <v>0.2</v>
      </c>
      <c r="G1821" s="31"/>
      <c r="H1821" s="31"/>
      <c r="I1821" s="31"/>
      <c r="J1821" s="31"/>
    </row>
    <row r="1822" spans="1:10" ht="14.4" x14ac:dyDescent="0.3">
      <c r="A1822" s="28" t="str">
        <f>B1822&amp;C1822&amp;D1822&amp;E1822</f>
        <v>КнигиУчебная литература5 класс5 класс</v>
      </c>
      <c r="B1822" s="29" t="s">
        <v>63</v>
      </c>
      <c r="C1822" s="29" t="s">
        <v>210</v>
      </c>
      <c r="D1822" s="29" t="s">
        <v>1639</v>
      </c>
      <c r="E1822" s="29" t="s">
        <v>1639</v>
      </c>
      <c r="F1822" s="30">
        <v>0.2</v>
      </c>
      <c r="G1822" s="31"/>
      <c r="H1822" s="31"/>
      <c r="I1822" s="31"/>
      <c r="J1822" s="31"/>
    </row>
    <row r="1823" spans="1:10" ht="14.4" x14ac:dyDescent="0.3">
      <c r="A1823" s="28" t="str">
        <f>B1823&amp;C1823&amp;D1823&amp;E1823</f>
        <v>Красота и уходУход за волосамиПрофессиональные инструменты парикмахераИнструменты для постижа</v>
      </c>
      <c r="B1823" s="29" t="s">
        <v>56</v>
      </c>
      <c r="C1823" s="29" t="s">
        <v>109</v>
      </c>
      <c r="D1823" s="29" t="s">
        <v>1546</v>
      </c>
      <c r="E1823" s="29" t="s">
        <v>1641</v>
      </c>
      <c r="F1823" s="30">
        <v>0.2</v>
      </c>
      <c r="G1823" s="31"/>
      <c r="H1823" s="31"/>
      <c r="I1823" s="31"/>
      <c r="J1823" s="31"/>
    </row>
    <row r="1824" spans="1:10" ht="14.4" x14ac:dyDescent="0.3">
      <c r="A1824" s="28" t="str">
        <f>B1824&amp;C1824&amp;D1824&amp;E1824</f>
        <v>Красота и уходДля мужчинДля бритьяАксессуары для бритья</v>
      </c>
      <c r="B1824" s="29" t="s">
        <v>56</v>
      </c>
      <c r="C1824" s="29" t="s">
        <v>71</v>
      </c>
      <c r="D1824" s="29" t="s">
        <v>665</v>
      </c>
      <c r="E1824" s="29" t="s">
        <v>1642</v>
      </c>
      <c r="F1824" s="30">
        <v>0.2</v>
      </c>
      <c r="G1824" s="31"/>
      <c r="H1824" s="31"/>
      <c r="I1824" s="31"/>
      <c r="J1824" s="31"/>
    </row>
    <row r="1825" spans="1:10" ht="14.4" x14ac:dyDescent="0.3">
      <c r="A1825" s="28" t="str">
        <f>B1825&amp;C1825&amp;D1825&amp;E1825</f>
        <v>Красота и уходУход за волосамиСредства для очищения и уходаКремы</v>
      </c>
      <c r="B1825" s="29" t="s">
        <v>56</v>
      </c>
      <c r="C1825" s="29" t="s">
        <v>109</v>
      </c>
      <c r="D1825" s="29" t="s">
        <v>513</v>
      </c>
      <c r="E1825" s="29" t="s">
        <v>1355</v>
      </c>
      <c r="F1825" s="30">
        <v>0.2</v>
      </c>
      <c r="G1825" s="31"/>
      <c r="H1825" s="31"/>
      <c r="I1825" s="31"/>
      <c r="J1825" s="31"/>
    </row>
    <row r="1826" spans="1:10" ht="14.4" x14ac:dyDescent="0.3">
      <c r="A1826" s="28" t="str">
        <f>B1826&amp;C1826&amp;D1826&amp;E1826</f>
        <v>КанцтоварыБумажная продукцияЕженедельники и ежедневники, планнерыАксессуар для блокнота, ежедневника</v>
      </c>
      <c r="B1826" s="29" t="s">
        <v>163</v>
      </c>
      <c r="C1826" s="29" t="s">
        <v>261</v>
      </c>
      <c r="D1826" s="29" t="s">
        <v>590</v>
      </c>
      <c r="E1826" s="29" t="s">
        <v>1647</v>
      </c>
      <c r="F1826" s="30">
        <v>0.2</v>
      </c>
      <c r="G1826" s="31"/>
      <c r="H1826" s="31"/>
      <c r="I1826" s="31"/>
      <c r="J1826" s="31"/>
    </row>
    <row r="1827" spans="1:10" ht="14.4" x14ac:dyDescent="0.3">
      <c r="A1827" s="28" t="str">
        <f>B1827&amp;C1827&amp;D1827&amp;E1827</f>
        <v>КнигиНехудожественная литератураКомпьютерные технологииИнформационная безопасность</v>
      </c>
      <c r="B1827" s="29" t="s">
        <v>63</v>
      </c>
      <c r="C1827" s="29" t="s">
        <v>141</v>
      </c>
      <c r="D1827" s="29" t="s">
        <v>450</v>
      </c>
      <c r="E1827" s="29" t="s">
        <v>1651</v>
      </c>
      <c r="F1827" s="30">
        <v>0.2</v>
      </c>
      <c r="G1827" s="31"/>
      <c r="H1827" s="31"/>
      <c r="I1827" s="31"/>
      <c r="J1827" s="31"/>
    </row>
    <row r="1828" spans="1:10" ht="14.4" x14ac:dyDescent="0.3">
      <c r="A1828" s="28" t="str">
        <f>B1828&amp;C1828&amp;D1828&amp;E1828</f>
        <v>ЭлектроникаУмный дом и безопасностьУмный домУправление для умного дома</v>
      </c>
      <c r="B1828" s="29" t="s">
        <v>67</v>
      </c>
      <c r="C1828" s="29" t="s">
        <v>411</v>
      </c>
      <c r="D1828" s="29" t="s">
        <v>1187</v>
      </c>
      <c r="E1828" s="29" t="s">
        <v>1654</v>
      </c>
      <c r="F1828" s="30">
        <v>0.2</v>
      </c>
      <c r="G1828" s="31"/>
      <c r="H1828" s="31"/>
      <c r="I1828" s="31"/>
      <c r="J1828" s="31"/>
    </row>
    <row r="1829" spans="1:10" ht="14.4" x14ac:dyDescent="0.3">
      <c r="A1829" s="28" t="str">
        <f>B1829&amp;C1829&amp;D1829&amp;E1829</f>
        <v>Красота и уходУход за лицомУвлажнение и питаниеСыворотки</v>
      </c>
      <c r="B1829" s="29" t="s">
        <v>56</v>
      </c>
      <c r="C1829" s="29" t="s">
        <v>238</v>
      </c>
      <c r="D1829" s="29" t="s">
        <v>134</v>
      </c>
      <c r="E1829" s="29" t="s">
        <v>1340</v>
      </c>
      <c r="F1829" s="30">
        <v>0.2</v>
      </c>
      <c r="G1829" s="31"/>
      <c r="H1829" s="31"/>
      <c r="I1829" s="31"/>
      <c r="J1829" s="31"/>
    </row>
    <row r="1830" spans="1:10" ht="14.4" x14ac:dyDescent="0.3">
      <c r="A1830" s="28" t="str">
        <f>B1830&amp;C1830&amp;D1830&amp;E1830</f>
        <v>Красота и уходКорейская косметикаУход за теломКремы для рук</v>
      </c>
      <c r="B1830" s="29" t="s">
        <v>56</v>
      </c>
      <c r="C1830" s="29" t="s">
        <v>211</v>
      </c>
      <c r="D1830" s="29" t="s">
        <v>100</v>
      </c>
      <c r="E1830" s="29" t="s">
        <v>580</v>
      </c>
      <c r="F1830" s="30">
        <v>0.2</v>
      </c>
      <c r="G1830" s="31"/>
      <c r="H1830" s="31"/>
      <c r="I1830" s="31"/>
      <c r="J1830" s="31"/>
    </row>
    <row r="1831" spans="1:10" ht="14.4" x14ac:dyDescent="0.3">
      <c r="A1831" s="28" t="str">
        <f>B1831&amp;C1831&amp;D1831&amp;E1831</f>
        <v>Красота и уходУход за лицомУвлажнение и питаниеТоники</v>
      </c>
      <c r="B1831" s="29" t="s">
        <v>56</v>
      </c>
      <c r="C1831" s="29" t="s">
        <v>238</v>
      </c>
      <c r="D1831" s="29" t="s">
        <v>134</v>
      </c>
      <c r="E1831" s="29" t="s">
        <v>1660</v>
      </c>
      <c r="F1831" s="30">
        <v>0.2</v>
      </c>
      <c r="G1831" s="31"/>
      <c r="H1831" s="31"/>
      <c r="I1831" s="31"/>
      <c r="J1831" s="31"/>
    </row>
    <row r="1832" spans="1:10" ht="14.4" x14ac:dyDescent="0.3">
      <c r="A1832" s="28" t="str">
        <f>B1832&amp;C1832&amp;D1832&amp;E1832</f>
        <v>ЭлектроникаКомпьютерная техникаАксессуары для компьютеровТрекболы</v>
      </c>
      <c r="B1832" s="29" t="s">
        <v>67</v>
      </c>
      <c r="C1832" s="29" t="s">
        <v>234</v>
      </c>
      <c r="D1832" s="29" t="s">
        <v>235</v>
      </c>
      <c r="E1832" s="29" t="s">
        <v>1666</v>
      </c>
      <c r="F1832" s="30">
        <v>0.2</v>
      </c>
      <c r="G1832" s="31"/>
      <c r="H1832" s="31"/>
      <c r="I1832" s="31"/>
      <c r="J1832" s="31"/>
    </row>
    <row r="1833" spans="1:10" ht="14.4" x14ac:dyDescent="0.3">
      <c r="A1833" s="28" t="str">
        <f>B1833&amp;C1833&amp;D1833&amp;E1833</f>
        <v>ЭлектроникаНаушники и аудиотехникаАудиотехникаРадиоприемники</v>
      </c>
      <c r="B1833" s="29" t="s">
        <v>67</v>
      </c>
      <c r="C1833" s="29" t="s">
        <v>74</v>
      </c>
      <c r="D1833" s="29" t="s">
        <v>409</v>
      </c>
      <c r="E1833" s="29" t="s">
        <v>1668</v>
      </c>
      <c r="F1833" s="30">
        <v>0.2</v>
      </c>
      <c r="G1833" s="31"/>
      <c r="H1833" s="31"/>
      <c r="I1833" s="31"/>
      <c r="J1833" s="31"/>
    </row>
    <row r="1834" spans="1:10" ht="14.4" x14ac:dyDescent="0.3">
      <c r="A1834" s="28" t="str">
        <f>B1834&amp;C1834&amp;D1834&amp;E1834</f>
        <v>Бытовая химияСредства по уходу за обувьюКремы и воски для обувиКремы и воски для обуви</v>
      </c>
      <c r="B1834" s="29" t="s">
        <v>146</v>
      </c>
      <c r="C1834" s="29" t="s">
        <v>344</v>
      </c>
      <c r="D1834" s="29" t="s">
        <v>1670</v>
      </c>
      <c r="E1834" s="29" t="s">
        <v>1670</v>
      </c>
      <c r="F1834" s="30">
        <v>0.2</v>
      </c>
      <c r="G1834" s="31"/>
      <c r="H1834" s="31"/>
      <c r="I1834" s="31"/>
      <c r="J1834" s="31"/>
    </row>
    <row r="1835" spans="1:10" ht="14.4" x14ac:dyDescent="0.3">
      <c r="A1835" s="28" t="str">
        <f>B1835&amp;C1835&amp;D1835&amp;E1835</f>
        <v>ОбувьМужская обувьКроссовки и кедыКроссовки</v>
      </c>
      <c r="B1835" s="29" t="s">
        <v>180</v>
      </c>
      <c r="C1835" s="29" t="s">
        <v>279</v>
      </c>
      <c r="D1835" s="29" t="s">
        <v>1674</v>
      </c>
      <c r="E1835" s="29" t="s">
        <v>1675</v>
      </c>
      <c r="F1835" s="30">
        <v>0.2</v>
      </c>
      <c r="G1835" s="31"/>
      <c r="H1835" s="31"/>
      <c r="I1835" s="31"/>
      <c r="J1835" s="31"/>
    </row>
    <row r="1836" spans="1:10" ht="14.4" x14ac:dyDescent="0.3">
      <c r="A1836" s="28" t="str">
        <f>B1836&amp;C1836&amp;D1836&amp;E1836</f>
        <v>Красота и уходУход за волосамиСредства для очищения и уходаСкрабы</v>
      </c>
      <c r="B1836" s="29" t="s">
        <v>56</v>
      </c>
      <c r="C1836" s="29" t="s">
        <v>109</v>
      </c>
      <c r="D1836" s="29" t="s">
        <v>513</v>
      </c>
      <c r="E1836" s="29" t="s">
        <v>1680</v>
      </c>
      <c r="F1836" s="30">
        <v>0.2</v>
      </c>
      <c r="G1836" s="31"/>
      <c r="H1836" s="31"/>
      <c r="I1836" s="31"/>
      <c r="J1836" s="31"/>
    </row>
    <row r="1837" spans="1:10" ht="14.4" x14ac:dyDescent="0.3">
      <c r="A1837" s="28" t="str">
        <f>B1837&amp;C1837&amp;D1837&amp;E1837</f>
        <v>Бытовая химияСредства для посудомоечных машинТаблетки и капсулы для пммТаблетки и капсулы для пмм</v>
      </c>
      <c r="B1837" s="29" t="s">
        <v>146</v>
      </c>
      <c r="C1837" s="29" t="s">
        <v>1266</v>
      </c>
      <c r="D1837" s="29" t="s">
        <v>1684</v>
      </c>
      <c r="E1837" s="29" t="s">
        <v>1684</v>
      </c>
      <c r="F1837" s="30">
        <v>0.2</v>
      </c>
      <c r="G1837" s="31"/>
      <c r="H1837" s="31"/>
      <c r="I1837" s="31"/>
      <c r="J1837" s="31"/>
    </row>
    <row r="1838" spans="1:10" ht="14.4" x14ac:dyDescent="0.3">
      <c r="A1838" s="28" t="str">
        <f>B1838&amp;C1838&amp;D1838&amp;E1838</f>
        <v>ЗдоровьеМедицинские изделия и расходные материалыРасходные материалыОдноразовая одежда</v>
      </c>
      <c r="B1838" s="29" t="s">
        <v>116</v>
      </c>
      <c r="C1838" s="29" t="s">
        <v>436</v>
      </c>
      <c r="D1838" s="29" t="s">
        <v>1110</v>
      </c>
      <c r="E1838" s="29" t="s">
        <v>1687</v>
      </c>
      <c r="F1838" s="30">
        <v>0.2</v>
      </c>
      <c r="G1838" s="31"/>
      <c r="H1838" s="31"/>
      <c r="I1838" s="31"/>
      <c r="J1838" s="31"/>
    </row>
    <row r="1839" spans="1:10" ht="14.4" x14ac:dyDescent="0.3">
      <c r="A1839" s="28" t="str">
        <f>B1839&amp;C1839&amp;D1839&amp;E1839</f>
        <v>Хобби и творчествоМузыкальные инструментыКлавишные инструментыКлавишные инструменты</v>
      </c>
      <c r="B1839" s="29" t="s">
        <v>123</v>
      </c>
      <c r="C1839" s="29" t="s">
        <v>949</v>
      </c>
      <c r="D1839" s="29" t="s">
        <v>1690</v>
      </c>
      <c r="E1839" s="29" t="s">
        <v>1690</v>
      </c>
      <c r="F1839" s="30">
        <v>0.2</v>
      </c>
      <c r="G1839" s="31"/>
      <c r="H1839" s="31"/>
      <c r="I1839" s="31"/>
      <c r="J1839" s="31"/>
    </row>
    <row r="1840" spans="1:10" ht="14.4" x14ac:dyDescent="0.3">
      <c r="A1840" s="28" t="str">
        <f>B1840&amp;C1840&amp;D1840&amp;E1840</f>
        <v>Красота и уходЛичная гигиенаГигиена полости ртаЗубные пасты и гели</v>
      </c>
      <c r="B1840" s="29" t="s">
        <v>56</v>
      </c>
      <c r="C1840" s="29" t="s">
        <v>120</v>
      </c>
      <c r="D1840" s="29" t="s">
        <v>121</v>
      </c>
      <c r="E1840" s="29" t="s">
        <v>1696</v>
      </c>
      <c r="F1840" s="30">
        <v>0.2</v>
      </c>
      <c r="G1840" s="31"/>
      <c r="H1840" s="31"/>
      <c r="I1840" s="31"/>
      <c r="J1840" s="31"/>
    </row>
    <row r="1841" spans="1:10" ht="14.4" x14ac:dyDescent="0.3">
      <c r="A1841" s="28" t="str">
        <f>B1841&amp;C1841&amp;D1841&amp;E1841</f>
        <v>Детские товарыДетский спорт и активный отдыхПесок и песочницыКинетический песок</v>
      </c>
      <c r="B1841" s="29" t="s">
        <v>105</v>
      </c>
      <c r="C1841" s="29" t="s">
        <v>427</v>
      </c>
      <c r="D1841" s="29" t="s">
        <v>937</v>
      </c>
      <c r="E1841" s="29" t="s">
        <v>1698</v>
      </c>
      <c r="F1841" s="30">
        <v>0.2</v>
      </c>
      <c r="G1841" s="31"/>
      <c r="H1841" s="31"/>
      <c r="I1841" s="31"/>
      <c r="J1841" s="31"/>
    </row>
    <row r="1842" spans="1:10" ht="14.4" x14ac:dyDescent="0.3">
      <c r="A1842" s="28" t="str">
        <f>B1842&amp;C1842&amp;D1842&amp;E1842</f>
        <v>Красота и уходМакияжГубыКарандаши для губ</v>
      </c>
      <c r="B1842" s="29" t="s">
        <v>56</v>
      </c>
      <c r="C1842" s="29" t="s">
        <v>151</v>
      </c>
      <c r="D1842" s="29" t="s">
        <v>152</v>
      </c>
      <c r="E1842" s="29" t="s">
        <v>1700</v>
      </c>
      <c r="F1842" s="30">
        <v>0.2</v>
      </c>
      <c r="G1842" s="31"/>
      <c r="H1842" s="31"/>
      <c r="I1842" s="31"/>
      <c r="J1842" s="31"/>
    </row>
    <row r="1843" spans="1:10" ht="14.4" x14ac:dyDescent="0.3">
      <c r="A1843" s="28" t="str">
        <f>B1843&amp;C1843&amp;D1843&amp;E1843</f>
        <v>КнигиБизнес-литератураИнвестиции и недвижимостьИнвестиции и недвижимость</v>
      </c>
      <c r="B1843" s="29" t="s">
        <v>63</v>
      </c>
      <c r="C1843" s="29" t="s">
        <v>1032</v>
      </c>
      <c r="D1843" s="29" t="s">
        <v>1701</v>
      </c>
      <c r="E1843" s="29" t="s">
        <v>1701</v>
      </c>
      <c r="F1843" s="30">
        <v>0.2</v>
      </c>
      <c r="G1843" s="31"/>
      <c r="H1843" s="31"/>
      <c r="I1843" s="31"/>
      <c r="J1843" s="31"/>
    </row>
    <row r="1844" spans="1:10" ht="14.4" x14ac:dyDescent="0.3">
      <c r="A1844" s="28" t="str">
        <f>B1844&amp;C1844&amp;D1844&amp;E1844</f>
        <v>ОбувьЖенская обувьСабо и мюлиСабо</v>
      </c>
      <c r="B1844" s="29" t="s">
        <v>180</v>
      </c>
      <c r="C1844" s="29" t="s">
        <v>181</v>
      </c>
      <c r="D1844" s="29" t="s">
        <v>1079</v>
      </c>
      <c r="E1844" s="29" t="s">
        <v>594</v>
      </c>
      <c r="F1844" s="30">
        <v>0.2</v>
      </c>
      <c r="G1844" s="31"/>
      <c r="H1844" s="31"/>
      <c r="I1844" s="31"/>
      <c r="J1844" s="31"/>
    </row>
    <row r="1845" spans="1:10" ht="14.4" x14ac:dyDescent="0.3">
      <c r="A1845" s="28" t="str">
        <f>B1845&amp;C1845&amp;D1845&amp;E1845</f>
        <v>КнигиДетям и родителямРазвитие детейРазвитие общих способностей</v>
      </c>
      <c r="B1845" s="29" t="s">
        <v>63</v>
      </c>
      <c r="C1845" s="29" t="s">
        <v>258</v>
      </c>
      <c r="D1845" s="29" t="s">
        <v>259</v>
      </c>
      <c r="E1845" s="29" t="s">
        <v>1702</v>
      </c>
      <c r="F1845" s="30">
        <v>0.2</v>
      </c>
      <c r="G1845" s="31"/>
      <c r="H1845" s="31"/>
      <c r="I1845" s="31"/>
      <c r="J1845" s="31"/>
    </row>
    <row r="1846" spans="1:10" ht="14.4" x14ac:dyDescent="0.3">
      <c r="A1846" s="28" t="str">
        <f>B1846&amp;C1846&amp;D1846&amp;E1846</f>
        <v>Красота и уходМакияжЛицоCC кремы</v>
      </c>
      <c r="B1846" s="29" t="s">
        <v>56</v>
      </c>
      <c r="C1846" s="29" t="s">
        <v>151</v>
      </c>
      <c r="D1846" s="29" t="s">
        <v>602</v>
      </c>
      <c r="E1846" s="29" t="s">
        <v>1703</v>
      </c>
      <c r="F1846" s="30">
        <v>0.2</v>
      </c>
      <c r="G1846" s="31"/>
      <c r="H1846" s="31"/>
      <c r="I1846" s="31"/>
      <c r="J1846" s="31"/>
    </row>
    <row r="1847" spans="1:10" ht="14.4" x14ac:dyDescent="0.3">
      <c r="A1847" s="28" t="str">
        <f>B1847&amp;C1847&amp;D1847&amp;E1847</f>
        <v>Красота и уходУход за лицомОчищение и умываниеМолочко косметическое</v>
      </c>
      <c r="B1847" s="29" t="s">
        <v>56</v>
      </c>
      <c r="C1847" s="29" t="s">
        <v>238</v>
      </c>
      <c r="D1847" s="29" t="s">
        <v>728</v>
      </c>
      <c r="E1847" s="29" t="s">
        <v>1707</v>
      </c>
      <c r="F1847" s="30">
        <v>0.2</v>
      </c>
      <c r="G1847" s="31"/>
      <c r="H1847" s="31"/>
      <c r="I1847" s="31"/>
      <c r="J1847" s="31"/>
    </row>
    <row r="1848" spans="1:10" ht="14.4" x14ac:dyDescent="0.3">
      <c r="A1848" s="28" t="str">
        <f>B1848&amp;C1848&amp;D1848&amp;E1848</f>
        <v>ЭлектроникаКомпьютерная техникаКомпьютерная периферияHDMI оборудование</v>
      </c>
      <c r="B1848" s="29" t="s">
        <v>67</v>
      </c>
      <c r="C1848" s="29" t="s">
        <v>234</v>
      </c>
      <c r="D1848" s="29" t="s">
        <v>794</v>
      </c>
      <c r="E1848" s="29" t="s">
        <v>1709</v>
      </c>
      <c r="F1848" s="30">
        <v>0.2</v>
      </c>
      <c r="G1848" s="31"/>
      <c r="H1848" s="31"/>
      <c r="I1848" s="31"/>
      <c r="J1848" s="31"/>
    </row>
    <row r="1849" spans="1:10" ht="14.4" x14ac:dyDescent="0.3">
      <c r="A1849" s="28" t="str">
        <f>B1849&amp;C1849&amp;D1849&amp;E1849</f>
        <v>КанцтоварыБумажная продукцияКартонКартон</v>
      </c>
      <c r="B1849" s="29" t="s">
        <v>163</v>
      </c>
      <c r="C1849" s="29" t="s">
        <v>261</v>
      </c>
      <c r="D1849" s="29" t="s">
        <v>1714</v>
      </c>
      <c r="E1849" s="29" t="s">
        <v>1714</v>
      </c>
      <c r="F1849" s="30">
        <v>0.2</v>
      </c>
      <c r="G1849" s="31"/>
      <c r="H1849" s="31"/>
      <c r="I1849" s="31"/>
      <c r="J1849" s="31"/>
    </row>
    <row r="1850" spans="1:10" ht="14.4" x14ac:dyDescent="0.3">
      <c r="A1850" s="28" t="str">
        <f>B1850&amp;C1850&amp;D1850&amp;E1850</f>
        <v>Детские товарыТовары для кормленияПосуда и принадлежности для кормленияДетские тарелки и миски</v>
      </c>
      <c r="B1850" s="29" t="s">
        <v>105</v>
      </c>
      <c r="C1850" s="29" t="s">
        <v>639</v>
      </c>
      <c r="D1850" s="29" t="s">
        <v>640</v>
      </c>
      <c r="E1850" s="29" t="s">
        <v>1726</v>
      </c>
      <c r="F1850" s="30">
        <v>0.2</v>
      </c>
      <c r="G1850" s="31"/>
      <c r="H1850" s="31"/>
      <c r="I1850" s="31"/>
      <c r="J1850" s="31"/>
    </row>
    <row r="1851" spans="1:10" ht="14.4" x14ac:dyDescent="0.3">
      <c r="A1851" s="28" t="str">
        <f>B1851&amp;C1851&amp;D1851&amp;E1851</f>
        <v>КанцтоварыЧертежные принадлежностиЛинейкиЛинейки</v>
      </c>
      <c r="B1851" s="29" t="s">
        <v>163</v>
      </c>
      <c r="C1851" s="29" t="s">
        <v>492</v>
      </c>
      <c r="D1851" s="29" t="s">
        <v>1728</v>
      </c>
      <c r="E1851" s="29" t="s">
        <v>1728</v>
      </c>
      <c r="F1851" s="30">
        <v>0.2</v>
      </c>
      <c r="G1851" s="31"/>
      <c r="H1851" s="31"/>
      <c r="I1851" s="31"/>
      <c r="J1851" s="31"/>
    </row>
    <row r="1852" spans="1:10" ht="14.4" x14ac:dyDescent="0.3">
      <c r="A1852" s="28" t="str">
        <f>B1852&amp;C1852&amp;D1852&amp;E1852</f>
        <v>Товары для домаХозяйственные товарыИнвентарь для уборкиВеники и метлы</v>
      </c>
      <c r="B1852" s="29" t="s">
        <v>59</v>
      </c>
      <c r="C1852" s="29" t="s">
        <v>193</v>
      </c>
      <c r="D1852" s="29" t="s">
        <v>308</v>
      </c>
      <c r="E1852" s="29" t="s">
        <v>1729</v>
      </c>
      <c r="F1852" s="30">
        <v>0.2</v>
      </c>
      <c r="G1852" s="31"/>
      <c r="H1852" s="31"/>
      <c r="I1852" s="31"/>
      <c r="J1852" s="31"/>
    </row>
    <row r="1853" spans="1:10" ht="14.4" x14ac:dyDescent="0.3">
      <c r="A1853" s="28" t="str">
        <f>B1853&amp;C1853&amp;D1853&amp;E1853</f>
        <v>Красота и уходЛичная гигиенаГигиена полости ртаИрригаторы</v>
      </c>
      <c r="B1853" s="29" t="s">
        <v>56</v>
      </c>
      <c r="C1853" s="29" t="s">
        <v>120</v>
      </c>
      <c r="D1853" s="29" t="s">
        <v>121</v>
      </c>
      <c r="E1853" s="29" t="s">
        <v>1730</v>
      </c>
      <c r="F1853" s="30">
        <v>0.2</v>
      </c>
      <c r="G1853" s="31"/>
      <c r="H1853" s="31"/>
      <c r="I1853" s="31"/>
      <c r="J1853" s="31"/>
    </row>
    <row r="1854" spans="1:10" ht="14.4" x14ac:dyDescent="0.3">
      <c r="A1854" s="28" t="str">
        <f>B1854&amp;C1854&amp;D1854&amp;E1854</f>
        <v>ОбувьМужская обувьКроссовки и кедыБутсы</v>
      </c>
      <c r="B1854" s="29" t="s">
        <v>180</v>
      </c>
      <c r="C1854" s="29" t="s">
        <v>279</v>
      </c>
      <c r="D1854" s="29" t="s">
        <v>1674</v>
      </c>
      <c r="E1854" s="29" t="s">
        <v>1735</v>
      </c>
      <c r="F1854" s="30">
        <v>0.2</v>
      </c>
      <c r="G1854" s="31"/>
      <c r="H1854" s="31"/>
      <c r="I1854" s="31"/>
      <c r="J1854" s="31"/>
    </row>
    <row r="1855" spans="1:10" ht="14.4" x14ac:dyDescent="0.3">
      <c r="A1855" s="28" t="str">
        <f>B1855&amp;C1855&amp;D1855&amp;E1855</f>
        <v>КнигиБизнес-литератураМенеджмент и управлениеМенеджмент и управление</v>
      </c>
      <c r="B1855" s="29" t="s">
        <v>63</v>
      </c>
      <c r="C1855" s="29" t="s">
        <v>1032</v>
      </c>
      <c r="D1855" s="29" t="s">
        <v>1736</v>
      </c>
      <c r="E1855" s="29" t="s">
        <v>1736</v>
      </c>
      <c r="F1855" s="30">
        <v>0.2</v>
      </c>
      <c r="G1855" s="31"/>
      <c r="H1855" s="31"/>
      <c r="I1855" s="31"/>
      <c r="J1855" s="31"/>
    </row>
    <row r="1856" spans="1:10" ht="14.4" x14ac:dyDescent="0.3">
      <c r="A1856" s="28" t="str">
        <f>B1856&amp;C1856&amp;D1856&amp;E1856</f>
        <v>КнигиЛитература на иностранных языкахАрабский языкАрабский язык</v>
      </c>
      <c r="B1856" s="29" t="s">
        <v>63</v>
      </c>
      <c r="C1856" s="29" t="s">
        <v>1188</v>
      </c>
      <c r="D1856" s="29" t="s">
        <v>1738</v>
      </c>
      <c r="E1856" s="29" t="s">
        <v>1738</v>
      </c>
      <c r="F1856" s="30">
        <v>0.2</v>
      </c>
      <c r="G1856" s="31"/>
      <c r="H1856" s="31"/>
      <c r="I1856" s="31"/>
      <c r="J1856" s="31"/>
    </row>
    <row r="1857" spans="1:10" ht="14.4" x14ac:dyDescent="0.3">
      <c r="A1857" s="28" t="str">
        <f>B1857&amp;C1857&amp;D1857&amp;E1857</f>
        <v>КанцтоварыНастольные подставки и визитницыВизитницы настольныеВизитницы настольные</v>
      </c>
      <c r="B1857" s="29" t="s">
        <v>163</v>
      </c>
      <c r="C1857" s="29" t="s">
        <v>402</v>
      </c>
      <c r="D1857" s="29" t="s">
        <v>1744</v>
      </c>
      <c r="E1857" s="29" t="s">
        <v>1744</v>
      </c>
      <c r="F1857" s="30">
        <v>0.2</v>
      </c>
      <c r="G1857" s="31"/>
      <c r="H1857" s="31"/>
      <c r="I1857" s="31"/>
      <c r="J1857" s="31"/>
    </row>
    <row r="1858" spans="1:10" ht="14.4" x14ac:dyDescent="0.3">
      <c r="A1858" s="28" t="str">
        <f>B1858&amp;C1858&amp;D1858&amp;E1858</f>
        <v>КнигиНехудожественная литератураНаучно-популярная литератураНаучно-популярная литература</v>
      </c>
      <c r="B1858" s="29" t="s">
        <v>63</v>
      </c>
      <c r="C1858" s="29" t="s">
        <v>141</v>
      </c>
      <c r="D1858" s="29" t="s">
        <v>1745</v>
      </c>
      <c r="E1858" s="29" t="s">
        <v>1745</v>
      </c>
      <c r="F1858" s="30">
        <v>0.2</v>
      </c>
      <c r="G1858" s="31"/>
      <c r="H1858" s="31"/>
      <c r="I1858" s="31"/>
      <c r="J1858" s="31"/>
    </row>
    <row r="1859" spans="1:10" ht="14.4" x14ac:dyDescent="0.3">
      <c r="A1859" s="28" t="str">
        <f>B1859&amp;C1859&amp;D1859&amp;E1859</f>
        <v>Детские товарыТовары для кормленияПосуда и принадлежности для кормленияКонтейнеры для детского питания</v>
      </c>
      <c r="B1859" s="29" t="s">
        <v>105</v>
      </c>
      <c r="C1859" s="29" t="s">
        <v>639</v>
      </c>
      <c r="D1859" s="29" t="s">
        <v>640</v>
      </c>
      <c r="E1859" s="29" t="s">
        <v>1746</v>
      </c>
      <c r="F1859" s="30">
        <v>0.2</v>
      </c>
      <c r="G1859" s="31"/>
      <c r="H1859" s="31"/>
      <c r="I1859" s="31"/>
      <c r="J1859" s="31"/>
    </row>
    <row r="1860" spans="1:10" ht="14.4" x14ac:dyDescent="0.3">
      <c r="A1860" s="28" t="str">
        <f>B1860&amp;C1860&amp;D1860&amp;E1860</f>
        <v>Детские товарыИгрушки и игрыРазвивающие и обучающие игрушкиРазвивающие мозаики и коврики</v>
      </c>
      <c r="B1860" s="29" t="s">
        <v>105</v>
      </c>
      <c r="C1860" s="29" t="s">
        <v>184</v>
      </c>
      <c r="D1860" s="29" t="s">
        <v>218</v>
      </c>
      <c r="E1860" s="29" t="s">
        <v>1754</v>
      </c>
      <c r="F1860" s="30">
        <v>0.2</v>
      </c>
      <c r="G1860" s="31"/>
      <c r="H1860" s="31"/>
      <c r="I1860" s="31"/>
      <c r="J1860" s="31"/>
    </row>
    <row r="1861" spans="1:10" ht="14.4" x14ac:dyDescent="0.3">
      <c r="A1861" s="28" t="str">
        <f>B1861&amp;C1861&amp;D1861&amp;E1861</f>
        <v>Красота и уходДля мужчинДля бритьяБритвы, станки и сменные кассеты</v>
      </c>
      <c r="B1861" s="29" t="s">
        <v>56</v>
      </c>
      <c r="C1861" s="29" t="s">
        <v>71</v>
      </c>
      <c r="D1861" s="29" t="s">
        <v>665</v>
      </c>
      <c r="E1861" s="29" t="s">
        <v>1756</v>
      </c>
      <c r="F1861" s="30">
        <v>0.2</v>
      </c>
      <c r="G1861" s="31"/>
      <c r="H1861" s="31"/>
      <c r="I1861" s="31"/>
      <c r="J1861" s="31"/>
    </row>
    <row r="1862" spans="1:10" ht="14.4" x14ac:dyDescent="0.3">
      <c r="A1862" s="28" t="str">
        <f>B1862&amp;C1862&amp;D1862&amp;E1862</f>
        <v>КанцтоварыПисьменные принадлежностиФломастерыФломастеры</v>
      </c>
      <c r="B1862" s="29" t="s">
        <v>163</v>
      </c>
      <c r="C1862" s="29" t="s">
        <v>684</v>
      </c>
      <c r="D1862" s="29" t="s">
        <v>1759</v>
      </c>
      <c r="E1862" s="29" t="s">
        <v>1759</v>
      </c>
      <c r="F1862" s="30">
        <v>0.2</v>
      </c>
      <c r="G1862" s="31"/>
      <c r="H1862" s="31"/>
      <c r="I1862" s="31"/>
      <c r="J1862" s="31"/>
    </row>
    <row r="1863" spans="1:10" ht="14.4" x14ac:dyDescent="0.3">
      <c r="A1863" s="28" t="str">
        <f>B1863&amp;C1863&amp;D1863&amp;E1863</f>
        <v>Красота и уходКорейская косметикаУход за лицомБальзамы и гели для лица</v>
      </c>
      <c r="B1863" s="29" t="s">
        <v>56</v>
      </c>
      <c r="C1863" s="29" t="s">
        <v>211</v>
      </c>
      <c r="D1863" s="29" t="s">
        <v>238</v>
      </c>
      <c r="E1863" s="29" t="s">
        <v>1762</v>
      </c>
      <c r="F1863" s="30">
        <v>0.2</v>
      </c>
      <c r="G1863" s="31"/>
      <c r="H1863" s="31"/>
      <c r="I1863" s="31"/>
      <c r="J1863" s="31"/>
    </row>
    <row r="1864" spans="1:10" ht="14.4" x14ac:dyDescent="0.3">
      <c r="A1864" s="28" t="str">
        <f>B1864&amp;C1864&amp;D1864&amp;E1864</f>
        <v>ЗоотоварыДля собакТовары для дрессировки собак и аммуницияАмуниция</v>
      </c>
      <c r="B1864" s="29" t="s">
        <v>214</v>
      </c>
      <c r="C1864" s="29" t="s">
        <v>509</v>
      </c>
      <c r="D1864" s="29" t="s">
        <v>1763</v>
      </c>
      <c r="E1864" s="29" t="s">
        <v>832</v>
      </c>
      <c r="F1864" s="30">
        <v>0.2</v>
      </c>
      <c r="G1864" s="31"/>
      <c r="H1864" s="31"/>
      <c r="I1864" s="31"/>
      <c r="J1864" s="31"/>
    </row>
    <row r="1865" spans="1:10" ht="14.4" x14ac:dyDescent="0.3">
      <c r="A1865" s="28" t="str">
        <f>B1865&amp;C1865&amp;D1865&amp;E1865</f>
        <v>ЭлектроникаУмный дом и безопасностьБезопасность домаПерсональные сигнализации</v>
      </c>
      <c r="B1865" s="29" t="s">
        <v>67</v>
      </c>
      <c r="C1865" s="29" t="s">
        <v>411</v>
      </c>
      <c r="D1865" s="29" t="s">
        <v>412</v>
      </c>
      <c r="E1865" s="29" t="s">
        <v>1771</v>
      </c>
      <c r="F1865" s="30">
        <v>0.2</v>
      </c>
      <c r="G1865" s="31"/>
      <c r="H1865" s="31"/>
      <c r="I1865" s="31"/>
      <c r="J1865" s="31"/>
    </row>
    <row r="1866" spans="1:10" ht="14.4" x14ac:dyDescent="0.3">
      <c r="A1866" s="28" t="str">
        <f>B1866&amp;C1866&amp;D1866&amp;E1866</f>
        <v>Детские товарыИгрушки и игрыСлаймыСлаймы</v>
      </c>
      <c r="B1866" s="29" t="s">
        <v>105</v>
      </c>
      <c r="C1866" s="29" t="s">
        <v>184</v>
      </c>
      <c r="D1866" s="29" t="s">
        <v>1783</v>
      </c>
      <c r="E1866" s="29" t="s">
        <v>1783</v>
      </c>
      <c r="F1866" s="30">
        <v>0.2</v>
      </c>
      <c r="G1866" s="31"/>
      <c r="H1866" s="31"/>
      <c r="I1866" s="31"/>
      <c r="J1866" s="31"/>
    </row>
    <row r="1867" spans="1:10" ht="14.4" x14ac:dyDescent="0.3">
      <c r="A1867" s="28" t="str">
        <f>B1867&amp;C1867&amp;D1867&amp;E1867</f>
        <v>Детские товарыГигиена и подгузникиДетская косметикаДетские шампуни</v>
      </c>
      <c r="B1867" s="29" t="s">
        <v>105</v>
      </c>
      <c r="C1867" s="29" t="s">
        <v>106</v>
      </c>
      <c r="D1867" s="29" t="s">
        <v>586</v>
      </c>
      <c r="E1867" s="29" t="s">
        <v>1787</v>
      </c>
      <c r="F1867" s="30">
        <v>0.2</v>
      </c>
      <c r="G1867" s="31"/>
      <c r="H1867" s="31"/>
      <c r="I1867" s="31"/>
      <c r="J1867" s="31"/>
    </row>
    <row r="1868" spans="1:10" ht="14.4" x14ac:dyDescent="0.3">
      <c r="A1868" s="28" t="str">
        <f>B1868&amp;C1868&amp;D1868&amp;E1868</f>
        <v>Красота и уходКорейская косметикаУход за теломКремы для тела</v>
      </c>
      <c r="B1868" s="29" t="s">
        <v>56</v>
      </c>
      <c r="C1868" s="29" t="s">
        <v>211</v>
      </c>
      <c r="D1868" s="29" t="s">
        <v>100</v>
      </c>
      <c r="E1868" s="29" t="s">
        <v>1788</v>
      </c>
      <c r="F1868" s="30">
        <v>0.2</v>
      </c>
      <c r="G1868" s="31"/>
      <c r="H1868" s="31"/>
      <c r="I1868" s="31"/>
      <c r="J1868" s="31"/>
    </row>
    <row r="1869" spans="1:10" ht="14.4" x14ac:dyDescent="0.3">
      <c r="A1869" s="28" t="str">
        <f>B1869&amp;C1869&amp;D1869&amp;E1869</f>
        <v>КанцтоварыБумажная продукцияПленка самоклеящаяся, наклейки и этикеткиПленка самоклеящаяся</v>
      </c>
      <c r="B1869" s="29" t="s">
        <v>163</v>
      </c>
      <c r="C1869" s="29" t="s">
        <v>261</v>
      </c>
      <c r="D1869" s="29" t="s">
        <v>1050</v>
      </c>
      <c r="E1869" s="29" t="s">
        <v>1791</v>
      </c>
      <c r="F1869" s="30">
        <v>0.2</v>
      </c>
      <c r="G1869" s="31"/>
      <c r="H1869" s="31"/>
      <c r="I1869" s="31"/>
      <c r="J1869" s="31"/>
    </row>
    <row r="1870" spans="1:10" ht="14.4" x14ac:dyDescent="0.3">
      <c r="A1870" s="28" t="str">
        <f>B1870&amp;C1870&amp;D1870&amp;E1870</f>
        <v>Детские товарыГигиена и подгузникиДетская косметикаДетские кремы</v>
      </c>
      <c r="B1870" s="29" t="s">
        <v>105</v>
      </c>
      <c r="C1870" s="29" t="s">
        <v>106</v>
      </c>
      <c r="D1870" s="29" t="s">
        <v>586</v>
      </c>
      <c r="E1870" s="29" t="s">
        <v>1795</v>
      </c>
      <c r="F1870" s="30">
        <v>0.2</v>
      </c>
      <c r="G1870" s="31"/>
      <c r="H1870" s="31"/>
      <c r="I1870" s="31"/>
      <c r="J1870" s="31"/>
    </row>
    <row r="1871" spans="1:10" ht="14.4" x14ac:dyDescent="0.3">
      <c r="A1871" s="28" t="str">
        <f>B1871&amp;C1871&amp;D1871&amp;E1871</f>
        <v>Красота и уходНаборы для красотыНаборы для макияжаНаборы для макияжа</v>
      </c>
      <c r="B1871" s="29" t="s">
        <v>56</v>
      </c>
      <c r="C1871" s="29" t="s">
        <v>1372</v>
      </c>
      <c r="D1871" s="29" t="s">
        <v>1796</v>
      </c>
      <c r="E1871" s="29" t="s">
        <v>1796</v>
      </c>
      <c r="F1871" s="30">
        <v>0.2</v>
      </c>
      <c r="G1871" s="31"/>
      <c r="H1871" s="31"/>
      <c r="I1871" s="31"/>
      <c r="J1871" s="31"/>
    </row>
    <row r="1872" spans="1:10" ht="14.4" x14ac:dyDescent="0.3">
      <c r="A1872" s="28" t="str">
        <f>B1872&amp;C1872&amp;D1872&amp;E1872</f>
        <v>ЭлектроникаТелевизоры и видеотехникаАксессуары для телевизоровПульты ДУ для TV</v>
      </c>
      <c r="B1872" s="29" t="s">
        <v>67</v>
      </c>
      <c r="C1872" s="29" t="s">
        <v>136</v>
      </c>
      <c r="D1872" s="29" t="s">
        <v>156</v>
      </c>
      <c r="E1872" s="29" t="s">
        <v>1807</v>
      </c>
      <c r="F1872" s="30">
        <v>0.2</v>
      </c>
      <c r="G1872" s="31"/>
      <c r="H1872" s="31"/>
      <c r="I1872" s="31"/>
      <c r="J1872" s="31"/>
    </row>
    <row r="1873" spans="1:10" ht="14.4" x14ac:dyDescent="0.3">
      <c r="A1873" s="28" t="str">
        <f>B1873&amp;C1873&amp;D1873&amp;E1873</f>
        <v>Красота и уходЛичная гигиенаМылоМыло косметическое</v>
      </c>
      <c r="B1873" s="29" t="s">
        <v>56</v>
      </c>
      <c r="C1873" s="29" t="s">
        <v>120</v>
      </c>
      <c r="D1873" s="29" t="s">
        <v>1559</v>
      </c>
      <c r="E1873" s="29" t="s">
        <v>1809</v>
      </c>
      <c r="F1873" s="30">
        <v>0.2</v>
      </c>
      <c r="G1873" s="31"/>
      <c r="H1873" s="31"/>
      <c r="I1873" s="31"/>
      <c r="J1873" s="31"/>
    </row>
    <row r="1874" spans="1:10" ht="14.4" x14ac:dyDescent="0.3">
      <c r="A1874" s="28" t="str">
        <f>B1874&amp;C1874&amp;D1874&amp;E1874</f>
        <v>ЭлектроникаФото и видеотехникаАксессуары для фото- и видеокамерСветофильтры</v>
      </c>
      <c r="B1874" s="29" t="s">
        <v>67</v>
      </c>
      <c r="C1874" s="29" t="s">
        <v>174</v>
      </c>
      <c r="D1874" s="29" t="s">
        <v>175</v>
      </c>
      <c r="E1874" s="29" t="s">
        <v>1812</v>
      </c>
      <c r="F1874" s="30">
        <v>0.2</v>
      </c>
      <c r="G1874" s="31"/>
      <c r="H1874" s="31"/>
      <c r="I1874" s="31"/>
      <c r="J1874" s="31"/>
    </row>
    <row r="1875" spans="1:10" ht="14.4" x14ac:dyDescent="0.3">
      <c r="A1875" s="28" t="str">
        <f>B1875&amp;C1875&amp;D1875&amp;E1875</f>
        <v>КнигиУчебная литератураИзучение иностранных языковИзучение иностранных языков</v>
      </c>
      <c r="B1875" s="29" t="s">
        <v>63</v>
      </c>
      <c r="C1875" s="29" t="s">
        <v>210</v>
      </c>
      <c r="D1875" s="29" t="s">
        <v>1813</v>
      </c>
      <c r="E1875" s="29" t="s">
        <v>1813</v>
      </c>
      <c r="F1875" s="30">
        <v>0.2</v>
      </c>
      <c r="G1875" s="31"/>
      <c r="H1875" s="31"/>
      <c r="I1875" s="31"/>
      <c r="J1875" s="31"/>
    </row>
    <row r="1876" spans="1:10" ht="14.4" x14ac:dyDescent="0.3">
      <c r="A1876" s="28" t="str">
        <f>B1876&amp;C1876&amp;D1876&amp;E1876</f>
        <v>Продукты питанияШоколад, конфеты, сладостиШоколадная, ореховая пастаШоколадная, ореховая паста</v>
      </c>
      <c r="B1876" s="29" t="s">
        <v>248</v>
      </c>
      <c r="C1876" s="29" t="s">
        <v>249</v>
      </c>
      <c r="D1876" s="29" t="s">
        <v>1816</v>
      </c>
      <c r="E1876" s="29" t="s">
        <v>1816</v>
      </c>
      <c r="F1876" s="30">
        <v>0.2</v>
      </c>
      <c r="G1876" s="31"/>
      <c r="H1876" s="31"/>
      <c r="I1876" s="31"/>
      <c r="J1876" s="31"/>
    </row>
    <row r="1877" spans="1:10" ht="14.4" x14ac:dyDescent="0.3">
      <c r="A1877" s="28" t="str">
        <f>B1877&amp;C1877&amp;D1877&amp;E1877</f>
        <v>АвтотоварыМасла и автохимияТормозные жидкостиТормозные жидкости</v>
      </c>
      <c r="B1877" s="29" t="s">
        <v>12</v>
      </c>
      <c r="C1877" s="29" t="s">
        <v>848</v>
      </c>
      <c r="D1877" s="29" t="s">
        <v>1818</v>
      </c>
      <c r="E1877" s="29" t="s">
        <v>1818</v>
      </c>
      <c r="F1877" s="30">
        <v>0.2</v>
      </c>
      <c r="G1877" s="31"/>
      <c r="H1877" s="31"/>
      <c r="I1877" s="31"/>
      <c r="J1877" s="31"/>
    </row>
    <row r="1878" spans="1:10" ht="14.4" x14ac:dyDescent="0.3">
      <c r="A1878" s="28" t="str">
        <f>B1878&amp;C1878&amp;D1878&amp;E1878</f>
        <v>АвтотоварыЭлектроника для автоАксессуары для видеорегистраторовАксессуары для видеорегистраторов</v>
      </c>
      <c r="B1878" s="29" t="s">
        <v>12</v>
      </c>
      <c r="C1878" s="29" t="s">
        <v>360</v>
      </c>
      <c r="D1878" s="29" t="s">
        <v>1820</v>
      </c>
      <c r="E1878" s="29" t="s">
        <v>1820</v>
      </c>
      <c r="F1878" s="30">
        <v>0.2</v>
      </c>
      <c r="G1878" s="31"/>
      <c r="H1878" s="31"/>
      <c r="I1878" s="31"/>
      <c r="J1878" s="31"/>
    </row>
    <row r="1879" spans="1:10" ht="14.4" x14ac:dyDescent="0.3">
      <c r="A1879" s="28" t="str">
        <f>B1879&amp;C1879&amp;D1879&amp;E1879</f>
        <v>КанцтоварыПапки и файлыПружины для переплетаПружины для переплета</v>
      </c>
      <c r="B1879" s="29" t="s">
        <v>163</v>
      </c>
      <c r="C1879" s="29" t="s">
        <v>293</v>
      </c>
      <c r="D1879" s="29" t="s">
        <v>1822</v>
      </c>
      <c r="E1879" s="29" t="s">
        <v>1822</v>
      </c>
      <c r="F1879" s="30">
        <v>0.2</v>
      </c>
      <c r="G1879" s="31"/>
      <c r="H1879" s="31"/>
      <c r="I1879" s="31"/>
      <c r="J1879" s="31"/>
    </row>
    <row r="1880" spans="1:10" ht="14.4" x14ac:dyDescent="0.3">
      <c r="A1880" s="28" t="str">
        <f>B1880&amp;C1880&amp;D1880&amp;E1880</f>
        <v>Красота и уходМакияжЛицоBB и DD кремы</v>
      </c>
      <c r="B1880" s="29" t="s">
        <v>56</v>
      </c>
      <c r="C1880" s="29" t="s">
        <v>151</v>
      </c>
      <c r="D1880" s="29" t="s">
        <v>602</v>
      </c>
      <c r="E1880" s="29" t="s">
        <v>1827</v>
      </c>
      <c r="F1880" s="30">
        <v>0.2</v>
      </c>
      <c r="G1880" s="31"/>
      <c r="H1880" s="31"/>
      <c r="I1880" s="31"/>
      <c r="J1880" s="31"/>
    </row>
    <row r="1881" spans="1:10" ht="14.4" x14ac:dyDescent="0.3">
      <c r="A1881" s="28" t="str">
        <f>B1881&amp;C1881&amp;D1881&amp;E1881</f>
        <v>Красота и уходУход за лицомУвлажнение и питаниеМасла</v>
      </c>
      <c r="B1881" s="29" t="s">
        <v>56</v>
      </c>
      <c r="C1881" s="29" t="s">
        <v>238</v>
      </c>
      <c r="D1881" s="29" t="s">
        <v>134</v>
      </c>
      <c r="E1881" s="29" t="s">
        <v>368</v>
      </c>
      <c r="F1881" s="30">
        <v>0.2</v>
      </c>
      <c r="G1881" s="31"/>
      <c r="H1881" s="31"/>
      <c r="I1881" s="31"/>
      <c r="J1881" s="31"/>
    </row>
    <row r="1882" spans="1:10" ht="14.4" x14ac:dyDescent="0.3">
      <c r="A1882" s="28" t="str">
        <f>B1882&amp;C1882&amp;D1882&amp;E1882</f>
        <v>Красота и уходМаникюр и педикюрИнструменты для маникюраШтампы для стемпинга</v>
      </c>
      <c r="B1882" s="29" t="s">
        <v>56</v>
      </c>
      <c r="C1882" s="29" t="s">
        <v>57</v>
      </c>
      <c r="D1882" s="29" t="s">
        <v>199</v>
      </c>
      <c r="E1882" s="29" t="s">
        <v>1833</v>
      </c>
      <c r="F1882" s="30">
        <v>0.2</v>
      </c>
      <c r="G1882" s="31"/>
      <c r="H1882" s="31"/>
      <c r="I1882" s="31"/>
      <c r="J1882" s="31"/>
    </row>
    <row r="1883" spans="1:10" ht="14.4" x14ac:dyDescent="0.3">
      <c r="A1883" s="28" t="str">
        <f>B1883&amp;C1883&amp;D1883&amp;E1883</f>
        <v>Красота и уходКорейская косметикаУход за волосамиМаски, мыло и сыворотки для волос</v>
      </c>
      <c r="B1883" s="29" t="s">
        <v>56</v>
      </c>
      <c r="C1883" s="29" t="s">
        <v>211</v>
      </c>
      <c r="D1883" s="29" t="s">
        <v>109</v>
      </c>
      <c r="E1883" s="29" t="s">
        <v>1834</v>
      </c>
      <c r="F1883" s="30">
        <v>0.2</v>
      </c>
      <c r="G1883" s="31"/>
      <c r="H1883" s="31"/>
      <c r="I1883" s="31"/>
      <c r="J1883" s="31"/>
    </row>
    <row r="1884" spans="1:10" ht="14.4" x14ac:dyDescent="0.3">
      <c r="A1884" s="28" t="str">
        <f>B1884&amp;C1884&amp;D1884&amp;E1884</f>
        <v>Красота и уходМаникюр и педикюрДизайн ногтейФольга и втирки для ногтей</v>
      </c>
      <c r="B1884" s="29" t="s">
        <v>56</v>
      </c>
      <c r="C1884" s="29" t="s">
        <v>57</v>
      </c>
      <c r="D1884" s="29" t="s">
        <v>653</v>
      </c>
      <c r="E1884" s="29" t="s">
        <v>1841</v>
      </c>
      <c r="F1884" s="30">
        <v>0.2</v>
      </c>
      <c r="G1884" s="31"/>
      <c r="H1884" s="31"/>
      <c r="I1884" s="31"/>
      <c r="J1884" s="31"/>
    </row>
    <row r="1885" spans="1:10" ht="14.4" x14ac:dyDescent="0.3">
      <c r="A1885" s="28" t="str">
        <f>B1885&amp;C1885&amp;D1885&amp;E1885</f>
        <v>Красота и уходУход за лицомСредства для проблемной кожиТоники</v>
      </c>
      <c r="B1885" s="29" t="s">
        <v>56</v>
      </c>
      <c r="C1885" s="29" t="s">
        <v>238</v>
      </c>
      <c r="D1885" s="29" t="s">
        <v>1354</v>
      </c>
      <c r="E1885" s="29" t="s">
        <v>1660</v>
      </c>
      <c r="F1885" s="30">
        <v>0.2</v>
      </c>
      <c r="G1885" s="31"/>
      <c r="H1885" s="31"/>
      <c r="I1885" s="31"/>
      <c r="J1885" s="31"/>
    </row>
    <row r="1886" spans="1:10" ht="14.4" x14ac:dyDescent="0.3">
      <c r="A1886" s="28" t="str">
        <f>B1886&amp;C1886&amp;D1886&amp;E1886</f>
        <v>Красота и уходУход за лицомПатчиПатчи</v>
      </c>
      <c r="B1886" s="29" t="s">
        <v>56</v>
      </c>
      <c r="C1886" s="29" t="s">
        <v>238</v>
      </c>
      <c r="D1886" s="29" t="s">
        <v>1842</v>
      </c>
      <c r="E1886" s="29" t="s">
        <v>1842</v>
      </c>
      <c r="F1886" s="30">
        <v>0.2</v>
      </c>
      <c r="G1886" s="31"/>
      <c r="H1886" s="31"/>
      <c r="I1886" s="31"/>
      <c r="J1886" s="31"/>
    </row>
    <row r="1887" spans="1:10" ht="14.4" x14ac:dyDescent="0.3">
      <c r="A1887" s="28" t="str">
        <f>B1887&amp;C1887&amp;D1887&amp;E1887</f>
        <v>КанцтоварыБумажная продукцияКлассные журналыКлассные журналы</v>
      </c>
      <c r="B1887" s="29" t="s">
        <v>163</v>
      </c>
      <c r="C1887" s="29" t="s">
        <v>261</v>
      </c>
      <c r="D1887" s="29" t="s">
        <v>1847</v>
      </c>
      <c r="E1887" s="29" t="s">
        <v>1847</v>
      </c>
      <c r="F1887" s="30">
        <v>0.2</v>
      </c>
      <c r="G1887" s="31"/>
      <c r="H1887" s="31"/>
      <c r="I1887" s="31"/>
      <c r="J1887" s="31"/>
    </row>
    <row r="1888" spans="1:10" ht="14.4" x14ac:dyDescent="0.3">
      <c r="A1888" s="28" t="str">
        <f>B1888&amp;C1888&amp;D1888&amp;E1888</f>
        <v>ЭлектроникаОптические приборыТелескопыТелескопы</v>
      </c>
      <c r="B1888" s="29" t="s">
        <v>67</v>
      </c>
      <c r="C1888" s="29" t="s">
        <v>481</v>
      </c>
      <c r="D1888" s="29" t="s">
        <v>1851</v>
      </c>
      <c r="E1888" s="29" t="s">
        <v>1851</v>
      </c>
      <c r="F1888" s="30">
        <v>0.2</v>
      </c>
      <c r="G1888" s="31"/>
      <c r="H1888" s="31"/>
      <c r="I1888" s="31"/>
      <c r="J1888" s="31"/>
    </row>
    <row r="1889" spans="1:10" ht="14.4" x14ac:dyDescent="0.3">
      <c r="A1889" s="28" t="str">
        <f>B1889&amp;C1889&amp;D1889&amp;E1889</f>
        <v>Красота и уходКорейская косметикаОчищение лицаОчищающие полоски</v>
      </c>
      <c r="B1889" s="29" t="s">
        <v>56</v>
      </c>
      <c r="C1889" s="29" t="s">
        <v>211</v>
      </c>
      <c r="D1889" s="29" t="s">
        <v>750</v>
      </c>
      <c r="E1889" s="29" t="s">
        <v>811</v>
      </c>
      <c r="F1889" s="30">
        <v>0.2</v>
      </c>
      <c r="G1889" s="31"/>
      <c r="H1889" s="31"/>
      <c r="I1889" s="31"/>
      <c r="J1889" s="31"/>
    </row>
    <row r="1890" spans="1:10" ht="14.4" x14ac:dyDescent="0.3">
      <c r="A1890" s="28" t="str">
        <f>B1890&amp;C1890&amp;D1890&amp;E1890</f>
        <v>Товары для домаХозяйственные товарыАксессуары для ваннойДиспенсеры, дозаторы</v>
      </c>
      <c r="B1890" s="29" t="s">
        <v>59</v>
      </c>
      <c r="C1890" s="29" t="s">
        <v>193</v>
      </c>
      <c r="D1890" s="29" t="s">
        <v>194</v>
      </c>
      <c r="E1890" s="29" t="s">
        <v>1856</v>
      </c>
      <c r="F1890" s="30">
        <v>0.2</v>
      </c>
      <c r="G1890" s="31"/>
      <c r="H1890" s="31"/>
      <c r="I1890" s="31"/>
      <c r="J1890" s="31"/>
    </row>
    <row r="1891" spans="1:10" ht="14.4" x14ac:dyDescent="0.3">
      <c r="A1891" s="28" t="str">
        <f>B1891&amp;C1891&amp;D1891&amp;E1891</f>
        <v>Красота и уходМаникюр и педикюрМатериалы для наращивания ногтейФормы для наращивания ногтей</v>
      </c>
      <c r="B1891" s="29" t="s">
        <v>56</v>
      </c>
      <c r="C1891" s="29" t="s">
        <v>57</v>
      </c>
      <c r="D1891" s="29" t="s">
        <v>186</v>
      </c>
      <c r="E1891" s="29" t="s">
        <v>1858</v>
      </c>
      <c r="F1891" s="30">
        <v>0.2</v>
      </c>
      <c r="G1891" s="31"/>
      <c r="H1891" s="31"/>
      <c r="I1891" s="31"/>
      <c r="J1891" s="31"/>
    </row>
    <row r="1892" spans="1:10" ht="14.4" x14ac:dyDescent="0.3">
      <c r="A1892" s="28" t="str">
        <f>B1892&amp;C1892&amp;D1892&amp;E1892</f>
        <v>Дача, сад и огородОбустройство дачи и садаСадовые дорожки и огражденияСадовые дорожки и ограждения</v>
      </c>
      <c r="B1892" s="29" t="s">
        <v>352</v>
      </c>
      <c r="C1892" s="29" t="s">
        <v>966</v>
      </c>
      <c r="D1892" s="29" t="s">
        <v>1860</v>
      </c>
      <c r="E1892" s="29" t="s">
        <v>1860</v>
      </c>
      <c r="F1892" s="30">
        <v>0.2</v>
      </c>
      <c r="G1892" s="31"/>
      <c r="H1892" s="31"/>
      <c r="I1892" s="31"/>
      <c r="J1892" s="31"/>
    </row>
    <row r="1893" spans="1:10" ht="14.4" x14ac:dyDescent="0.3">
      <c r="A1893" s="28" t="str">
        <f>B1893&amp;C1893&amp;D1893&amp;E1893</f>
        <v>Бытовая химияСредства по уходу за обувьюЩетки и губки для обувиЩетки и губки для обуви</v>
      </c>
      <c r="B1893" s="29" t="s">
        <v>146</v>
      </c>
      <c r="C1893" s="29" t="s">
        <v>344</v>
      </c>
      <c r="D1893" s="29" t="s">
        <v>1861</v>
      </c>
      <c r="E1893" s="29" t="s">
        <v>1861</v>
      </c>
      <c r="F1893" s="30">
        <v>0.2</v>
      </c>
      <c r="G1893" s="31"/>
      <c r="H1893" s="31"/>
      <c r="I1893" s="31"/>
      <c r="J1893" s="31"/>
    </row>
    <row r="1894" spans="1:10" ht="14.4" x14ac:dyDescent="0.3">
      <c r="A1894" s="28" t="str">
        <f>B1894&amp;C1894&amp;D1894&amp;E1894</f>
        <v>Строительство и ремонтСантехникаУнитазыУнитазы</v>
      </c>
      <c r="B1894" s="29" t="s">
        <v>77</v>
      </c>
      <c r="C1894" s="29" t="s">
        <v>388</v>
      </c>
      <c r="D1894" s="29" t="s">
        <v>1862</v>
      </c>
      <c r="E1894" s="29" t="s">
        <v>1862</v>
      </c>
      <c r="F1894" s="30">
        <v>0.2</v>
      </c>
      <c r="G1894" s="31"/>
      <c r="H1894" s="31"/>
      <c r="I1894" s="31"/>
      <c r="J1894" s="31"/>
    </row>
    <row r="1895" spans="1:10" ht="14.4" x14ac:dyDescent="0.3">
      <c r="A1895" s="28" t="str">
        <f>B1895&amp;C1895&amp;D1895&amp;E1895</f>
        <v>КнигиБизнес-литератураНавыкиНавыки</v>
      </c>
      <c r="B1895" s="29" t="s">
        <v>63</v>
      </c>
      <c r="C1895" s="29" t="s">
        <v>1032</v>
      </c>
      <c r="D1895" s="29" t="s">
        <v>1863</v>
      </c>
      <c r="E1895" s="29" t="s">
        <v>1863</v>
      </c>
      <c r="F1895" s="30">
        <v>0.2</v>
      </c>
      <c r="G1895" s="31"/>
      <c r="H1895" s="31"/>
      <c r="I1895" s="31"/>
      <c r="J1895" s="31"/>
    </row>
    <row r="1896" spans="1:10" ht="14.4" x14ac:dyDescent="0.3">
      <c r="A1896" s="28" t="str">
        <f>B1896&amp;C1896&amp;D1896&amp;E1896</f>
        <v>КнигиБукинистикаХудожественная литератураРоманы</v>
      </c>
      <c r="B1896" s="29" t="s">
        <v>63</v>
      </c>
      <c r="C1896" s="29" t="s">
        <v>209</v>
      </c>
      <c r="D1896" s="29" t="s">
        <v>374</v>
      </c>
      <c r="E1896" s="29" t="s">
        <v>1865</v>
      </c>
      <c r="F1896" s="30">
        <v>0.2</v>
      </c>
      <c r="G1896" s="31"/>
      <c r="H1896" s="31"/>
      <c r="I1896" s="31"/>
      <c r="J1896" s="31"/>
    </row>
    <row r="1897" spans="1:10" ht="14.4" x14ac:dyDescent="0.3">
      <c r="A1897" s="28" t="str">
        <f>B1897&amp;C1897&amp;D1897&amp;E1897</f>
        <v>КанцтоварыОборудование для торговлиРазделители и стеллажиРазделители и стеллажи</v>
      </c>
      <c r="B1897" s="29" t="s">
        <v>163</v>
      </c>
      <c r="C1897" s="29" t="s">
        <v>943</v>
      </c>
      <c r="D1897" s="29" t="s">
        <v>1873</v>
      </c>
      <c r="E1897" s="29" t="s">
        <v>1873</v>
      </c>
      <c r="F1897" s="30">
        <v>0.2</v>
      </c>
      <c r="G1897" s="31"/>
      <c r="H1897" s="31"/>
      <c r="I1897" s="31"/>
      <c r="J1897" s="31"/>
    </row>
    <row r="1898" spans="1:10" ht="14.4" x14ac:dyDescent="0.3">
      <c r="A1898" s="28" t="str">
        <f>B1898&amp;C1898&amp;D1898&amp;E1898</f>
        <v>Дача, сад и огородСадовая техникаМойки высокого давления и аксессуарыМойки высокого давления</v>
      </c>
      <c r="B1898" s="29" t="s">
        <v>352</v>
      </c>
      <c r="C1898" s="29" t="s">
        <v>839</v>
      </c>
      <c r="D1898" s="29" t="s">
        <v>1024</v>
      </c>
      <c r="E1898" s="29" t="s">
        <v>1876</v>
      </c>
      <c r="F1898" s="30">
        <v>0.2</v>
      </c>
      <c r="G1898" s="31"/>
      <c r="H1898" s="31"/>
      <c r="I1898" s="31"/>
      <c r="J1898" s="31"/>
    </row>
    <row r="1899" spans="1:10" ht="14.4" x14ac:dyDescent="0.3">
      <c r="A1899" s="28" t="str">
        <f>B1899&amp;C1899&amp;D1899&amp;E1899</f>
        <v>КнигиДетям и родителямДосуг и творчество детейПоделки</v>
      </c>
      <c r="B1899" s="29" t="s">
        <v>63</v>
      </c>
      <c r="C1899" s="29" t="s">
        <v>258</v>
      </c>
      <c r="D1899" s="29" t="s">
        <v>829</v>
      </c>
      <c r="E1899" s="29" t="s">
        <v>1878</v>
      </c>
      <c r="F1899" s="30">
        <v>0.2</v>
      </c>
      <c r="G1899" s="31"/>
      <c r="H1899" s="31"/>
      <c r="I1899" s="31"/>
      <c r="J1899" s="31"/>
    </row>
    <row r="1900" spans="1:10" ht="14.4" x14ac:dyDescent="0.3">
      <c r="A1900" s="28" t="str">
        <f>B1900&amp;C1900&amp;D1900&amp;E1900</f>
        <v>КанцтоварыДемонстрационные доскиФлипчартыФлипчарты</v>
      </c>
      <c r="B1900" s="29" t="s">
        <v>163</v>
      </c>
      <c r="C1900" s="29" t="s">
        <v>690</v>
      </c>
      <c r="D1900" s="29" t="s">
        <v>1881</v>
      </c>
      <c r="E1900" s="29" t="s">
        <v>1881</v>
      </c>
      <c r="F1900" s="30">
        <v>0.2</v>
      </c>
      <c r="G1900" s="31"/>
      <c r="H1900" s="31"/>
      <c r="I1900" s="31"/>
      <c r="J1900" s="31"/>
    </row>
    <row r="1901" spans="1:10" ht="14.4" x14ac:dyDescent="0.3">
      <c r="A1901" s="28" t="str">
        <f>B1901&amp;C1901&amp;D1901&amp;E1901</f>
        <v>ОбувьМужская обувьМокасины и топсайдерыМокасины</v>
      </c>
      <c r="B1901" s="29" t="s">
        <v>180</v>
      </c>
      <c r="C1901" s="29" t="s">
        <v>279</v>
      </c>
      <c r="D1901" s="29" t="s">
        <v>1302</v>
      </c>
      <c r="E1901" s="29" t="s">
        <v>1303</v>
      </c>
      <c r="F1901" s="30">
        <v>0.2</v>
      </c>
      <c r="G1901" s="31"/>
      <c r="H1901" s="31"/>
      <c r="I1901" s="31"/>
      <c r="J1901" s="31"/>
    </row>
    <row r="1902" spans="1:10" ht="14.4" x14ac:dyDescent="0.3">
      <c r="A1902" s="28" t="str">
        <f>B1902&amp;C1902&amp;D1902&amp;E1902</f>
        <v>ОбувьМужская обувьБотинкиНизкие ботинки</v>
      </c>
      <c r="B1902" s="29" t="s">
        <v>180</v>
      </c>
      <c r="C1902" s="29" t="s">
        <v>279</v>
      </c>
      <c r="D1902" s="29" t="s">
        <v>515</v>
      </c>
      <c r="E1902" s="29" t="s">
        <v>1262</v>
      </c>
      <c r="F1902" s="30">
        <v>0.2</v>
      </c>
      <c r="G1902" s="31"/>
      <c r="H1902" s="31"/>
      <c r="I1902" s="31"/>
      <c r="J1902" s="31"/>
    </row>
    <row r="1903" spans="1:10" ht="14.4" x14ac:dyDescent="0.3">
      <c r="A1903" s="28" t="str">
        <f>B1903&amp;C1903&amp;D1903&amp;E1903</f>
        <v>Товары для домаТовары для кухниСтоловая посудаСахарницы и молочники</v>
      </c>
      <c r="B1903" s="29" t="s">
        <v>59</v>
      </c>
      <c r="C1903" s="29" t="s">
        <v>60</v>
      </c>
      <c r="D1903" s="29" t="s">
        <v>328</v>
      </c>
      <c r="E1903" s="29" t="s">
        <v>1882</v>
      </c>
      <c r="F1903" s="30">
        <v>0.2</v>
      </c>
      <c r="G1903" s="31"/>
      <c r="H1903" s="31"/>
      <c r="I1903" s="31"/>
      <c r="J1903" s="31"/>
    </row>
    <row r="1904" spans="1:10" ht="14.4" x14ac:dyDescent="0.3">
      <c r="A1904" s="28" t="str">
        <f>B1904&amp;C1904&amp;D1904&amp;E1904</f>
        <v>Красота и уходУход за теломУвлажнение и питаниеМаски для ног</v>
      </c>
      <c r="B1904" s="29" t="s">
        <v>56</v>
      </c>
      <c r="C1904" s="29" t="s">
        <v>100</v>
      </c>
      <c r="D1904" s="29" t="s">
        <v>134</v>
      </c>
      <c r="E1904" s="29" t="s">
        <v>1884</v>
      </c>
      <c r="F1904" s="30">
        <v>0.2</v>
      </c>
      <c r="G1904" s="31"/>
      <c r="H1904" s="31"/>
      <c r="I1904" s="31"/>
      <c r="J1904" s="31"/>
    </row>
    <row r="1905" spans="1:10" ht="14.4" x14ac:dyDescent="0.3">
      <c r="A1905" s="28" t="str">
        <f>B1905&amp;C1905&amp;D1905&amp;E1905</f>
        <v>Строительство и ремонтРучной инструмент и оснасткаНаборы инструментовНаборы инструментов</v>
      </c>
      <c r="B1905" s="29" t="s">
        <v>77</v>
      </c>
      <c r="C1905" s="29" t="s">
        <v>127</v>
      </c>
      <c r="D1905" s="29" t="s">
        <v>1886</v>
      </c>
      <c r="E1905" s="29" t="s">
        <v>1886</v>
      </c>
      <c r="F1905" s="30">
        <v>0.2</v>
      </c>
      <c r="G1905" s="31"/>
      <c r="H1905" s="31"/>
      <c r="I1905" s="31"/>
      <c r="J1905" s="31"/>
    </row>
    <row r="1906" spans="1:10" ht="14.4" x14ac:dyDescent="0.3">
      <c r="A1906" s="28" t="str">
        <f>B1906&amp;C1906&amp;D1906&amp;E1906</f>
        <v>Детские товарыДетское творчествоЛепкаИнструменты и наборы для лепки</v>
      </c>
      <c r="B1906" s="29" t="s">
        <v>105</v>
      </c>
      <c r="C1906" s="29" t="s">
        <v>440</v>
      </c>
      <c r="D1906" s="29" t="s">
        <v>578</v>
      </c>
      <c r="E1906" s="29" t="s">
        <v>1888</v>
      </c>
      <c r="F1906" s="30">
        <v>0.2</v>
      </c>
      <c r="G1906" s="31"/>
      <c r="H1906" s="31"/>
      <c r="I1906" s="31"/>
      <c r="J1906" s="31"/>
    </row>
    <row r="1907" spans="1:10" ht="14.4" x14ac:dyDescent="0.3">
      <c r="A1907" s="28" t="str">
        <f>B1907&amp;C1907&amp;D1907&amp;E1907</f>
        <v>ЗдоровьеМедицинские изделия и расходные материалыДиагностические тестыТесты на беременность и овуляцию</v>
      </c>
      <c r="B1907" s="29" t="s">
        <v>116</v>
      </c>
      <c r="C1907" s="29" t="s">
        <v>436</v>
      </c>
      <c r="D1907" s="29" t="s">
        <v>1052</v>
      </c>
      <c r="E1907" s="29" t="s">
        <v>1894</v>
      </c>
      <c r="F1907" s="30">
        <v>0.2</v>
      </c>
      <c r="G1907" s="31"/>
      <c r="H1907" s="31"/>
      <c r="I1907" s="31"/>
      <c r="J1907" s="31"/>
    </row>
    <row r="1908" spans="1:10" ht="14.4" x14ac:dyDescent="0.3">
      <c r="A1908" s="28" t="str">
        <f>B1908&amp;C1908&amp;D1908&amp;E1908</f>
        <v>Детские товарыДетская комнатаДетская мебельСтулья, табуретки и кресла</v>
      </c>
      <c r="B1908" s="29" t="s">
        <v>105</v>
      </c>
      <c r="C1908" s="29" t="s">
        <v>397</v>
      </c>
      <c r="D1908" s="29" t="s">
        <v>617</v>
      </c>
      <c r="E1908" s="29" t="s">
        <v>1895</v>
      </c>
      <c r="F1908" s="30">
        <v>0.2</v>
      </c>
      <c r="G1908" s="31"/>
      <c r="H1908" s="31"/>
      <c r="I1908" s="31"/>
      <c r="J1908" s="31"/>
    </row>
    <row r="1909" spans="1:10" ht="14.4" x14ac:dyDescent="0.3">
      <c r="A1909" s="28" t="str">
        <f>B1909&amp;C1909&amp;D1909&amp;E1909</f>
        <v>Детские товарыИгрушки и игрыРазвивающие и обучающие игрушкиРазвивающие и обучающие игрушки</v>
      </c>
      <c r="B1909" s="29" t="s">
        <v>105</v>
      </c>
      <c r="C1909" s="29" t="s">
        <v>184</v>
      </c>
      <c r="D1909" s="29" t="s">
        <v>218</v>
      </c>
      <c r="E1909" s="29" t="s">
        <v>218</v>
      </c>
      <c r="F1909" s="30">
        <v>0.2</v>
      </c>
      <c r="G1909" s="31"/>
      <c r="H1909" s="31"/>
      <c r="I1909" s="31"/>
      <c r="J1909" s="31"/>
    </row>
    <row r="1910" spans="1:10" ht="14.4" x14ac:dyDescent="0.3">
      <c r="A1910" s="28" t="str">
        <f>B1910&amp;C1910&amp;D1910&amp;E1910</f>
        <v>Строительство и ремонтЭлектрикаПровода и кабелиПровода и кабели</v>
      </c>
      <c r="B1910" s="29" t="s">
        <v>77</v>
      </c>
      <c r="C1910" s="29" t="s">
        <v>600</v>
      </c>
      <c r="D1910" s="29" t="s">
        <v>1900</v>
      </c>
      <c r="E1910" s="29" t="s">
        <v>1900</v>
      </c>
      <c r="F1910" s="30">
        <v>0.2</v>
      </c>
      <c r="G1910" s="31"/>
      <c r="H1910" s="31"/>
      <c r="I1910" s="31"/>
      <c r="J1910" s="31"/>
    </row>
    <row r="1911" spans="1:10" ht="14.4" x14ac:dyDescent="0.3">
      <c r="A1911" s="28" t="str">
        <f>B1911&amp;C1911&amp;D1911&amp;E1911</f>
        <v>Красота и уходКорейская косметикаМакияжГубы</v>
      </c>
      <c r="B1911" s="29" t="s">
        <v>56</v>
      </c>
      <c r="C1911" s="29" t="s">
        <v>211</v>
      </c>
      <c r="D1911" s="29" t="s">
        <v>151</v>
      </c>
      <c r="E1911" s="29" t="s">
        <v>152</v>
      </c>
      <c r="F1911" s="30">
        <v>0.2</v>
      </c>
      <c r="G1911" s="31"/>
      <c r="H1911" s="31"/>
      <c r="I1911" s="31"/>
      <c r="J1911" s="31"/>
    </row>
    <row r="1912" spans="1:10" ht="14.4" x14ac:dyDescent="0.3">
      <c r="A1912" s="28" t="str">
        <f>B1912&amp;C1912&amp;D1912&amp;E1912</f>
        <v>Товары для домаМебельМатрасыМатрасы</v>
      </c>
      <c r="B1912" s="29" t="s">
        <v>59</v>
      </c>
      <c r="C1912" s="29" t="s">
        <v>302</v>
      </c>
      <c r="D1912" s="29" t="s">
        <v>1907</v>
      </c>
      <c r="E1912" s="29" t="s">
        <v>1907</v>
      </c>
      <c r="F1912" s="30">
        <v>0.2</v>
      </c>
      <c r="G1912" s="31"/>
      <c r="H1912" s="31"/>
      <c r="I1912" s="31"/>
      <c r="J1912" s="31"/>
    </row>
    <row r="1913" spans="1:10" ht="14.4" x14ac:dyDescent="0.3">
      <c r="A1913" s="28" t="str">
        <f>B1913&amp;C1913&amp;D1913&amp;E1913</f>
        <v>Товары для домаХозяйственные товарыИнвентарь для уборкиВедра и тазы</v>
      </c>
      <c r="B1913" s="29" t="s">
        <v>59</v>
      </c>
      <c r="C1913" s="29" t="s">
        <v>193</v>
      </c>
      <c r="D1913" s="29" t="s">
        <v>308</v>
      </c>
      <c r="E1913" s="29" t="s">
        <v>1913</v>
      </c>
      <c r="F1913" s="30">
        <v>0.2</v>
      </c>
      <c r="G1913" s="31"/>
      <c r="H1913" s="31"/>
      <c r="I1913" s="31"/>
      <c r="J1913" s="31"/>
    </row>
    <row r="1914" spans="1:10" ht="14.4" x14ac:dyDescent="0.3">
      <c r="A1914" s="28" t="str">
        <f>B1914&amp;C1914&amp;D1914&amp;E1914</f>
        <v>ОбувьЖенская обувьБотильоныНизкие ботильоны</v>
      </c>
      <c r="B1914" s="29" t="s">
        <v>180</v>
      </c>
      <c r="C1914" s="29" t="s">
        <v>181</v>
      </c>
      <c r="D1914" s="29" t="s">
        <v>1917</v>
      </c>
      <c r="E1914" s="29" t="s">
        <v>1918</v>
      </c>
      <c r="F1914" s="30">
        <v>0.2</v>
      </c>
      <c r="G1914" s="31"/>
      <c r="H1914" s="31"/>
      <c r="I1914" s="31"/>
      <c r="J1914" s="31"/>
    </row>
    <row r="1915" spans="1:10" ht="14.4" x14ac:dyDescent="0.3">
      <c r="A1915" s="28" t="str">
        <f>B1915&amp;C1915&amp;D1915&amp;E1915</f>
        <v>Строительство и ремонтСантехникаСмесителиСмесители</v>
      </c>
      <c r="B1915" s="29" t="s">
        <v>77</v>
      </c>
      <c r="C1915" s="29" t="s">
        <v>388</v>
      </c>
      <c r="D1915" s="29" t="s">
        <v>1922</v>
      </c>
      <c r="E1915" s="29" t="s">
        <v>1922</v>
      </c>
      <c r="F1915" s="30">
        <v>0.2</v>
      </c>
      <c r="G1915" s="31"/>
      <c r="H1915" s="31"/>
      <c r="I1915" s="31"/>
      <c r="J1915" s="31"/>
    </row>
    <row r="1916" spans="1:10" ht="14.4" x14ac:dyDescent="0.3">
      <c r="A1916" s="28" t="str">
        <f>B1916&amp;C1916&amp;D1916&amp;E1916</f>
        <v>ЭлектроникаУмный дом и безопасностьБезопасность домаСКУД</v>
      </c>
      <c r="B1916" s="29" t="s">
        <v>67</v>
      </c>
      <c r="C1916" s="29" t="s">
        <v>411</v>
      </c>
      <c r="D1916" s="29" t="s">
        <v>412</v>
      </c>
      <c r="E1916" s="29" t="s">
        <v>1923</v>
      </c>
      <c r="F1916" s="30">
        <v>0.2</v>
      </c>
      <c r="G1916" s="31"/>
      <c r="H1916" s="31"/>
      <c r="I1916" s="31"/>
      <c r="J1916" s="31"/>
    </row>
    <row r="1917" spans="1:10" ht="14.4" x14ac:dyDescent="0.3">
      <c r="A1917" s="28" t="str">
        <f>B1917&amp;C1917&amp;D1917&amp;E1917</f>
        <v>ОбувьЖенская обувьДутая обувьКроссовки</v>
      </c>
      <c r="B1917" s="29" t="s">
        <v>180</v>
      </c>
      <c r="C1917" s="29" t="s">
        <v>181</v>
      </c>
      <c r="D1917" s="29" t="s">
        <v>939</v>
      </c>
      <c r="E1917" s="29" t="s">
        <v>1675</v>
      </c>
      <c r="F1917" s="30">
        <v>0.2</v>
      </c>
      <c r="G1917" s="31"/>
      <c r="H1917" s="31"/>
      <c r="I1917" s="31"/>
      <c r="J1917" s="31"/>
    </row>
    <row r="1918" spans="1:10" ht="14.4" x14ac:dyDescent="0.3">
      <c r="A1918" s="28" t="str">
        <f>B1918&amp;C1918&amp;D1918&amp;E1918</f>
        <v>Красота и уходУход за лицомУход за губамиБальзамы для губ</v>
      </c>
      <c r="B1918" s="29" t="s">
        <v>56</v>
      </c>
      <c r="C1918" s="29" t="s">
        <v>238</v>
      </c>
      <c r="D1918" s="29" t="s">
        <v>1400</v>
      </c>
      <c r="E1918" s="29" t="s">
        <v>1930</v>
      </c>
      <c r="F1918" s="30">
        <v>0.2</v>
      </c>
      <c r="G1918" s="31"/>
      <c r="H1918" s="31"/>
      <c r="I1918" s="31"/>
      <c r="J1918" s="31"/>
    </row>
    <row r="1919" spans="1:10" ht="14.4" x14ac:dyDescent="0.3">
      <c r="A1919" s="28" t="str">
        <f>B1919&amp;C1919&amp;D1919&amp;E1919</f>
        <v>Красота и уходДля мужчинДля волосШампуни для волос</v>
      </c>
      <c r="B1919" s="29" t="s">
        <v>56</v>
      </c>
      <c r="C1919" s="29" t="s">
        <v>71</v>
      </c>
      <c r="D1919" s="29" t="s">
        <v>72</v>
      </c>
      <c r="E1919" s="29" t="s">
        <v>1935</v>
      </c>
      <c r="F1919" s="30">
        <v>0.2</v>
      </c>
      <c r="G1919" s="31"/>
      <c r="H1919" s="31"/>
      <c r="I1919" s="31"/>
      <c r="J1919" s="31"/>
    </row>
    <row r="1920" spans="1:10" ht="14.4" x14ac:dyDescent="0.3">
      <c r="A1920" s="28" t="str">
        <f>B1920&amp;C1920&amp;D1920&amp;E1920</f>
        <v>Красота и уходМакияжГубыТинты</v>
      </c>
      <c r="B1920" s="29" t="s">
        <v>56</v>
      </c>
      <c r="C1920" s="29" t="s">
        <v>151</v>
      </c>
      <c r="D1920" s="29" t="s">
        <v>152</v>
      </c>
      <c r="E1920" s="29" t="s">
        <v>1940</v>
      </c>
      <c r="F1920" s="30">
        <v>0.2</v>
      </c>
      <c r="G1920" s="31"/>
      <c r="H1920" s="31"/>
      <c r="I1920" s="31"/>
      <c r="J1920" s="31"/>
    </row>
    <row r="1921" spans="1:10" ht="14.4" x14ac:dyDescent="0.3">
      <c r="A1921" s="28" t="str">
        <f>B1921&amp;C1921&amp;D1921&amp;E1921</f>
        <v>ЗоотоварыДля собакГрумингГруминг</v>
      </c>
      <c r="B1921" s="29" t="s">
        <v>214</v>
      </c>
      <c r="C1921" s="29" t="s">
        <v>509</v>
      </c>
      <c r="D1921" s="29" t="s">
        <v>1941</v>
      </c>
      <c r="E1921" s="29" t="s">
        <v>1941</v>
      </c>
      <c r="F1921" s="30">
        <v>0.2</v>
      </c>
      <c r="G1921" s="31"/>
      <c r="H1921" s="31"/>
      <c r="I1921" s="31"/>
      <c r="J1921" s="31"/>
    </row>
    <row r="1922" spans="1:10" ht="14.4" x14ac:dyDescent="0.3">
      <c r="A1922" s="28" t="str">
        <f>B1922&amp;C1922&amp;D1922&amp;E1922</f>
        <v>КнигиХудожественная литератураПрозаИсторическая проза</v>
      </c>
      <c r="B1922" s="29" t="s">
        <v>63</v>
      </c>
      <c r="C1922" s="29" t="s">
        <v>374</v>
      </c>
      <c r="D1922" s="29" t="s">
        <v>624</v>
      </c>
      <c r="E1922" s="29" t="s">
        <v>1943</v>
      </c>
      <c r="F1922" s="30">
        <v>0.2</v>
      </c>
      <c r="G1922" s="31"/>
      <c r="H1922" s="31"/>
      <c r="I1922" s="31"/>
      <c r="J1922" s="31"/>
    </row>
    <row r="1923" spans="1:10" ht="14.4" x14ac:dyDescent="0.3">
      <c r="A1923" s="28" t="str">
        <f>B1923&amp;C1923&amp;D1923&amp;E1923</f>
        <v>АвтотоварыЭлектроника для автоАвтомобильные инверторыАвтомобильные инверторы</v>
      </c>
      <c r="B1923" s="29" t="s">
        <v>12</v>
      </c>
      <c r="C1923" s="29" t="s">
        <v>360</v>
      </c>
      <c r="D1923" s="29" t="s">
        <v>1945</v>
      </c>
      <c r="E1923" s="29" t="s">
        <v>1945</v>
      </c>
      <c r="F1923" s="30">
        <v>0.2</v>
      </c>
      <c r="G1923" s="31"/>
      <c r="H1923" s="31"/>
      <c r="I1923" s="31"/>
      <c r="J1923" s="31"/>
    </row>
    <row r="1924" spans="1:10" ht="14.4" x14ac:dyDescent="0.3">
      <c r="A1924" s="28" t="str">
        <f>B1924&amp;C1924&amp;D1924&amp;E1924</f>
        <v>ОбувьЖенская обувьМокасины и топсайдерыТопсайдеры</v>
      </c>
      <c r="B1924" s="29" t="s">
        <v>180</v>
      </c>
      <c r="C1924" s="29" t="s">
        <v>181</v>
      </c>
      <c r="D1924" s="29" t="s">
        <v>1302</v>
      </c>
      <c r="E1924" s="29" t="s">
        <v>1946</v>
      </c>
      <c r="F1924" s="30">
        <v>0.2</v>
      </c>
      <c r="G1924" s="31"/>
      <c r="H1924" s="31"/>
      <c r="I1924" s="31"/>
      <c r="J1924" s="31"/>
    </row>
    <row r="1925" spans="1:10" ht="14.4" x14ac:dyDescent="0.3">
      <c r="A1925" s="28" t="str">
        <f>B1925&amp;C1925&amp;D1925&amp;E1925</f>
        <v>Красота и уходКорейская косметикаУход за лицомЭмульсии</v>
      </c>
      <c r="B1925" s="29" t="s">
        <v>56</v>
      </c>
      <c r="C1925" s="29" t="s">
        <v>211</v>
      </c>
      <c r="D1925" s="29" t="s">
        <v>238</v>
      </c>
      <c r="E1925" s="29" t="s">
        <v>1538</v>
      </c>
      <c r="F1925" s="30">
        <v>0.2</v>
      </c>
      <c r="G1925" s="31"/>
      <c r="H1925" s="31"/>
      <c r="I1925" s="31"/>
      <c r="J1925" s="31"/>
    </row>
    <row r="1926" spans="1:10" ht="14.4" x14ac:dyDescent="0.3">
      <c r="A1926" s="28" t="str">
        <f>B1926&amp;C1926&amp;D1926&amp;E1926</f>
        <v>ЭлектроникаТелевизоры и видеотехникаПроекторы и аксессуарыПроекционные экраны</v>
      </c>
      <c r="B1926" s="29" t="s">
        <v>67</v>
      </c>
      <c r="C1926" s="29" t="s">
        <v>136</v>
      </c>
      <c r="D1926" s="29" t="s">
        <v>137</v>
      </c>
      <c r="E1926" s="29" t="s">
        <v>1948</v>
      </c>
      <c r="F1926" s="30">
        <v>0.2</v>
      </c>
      <c r="G1926" s="31"/>
      <c r="H1926" s="31"/>
      <c r="I1926" s="31"/>
      <c r="J1926" s="31"/>
    </row>
    <row r="1927" spans="1:10" ht="14.4" x14ac:dyDescent="0.3">
      <c r="A1927" s="28" t="str">
        <f>B1927&amp;C1927&amp;D1927&amp;E1927</f>
        <v>Красота и уходУход за волосамиСредства для укладкиЛаки</v>
      </c>
      <c r="B1927" s="29" t="s">
        <v>56</v>
      </c>
      <c r="C1927" s="29" t="s">
        <v>109</v>
      </c>
      <c r="D1927" s="29" t="s">
        <v>73</v>
      </c>
      <c r="E1927" s="29" t="s">
        <v>1951</v>
      </c>
      <c r="F1927" s="30">
        <v>0.2</v>
      </c>
      <c r="G1927" s="31"/>
      <c r="H1927" s="31"/>
      <c r="I1927" s="31"/>
      <c r="J1927" s="31"/>
    </row>
    <row r="1928" spans="1:10" ht="14.4" x14ac:dyDescent="0.3">
      <c r="A1928" s="28" t="str">
        <f>B1928&amp;C1928&amp;D1928&amp;E1928</f>
        <v>Бытовая химияСредства по уходу за обувьюПены - очистители для обувиПены - очистители для обуви</v>
      </c>
      <c r="B1928" s="29" t="s">
        <v>146</v>
      </c>
      <c r="C1928" s="29" t="s">
        <v>344</v>
      </c>
      <c r="D1928" s="29" t="s">
        <v>1953</v>
      </c>
      <c r="E1928" s="29" t="s">
        <v>1953</v>
      </c>
      <c r="F1928" s="30">
        <v>0.2</v>
      </c>
      <c r="G1928" s="31"/>
      <c r="H1928" s="31"/>
      <c r="I1928" s="31"/>
      <c r="J1928" s="31"/>
    </row>
    <row r="1929" spans="1:10" ht="14.4" x14ac:dyDescent="0.3">
      <c r="A1929" s="28" t="str">
        <f>B1929&amp;C1929&amp;D1929&amp;E1929</f>
        <v>ЭлектроникаФото и видеотехникаОборудование для фотографовУход и защита</v>
      </c>
      <c r="B1929" s="29" t="s">
        <v>67</v>
      </c>
      <c r="C1929" s="29" t="s">
        <v>174</v>
      </c>
      <c r="D1929" s="29" t="s">
        <v>575</v>
      </c>
      <c r="E1929" s="29" t="s">
        <v>1954</v>
      </c>
      <c r="F1929" s="30">
        <v>0.2</v>
      </c>
      <c r="G1929" s="31"/>
      <c r="H1929" s="31"/>
      <c r="I1929" s="31"/>
      <c r="J1929" s="31"/>
    </row>
    <row r="1930" spans="1:10" ht="14.4" x14ac:dyDescent="0.3">
      <c r="A1930" s="28" t="str">
        <f>B1930&amp;C1930&amp;D1930&amp;E1930</f>
        <v>ЗдоровьеМедицинские изделия и расходные материалыПеревязочные материалыПластыри</v>
      </c>
      <c r="B1930" s="29" t="s">
        <v>116</v>
      </c>
      <c r="C1930" s="29" t="s">
        <v>436</v>
      </c>
      <c r="D1930" s="29" t="s">
        <v>1956</v>
      </c>
      <c r="E1930" s="29" t="s">
        <v>1957</v>
      </c>
      <c r="F1930" s="30">
        <v>0.2</v>
      </c>
      <c r="G1930" s="31"/>
      <c r="H1930" s="31"/>
      <c r="I1930" s="31"/>
      <c r="J1930" s="31"/>
    </row>
    <row r="1931" spans="1:10" ht="14.4" x14ac:dyDescent="0.3">
      <c r="A1931" s="28" t="str">
        <f>B1931&amp;C1931&amp;D1931&amp;E1931</f>
        <v>Детские товарыДетский спорт и активный отдыхКачели и шезлонги для малышейКачели и шезлонги для малышей</v>
      </c>
      <c r="B1931" s="29" t="s">
        <v>105</v>
      </c>
      <c r="C1931" s="29" t="s">
        <v>427</v>
      </c>
      <c r="D1931" s="29" t="s">
        <v>1960</v>
      </c>
      <c r="E1931" s="29" t="s">
        <v>1960</v>
      </c>
      <c r="F1931" s="30">
        <v>0.2</v>
      </c>
      <c r="G1931" s="31"/>
      <c r="H1931" s="31"/>
      <c r="I1931" s="31"/>
      <c r="J1931" s="31"/>
    </row>
    <row r="1932" spans="1:10" ht="14.4" x14ac:dyDescent="0.3">
      <c r="A1932" s="28" t="str">
        <f>B1932&amp;C1932&amp;D1932&amp;E1932</f>
        <v>ЭлектроникаУмный дом и безопасностьБезопасность домаДатчики для охранных систем</v>
      </c>
      <c r="B1932" s="29" t="s">
        <v>67</v>
      </c>
      <c r="C1932" s="29" t="s">
        <v>411</v>
      </c>
      <c r="D1932" s="29" t="s">
        <v>412</v>
      </c>
      <c r="E1932" s="29" t="s">
        <v>1961</v>
      </c>
      <c r="F1932" s="30">
        <v>0.2</v>
      </c>
      <c r="G1932" s="31"/>
      <c r="H1932" s="31"/>
      <c r="I1932" s="31"/>
      <c r="J1932" s="31"/>
    </row>
    <row r="1933" spans="1:10" ht="14.4" x14ac:dyDescent="0.3">
      <c r="A1933" s="28" t="str">
        <f>B1933&amp;C1933&amp;D1933&amp;E1933</f>
        <v>ЭлектроникаФото и видеотехникаОборудование для фотографовОтражатели и рефлекторы</v>
      </c>
      <c r="B1933" s="29" t="s">
        <v>67</v>
      </c>
      <c r="C1933" s="29" t="s">
        <v>174</v>
      </c>
      <c r="D1933" s="29" t="s">
        <v>575</v>
      </c>
      <c r="E1933" s="29" t="s">
        <v>1965</v>
      </c>
      <c r="F1933" s="30">
        <v>0.2</v>
      </c>
      <c r="G1933" s="31"/>
      <c r="H1933" s="31"/>
      <c r="I1933" s="31"/>
      <c r="J1933" s="31"/>
    </row>
    <row r="1934" spans="1:10" ht="14.4" x14ac:dyDescent="0.3">
      <c r="A1934" s="28" t="str">
        <f>B1934&amp;C1934&amp;D1934&amp;E1934</f>
        <v>Красота и уходМакияжБровиКраски для бровей и ресниц</v>
      </c>
      <c r="B1934" s="29" t="s">
        <v>56</v>
      </c>
      <c r="C1934" s="29" t="s">
        <v>151</v>
      </c>
      <c r="D1934" s="29" t="s">
        <v>212</v>
      </c>
      <c r="E1934" s="29" t="s">
        <v>1966</v>
      </c>
      <c r="F1934" s="30">
        <v>0.2</v>
      </c>
      <c r="G1934" s="31"/>
      <c r="H1934" s="31"/>
      <c r="I1934" s="31"/>
      <c r="J1934" s="31"/>
    </row>
    <row r="1935" spans="1:10" ht="14.4" x14ac:dyDescent="0.3">
      <c r="A1935" s="28" t="str">
        <f>B1935&amp;C1935&amp;D1935&amp;E1935</f>
        <v>КанцтоварыПисьменные принадлежностиЛастикиЛастики</v>
      </c>
      <c r="B1935" s="29" t="s">
        <v>163</v>
      </c>
      <c r="C1935" s="29" t="s">
        <v>684</v>
      </c>
      <c r="D1935" s="29" t="s">
        <v>1971</v>
      </c>
      <c r="E1935" s="29" t="s">
        <v>1971</v>
      </c>
      <c r="F1935" s="30">
        <v>0.2</v>
      </c>
      <c r="G1935" s="31"/>
      <c r="H1935" s="31"/>
      <c r="I1935" s="31"/>
      <c r="J1935" s="31"/>
    </row>
    <row r="1936" spans="1:10" ht="14.4" x14ac:dyDescent="0.3">
      <c r="A1936" s="28" t="str">
        <f>B1936&amp;C1936&amp;D1936&amp;E1936</f>
        <v>АвтотоварыИнструменты и оборудованиеРучные инструментыРучные инструменты</v>
      </c>
      <c r="B1936" s="29" t="s">
        <v>12</v>
      </c>
      <c r="C1936" s="29" t="s">
        <v>479</v>
      </c>
      <c r="D1936" s="29" t="s">
        <v>1973</v>
      </c>
      <c r="E1936" s="29" t="s">
        <v>1973</v>
      </c>
      <c r="F1936" s="30">
        <v>0.2</v>
      </c>
      <c r="G1936" s="31"/>
      <c r="H1936" s="31"/>
      <c r="I1936" s="31"/>
      <c r="J1936" s="31"/>
    </row>
    <row r="1937" spans="1:10" ht="14.4" x14ac:dyDescent="0.3">
      <c r="A1937" s="28" t="str">
        <f>B1937&amp;C1937&amp;D1937&amp;E1937</f>
        <v>КанцтоварыБумажная продукцияБлокноты и записные книжкиЗаписные книжки</v>
      </c>
      <c r="B1937" s="29" t="s">
        <v>163</v>
      </c>
      <c r="C1937" s="29" t="s">
        <v>261</v>
      </c>
      <c r="D1937" s="29" t="s">
        <v>286</v>
      </c>
      <c r="E1937" s="29" t="s">
        <v>1974</v>
      </c>
      <c r="F1937" s="30">
        <v>0.2</v>
      </c>
      <c r="G1937" s="31"/>
      <c r="H1937" s="31"/>
      <c r="I1937" s="31"/>
      <c r="J1937" s="31"/>
    </row>
    <row r="1938" spans="1:10" ht="14.4" x14ac:dyDescent="0.3">
      <c r="A1938" s="28" t="str">
        <f>B1938&amp;C1938&amp;D1938&amp;E1938</f>
        <v>ЭлектроникаФото и видеотехникаОборудование для фотографовСтабилизаторы</v>
      </c>
      <c r="B1938" s="29" t="s">
        <v>67</v>
      </c>
      <c r="C1938" s="29" t="s">
        <v>174</v>
      </c>
      <c r="D1938" s="29" t="s">
        <v>575</v>
      </c>
      <c r="E1938" s="29" t="s">
        <v>1977</v>
      </c>
      <c r="F1938" s="30">
        <v>0.2</v>
      </c>
      <c r="G1938" s="31"/>
      <c r="H1938" s="31"/>
      <c r="I1938" s="31"/>
      <c r="J1938" s="31"/>
    </row>
    <row r="1939" spans="1:10" ht="14.4" x14ac:dyDescent="0.3">
      <c r="A1939" s="28" t="str">
        <f>B1939&amp;C1939&amp;D1939&amp;E1939</f>
        <v>Красота и уходУход за лицомСредства для проблемной кожиСыворотки</v>
      </c>
      <c r="B1939" s="29" t="s">
        <v>56</v>
      </c>
      <c r="C1939" s="29" t="s">
        <v>238</v>
      </c>
      <c r="D1939" s="29" t="s">
        <v>1354</v>
      </c>
      <c r="E1939" s="29" t="s">
        <v>1340</v>
      </c>
      <c r="F1939" s="30">
        <v>0.2</v>
      </c>
      <c r="G1939" s="31"/>
      <c r="H1939" s="31"/>
      <c r="I1939" s="31"/>
      <c r="J1939" s="31"/>
    </row>
    <row r="1940" spans="1:10" ht="14.4" x14ac:dyDescent="0.3">
      <c r="A1940" s="28" t="str">
        <f>B1940&amp;C1940&amp;D1940&amp;E1940</f>
        <v>Красота и уходКорейская косметикаУход за лицомКремы для глаз</v>
      </c>
      <c r="B1940" s="29" t="s">
        <v>56</v>
      </c>
      <c r="C1940" s="29" t="s">
        <v>211</v>
      </c>
      <c r="D1940" s="29" t="s">
        <v>238</v>
      </c>
      <c r="E1940" s="29" t="s">
        <v>1553</v>
      </c>
      <c r="F1940" s="30">
        <v>0.2</v>
      </c>
      <c r="G1940" s="31"/>
      <c r="H1940" s="31"/>
      <c r="I1940" s="31"/>
      <c r="J1940" s="31"/>
    </row>
    <row r="1941" spans="1:10" ht="14.4" x14ac:dyDescent="0.3">
      <c r="A1941" s="28" t="str">
        <f>B1941&amp;C1941&amp;D1941&amp;E1941</f>
        <v>Дача, сад и огородПикник, барбекю, грильСумки и чехлы для грилей, мангаловСумки и чехлы для грилей, мангалов</v>
      </c>
      <c r="B1941" s="29" t="s">
        <v>352</v>
      </c>
      <c r="C1941" s="29" t="s">
        <v>1048</v>
      </c>
      <c r="D1941" s="29" t="s">
        <v>1989</v>
      </c>
      <c r="E1941" s="29" t="s">
        <v>1989</v>
      </c>
      <c r="F1941" s="30">
        <v>0.2</v>
      </c>
      <c r="G1941" s="31"/>
      <c r="H1941" s="31"/>
      <c r="I1941" s="31"/>
      <c r="J1941" s="31"/>
    </row>
    <row r="1942" spans="1:10" ht="14.4" x14ac:dyDescent="0.3">
      <c r="A1942" s="28" t="str">
        <f>B1942&amp;C1942&amp;D1942&amp;E1942</f>
        <v>Красота и уходУход за волосамиСредства для укладкиЛосьоны</v>
      </c>
      <c r="B1942" s="29" t="s">
        <v>56</v>
      </c>
      <c r="C1942" s="29" t="s">
        <v>109</v>
      </c>
      <c r="D1942" s="29" t="s">
        <v>73</v>
      </c>
      <c r="E1942" s="29" t="s">
        <v>1853</v>
      </c>
      <c r="F1942" s="30">
        <v>0.2</v>
      </c>
      <c r="G1942" s="31"/>
      <c r="H1942" s="31"/>
      <c r="I1942" s="31"/>
      <c r="J1942" s="31"/>
    </row>
    <row r="1943" spans="1:10" ht="14.4" x14ac:dyDescent="0.3">
      <c r="A1943" s="28" t="str">
        <f>B1943&amp;C1943&amp;D1943&amp;E1943</f>
        <v>Детские товарыДетский спорт и активный отдыхДетский транспортЗащитная экипировка для детей</v>
      </c>
      <c r="B1943" s="29" t="s">
        <v>105</v>
      </c>
      <c r="C1943" s="29" t="s">
        <v>427</v>
      </c>
      <c r="D1943" s="29" t="s">
        <v>428</v>
      </c>
      <c r="E1943" s="29" t="s">
        <v>1993</v>
      </c>
      <c r="F1943" s="30">
        <v>0.2</v>
      </c>
      <c r="G1943" s="31"/>
      <c r="H1943" s="31"/>
      <c r="I1943" s="31"/>
      <c r="J1943" s="31"/>
    </row>
    <row r="1944" spans="1:10" ht="14.4" x14ac:dyDescent="0.3">
      <c r="A1944" s="28" t="str">
        <f>B1944&amp;C1944&amp;D1944&amp;E1944</f>
        <v>Бытовая химияОсвежители и нейтрализаторыОсвежители воздухаОсвежители воздуха</v>
      </c>
      <c r="B1944" s="29" t="s">
        <v>146</v>
      </c>
      <c r="C1944" s="29" t="s">
        <v>739</v>
      </c>
      <c r="D1944" s="29" t="s">
        <v>1998</v>
      </c>
      <c r="E1944" s="29" t="s">
        <v>1998</v>
      </c>
      <c r="F1944" s="30">
        <v>0.2</v>
      </c>
      <c r="G1944" s="31"/>
      <c r="H1944" s="31"/>
      <c r="I1944" s="31"/>
      <c r="J1944" s="31"/>
    </row>
    <row r="1945" spans="1:10" ht="14.4" x14ac:dyDescent="0.3">
      <c r="A1945" s="28" t="str">
        <f>B1945&amp;C1945&amp;D1945&amp;E1945</f>
        <v>Бытовая химияЧистящие и моющие средстваСредства для мытья посудыСредства для мытья посуды</v>
      </c>
      <c r="B1945" s="29" t="s">
        <v>146</v>
      </c>
      <c r="C1945" s="29" t="s">
        <v>567</v>
      </c>
      <c r="D1945" s="29" t="s">
        <v>2001</v>
      </c>
      <c r="E1945" s="29" t="s">
        <v>2001</v>
      </c>
      <c r="F1945" s="30">
        <v>0.2</v>
      </c>
      <c r="G1945" s="31"/>
      <c r="H1945" s="31"/>
      <c r="I1945" s="31"/>
      <c r="J1945" s="31"/>
    </row>
    <row r="1946" spans="1:10" ht="14.4" x14ac:dyDescent="0.3">
      <c r="A1946" s="28" t="str">
        <f>B1946&amp;C1946&amp;D1946&amp;E1946</f>
        <v>КнигиНехудожественная литератураМедицинаИстория медицины и организация здравоохранения</v>
      </c>
      <c r="B1946" s="29" t="s">
        <v>63</v>
      </c>
      <c r="C1946" s="29" t="s">
        <v>141</v>
      </c>
      <c r="D1946" s="29" t="s">
        <v>1183</v>
      </c>
      <c r="E1946" s="29" t="s">
        <v>2009</v>
      </c>
      <c r="F1946" s="30">
        <v>0.2</v>
      </c>
      <c r="G1946" s="31"/>
      <c r="H1946" s="31"/>
      <c r="I1946" s="31"/>
      <c r="J1946" s="31"/>
    </row>
    <row r="1947" spans="1:10" ht="14.4" x14ac:dyDescent="0.3">
      <c r="A1947" s="28" t="str">
        <f>B1947&amp;C1947&amp;D1947&amp;E1947</f>
        <v>Спорт и отдыхЭлектротранспортАксессуары и запчасти для электротранспортаАксессуары и запчасти для электротранспорта</v>
      </c>
      <c r="B1947" s="29" t="s">
        <v>101</v>
      </c>
      <c r="C1947" s="29" t="s">
        <v>822</v>
      </c>
      <c r="D1947" s="29" t="s">
        <v>2010</v>
      </c>
      <c r="E1947" s="29" t="s">
        <v>2010</v>
      </c>
      <c r="F1947" s="30">
        <v>0.2</v>
      </c>
      <c r="G1947" s="31"/>
      <c r="H1947" s="31"/>
      <c r="I1947" s="31"/>
      <c r="J1947" s="31"/>
    </row>
    <row r="1948" spans="1:10" ht="14.4" x14ac:dyDescent="0.3">
      <c r="A1948" s="28" t="str">
        <f>B1948&amp;C1948&amp;D1948&amp;E1948</f>
        <v>ОбувьМужская обувьТуфлиМонки</v>
      </c>
      <c r="B1948" s="29" t="s">
        <v>180</v>
      </c>
      <c r="C1948" s="29" t="s">
        <v>279</v>
      </c>
      <c r="D1948" s="29" t="s">
        <v>280</v>
      </c>
      <c r="E1948" s="29" t="s">
        <v>2013</v>
      </c>
      <c r="F1948" s="30">
        <v>0.2</v>
      </c>
      <c r="G1948" s="31"/>
      <c r="H1948" s="31"/>
      <c r="I1948" s="31"/>
      <c r="J1948" s="31"/>
    </row>
    <row r="1949" spans="1:10" ht="14.4" x14ac:dyDescent="0.3">
      <c r="A1949" s="28" t="str">
        <f>B1949&amp;C1949&amp;D1949&amp;E1949</f>
        <v>Детские товарыТовары для кормленияПосуда и принадлежности для кормленияНаборы посуды для кормления</v>
      </c>
      <c r="B1949" s="29" t="s">
        <v>105</v>
      </c>
      <c r="C1949" s="29" t="s">
        <v>639</v>
      </c>
      <c r="D1949" s="29" t="s">
        <v>640</v>
      </c>
      <c r="E1949" s="29" t="s">
        <v>2014</v>
      </c>
      <c r="F1949" s="30">
        <v>0.2</v>
      </c>
      <c r="G1949" s="31"/>
      <c r="H1949" s="31"/>
      <c r="I1949" s="31"/>
      <c r="J1949" s="31"/>
    </row>
    <row r="1950" spans="1:10" ht="14.4" x14ac:dyDescent="0.3">
      <c r="A1950" s="28" t="str">
        <f>B1950&amp;C1950&amp;D1950&amp;E1950</f>
        <v>КанцтоварыПапки и файлыПортфолиоПортфолио</v>
      </c>
      <c r="B1950" s="29" t="s">
        <v>163</v>
      </c>
      <c r="C1950" s="29" t="s">
        <v>293</v>
      </c>
      <c r="D1950" s="29" t="s">
        <v>2016</v>
      </c>
      <c r="E1950" s="29" t="s">
        <v>2016</v>
      </c>
      <c r="F1950" s="30">
        <v>0.2</v>
      </c>
      <c r="G1950" s="31"/>
      <c r="H1950" s="31"/>
      <c r="I1950" s="31"/>
      <c r="J1950" s="31"/>
    </row>
    <row r="1951" spans="1:10" ht="14.4" x14ac:dyDescent="0.3">
      <c r="A1951" s="28" t="str">
        <f>B1951&amp;C1951&amp;D1951&amp;E1951</f>
        <v>КнигиНехудожественная литератураМедицинаТерапия. Общая практика</v>
      </c>
      <c r="B1951" s="29" t="s">
        <v>63</v>
      </c>
      <c r="C1951" s="29" t="s">
        <v>141</v>
      </c>
      <c r="D1951" s="29" t="s">
        <v>1183</v>
      </c>
      <c r="E1951" s="29" t="s">
        <v>2023</v>
      </c>
      <c r="F1951" s="30">
        <v>0.2</v>
      </c>
      <c r="G1951" s="31"/>
      <c r="H1951" s="31"/>
      <c r="I1951" s="31"/>
      <c r="J1951" s="31"/>
    </row>
    <row r="1952" spans="1:10" ht="14.4" x14ac:dyDescent="0.3">
      <c r="A1952" s="28" t="str">
        <f>B1952&amp;C1952&amp;D1952&amp;E1952</f>
        <v>КнигиНехудожественная литератураМедицинаВетеринария</v>
      </c>
      <c r="B1952" s="29" t="s">
        <v>63</v>
      </c>
      <c r="C1952" s="29" t="s">
        <v>141</v>
      </c>
      <c r="D1952" s="29" t="s">
        <v>1183</v>
      </c>
      <c r="E1952" s="29" t="s">
        <v>2024</v>
      </c>
      <c r="F1952" s="30">
        <v>0.2</v>
      </c>
      <c r="G1952" s="31"/>
      <c r="H1952" s="31"/>
      <c r="I1952" s="31"/>
      <c r="J1952" s="31"/>
    </row>
    <row r="1953" spans="1:10" ht="14.4" x14ac:dyDescent="0.3">
      <c r="A1953" s="28" t="str">
        <f>B1953&amp;C1953&amp;D1953&amp;E1953</f>
        <v>Красота и уходУход за теломУвлажнение и питаниеЭмульсии и эликсиры</v>
      </c>
      <c r="B1953" s="29" t="s">
        <v>56</v>
      </c>
      <c r="C1953" s="29" t="s">
        <v>100</v>
      </c>
      <c r="D1953" s="29" t="s">
        <v>134</v>
      </c>
      <c r="E1953" s="29" t="s">
        <v>2025</v>
      </c>
      <c r="F1953" s="30">
        <v>0.2</v>
      </c>
      <c r="G1953" s="31"/>
      <c r="H1953" s="31"/>
      <c r="I1953" s="31"/>
      <c r="J1953" s="31"/>
    </row>
    <row r="1954" spans="1:10" ht="14.4" x14ac:dyDescent="0.3">
      <c r="A1954" s="28" t="str">
        <f>B1954&amp;C1954&amp;D1954&amp;E1954</f>
        <v>КнигиУчебная литература11 класс11 класс</v>
      </c>
      <c r="B1954" s="29" t="s">
        <v>63</v>
      </c>
      <c r="C1954" s="29" t="s">
        <v>210</v>
      </c>
      <c r="D1954" s="29" t="s">
        <v>2026</v>
      </c>
      <c r="E1954" s="29" t="s">
        <v>2026</v>
      </c>
      <c r="F1954" s="30">
        <v>0.2</v>
      </c>
      <c r="G1954" s="31"/>
      <c r="H1954" s="31"/>
      <c r="I1954" s="31"/>
      <c r="J1954" s="31"/>
    </row>
    <row r="1955" spans="1:10" ht="14.4" x14ac:dyDescent="0.3">
      <c r="A1955" s="28" t="str">
        <f>B1955&amp;C1955&amp;D1955&amp;E1955</f>
        <v>Красота и уходУход за теломУвлажнение и питаниеСтики для тела</v>
      </c>
      <c r="B1955" s="29" t="s">
        <v>56</v>
      </c>
      <c r="C1955" s="29" t="s">
        <v>100</v>
      </c>
      <c r="D1955" s="29" t="s">
        <v>134</v>
      </c>
      <c r="E1955" s="29" t="s">
        <v>2029</v>
      </c>
      <c r="F1955" s="30">
        <v>0.2</v>
      </c>
      <c r="G1955" s="31"/>
      <c r="H1955" s="31"/>
      <c r="I1955" s="31"/>
      <c r="J1955" s="31"/>
    </row>
    <row r="1956" spans="1:10" ht="14.4" x14ac:dyDescent="0.3">
      <c r="A1956" s="28" t="str">
        <f>B1956&amp;C1956&amp;D1956&amp;E1956</f>
        <v>КанцтоварыБумажная продукцияФольга цветнаяФольга цветная</v>
      </c>
      <c r="B1956" s="29" t="s">
        <v>163</v>
      </c>
      <c r="C1956" s="29" t="s">
        <v>261</v>
      </c>
      <c r="D1956" s="29" t="s">
        <v>2034</v>
      </c>
      <c r="E1956" s="29" t="s">
        <v>2034</v>
      </c>
      <c r="F1956" s="30">
        <v>0.2</v>
      </c>
      <c r="G1956" s="31"/>
      <c r="H1956" s="31"/>
      <c r="I1956" s="31"/>
      <c r="J1956" s="31"/>
    </row>
    <row r="1957" spans="1:10" ht="14.4" x14ac:dyDescent="0.3">
      <c r="A1957" s="28" t="str">
        <f>B1957&amp;C1957&amp;D1957&amp;E1957</f>
        <v>ЭлектроникаТелевизоры и видеотехникаАксессуары для телевизоровЧистящие средства и салфетки для экранов</v>
      </c>
      <c r="B1957" s="29" t="s">
        <v>67</v>
      </c>
      <c r="C1957" s="29" t="s">
        <v>136</v>
      </c>
      <c r="D1957" s="29" t="s">
        <v>156</v>
      </c>
      <c r="E1957" s="29" t="s">
        <v>2035</v>
      </c>
      <c r="F1957" s="30">
        <v>0.2</v>
      </c>
      <c r="G1957" s="31"/>
      <c r="H1957" s="31"/>
      <c r="I1957" s="31"/>
      <c r="J1957" s="31"/>
    </row>
    <row r="1958" spans="1:10" ht="14.4" x14ac:dyDescent="0.3">
      <c r="A1958" s="28" t="str">
        <f>B1958&amp;C1958&amp;D1958&amp;E1958</f>
        <v>Красота и уходДля мужчинДля бороды и усовБальзамы для бороды и усов</v>
      </c>
      <c r="B1958" s="29" t="s">
        <v>56</v>
      </c>
      <c r="C1958" s="29" t="s">
        <v>71</v>
      </c>
      <c r="D1958" s="29" t="s">
        <v>1087</v>
      </c>
      <c r="E1958" s="29" t="s">
        <v>2041</v>
      </c>
      <c r="F1958" s="30">
        <v>0.2</v>
      </c>
      <c r="G1958" s="31"/>
      <c r="H1958" s="31"/>
      <c r="I1958" s="31"/>
      <c r="J1958" s="31"/>
    </row>
    <row r="1959" spans="1:10" ht="14.4" x14ac:dyDescent="0.3">
      <c r="A1959" s="28" t="str">
        <f>B1959&amp;C1959&amp;D1959&amp;E1959</f>
        <v>Бытовая химияЧистящие и моющие средстваСредства от засоровСредства от засоров</v>
      </c>
      <c r="B1959" s="29" t="s">
        <v>146</v>
      </c>
      <c r="C1959" s="29" t="s">
        <v>567</v>
      </c>
      <c r="D1959" s="29" t="s">
        <v>2049</v>
      </c>
      <c r="E1959" s="29" t="s">
        <v>2049</v>
      </c>
      <c r="F1959" s="30">
        <v>0.2</v>
      </c>
      <c r="G1959" s="31"/>
      <c r="H1959" s="31"/>
      <c r="I1959" s="31"/>
      <c r="J1959" s="31"/>
    </row>
    <row r="1960" spans="1:10" ht="14.4" x14ac:dyDescent="0.3">
      <c r="A1960" s="28" t="str">
        <f>B1960&amp;C1960&amp;D1960&amp;E1960</f>
        <v>ЗоотоварыДля кошекКлетки и огражденияКлетки и ограждения</v>
      </c>
      <c r="B1960" s="29" t="s">
        <v>214</v>
      </c>
      <c r="C1960" s="29" t="s">
        <v>283</v>
      </c>
      <c r="D1960" s="29" t="s">
        <v>2053</v>
      </c>
      <c r="E1960" s="29" t="s">
        <v>2053</v>
      </c>
      <c r="F1960" s="30">
        <v>0.2</v>
      </c>
      <c r="G1960" s="31"/>
      <c r="H1960" s="31"/>
      <c r="I1960" s="31"/>
      <c r="J1960" s="31"/>
    </row>
    <row r="1961" spans="1:10" ht="14.4" x14ac:dyDescent="0.3">
      <c r="A1961" s="28" t="str">
        <f>B1961&amp;C1961&amp;D1961&amp;E1961</f>
        <v>Красота и уходКорейская косметикаУход за лицомСкрабы и пилинги</v>
      </c>
      <c r="B1961" s="29" t="s">
        <v>56</v>
      </c>
      <c r="C1961" s="29" t="s">
        <v>211</v>
      </c>
      <c r="D1961" s="29" t="s">
        <v>238</v>
      </c>
      <c r="E1961" s="29" t="s">
        <v>2060</v>
      </c>
      <c r="F1961" s="30">
        <v>0.2</v>
      </c>
      <c r="G1961" s="31"/>
      <c r="H1961" s="31"/>
      <c r="I1961" s="31"/>
      <c r="J1961" s="31"/>
    </row>
    <row r="1962" spans="1:10" ht="14.4" x14ac:dyDescent="0.3">
      <c r="A1962" s="28" t="str">
        <f>B1962&amp;C1962&amp;D1962&amp;E1962</f>
        <v>ОбувьЖенская обувьКроссовки и кедыКроссовки</v>
      </c>
      <c r="B1962" s="29" t="s">
        <v>180</v>
      </c>
      <c r="C1962" s="29" t="s">
        <v>181</v>
      </c>
      <c r="D1962" s="29" t="s">
        <v>1674</v>
      </c>
      <c r="E1962" s="29" t="s">
        <v>1675</v>
      </c>
      <c r="F1962" s="30">
        <v>0.2</v>
      </c>
      <c r="G1962" s="31"/>
      <c r="H1962" s="31"/>
      <c r="I1962" s="31"/>
      <c r="J1962" s="31"/>
    </row>
    <row r="1963" spans="1:10" ht="14.4" x14ac:dyDescent="0.3">
      <c r="A1963" s="28" t="str">
        <f>B1963&amp;C1963&amp;D1963&amp;E1963</f>
        <v>Красота и уходМакияжГлазаСыворотки и масла для ухода за ресницами</v>
      </c>
      <c r="B1963" s="29" t="s">
        <v>56</v>
      </c>
      <c r="C1963" s="29" t="s">
        <v>151</v>
      </c>
      <c r="D1963" s="29" t="s">
        <v>503</v>
      </c>
      <c r="E1963" s="29" t="s">
        <v>2068</v>
      </c>
      <c r="F1963" s="30">
        <v>0.2</v>
      </c>
      <c r="G1963" s="31"/>
      <c r="H1963" s="31"/>
      <c r="I1963" s="31"/>
      <c r="J1963" s="31"/>
    </row>
    <row r="1964" spans="1:10" ht="14.4" x14ac:dyDescent="0.3">
      <c r="A1964" s="28" t="str">
        <f>B1964&amp;C1964&amp;D1964&amp;E1964</f>
        <v>КнигиНехудожественная литератураКомпьютерные технологииВеб-разработка</v>
      </c>
      <c r="B1964" s="29" t="s">
        <v>63</v>
      </c>
      <c r="C1964" s="29" t="s">
        <v>141</v>
      </c>
      <c r="D1964" s="29" t="s">
        <v>450</v>
      </c>
      <c r="E1964" s="29" t="s">
        <v>2069</v>
      </c>
      <c r="F1964" s="30">
        <v>0.2</v>
      </c>
      <c r="G1964" s="31"/>
      <c r="H1964" s="31"/>
      <c r="I1964" s="31"/>
      <c r="J1964" s="31"/>
    </row>
    <row r="1965" spans="1:10" ht="14.4" x14ac:dyDescent="0.3">
      <c r="A1965" s="28" t="str">
        <f>B1965&amp;C1965&amp;D1965&amp;E1965</f>
        <v>Продукты питанияШоколад, конфеты, сладостиКонфеты в коробках, подарочные наборыКонфеты в коробках, подарочные наборы</v>
      </c>
      <c r="B1965" s="29" t="s">
        <v>248</v>
      </c>
      <c r="C1965" s="29" t="s">
        <v>249</v>
      </c>
      <c r="D1965" s="29" t="s">
        <v>2070</v>
      </c>
      <c r="E1965" s="29" t="s">
        <v>2070</v>
      </c>
      <c r="F1965" s="30">
        <v>0.2</v>
      </c>
      <c r="G1965" s="31"/>
      <c r="H1965" s="31"/>
      <c r="I1965" s="31"/>
      <c r="J1965" s="31"/>
    </row>
    <row r="1966" spans="1:10" ht="14.4" x14ac:dyDescent="0.3">
      <c r="A1966" s="28" t="str">
        <f>B1966&amp;C1966&amp;D1966&amp;E1966</f>
        <v>Красота и уходМакияжГлазаТени</v>
      </c>
      <c r="B1966" s="29" t="s">
        <v>56</v>
      </c>
      <c r="C1966" s="29" t="s">
        <v>151</v>
      </c>
      <c r="D1966" s="29" t="s">
        <v>503</v>
      </c>
      <c r="E1966" s="29" t="s">
        <v>2073</v>
      </c>
      <c r="F1966" s="30">
        <v>0.2</v>
      </c>
      <c r="G1966" s="31"/>
      <c r="H1966" s="31"/>
      <c r="I1966" s="31"/>
      <c r="J1966" s="31"/>
    </row>
    <row r="1967" spans="1:10" ht="14.4" x14ac:dyDescent="0.3">
      <c r="A1967" s="28" t="str">
        <f>B1967&amp;C1967&amp;D1967&amp;E1967</f>
        <v>Бытовая техникаТовары для кухниМикроволновые печиКрышки для СВЧ и аксессуары</v>
      </c>
      <c r="B1967" s="29" t="s">
        <v>160</v>
      </c>
      <c r="C1967" s="29" t="s">
        <v>60</v>
      </c>
      <c r="D1967" s="29" t="s">
        <v>850</v>
      </c>
      <c r="E1967" s="29" t="s">
        <v>2077</v>
      </c>
      <c r="F1967" s="30">
        <v>0.2</v>
      </c>
      <c r="G1967" s="31"/>
      <c r="H1967" s="31"/>
      <c r="I1967" s="31"/>
      <c r="J1967" s="31"/>
    </row>
    <row r="1968" spans="1:10" ht="14.4" x14ac:dyDescent="0.3">
      <c r="A1968" s="28" t="str">
        <f>B1968&amp;C1968&amp;D1968&amp;E1968</f>
        <v>Красота и уходМаникюр и педикюрДизайн ногтейПластины для стемпинга</v>
      </c>
      <c r="B1968" s="29" t="s">
        <v>56</v>
      </c>
      <c r="C1968" s="29" t="s">
        <v>57</v>
      </c>
      <c r="D1968" s="29" t="s">
        <v>653</v>
      </c>
      <c r="E1968" s="29" t="s">
        <v>2078</v>
      </c>
      <c r="F1968" s="30">
        <v>0.2</v>
      </c>
      <c r="G1968" s="31"/>
      <c r="H1968" s="31"/>
      <c r="I1968" s="31"/>
      <c r="J1968" s="31"/>
    </row>
    <row r="1969" spans="1:10" ht="14.4" x14ac:dyDescent="0.3">
      <c r="A1969" s="28" t="str">
        <f>B1969&amp;C1969&amp;D1969&amp;E1969</f>
        <v>ЭлектроникаФото и видеотехникаАксессуары для фото- и видеокамерРукоятки для фотокамер</v>
      </c>
      <c r="B1969" s="29" t="s">
        <v>67</v>
      </c>
      <c r="C1969" s="29" t="s">
        <v>174</v>
      </c>
      <c r="D1969" s="29" t="s">
        <v>175</v>
      </c>
      <c r="E1969" s="29" t="s">
        <v>2080</v>
      </c>
      <c r="F1969" s="30">
        <v>0.2</v>
      </c>
      <c r="G1969" s="31"/>
      <c r="H1969" s="31"/>
      <c r="I1969" s="31"/>
      <c r="J1969" s="31"/>
    </row>
    <row r="1970" spans="1:10" ht="14.4" x14ac:dyDescent="0.3">
      <c r="A1970" s="28" t="str">
        <f>B1970&amp;C1970&amp;D1970&amp;E1970</f>
        <v>ОбувьЖенская обувьВечерняя обувьВечерняя обувь</v>
      </c>
      <c r="B1970" s="29" t="s">
        <v>180</v>
      </c>
      <c r="C1970" s="29" t="s">
        <v>181</v>
      </c>
      <c r="D1970" s="29" t="s">
        <v>2086</v>
      </c>
      <c r="E1970" s="29" t="s">
        <v>2086</v>
      </c>
      <c r="F1970" s="30">
        <v>0.2</v>
      </c>
      <c r="G1970" s="31"/>
      <c r="H1970" s="31"/>
      <c r="I1970" s="31"/>
      <c r="J1970" s="31"/>
    </row>
    <row r="1971" spans="1:10" ht="14.4" x14ac:dyDescent="0.3">
      <c r="A1971" s="28" t="str">
        <f>B1971&amp;C1971&amp;D1971&amp;E1971</f>
        <v>Красота и уходНаборы для красотыКосметические наборы для волосКосметические наборы для волос</v>
      </c>
      <c r="B1971" s="29" t="s">
        <v>56</v>
      </c>
      <c r="C1971" s="29" t="s">
        <v>1372</v>
      </c>
      <c r="D1971" s="29" t="s">
        <v>2087</v>
      </c>
      <c r="E1971" s="29" t="s">
        <v>2087</v>
      </c>
      <c r="F1971" s="30">
        <v>0.2</v>
      </c>
      <c r="G1971" s="31"/>
      <c r="H1971" s="31"/>
      <c r="I1971" s="31"/>
      <c r="J1971" s="31"/>
    </row>
    <row r="1972" spans="1:10" ht="14.4" x14ac:dyDescent="0.3">
      <c r="A1972" s="28" t="str">
        <f>B1972&amp;C1972&amp;D1972&amp;E1972</f>
        <v>Красота и уходЛичная гигиенаГигиена полости ртаЭлектрические зубные щетки</v>
      </c>
      <c r="B1972" s="29" t="s">
        <v>56</v>
      </c>
      <c r="C1972" s="29" t="s">
        <v>120</v>
      </c>
      <c r="D1972" s="29" t="s">
        <v>121</v>
      </c>
      <c r="E1972" s="29" t="s">
        <v>2095</v>
      </c>
      <c r="F1972" s="30">
        <v>0.2</v>
      </c>
      <c r="G1972" s="31"/>
      <c r="H1972" s="31"/>
      <c r="I1972" s="31"/>
      <c r="J1972" s="31"/>
    </row>
    <row r="1973" spans="1:10" ht="14.4" x14ac:dyDescent="0.3">
      <c r="A1973" s="28" t="str">
        <f>B1973&amp;C1973&amp;D1973&amp;E1973</f>
        <v>Бытовая техникаТехника для красотыСтрижка волосТриммеры для волос</v>
      </c>
      <c r="B1973" s="29" t="s">
        <v>160</v>
      </c>
      <c r="C1973" s="29" t="s">
        <v>694</v>
      </c>
      <c r="D1973" s="29" t="s">
        <v>2102</v>
      </c>
      <c r="E1973" s="29" t="s">
        <v>2103</v>
      </c>
      <c r="F1973" s="30">
        <v>0.2</v>
      </c>
      <c r="G1973" s="31"/>
      <c r="H1973" s="31"/>
      <c r="I1973" s="31"/>
      <c r="J1973" s="31"/>
    </row>
    <row r="1974" spans="1:10" ht="14.4" x14ac:dyDescent="0.3">
      <c r="A1974" s="28" t="str">
        <f>B1974&amp;C1974&amp;D1974&amp;E1974</f>
        <v>Красота и уходУход за лицомОчищение и умываниеПудра для умывания</v>
      </c>
      <c r="B1974" s="29" t="s">
        <v>56</v>
      </c>
      <c r="C1974" s="29" t="s">
        <v>238</v>
      </c>
      <c r="D1974" s="29" t="s">
        <v>728</v>
      </c>
      <c r="E1974" s="29" t="s">
        <v>2104</v>
      </c>
      <c r="F1974" s="30">
        <v>0.2</v>
      </c>
      <c r="G1974" s="31"/>
      <c r="H1974" s="31"/>
      <c r="I1974" s="31"/>
      <c r="J1974" s="31"/>
    </row>
    <row r="1975" spans="1:10" ht="14.4" x14ac:dyDescent="0.3">
      <c r="A1975" s="28" t="str">
        <f>B1975&amp;C1975&amp;D1975&amp;E1975</f>
        <v>ЗдоровьеМедицинские приборыСтетоскопыСтетоскопы</v>
      </c>
      <c r="B1975" s="29" t="s">
        <v>116</v>
      </c>
      <c r="C1975" s="29" t="s">
        <v>381</v>
      </c>
      <c r="D1975" s="29" t="s">
        <v>2106</v>
      </c>
      <c r="E1975" s="29" t="s">
        <v>2106</v>
      </c>
      <c r="F1975" s="30">
        <v>0.2</v>
      </c>
      <c r="G1975" s="31"/>
      <c r="H1975" s="31"/>
      <c r="I1975" s="31"/>
      <c r="J1975" s="31"/>
    </row>
    <row r="1976" spans="1:10" ht="14.4" x14ac:dyDescent="0.3">
      <c r="A1976" s="28" t="str">
        <f>B1976&amp;C1976&amp;D1976&amp;E1976</f>
        <v>ЗдоровьеМедицинские изделия и расходные материалыМаски гигиенические и медицинскиеМаски гигиенические и медицинские</v>
      </c>
      <c r="B1976" s="29" t="s">
        <v>116</v>
      </c>
      <c r="C1976" s="29" t="s">
        <v>436</v>
      </c>
      <c r="D1976" s="29" t="s">
        <v>2111</v>
      </c>
      <c r="E1976" s="29" t="s">
        <v>2111</v>
      </c>
      <c r="F1976" s="30">
        <v>0.2</v>
      </c>
      <c r="G1976" s="31"/>
      <c r="H1976" s="31"/>
      <c r="I1976" s="31"/>
      <c r="J1976" s="31"/>
    </row>
    <row r="1977" spans="1:10" ht="14.4" x14ac:dyDescent="0.3">
      <c r="A1977" s="28" t="str">
        <f>B1977&amp;C1977&amp;D1977&amp;E1977</f>
        <v>Продукты питанияШоколад, конфеты, сладостиКонфетыКонфеты пралине</v>
      </c>
      <c r="B1977" s="29" t="s">
        <v>248</v>
      </c>
      <c r="C1977" s="29" t="s">
        <v>249</v>
      </c>
      <c r="D1977" s="29" t="s">
        <v>870</v>
      </c>
      <c r="E1977" s="29" t="s">
        <v>2113</v>
      </c>
      <c r="F1977" s="30">
        <v>0.2</v>
      </c>
      <c r="G1977" s="31"/>
      <c r="H1977" s="31"/>
      <c r="I1977" s="31"/>
      <c r="J1977" s="31"/>
    </row>
    <row r="1978" spans="1:10" ht="14.4" x14ac:dyDescent="0.3">
      <c r="A1978" s="28" t="str">
        <f>B1978&amp;C1978&amp;D1978&amp;E1978</f>
        <v>КанцтоварыБумажная продукцияБумага для черчения и рисованияБумага для черчения и рисования</v>
      </c>
      <c r="B1978" s="29" t="s">
        <v>163</v>
      </c>
      <c r="C1978" s="29" t="s">
        <v>261</v>
      </c>
      <c r="D1978" s="29" t="s">
        <v>2115</v>
      </c>
      <c r="E1978" s="29" t="s">
        <v>2115</v>
      </c>
      <c r="F1978" s="30">
        <v>0.2</v>
      </c>
      <c r="G1978" s="31"/>
      <c r="H1978" s="31"/>
      <c r="I1978" s="31"/>
      <c r="J1978" s="31"/>
    </row>
    <row r="1979" spans="1:10" ht="14.4" x14ac:dyDescent="0.3">
      <c r="A1979" s="28" t="str">
        <f>B1979&amp;C1979&amp;D1979&amp;E1979</f>
        <v>КанцтоварыБумажная продукцияБланки, визитки и сертификатыВизитные карточки</v>
      </c>
      <c r="B1979" s="29" t="s">
        <v>163</v>
      </c>
      <c r="C1979" s="29" t="s">
        <v>261</v>
      </c>
      <c r="D1979" s="29" t="s">
        <v>2117</v>
      </c>
      <c r="E1979" s="29" t="s">
        <v>2118</v>
      </c>
      <c r="F1979" s="30">
        <v>0.2</v>
      </c>
      <c r="G1979" s="31"/>
      <c r="H1979" s="31"/>
      <c r="I1979" s="31"/>
      <c r="J1979" s="31"/>
    </row>
    <row r="1980" spans="1:10" ht="14.4" x14ac:dyDescent="0.3">
      <c r="A1980" s="28" t="str">
        <f>B1980&amp;C1980&amp;D1980&amp;E1980</f>
        <v>КанцтоварыДемонстрационные доскиМаркерно-меловые доскиМаркерно-меловые доски</v>
      </c>
      <c r="B1980" s="29" t="s">
        <v>163</v>
      </c>
      <c r="C1980" s="29" t="s">
        <v>690</v>
      </c>
      <c r="D1980" s="29" t="s">
        <v>2119</v>
      </c>
      <c r="E1980" s="29" t="s">
        <v>2119</v>
      </c>
      <c r="F1980" s="30">
        <v>0.2</v>
      </c>
      <c r="G1980" s="31"/>
      <c r="H1980" s="31"/>
      <c r="I1980" s="31"/>
      <c r="J1980" s="31"/>
    </row>
    <row r="1981" spans="1:10" ht="14.4" x14ac:dyDescent="0.3">
      <c r="A1981" s="28" t="str">
        <f>B1981&amp;C1981&amp;D1981&amp;E1981</f>
        <v>Красота и уходЛичная гигиенаГигиена полости ртаОчистители для языка</v>
      </c>
      <c r="B1981" s="29" t="s">
        <v>56</v>
      </c>
      <c r="C1981" s="29" t="s">
        <v>120</v>
      </c>
      <c r="D1981" s="29" t="s">
        <v>121</v>
      </c>
      <c r="E1981" s="29" t="s">
        <v>2120</v>
      </c>
      <c r="F1981" s="30">
        <v>0.2</v>
      </c>
      <c r="G1981" s="31"/>
      <c r="H1981" s="31"/>
      <c r="I1981" s="31"/>
      <c r="J1981" s="31"/>
    </row>
    <row r="1982" spans="1:10" ht="14.4" x14ac:dyDescent="0.3">
      <c r="A1982" s="28" t="str">
        <f>B1982&amp;C1982&amp;D1982&amp;E1982</f>
        <v>Красота и уходЛичная гигиенаДепиляция и эпиляцияВоскоплавы и парафиновые ванны</v>
      </c>
      <c r="B1982" s="29" t="s">
        <v>56</v>
      </c>
      <c r="C1982" s="29" t="s">
        <v>120</v>
      </c>
      <c r="D1982" s="29" t="s">
        <v>464</v>
      </c>
      <c r="E1982" s="29" t="s">
        <v>2124</v>
      </c>
      <c r="F1982" s="30">
        <v>0.2</v>
      </c>
      <c r="G1982" s="31"/>
      <c r="H1982" s="31"/>
      <c r="I1982" s="31"/>
      <c r="J1982" s="31"/>
    </row>
    <row r="1983" spans="1:10" ht="14.4" x14ac:dyDescent="0.3">
      <c r="A1983" s="28" t="str">
        <f>B1983&amp;C1983&amp;D1983&amp;E1983</f>
        <v>Детские товарыДетское творчествоНастольные и карточные игрыЛото для детей</v>
      </c>
      <c r="B1983" s="29" t="s">
        <v>105</v>
      </c>
      <c r="C1983" s="29" t="s">
        <v>440</v>
      </c>
      <c r="D1983" s="29" t="s">
        <v>441</v>
      </c>
      <c r="E1983" s="29" t="s">
        <v>2134</v>
      </c>
      <c r="F1983" s="30">
        <v>0.2</v>
      </c>
      <c r="G1983" s="31"/>
      <c r="H1983" s="31"/>
      <c r="I1983" s="31"/>
      <c r="J1983" s="31"/>
    </row>
    <row r="1984" spans="1:10" ht="14.4" x14ac:dyDescent="0.3">
      <c r="A1984" s="28" t="str">
        <f>B1984&amp;C1984&amp;D1984&amp;E1984</f>
        <v>КанцтоварыЧертежные принадлежностиЦиркулиЦиркули</v>
      </c>
      <c r="B1984" s="29" t="s">
        <v>163</v>
      </c>
      <c r="C1984" s="29" t="s">
        <v>492</v>
      </c>
      <c r="D1984" s="29" t="s">
        <v>2135</v>
      </c>
      <c r="E1984" s="29" t="s">
        <v>2135</v>
      </c>
      <c r="F1984" s="30">
        <v>0.2</v>
      </c>
      <c r="G1984" s="31"/>
      <c r="H1984" s="31"/>
      <c r="I1984" s="31"/>
      <c r="J1984" s="31"/>
    </row>
    <row r="1985" spans="1:10" ht="14.4" x14ac:dyDescent="0.3">
      <c r="A1985" s="28" t="str">
        <f>B1985&amp;C1985&amp;D1985&amp;E1985</f>
        <v>АвтотоварыЭлектроника для автоПроекторы для автоПроекторы для авто</v>
      </c>
      <c r="B1985" s="29" t="s">
        <v>12</v>
      </c>
      <c r="C1985" s="29" t="s">
        <v>360</v>
      </c>
      <c r="D1985" s="29" t="s">
        <v>2141</v>
      </c>
      <c r="E1985" s="29" t="s">
        <v>2141</v>
      </c>
      <c r="F1985" s="30">
        <v>0.2</v>
      </c>
      <c r="G1985" s="31"/>
      <c r="H1985" s="31"/>
      <c r="I1985" s="31"/>
      <c r="J1985" s="31"/>
    </row>
    <row r="1986" spans="1:10" ht="14.4" x14ac:dyDescent="0.3">
      <c r="A1986" s="28" t="str">
        <f>B1986&amp;C1986&amp;D1986&amp;E1986</f>
        <v>КнигиБизнес-литератураФинансыФинансы</v>
      </c>
      <c r="B1986" s="29" t="s">
        <v>63</v>
      </c>
      <c r="C1986" s="29" t="s">
        <v>1032</v>
      </c>
      <c r="D1986" s="29" t="s">
        <v>2143</v>
      </c>
      <c r="E1986" s="29" t="s">
        <v>2143</v>
      </c>
      <c r="F1986" s="30">
        <v>0.2</v>
      </c>
      <c r="G1986" s="31"/>
      <c r="H1986" s="31"/>
      <c r="I1986" s="31"/>
      <c r="J1986" s="31"/>
    </row>
    <row r="1987" spans="1:10" ht="14.4" x14ac:dyDescent="0.3">
      <c r="A1987" s="28" t="str">
        <f>B1987&amp;C1987&amp;D1987&amp;E1987</f>
        <v>ЭлектроникаУмный дом и безопасностьУмный домУмные розетки</v>
      </c>
      <c r="B1987" s="29" t="s">
        <v>67</v>
      </c>
      <c r="C1987" s="29" t="s">
        <v>411</v>
      </c>
      <c r="D1987" s="29" t="s">
        <v>1187</v>
      </c>
      <c r="E1987" s="29" t="s">
        <v>2147</v>
      </c>
      <c r="F1987" s="30">
        <v>0.2</v>
      </c>
      <c r="G1987" s="31"/>
      <c r="H1987" s="31"/>
      <c r="I1987" s="31"/>
      <c r="J1987" s="31"/>
    </row>
    <row r="1988" spans="1:10" ht="14.4" x14ac:dyDescent="0.3">
      <c r="A1988" s="28" t="str">
        <f>B1988&amp;C1988&amp;D1988&amp;E1988</f>
        <v>ЭлектроникаТелевизоры и видеотехникаАксессуары для телевизоровЧехлы для пультов ДУ</v>
      </c>
      <c r="B1988" s="29" t="s">
        <v>67</v>
      </c>
      <c r="C1988" s="29" t="s">
        <v>136</v>
      </c>
      <c r="D1988" s="29" t="s">
        <v>156</v>
      </c>
      <c r="E1988" s="29" t="s">
        <v>2149</v>
      </c>
      <c r="F1988" s="30">
        <v>0.2</v>
      </c>
      <c r="G1988" s="31"/>
      <c r="H1988" s="31"/>
      <c r="I1988" s="31"/>
      <c r="J1988" s="31"/>
    </row>
    <row r="1989" spans="1:10" ht="14.4" x14ac:dyDescent="0.3">
      <c r="A1989" s="28" t="str">
        <f>B1989&amp;C1989&amp;D1989&amp;E1989</f>
        <v>Красота и уходДля мужчинДля бритьяСредства после бритья</v>
      </c>
      <c r="B1989" s="29" t="s">
        <v>56</v>
      </c>
      <c r="C1989" s="29" t="s">
        <v>71</v>
      </c>
      <c r="D1989" s="29" t="s">
        <v>665</v>
      </c>
      <c r="E1989" s="29" t="s">
        <v>2150</v>
      </c>
      <c r="F1989" s="30">
        <v>0.2</v>
      </c>
      <c r="G1989" s="31"/>
      <c r="H1989" s="31"/>
      <c r="I1989" s="31"/>
      <c r="J1989" s="31"/>
    </row>
    <row r="1990" spans="1:10" ht="14.4" x14ac:dyDescent="0.3">
      <c r="A1990" s="28" t="str">
        <f>B1990&amp;C1990&amp;D1990&amp;E1990</f>
        <v>КанцтоварыБумажная продукцияТетрадиБизнес-тетрадь</v>
      </c>
      <c r="B1990" s="29" t="s">
        <v>163</v>
      </c>
      <c r="C1990" s="29" t="s">
        <v>261</v>
      </c>
      <c r="D1990" s="29" t="s">
        <v>930</v>
      </c>
      <c r="E1990" s="29" t="s">
        <v>2158</v>
      </c>
      <c r="F1990" s="30">
        <v>0.2</v>
      </c>
      <c r="G1990" s="31"/>
      <c r="H1990" s="31"/>
      <c r="I1990" s="31"/>
      <c r="J1990" s="31"/>
    </row>
    <row r="1991" spans="1:10" ht="14.4" x14ac:dyDescent="0.3">
      <c r="A1991" s="28" t="str">
        <f>B1991&amp;C1991&amp;D1991&amp;E1991</f>
        <v>КанцтоварыТовары для школы и обученияПеналыПеналы</v>
      </c>
      <c r="B1991" s="29" t="s">
        <v>163</v>
      </c>
      <c r="C1991" s="29" t="s">
        <v>1568</v>
      </c>
      <c r="D1991" s="29" t="s">
        <v>2160</v>
      </c>
      <c r="E1991" s="29" t="s">
        <v>2160</v>
      </c>
      <c r="F1991" s="30">
        <v>0.2</v>
      </c>
      <c r="G1991" s="31"/>
      <c r="H1991" s="31"/>
      <c r="I1991" s="31"/>
      <c r="J1991" s="31"/>
    </row>
    <row r="1992" spans="1:10" ht="14.4" x14ac:dyDescent="0.3">
      <c r="A1992" s="28" t="str">
        <f>B1992&amp;C1992&amp;D1992&amp;E1992</f>
        <v>ЭлектроникаУмный дом и безопасностьУмный домКомплекты умного дома</v>
      </c>
      <c r="B1992" s="29" t="s">
        <v>67</v>
      </c>
      <c r="C1992" s="29" t="s">
        <v>411</v>
      </c>
      <c r="D1992" s="29" t="s">
        <v>1187</v>
      </c>
      <c r="E1992" s="29" t="s">
        <v>2161</v>
      </c>
      <c r="F1992" s="30">
        <v>0.2</v>
      </c>
      <c r="G1992" s="31"/>
      <c r="H1992" s="31"/>
      <c r="I1992" s="31"/>
      <c r="J1992" s="31"/>
    </row>
    <row r="1993" spans="1:10" ht="14.4" x14ac:dyDescent="0.3">
      <c r="A1993" s="28" t="str">
        <f>B1993&amp;C1993&amp;D1993&amp;E1993</f>
        <v>Детские товарыИгрушки и игрыИгрушечное оружие и бластерыИгрушечное оружие и бластеры</v>
      </c>
      <c r="B1993" s="29" t="s">
        <v>105</v>
      </c>
      <c r="C1993" s="29" t="s">
        <v>184</v>
      </c>
      <c r="D1993" s="29" t="s">
        <v>2163</v>
      </c>
      <c r="E1993" s="29" t="s">
        <v>2163</v>
      </c>
      <c r="F1993" s="30">
        <v>0.2</v>
      </c>
      <c r="G1993" s="31"/>
      <c r="H1993" s="31"/>
      <c r="I1993" s="31"/>
      <c r="J1993" s="31"/>
    </row>
    <row r="1994" spans="1:10" ht="14.4" x14ac:dyDescent="0.3">
      <c r="A1994" s="28" t="str">
        <f>B1994&amp;C1994&amp;D1994&amp;E1994</f>
        <v>Детские товарыИгрушки и игрыМягкие игрушкиМягкие игрушки</v>
      </c>
      <c r="B1994" s="29" t="s">
        <v>105</v>
      </c>
      <c r="C1994" s="29" t="s">
        <v>184</v>
      </c>
      <c r="D1994" s="29" t="s">
        <v>2164</v>
      </c>
      <c r="E1994" s="29" t="s">
        <v>2164</v>
      </c>
      <c r="F1994" s="30">
        <v>0.2</v>
      </c>
      <c r="G1994" s="31"/>
      <c r="H1994" s="31"/>
      <c r="I1994" s="31"/>
      <c r="J1994" s="31"/>
    </row>
    <row r="1995" spans="1:10" ht="14.4" x14ac:dyDescent="0.3">
      <c r="A1995" s="28" t="str">
        <f>B1995&amp;C1995&amp;D1995&amp;E1995</f>
        <v>КнигиНехудожественная литератураАфоризмы, цитаты, пословицыАфоризмы, цитаты, пословицы</v>
      </c>
      <c r="B1995" s="29" t="s">
        <v>63</v>
      </c>
      <c r="C1995" s="29" t="s">
        <v>141</v>
      </c>
      <c r="D1995" s="29" t="s">
        <v>2167</v>
      </c>
      <c r="E1995" s="29" t="s">
        <v>2167</v>
      </c>
      <c r="F1995" s="30">
        <v>0.2</v>
      </c>
      <c r="G1995" s="31"/>
      <c r="H1995" s="31"/>
      <c r="I1995" s="31"/>
      <c r="J1995" s="31"/>
    </row>
    <row r="1996" spans="1:10" ht="14.4" x14ac:dyDescent="0.3">
      <c r="A1996" s="28" t="str">
        <f>B1996&amp;C1996&amp;D1996&amp;E1996</f>
        <v>Красота и уходНаборы для красотыНаборы косметики для ухода за теломНаборы косметики для ухода за телом</v>
      </c>
      <c r="B1996" s="29" t="s">
        <v>56</v>
      </c>
      <c r="C1996" s="29" t="s">
        <v>1372</v>
      </c>
      <c r="D1996" s="29" t="s">
        <v>2172</v>
      </c>
      <c r="E1996" s="29" t="s">
        <v>2172</v>
      </c>
      <c r="F1996" s="30">
        <v>0.2</v>
      </c>
      <c r="G1996" s="31"/>
      <c r="H1996" s="31"/>
      <c r="I1996" s="31"/>
      <c r="J1996" s="31"/>
    </row>
    <row r="1997" spans="1:10" ht="14.4" x14ac:dyDescent="0.3">
      <c r="A1997" s="28" t="str">
        <f>B1997&amp;C1997&amp;D1997&amp;E1997</f>
        <v>Дача, сад и огородСадовая техникаОбрезка деревьев и кустарниковОбрезка деревьев и кустарников</v>
      </c>
      <c r="B1997" s="29" t="s">
        <v>352</v>
      </c>
      <c r="C1997" s="29" t="s">
        <v>839</v>
      </c>
      <c r="D1997" s="29" t="s">
        <v>2177</v>
      </c>
      <c r="E1997" s="29" t="s">
        <v>2177</v>
      </c>
      <c r="F1997" s="30">
        <v>0.2</v>
      </c>
      <c r="G1997" s="31"/>
      <c r="H1997" s="31"/>
      <c r="I1997" s="31"/>
      <c r="J1997" s="31"/>
    </row>
    <row r="1998" spans="1:10" ht="14.4" x14ac:dyDescent="0.3">
      <c r="A1998" s="28" t="str">
        <f>B1998&amp;C1998&amp;D1998&amp;E1998</f>
        <v>Товары для домаХозяйственные товарыСумки-тележкиСумки-тележки</v>
      </c>
      <c r="B1998" s="29" t="s">
        <v>59</v>
      </c>
      <c r="C1998" s="29" t="s">
        <v>193</v>
      </c>
      <c r="D1998" s="29" t="s">
        <v>2178</v>
      </c>
      <c r="E1998" s="29" t="s">
        <v>2178</v>
      </c>
      <c r="F1998" s="30">
        <v>0.2</v>
      </c>
      <c r="G1998" s="31"/>
      <c r="H1998" s="31"/>
      <c r="I1998" s="31"/>
      <c r="J1998" s="31"/>
    </row>
    <row r="1999" spans="1:10" ht="14.4" x14ac:dyDescent="0.3">
      <c r="A1999" s="28" t="str">
        <f>B1999&amp;C1999&amp;D1999&amp;E1999</f>
        <v>Товары для домаХозяйственные товарыАксессуары для ваннойКрючки и держатели</v>
      </c>
      <c r="B1999" s="29" t="s">
        <v>59</v>
      </c>
      <c r="C1999" s="29" t="s">
        <v>193</v>
      </c>
      <c r="D1999" s="29" t="s">
        <v>194</v>
      </c>
      <c r="E1999" s="29" t="s">
        <v>2182</v>
      </c>
      <c r="F1999" s="30">
        <v>0.2</v>
      </c>
      <c r="G1999" s="31"/>
      <c r="H1999" s="31"/>
      <c r="I1999" s="31"/>
      <c r="J1999" s="31"/>
    </row>
    <row r="2000" spans="1:10" ht="14.4" x14ac:dyDescent="0.3">
      <c r="A2000" s="28" t="str">
        <f>B2000&amp;C2000&amp;D2000&amp;E2000</f>
        <v>ЗдоровьеОптикаУвлажняющие каплиУвлажняющие капли</v>
      </c>
      <c r="B2000" s="29" t="s">
        <v>116</v>
      </c>
      <c r="C2000" s="29" t="s">
        <v>741</v>
      </c>
      <c r="D2000" s="29" t="s">
        <v>2183</v>
      </c>
      <c r="E2000" s="29" t="s">
        <v>2183</v>
      </c>
      <c r="F2000" s="30">
        <v>0.2</v>
      </c>
      <c r="G2000" s="31"/>
      <c r="H2000" s="31"/>
      <c r="I2000" s="31"/>
      <c r="J2000" s="31"/>
    </row>
    <row r="2001" spans="1:10" ht="14.4" x14ac:dyDescent="0.3">
      <c r="A2001" s="28" t="str">
        <f>B2001&amp;C2001&amp;D2001&amp;E2001</f>
        <v>Красота и уходДля мужчинДля бороды и усовШампуни для бороды и усов</v>
      </c>
      <c r="B2001" s="29" t="s">
        <v>56</v>
      </c>
      <c r="C2001" s="29" t="s">
        <v>71</v>
      </c>
      <c r="D2001" s="29" t="s">
        <v>1087</v>
      </c>
      <c r="E2001" s="29" t="s">
        <v>2186</v>
      </c>
      <c r="F2001" s="30">
        <v>0.2</v>
      </c>
      <c r="G2001" s="31"/>
      <c r="H2001" s="31"/>
      <c r="I2001" s="31"/>
      <c r="J2001" s="31"/>
    </row>
    <row r="2002" spans="1:10" ht="14.4" x14ac:dyDescent="0.3">
      <c r="A2002" s="28" t="str">
        <f>B2002&amp;C2002&amp;D2002&amp;E2002</f>
        <v>ЭлектроникаНаушники и аудиотехникаАудиотехникаCD проигрыватели и плееры</v>
      </c>
      <c r="B2002" s="29" t="s">
        <v>67</v>
      </c>
      <c r="C2002" s="29" t="s">
        <v>74</v>
      </c>
      <c r="D2002" s="29" t="s">
        <v>409</v>
      </c>
      <c r="E2002" s="29" t="s">
        <v>2188</v>
      </c>
      <c r="F2002" s="30">
        <v>0.2</v>
      </c>
      <c r="G2002" s="31"/>
      <c r="H2002" s="31"/>
      <c r="I2002" s="31"/>
      <c r="J2002" s="31"/>
    </row>
    <row r="2003" spans="1:10" ht="14.4" x14ac:dyDescent="0.3">
      <c r="A2003" s="28" t="str">
        <f>B2003&amp;C2003&amp;D2003&amp;E2003</f>
        <v>КнигиНехудожественная литератураПублицистикаПолитика</v>
      </c>
      <c r="B2003" s="29" t="s">
        <v>63</v>
      </c>
      <c r="C2003" s="29" t="s">
        <v>141</v>
      </c>
      <c r="D2003" s="29" t="s">
        <v>251</v>
      </c>
      <c r="E2003" s="29" t="s">
        <v>2189</v>
      </c>
      <c r="F2003" s="30">
        <v>0.2</v>
      </c>
      <c r="G2003" s="31"/>
      <c r="H2003" s="31"/>
      <c r="I2003" s="31"/>
      <c r="J2003" s="31"/>
    </row>
    <row r="2004" spans="1:10" ht="14.4" x14ac:dyDescent="0.3">
      <c r="A2004" s="28" t="str">
        <f>B2004&amp;C2004&amp;D2004&amp;E2004</f>
        <v>Красота и уходКорейская косметикаУход за лицомНочные кремы</v>
      </c>
      <c r="B2004" s="29" t="s">
        <v>56</v>
      </c>
      <c r="C2004" s="29" t="s">
        <v>211</v>
      </c>
      <c r="D2004" s="29" t="s">
        <v>238</v>
      </c>
      <c r="E2004" s="29" t="s">
        <v>2191</v>
      </c>
      <c r="F2004" s="30">
        <v>0.2</v>
      </c>
      <c r="G2004" s="31"/>
      <c r="H2004" s="31"/>
      <c r="I2004" s="31"/>
      <c r="J2004" s="31"/>
    </row>
    <row r="2005" spans="1:10" ht="14.4" x14ac:dyDescent="0.3">
      <c r="A2005" s="28" t="str">
        <f>B2005&amp;C2005&amp;D2005&amp;E2005</f>
        <v>КнигиМангаМангаМанга</v>
      </c>
      <c r="B2005" s="29" t="s">
        <v>63</v>
      </c>
      <c r="C2005" s="29" t="s">
        <v>2192</v>
      </c>
      <c r="D2005" s="29" t="s">
        <v>2192</v>
      </c>
      <c r="E2005" s="29" t="s">
        <v>2192</v>
      </c>
      <c r="F2005" s="30">
        <v>0.2</v>
      </c>
      <c r="G2005" s="31"/>
      <c r="H2005" s="31"/>
      <c r="I2005" s="31"/>
      <c r="J2005" s="31"/>
    </row>
    <row r="2006" spans="1:10" ht="14.4" x14ac:dyDescent="0.3">
      <c r="A2006" s="28" t="str">
        <f>B2006&amp;C2006&amp;D2006&amp;E2006</f>
        <v>Красота и уходУход за лицомУвлажнение и питаниеЛосьоны</v>
      </c>
      <c r="B2006" s="29" t="s">
        <v>56</v>
      </c>
      <c r="C2006" s="29" t="s">
        <v>238</v>
      </c>
      <c r="D2006" s="29" t="s">
        <v>134</v>
      </c>
      <c r="E2006" s="29" t="s">
        <v>1853</v>
      </c>
      <c r="F2006" s="30">
        <v>0.2</v>
      </c>
      <c r="G2006" s="31"/>
      <c r="H2006" s="31"/>
      <c r="I2006" s="31"/>
      <c r="J2006" s="31"/>
    </row>
    <row r="2007" spans="1:10" ht="14.4" x14ac:dyDescent="0.3">
      <c r="A2007" s="28" t="str">
        <f>B2007&amp;C2007&amp;D2007&amp;E2007</f>
        <v>Дача, сад и огородСадовая техникаАксессуары и расходные материалы для садовой техникиАксессуары и расходные материалы для садовой техники</v>
      </c>
      <c r="B2007" s="29" t="s">
        <v>352</v>
      </c>
      <c r="C2007" s="29" t="s">
        <v>839</v>
      </c>
      <c r="D2007" s="29" t="s">
        <v>2198</v>
      </c>
      <c r="E2007" s="29" t="s">
        <v>2198</v>
      </c>
      <c r="F2007" s="30">
        <v>0.2</v>
      </c>
      <c r="G2007" s="31"/>
      <c r="H2007" s="31"/>
      <c r="I2007" s="31"/>
      <c r="J2007" s="31"/>
    </row>
    <row r="2008" spans="1:10" ht="14.4" x14ac:dyDescent="0.3">
      <c r="A2008" s="28" t="str">
        <f>B2008&amp;C2008&amp;D2008&amp;E2008</f>
        <v>Строительство и ремонтИнструментыИзмерительные приборыКондуктометры и измерители pH, ОВП</v>
      </c>
      <c r="B2008" s="29" t="s">
        <v>77</v>
      </c>
      <c r="C2008" s="29" t="s">
        <v>78</v>
      </c>
      <c r="D2008" s="29" t="s">
        <v>418</v>
      </c>
      <c r="E2008" s="29" t="s">
        <v>2199</v>
      </c>
      <c r="F2008" s="30">
        <v>0.2</v>
      </c>
      <c r="G2008" s="31"/>
      <c r="H2008" s="31"/>
      <c r="I2008" s="31"/>
      <c r="J2008" s="31"/>
    </row>
    <row r="2009" spans="1:10" ht="14.4" x14ac:dyDescent="0.3">
      <c r="A2009" s="28" t="str">
        <f>B2009&amp;C2009&amp;D2009&amp;E2009</f>
        <v>ЭлектроникаУмный дом и безопасностьУмный домАксессуары для умного дома</v>
      </c>
      <c r="B2009" s="29" t="s">
        <v>67</v>
      </c>
      <c r="C2009" s="29" t="s">
        <v>411</v>
      </c>
      <c r="D2009" s="29" t="s">
        <v>1187</v>
      </c>
      <c r="E2009" s="29" t="s">
        <v>2201</v>
      </c>
      <c r="F2009" s="30">
        <v>0.2</v>
      </c>
      <c r="G2009" s="31"/>
      <c r="H2009" s="31"/>
      <c r="I2009" s="31"/>
      <c r="J2009" s="31"/>
    </row>
    <row r="2010" spans="1:10" ht="14.4" x14ac:dyDescent="0.3">
      <c r="A2010" s="28" t="str">
        <f>B2010&amp;C2010&amp;D2010&amp;E2010</f>
        <v>ЭлектроникаТелевизоры и видеотехникаТВ-приставки и медиаплеерыSmart-TV приставки</v>
      </c>
      <c r="B2010" s="29" t="s">
        <v>67</v>
      </c>
      <c r="C2010" s="29" t="s">
        <v>136</v>
      </c>
      <c r="D2010" s="29" t="s">
        <v>680</v>
      </c>
      <c r="E2010" s="29" t="s">
        <v>2205</v>
      </c>
      <c r="F2010" s="30">
        <v>0.2</v>
      </c>
      <c r="G2010" s="31"/>
      <c r="H2010" s="31"/>
      <c r="I2010" s="31"/>
      <c r="J2010" s="31"/>
    </row>
    <row r="2011" spans="1:10" ht="14.4" x14ac:dyDescent="0.3">
      <c r="A2011" s="28" t="str">
        <f>B2011&amp;C2011&amp;D2011&amp;E2011</f>
        <v>ОбувьМужская обувьРезиновая обувьСандалии</v>
      </c>
      <c r="B2011" s="29" t="s">
        <v>180</v>
      </c>
      <c r="C2011" s="29" t="s">
        <v>279</v>
      </c>
      <c r="D2011" s="29" t="s">
        <v>593</v>
      </c>
      <c r="E2011" s="29" t="s">
        <v>336</v>
      </c>
      <c r="F2011" s="30">
        <v>0.2</v>
      </c>
      <c r="G2011" s="31"/>
      <c r="H2011" s="31"/>
      <c r="I2011" s="31"/>
      <c r="J2011" s="31"/>
    </row>
    <row r="2012" spans="1:10" ht="14.4" x14ac:dyDescent="0.3">
      <c r="A2012" s="28" t="str">
        <f>B2012&amp;C2012&amp;D2012&amp;E2012</f>
        <v>ОбувьМужская обувьТуфлиДерби</v>
      </c>
      <c r="B2012" s="29" t="s">
        <v>180</v>
      </c>
      <c r="C2012" s="29" t="s">
        <v>279</v>
      </c>
      <c r="D2012" s="29" t="s">
        <v>280</v>
      </c>
      <c r="E2012" s="29" t="s">
        <v>2209</v>
      </c>
      <c r="F2012" s="30">
        <v>0.2</v>
      </c>
      <c r="G2012" s="31"/>
      <c r="H2012" s="31"/>
      <c r="I2012" s="31"/>
      <c r="J2012" s="31"/>
    </row>
    <row r="2013" spans="1:10" ht="14.4" x14ac:dyDescent="0.3">
      <c r="A2013" s="28" t="str">
        <f>B2013&amp;C2013&amp;D2013&amp;E2013</f>
        <v>Строительство и ремонтИнструментыИзмерительные инструментыТепловизоры и температурные сканеры</v>
      </c>
      <c r="B2013" s="29" t="s">
        <v>77</v>
      </c>
      <c r="C2013" s="29" t="s">
        <v>78</v>
      </c>
      <c r="D2013" s="29" t="s">
        <v>207</v>
      </c>
      <c r="E2013" s="29" t="s">
        <v>2210</v>
      </c>
      <c r="F2013" s="30">
        <v>0.2</v>
      </c>
      <c r="G2013" s="31"/>
      <c r="H2013" s="31"/>
      <c r="I2013" s="31"/>
      <c r="J2013" s="31"/>
    </row>
    <row r="2014" spans="1:10" ht="14.4" x14ac:dyDescent="0.3">
      <c r="A2014" s="28" t="str">
        <f>B2014&amp;C2014&amp;D2014&amp;E2014</f>
        <v>Бытовая техникаТовары для кухниПрочая кухонная техникаКулинарные термометры</v>
      </c>
      <c r="B2014" s="29" t="s">
        <v>160</v>
      </c>
      <c r="C2014" s="29" t="s">
        <v>60</v>
      </c>
      <c r="D2014" s="29" t="s">
        <v>161</v>
      </c>
      <c r="E2014" s="29" t="s">
        <v>2212</v>
      </c>
      <c r="F2014" s="30">
        <v>0.2</v>
      </c>
      <c r="G2014" s="31"/>
      <c r="H2014" s="31"/>
      <c r="I2014" s="31"/>
      <c r="J2014" s="31"/>
    </row>
    <row r="2015" spans="1:10" ht="14.4" x14ac:dyDescent="0.3">
      <c r="A2015" s="28" t="str">
        <f>B2015&amp;C2015&amp;D2015&amp;E2015</f>
        <v>Красота и уходУход за лицомУвлажнение и питаниеТермальная вода и спреи</v>
      </c>
      <c r="B2015" s="29" t="s">
        <v>56</v>
      </c>
      <c r="C2015" s="29" t="s">
        <v>238</v>
      </c>
      <c r="D2015" s="29" t="s">
        <v>134</v>
      </c>
      <c r="E2015" s="29" t="s">
        <v>2213</v>
      </c>
      <c r="F2015" s="30">
        <v>0.2</v>
      </c>
      <c r="G2015" s="31"/>
      <c r="H2015" s="31"/>
      <c r="I2015" s="31"/>
      <c r="J2015" s="31"/>
    </row>
    <row r="2016" spans="1:10" ht="14.4" x14ac:dyDescent="0.3">
      <c r="A2016" s="28" t="str">
        <f>B2016&amp;C2016&amp;D2016&amp;E2016</f>
        <v>Красота и уходКорейская косметикаУход за теломЗагар и защита от солнца</v>
      </c>
      <c r="B2016" s="29" t="s">
        <v>56</v>
      </c>
      <c r="C2016" s="29" t="s">
        <v>211</v>
      </c>
      <c r="D2016" s="29" t="s">
        <v>100</v>
      </c>
      <c r="E2016" s="29" t="s">
        <v>2214</v>
      </c>
      <c r="F2016" s="30">
        <v>0.2</v>
      </c>
      <c r="G2016" s="31"/>
      <c r="H2016" s="31"/>
      <c r="I2016" s="31"/>
      <c r="J2016" s="31"/>
    </row>
    <row r="2017" spans="1:10" ht="14.4" x14ac:dyDescent="0.3">
      <c r="A2017" s="28" t="str">
        <f>B2017&amp;C2017&amp;D2017&amp;E2017</f>
        <v>КанцтоварыОборудование для торговлиИнформационное оборудованиеИнформационное оборудование</v>
      </c>
      <c r="B2017" s="29" t="s">
        <v>163</v>
      </c>
      <c r="C2017" s="29" t="s">
        <v>943</v>
      </c>
      <c r="D2017" s="29" t="s">
        <v>2216</v>
      </c>
      <c r="E2017" s="29" t="s">
        <v>2216</v>
      </c>
      <c r="F2017" s="30">
        <v>0.2</v>
      </c>
      <c r="G2017" s="31"/>
      <c r="H2017" s="31"/>
      <c r="I2017" s="31"/>
      <c r="J2017" s="31"/>
    </row>
    <row r="2018" spans="1:10" ht="14.4" x14ac:dyDescent="0.3">
      <c r="A2018" s="28" t="str">
        <f>B2018&amp;C2018&amp;D2018&amp;E2018</f>
        <v>КанцтоварыТовары для школы и обученияКарты мираАдминистративная карта</v>
      </c>
      <c r="B2018" s="29" t="s">
        <v>163</v>
      </c>
      <c r="C2018" s="29" t="s">
        <v>1568</v>
      </c>
      <c r="D2018" s="29" t="s">
        <v>1569</v>
      </c>
      <c r="E2018" s="29" t="s">
        <v>2224</v>
      </c>
      <c r="F2018" s="30">
        <v>0.2</v>
      </c>
      <c r="G2018" s="31"/>
      <c r="H2018" s="31"/>
      <c r="I2018" s="31"/>
      <c r="J2018" s="31"/>
    </row>
    <row r="2019" spans="1:10" ht="14.4" x14ac:dyDescent="0.3">
      <c r="A2019" s="28" t="str">
        <f>B2019&amp;C2019&amp;D2019&amp;E2019</f>
        <v>Красота и уходУход за волосамиСредства для укладкиМуссы и пенки</v>
      </c>
      <c r="B2019" s="29" t="s">
        <v>56</v>
      </c>
      <c r="C2019" s="29" t="s">
        <v>109</v>
      </c>
      <c r="D2019" s="29" t="s">
        <v>73</v>
      </c>
      <c r="E2019" s="29" t="s">
        <v>2226</v>
      </c>
      <c r="F2019" s="30">
        <v>0.2</v>
      </c>
      <c r="G2019" s="31"/>
      <c r="H2019" s="31"/>
      <c r="I2019" s="31"/>
      <c r="J2019" s="31"/>
    </row>
    <row r="2020" spans="1:10" ht="14.4" x14ac:dyDescent="0.3">
      <c r="A2020" s="28" t="str">
        <f>B2020&amp;C2020&amp;D2020&amp;E2020</f>
        <v>Детские товарыГигиена и подгузникиГигиена полости ртаДетские зубные пасты</v>
      </c>
      <c r="B2020" s="29" t="s">
        <v>105</v>
      </c>
      <c r="C2020" s="29" t="s">
        <v>106</v>
      </c>
      <c r="D2020" s="29" t="s">
        <v>121</v>
      </c>
      <c r="E2020" s="29" t="s">
        <v>2232</v>
      </c>
      <c r="F2020" s="30">
        <v>0.2</v>
      </c>
      <c r="G2020" s="31"/>
      <c r="H2020" s="31"/>
      <c r="I2020" s="31"/>
      <c r="J2020" s="31"/>
    </row>
    <row r="2021" spans="1:10" ht="14.4" x14ac:dyDescent="0.3">
      <c r="A2021" s="28" t="str">
        <f>B2021&amp;C2021&amp;D2021&amp;E2021</f>
        <v>КанцтоварыБумажная продукцияСтикеры и бумага для заметокБумага для заметок</v>
      </c>
      <c r="B2021" s="29" t="s">
        <v>163</v>
      </c>
      <c r="C2021" s="29" t="s">
        <v>261</v>
      </c>
      <c r="D2021" s="29" t="s">
        <v>2220</v>
      </c>
      <c r="E2021" s="29" t="s">
        <v>2233</v>
      </c>
      <c r="F2021" s="30">
        <v>0.2</v>
      </c>
      <c r="G2021" s="31"/>
      <c r="H2021" s="31"/>
      <c r="I2021" s="31"/>
      <c r="J2021" s="31"/>
    </row>
    <row r="2022" spans="1:10" ht="14.4" x14ac:dyDescent="0.3">
      <c r="A2022" s="28" t="str">
        <f>B2022&amp;C2022&amp;D2022&amp;E2022</f>
        <v>Красота и уходЛичная гигиенаМылоЖидкое мыло</v>
      </c>
      <c r="B2022" s="29" t="s">
        <v>56</v>
      </c>
      <c r="C2022" s="29" t="s">
        <v>120</v>
      </c>
      <c r="D2022" s="29" t="s">
        <v>1559</v>
      </c>
      <c r="E2022" s="29" t="s">
        <v>2234</v>
      </c>
      <c r="F2022" s="30">
        <v>0.2</v>
      </c>
      <c r="G2022" s="31"/>
      <c r="H2022" s="31"/>
      <c r="I2022" s="31"/>
      <c r="J2022" s="31"/>
    </row>
    <row r="2023" spans="1:10" ht="14.4" x14ac:dyDescent="0.3">
      <c r="A2023" s="28" t="str">
        <f>B2023&amp;C2023&amp;D2023&amp;E2023</f>
        <v>ЗдоровьеМедицинские изделия и расходные материалыРасходные материалыПеленки и простыни медицинские</v>
      </c>
      <c r="B2023" s="29" t="s">
        <v>116</v>
      </c>
      <c r="C2023" s="29" t="s">
        <v>436</v>
      </c>
      <c r="D2023" s="29" t="s">
        <v>1110</v>
      </c>
      <c r="E2023" s="29" t="s">
        <v>2236</v>
      </c>
      <c r="F2023" s="30">
        <v>0.2</v>
      </c>
      <c r="G2023" s="31"/>
      <c r="H2023" s="31"/>
      <c r="I2023" s="31"/>
      <c r="J2023" s="31"/>
    </row>
    <row r="2024" spans="1:10" ht="14.4" x14ac:dyDescent="0.3">
      <c r="A2024" s="28" t="str">
        <f>B2024&amp;C2024&amp;D2024&amp;E2024</f>
        <v>ЭлектроникаКомпьютерная техникаКомпьютерная периферияАнтенны для сетевого оборудования</v>
      </c>
      <c r="B2024" s="29" t="s">
        <v>67</v>
      </c>
      <c r="C2024" s="29" t="s">
        <v>234</v>
      </c>
      <c r="D2024" s="29" t="s">
        <v>794</v>
      </c>
      <c r="E2024" s="29" t="s">
        <v>2237</v>
      </c>
      <c r="F2024" s="30">
        <v>0.2</v>
      </c>
      <c r="G2024" s="31"/>
      <c r="H2024" s="31"/>
      <c r="I2024" s="31"/>
      <c r="J2024" s="31"/>
    </row>
    <row r="2025" spans="1:10" ht="14.4" x14ac:dyDescent="0.3">
      <c r="A2025" s="28" t="str">
        <f>B2025&amp;C2025&amp;D2025&amp;E2025</f>
        <v>КнигиДетям и родителямДосуг и творчество детейРаскраски и рисование</v>
      </c>
      <c r="B2025" s="29" t="s">
        <v>63</v>
      </c>
      <c r="C2025" s="29" t="s">
        <v>258</v>
      </c>
      <c r="D2025" s="29" t="s">
        <v>829</v>
      </c>
      <c r="E2025" s="29" t="s">
        <v>2238</v>
      </c>
      <c r="F2025" s="30">
        <v>0.2</v>
      </c>
      <c r="G2025" s="31"/>
      <c r="H2025" s="31"/>
      <c r="I2025" s="31"/>
      <c r="J2025" s="31"/>
    </row>
    <row r="2026" spans="1:10" ht="14.4" x14ac:dyDescent="0.3">
      <c r="A2026" s="28" t="str">
        <f>B2026&amp;C2026&amp;D2026&amp;E2026</f>
        <v>Детские товарыГигиена и подгузникиПеленки и клеенки для малышейПеленки одноразовые</v>
      </c>
      <c r="B2026" s="29" t="s">
        <v>105</v>
      </c>
      <c r="C2026" s="29" t="s">
        <v>106</v>
      </c>
      <c r="D2026" s="29" t="s">
        <v>107</v>
      </c>
      <c r="E2026" s="29" t="s">
        <v>2243</v>
      </c>
      <c r="F2026" s="30">
        <v>0.2</v>
      </c>
      <c r="G2026" s="31"/>
      <c r="H2026" s="31"/>
      <c r="I2026" s="31"/>
      <c r="J2026" s="31"/>
    </row>
    <row r="2027" spans="1:10" ht="14.4" x14ac:dyDescent="0.3">
      <c r="A2027" s="28" t="str">
        <f>B2027&amp;C2027&amp;D2027&amp;E2027</f>
        <v>АвтотоварыЭлектроника для автоАвтомобильные зарядные устройстваАвтомобильные зарядные устройства</v>
      </c>
      <c r="B2027" s="29" t="s">
        <v>12</v>
      </c>
      <c r="C2027" s="29" t="s">
        <v>360</v>
      </c>
      <c r="D2027" s="29" t="s">
        <v>2244</v>
      </c>
      <c r="E2027" s="29" t="s">
        <v>2244</v>
      </c>
      <c r="F2027" s="30">
        <v>0.2</v>
      </c>
      <c r="G2027" s="31"/>
      <c r="H2027" s="31"/>
      <c r="I2027" s="31"/>
      <c r="J2027" s="31"/>
    </row>
    <row r="2028" spans="1:10" ht="14.4" x14ac:dyDescent="0.3">
      <c r="A2028" s="28" t="str">
        <f>B2028&amp;C2028&amp;D2028&amp;E2028</f>
        <v>КнигиРелигиозные книгиИсламКоран</v>
      </c>
      <c r="B2028" s="29" t="s">
        <v>63</v>
      </c>
      <c r="C2028" s="29" t="s">
        <v>64</v>
      </c>
      <c r="D2028" s="29" t="s">
        <v>65</v>
      </c>
      <c r="E2028" s="29" t="s">
        <v>2246</v>
      </c>
      <c r="F2028" s="30">
        <v>0.2</v>
      </c>
      <c r="G2028" s="31"/>
      <c r="H2028" s="31"/>
      <c r="I2028" s="31"/>
      <c r="J2028" s="31"/>
    </row>
    <row r="2029" spans="1:10" ht="14.4" x14ac:dyDescent="0.3">
      <c r="A2029" s="28" t="str">
        <f>B2029&amp;C2029&amp;D2029&amp;E2029</f>
        <v>КнигиНехудожественная литератураНаучная литератураПолитология</v>
      </c>
      <c r="B2029" s="29" t="s">
        <v>63</v>
      </c>
      <c r="C2029" s="29" t="s">
        <v>141</v>
      </c>
      <c r="D2029" s="29" t="s">
        <v>1224</v>
      </c>
      <c r="E2029" s="29" t="s">
        <v>2247</v>
      </c>
      <c r="F2029" s="30">
        <v>0.2</v>
      </c>
      <c r="G2029" s="31"/>
      <c r="H2029" s="31"/>
      <c r="I2029" s="31"/>
      <c r="J2029" s="31"/>
    </row>
    <row r="2030" spans="1:10" ht="14.4" x14ac:dyDescent="0.3">
      <c r="A2030" s="28" t="str">
        <f>B2030&amp;C2030&amp;D2030&amp;E2030</f>
        <v>АвтотоварыЭлектроника для автоРозетки и разветвители прикуривателяРозетки и разветвители прикуривателя</v>
      </c>
      <c r="B2030" s="29" t="s">
        <v>12</v>
      </c>
      <c r="C2030" s="29" t="s">
        <v>360</v>
      </c>
      <c r="D2030" s="29" t="s">
        <v>2252</v>
      </c>
      <c r="E2030" s="29" t="s">
        <v>2252</v>
      </c>
      <c r="F2030" s="30">
        <v>0.2</v>
      </c>
      <c r="G2030" s="31"/>
      <c r="H2030" s="31"/>
      <c r="I2030" s="31"/>
      <c r="J2030" s="31"/>
    </row>
    <row r="2031" spans="1:10" ht="14.4" x14ac:dyDescent="0.3">
      <c r="A2031" s="28" t="str">
        <f>B2031&amp;C2031&amp;D2031&amp;E2031</f>
        <v>КнигиНехудожественная литератураПсихологияПсихосоматика</v>
      </c>
      <c r="B2031" s="29" t="s">
        <v>63</v>
      </c>
      <c r="C2031" s="29" t="s">
        <v>141</v>
      </c>
      <c r="D2031" s="29" t="s">
        <v>1304</v>
      </c>
      <c r="E2031" s="29" t="s">
        <v>2255</v>
      </c>
      <c r="F2031" s="30">
        <v>0.2</v>
      </c>
      <c r="G2031" s="31"/>
      <c r="H2031" s="31"/>
      <c r="I2031" s="31"/>
      <c r="J2031" s="31"/>
    </row>
    <row r="2032" spans="1:10" ht="14.4" x14ac:dyDescent="0.3">
      <c r="A2032" s="28" t="str">
        <f>B2032&amp;C2032&amp;D2032&amp;E2032</f>
        <v>Красота и уходМакияжГлазаКлей для ресниц</v>
      </c>
      <c r="B2032" s="29" t="s">
        <v>56</v>
      </c>
      <c r="C2032" s="29" t="s">
        <v>151</v>
      </c>
      <c r="D2032" s="29" t="s">
        <v>503</v>
      </c>
      <c r="E2032" s="29" t="s">
        <v>2263</v>
      </c>
      <c r="F2032" s="30">
        <v>0.2</v>
      </c>
      <c r="G2032" s="31"/>
      <c r="H2032" s="31"/>
      <c r="I2032" s="31"/>
      <c r="J2032" s="31"/>
    </row>
    <row r="2033" spans="1:10" ht="14.4" x14ac:dyDescent="0.3">
      <c r="A2033" s="28" t="str">
        <f>B2033&amp;C2033&amp;D2033&amp;E2033</f>
        <v>Красота и уходМакияжЛицоПалетки и стики для контуринга</v>
      </c>
      <c r="B2033" s="29" t="s">
        <v>56</v>
      </c>
      <c r="C2033" s="29" t="s">
        <v>151</v>
      </c>
      <c r="D2033" s="29" t="s">
        <v>602</v>
      </c>
      <c r="E2033" s="29" t="s">
        <v>2267</v>
      </c>
      <c r="F2033" s="30">
        <v>0.2</v>
      </c>
      <c r="G2033" s="31"/>
      <c r="H2033" s="31"/>
      <c r="I2033" s="31"/>
      <c r="J2033" s="31"/>
    </row>
    <row r="2034" spans="1:10" ht="14.4" x14ac:dyDescent="0.3">
      <c r="A2034" s="28" t="str">
        <f>B2034&amp;C2034&amp;D2034&amp;E2034</f>
        <v>Строительство и ремонтРучной инструмент и оснасткаЛестницы и стремянкиЛестницы и стремянки</v>
      </c>
      <c r="B2034" s="29" t="s">
        <v>77</v>
      </c>
      <c r="C2034" s="29" t="s">
        <v>127</v>
      </c>
      <c r="D2034" s="29" t="s">
        <v>2270</v>
      </c>
      <c r="E2034" s="29" t="s">
        <v>2270</v>
      </c>
      <c r="F2034" s="30">
        <v>0.2</v>
      </c>
      <c r="G2034" s="31"/>
      <c r="H2034" s="31"/>
      <c r="I2034" s="31"/>
      <c r="J2034" s="31"/>
    </row>
    <row r="2035" spans="1:10" ht="14.4" x14ac:dyDescent="0.3">
      <c r="A2035" s="28" t="str">
        <f>B2035&amp;C2035&amp;D2035&amp;E2035</f>
        <v>Детские товарыГигиена и подгузникиДетская косметикаМасла, лосьоны и молочко для детей</v>
      </c>
      <c r="B2035" s="29" t="s">
        <v>105</v>
      </c>
      <c r="C2035" s="29" t="s">
        <v>106</v>
      </c>
      <c r="D2035" s="29" t="s">
        <v>586</v>
      </c>
      <c r="E2035" s="29" t="s">
        <v>2279</v>
      </c>
      <c r="F2035" s="30">
        <v>0.2</v>
      </c>
      <c r="G2035" s="31"/>
      <c r="H2035" s="31"/>
      <c r="I2035" s="31"/>
      <c r="J2035" s="31"/>
    </row>
    <row r="2036" spans="1:10" ht="14.4" x14ac:dyDescent="0.3">
      <c r="A2036" s="28" t="str">
        <f>B2036&amp;C2036&amp;D2036&amp;E2036</f>
        <v>Красота и уходУход за теломЖенские дезодоранты и антиперспирантыЖенские дезодоранты и антиперспиранты</v>
      </c>
      <c r="B2036" s="29" t="s">
        <v>56</v>
      </c>
      <c r="C2036" s="29" t="s">
        <v>100</v>
      </c>
      <c r="D2036" s="29" t="s">
        <v>2281</v>
      </c>
      <c r="E2036" s="29" t="s">
        <v>2281</v>
      </c>
      <c r="F2036" s="30">
        <v>0.2</v>
      </c>
      <c r="G2036" s="31"/>
      <c r="H2036" s="31"/>
      <c r="I2036" s="31"/>
      <c r="J2036" s="31"/>
    </row>
    <row r="2037" spans="1:10" ht="14.4" x14ac:dyDescent="0.3">
      <c r="A2037" s="28" t="str">
        <f>B2037&amp;C2037&amp;D2037&amp;E2037</f>
        <v>Красота и уходНаборы для красотыНаборы средств для лицаНаборы средств для лица</v>
      </c>
      <c r="B2037" s="29" t="s">
        <v>56</v>
      </c>
      <c r="C2037" s="29" t="s">
        <v>1372</v>
      </c>
      <c r="D2037" s="29" t="s">
        <v>2284</v>
      </c>
      <c r="E2037" s="29" t="s">
        <v>2284</v>
      </c>
      <c r="F2037" s="30">
        <v>0.2</v>
      </c>
      <c r="G2037" s="31"/>
      <c r="H2037" s="31"/>
      <c r="I2037" s="31"/>
      <c r="J2037" s="31"/>
    </row>
    <row r="2038" spans="1:10" ht="14.4" x14ac:dyDescent="0.3">
      <c r="A2038" s="28" t="str">
        <f>B2038&amp;C2038&amp;D2038&amp;E2038</f>
        <v>Товары для домаМебельСейфыСейфы</v>
      </c>
      <c r="B2038" s="29" t="s">
        <v>59</v>
      </c>
      <c r="C2038" s="29" t="s">
        <v>302</v>
      </c>
      <c r="D2038" s="29" t="s">
        <v>2287</v>
      </c>
      <c r="E2038" s="29" t="s">
        <v>2287</v>
      </c>
      <c r="F2038" s="30">
        <v>0.2</v>
      </c>
      <c r="G2038" s="31"/>
      <c r="H2038" s="31"/>
      <c r="I2038" s="31"/>
      <c r="J2038" s="31"/>
    </row>
    <row r="2039" spans="1:10" ht="14.4" x14ac:dyDescent="0.3">
      <c r="A2039" s="28" t="str">
        <f>B2039&amp;C2039&amp;D2039&amp;E2039</f>
        <v>Детские товарыДетская комнатаДекор и освещениеИнтерьерные наклейки и плакаты</v>
      </c>
      <c r="B2039" s="29" t="s">
        <v>105</v>
      </c>
      <c r="C2039" s="29" t="s">
        <v>397</v>
      </c>
      <c r="D2039" s="29" t="s">
        <v>455</v>
      </c>
      <c r="E2039" s="29" t="s">
        <v>2288</v>
      </c>
      <c r="F2039" s="30">
        <v>0.2</v>
      </c>
      <c r="G2039" s="31"/>
      <c r="H2039" s="31"/>
      <c r="I2039" s="31"/>
      <c r="J2039" s="31"/>
    </row>
    <row r="2040" spans="1:10" ht="14.4" x14ac:dyDescent="0.3">
      <c r="A2040" s="28" t="str">
        <f>B2040&amp;C2040&amp;D2040&amp;E2040</f>
        <v>Красота и уходМаникюр и педикюрИнструменты для маникюраПилки и бафы для ногтей</v>
      </c>
      <c r="B2040" s="29" t="s">
        <v>56</v>
      </c>
      <c r="C2040" s="29" t="s">
        <v>57</v>
      </c>
      <c r="D2040" s="29" t="s">
        <v>199</v>
      </c>
      <c r="E2040" s="29" t="s">
        <v>2289</v>
      </c>
      <c r="F2040" s="30">
        <v>0.2</v>
      </c>
      <c r="G2040" s="31"/>
      <c r="H2040" s="31"/>
      <c r="I2040" s="31"/>
      <c r="J2040" s="31"/>
    </row>
    <row r="2041" spans="1:10" ht="14.4" x14ac:dyDescent="0.3">
      <c r="A2041" s="28" t="str">
        <f>B2041&amp;C2041&amp;D2041&amp;E2041</f>
        <v>Красота и уходЛичная гигиенаБумажная и ватная продукцияВатные палочки</v>
      </c>
      <c r="B2041" s="29" t="s">
        <v>56</v>
      </c>
      <c r="C2041" s="29" t="s">
        <v>120</v>
      </c>
      <c r="D2041" s="29" t="s">
        <v>246</v>
      </c>
      <c r="E2041" s="29" t="s">
        <v>2290</v>
      </c>
      <c r="F2041" s="30">
        <v>0.2</v>
      </c>
      <c r="G2041" s="31"/>
      <c r="H2041" s="31"/>
      <c r="I2041" s="31"/>
      <c r="J2041" s="31"/>
    </row>
    <row r="2042" spans="1:10" ht="14.4" x14ac:dyDescent="0.3">
      <c r="A2042" s="28" t="str">
        <f>B2042&amp;C2042&amp;D2042&amp;E2042</f>
        <v>КанцтоварыПечати и штампыПечати канцелярскиеПечати канцелярские</v>
      </c>
      <c r="B2042" s="29" t="s">
        <v>163</v>
      </c>
      <c r="C2042" s="29" t="s">
        <v>698</v>
      </c>
      <c r="D2042" s="29" t="s">
        <v>2293</v>
      </c>
      <c r="E2042" s="29" t="s">
        <v>2293</v>
      </c>
      <c r="F2042" s="30">
        <v>0.2</v>
      </c>
      <c r="G2042" s="31"/>
      <c r="H2042" s="31"/>
      <c r="I2042" s="31"/>
      <c r="J2042" s="31"/>
    </row>
    <row r="2043" spans="1:10" ht="14.4" x14ac:dyDescent="0.3">
      <c r="A2043" s="28" t="str">
        <f>B2043&amp;C2043&amp;D2043&amp;E2043</f>
        <v>Спорт и отдыхБассейны и аксессуарыОборудование для бассейновФильтры, насосы, хлоргенераторы</v>
      </c>
      <c r="B2043" s="29" t="s">
        <v>101</v>
      </c>
      <c r="C2043" s="29" t="s">
        <v>102</v>
      </c>
      <c r="D2043" s="29" t="s">
        <v>2295</v>
      </c>
      <c r="E2043" s="29" t="s">
        <v>2296</v>
      </c>
      <c r="F2043" s="30">
        <v>0.2</v>
      </c>
      <c r="G2043" s="31"/>
      <c r="H2043" s="31"/>
      <c r="I2043" s="31"/>
      <c r="J2043" s="31"/>
    </row>
    <row r="2044" spans="1:10" ht="14.4" x14ac:dyDescent="0.3">
      <c r="A2044" s="28" t="str">
        <f>B2044&amp;C2044&amp;D2044&amp;E2044</f>
        <v>ЭлектроникаНаушники и аудиотехникаАудиотехникаАксессуары для микрофонов</v>
      </c>
      <c r="B2044" s="29" t="s">
        <v>67</v>
      </c>
      <c r="C2044" s="29" t="s">
        <v>74</v>
      </c>
      <c r="D2044" s="29" t="s">
        <v>409</v>
      </c>
      <c r="E2044" s="29" t="s">
        <v>2300</v>
      </c>
      <c r="F2044" s="30">
        <v>0.2</v>
      </c>
      <c r="G2044" s="31"/>
      <c r="H2044" s="31"/>
      <c r="I2044" s="31"/>
      <c r="J2044" s="31"/>
    </row>
    <row r="2045" spans="1:10" ht="14.4" x14ac:dyDescent="0.3">
      <c r="A2045" s="28" t="str">
        <f>B2045&amp;C2045&amp;D2045&amp;E2045</f>
        <v>КнигиУчебная литература7 класс7 класс</v>
      </c>
      <c r="B2045" s="29" t="s">
        <v>63</v>
      </c>
      <c r="C2045" s="29" t="s">
        <v>210</v>
      </c>
      <c r="D2045" s="29" t="s">
        <v>2301</v>
      </c>
      <c r="E2045" s="29" t="s">
        <v>2301</v>
      </c>
      <c r="F2045" s="30">
        <v>0.2</v>
      </c>
      <c r="G2045" s="31"/>
      <c r="H2045" s="31"/>
      <c r="I2045" s="31"/>
      <c r="J2045" s="31"/>
    </row>
    <row r="2046" spans="1:10" ht="14.4" x14ac:dyDescent="0.3">
      <c r="A2046" s="28" t="str">
        <f>B2046&amp;C2046&amp;D2046&amp;E2046</f>
        <v>ОбувьЖенская обувьРезиновая обувьШлепанцы</v>
      </c>
      <c r="B2046" s="29" t="s">
        <v>180</v>
      </c>
      <c r="C2046" s="29" t="s">
        <v>181</v>
      </c>
      <c r="D2046" s="29" t="s">
        <v>593</v>
      </c>
      <c r="E2046" s="29" t="s">
        <v>2302</v>
      </c>
      <c r="F2046" s="30">
        <v>0.2</v>
      </c>
      <c r="G2046" s="31"/>
      <c r="H2046" s="31"/>
      <c r="I2046" s="31"/>
      <c r="J2046" s="31"/>
    </row>
    <row r="2047" spans="1:10" ht="14.4" x14ac:dyDescent="0.3">
      <c r="A2047" s="28" t="str">
        <f>B2047&amp;C2047&amp;D2047&amp;E2047</f>
        <v>Красота и уходУход за лицомУвлажнение и питаниеБальзамы и гели</v>
      </c>
      <c r="B2047" s="29" t="s">
        <v>56</v>
      </c>
      <c r="C2047" s="29" t="s">
        <v>238</v>
      </c>
      <c r="D2047" s="29" t="s">
        <v>134</v>
      </c>
      <c r="E2047" s="29" t="s">
        <v>2303</v>
      </c>
      <c r="F2047" s="30">
        <v>0.2</v>
      </c>
      <c r="G2047" s="31"/>
      <c r="H2047" s="31"/>
      <c r="I2047" s="31"/>
      <c r="J2047" s="31"/>
    </row>
    <row r="2048" spans="1:10" ht="14.4" x14ac:dyDescent="0.3">
      <c r="A2048" s="28" t="str">
        <f>B2048&amp;C2048&amp;D2048&amp;E2048</f>
        <v>Красота и уходУход за теломЗагар и защита от солнцаСредства для загара</v>
      </c>
      <c r="B2048" s="29" t="s">
        <v>56</v>
      </c>
      <c r="C2048" s="29" t="s">
        <v>100</v>
      </c>
      <c r="D2048" s="29" t="s">
        <v>2214</v>
      </c>
      <c r="E2048" s="29" t="s">
        <v>2304</v>
      </c>
      <c r="F2048" s="30">
        <v>0.2</v>
      </c>
      <c r="G2048" s="31"/>
      <c r="H2048" s="31"/>
      <c r="I2048" s="31"/>
      <c r="J2048" s="31"/>
    </row>
    <row r="2049" spans="1:10" ht="14.4" x14ac:dyDescent="0.3">
      <c r="A2049" s="28" t="str">
        <f>B2049&amp;C2049&amp;D2049&amp;E2049</f>
        <v>Строительство и ремонтРучной инструмент и оснасткаУдарно-рычажные инструментыТопоры</v>
      </c>
      <c r="B2049" s="29" t="s">
        <v>77</v>
      </c>
      <c r="C2049" s="29" t="s">
        <v>127</v>
      </c>
      <c r="D2049" s="29" t="s">
        <v>842</v>
      </c>
      <c r="E2049" s="29" t="s">
        <v>2307</v>
      </c>
      <c r="F2049" s="30">
        <v>0.2</v>
      </c>
      <c r="G2049" s="31"/>
      <c r="H2049" s="31"/>
      <c r="I2049" s="31"/>
      <c r="J2049" s="31"/>
    </row>
    <row r="2050" spans="1:10" ht="14.4" x14ac:dyDescent="0.3">
      <c r="A2050" s="28" t="str">
        <f>B2050&amp;C2050&amp;D2050&amp;E2050</f>
        <v>Красота и уходДля мужчинУход за теломКремы для тела</v>
      </c>
      <c r="B2050" s="29" t="s">
        <v>56</v>
      </c>
      <c r="C2050" s="29" t="s">
        <v>71</v>
      </c>
      <c r="D2050" s="29" t="s">
        <v>100</v>
      </c>
      <c r="E2050" s="29" t="s">
        <v>1788</v>
      </c>
      <c r="F2050" s="30">
        <v>0.2</v>
      </c>
      <c r="G2050" s="31"/>
      <c r="H2050" s="31"/>
      <c r="I2050" s="31"/>
      <c r="J2050" s="31"/>
    </row>
    <row r="2051" spans="1:10" ht="14.4" x14ac:dyDescent="0.3">
      <c r="A2051" s="28" t="str">
        <f>B2051&amp;C2051&amp;D2051&amp;E2051</f>
        <v>Бытовая техникаТовары для кухниПрочая кухонная техникаКухонные весы</v>
      </c>
      <c r="B2051" s="29" t="s">
        <v>160</v>
      </c>
      <c r="C2051" s="29" t="s">
        <v>60</v>
      </c>
      <c r="D2051" s="29" t="s">
        <v>161</v>
      </c>
      <c r="E2051" s="29" t="s">
        <v>2314</v>
      </c>
      <c r="F2051" s="30">
        <v>0.2</v>
      </c>
      <c r="G2051" s="31"/>
      <c r="H2051" s="31"/>
      <c r="I2051" s="31"/>
      <c r="J2051" s="31"/>
    </row>
    <row r="2052" spans="1:10" ht="14.4" x14ac:dyDescent="0.3">
      <c r="A2052" s="28" t="str">
        <f>B2052&amp;C2052&amp;D2052&amp;E2052</f>
        <v>ЗоотоварыДля кошекИгрушкиИгрушки</v>
      </c>
      <c r="B2052" s="29" t="s">
        <v>214</v>
      </c>
      <c r="C2052" s="29" t="s">
        <v>283</v>
      </c>
      <c r="D2052" s="29" t="s">
        <v>1609</v>
      </c>
      <c r="E2052" s="29" t="s">
        <v>1609</v>
      </c>
      <c r="F2052" s="30">
        <v>0.2</v>
      </c>
      <c r="G2052" s="31"/>
      <c r="H2052" s="31"/>
      <c r="I2052" s="31"/>
      <c r="J2052" s="31"/>
    </row>
    <row r="2053" spans="1:10" ht="14.4" x14ac:dyDescent="0.3">
      <c r="A2053" s="28" t="str">
        <f>B2053&amp;C2053&amp;D2053&amp;E2053</f>
        <v>ЭлектроникаОфисная техникаАксессуары и уход за офисной техникойТвердые чернила</v>
      </c>
      <c r="B2053" s="29" t="s">
        <v>67</v>
      </c>
      <c r="C2053" s="29" t="s">
        <v>68</v>
      </c>
      <c r="D2053" s="29" t="s">
        <v>348</v>
      </c>
      <c r="E2053" s="29" t="s">
        <v>2321</v>
      </c>
      <c r="F2053" s="30">
        <v>0.2</v>
      </c>
      <c r="G2053" s="31"/>
      <c r="H2053" s="31"/>
      <c r="I2053" s="31"/>
      <c r="J2053" s="31"/>
    </row>
    <row r="2054" spans="1:10" ht="14.4" x14ac:dyDescent="0.3">
      <c r="A2054" s="28" t="str">
        <f>B2054&amp;C2054&amp;D2054&amp;E2054</f>
        <v>АвтотоварыИнструменты и оборудованиеАвтомобильные компрессорыАвтомобильные компрессоры</v>
      </c>
      <c r="B2054" s="29" t="s">
        <v>12</v>
      </c>
      <c r="C2054" s="29" t="s">
        <v>479</v>
      </c>
      <c r="D2054" s="29" t="s">
        <v>2323</v>
      </c>
      <c r="E2054" s="29" t="s">
        <v>2323</v>
      </c>
      <c r="F2054" s="30">
        <v>0.2</v>
      </c>
      <c r="G2054" s="31"/>
      <c r="H2054" s="31"/>
      <c r="I2054" s="31"/>
      <c r="J2054" s="31"/>
    </row>
    <row r="2055" spans="1:10" ht="14.4" x14ac:dyDescent="0.3">
      <c r="A2055" s="28" t="str">
        <f>B2055&amp;C2055&amp;D2055&amp;E2055</f>
        <v>ЭлектроникаФото и видеотехникаОборудование для фотографовСофтбоксы</v>
      </c>
      <c r="B2055" s="29" t="s">
        <v>67</v>
      </c>
      <c r="C2055" s="29" t="s">
        <v>174</v>
      </c>
      <c r="D2055" s="29" t="s">
        <v>575</v>
      </c>
      <c r="E2055" s="29" t="s">
        <v>2324</v>
      </c>
      <c r="F2055" s="30">
        <v>0.2</v>
      </c>
      <c r="G2055" s="31"/>
      <c r="H2055" s="31"/>
      <c r="I2055" s="31"/>
      <c r="J2055" s="31"/>
    </row>
    <row r="2056" spans="1:10" ht="14.4" x14ac:dyDescent="0.3">
      <c r="A2056" s="28" t="str">
        <f>B2056&amp;C2056&amp;D2056&amp;E2056</f>
        <v>ОбувьМужская обувьСапоги и уггиСапоги</v>
      </c>
      <c r="B2056" s="29" t="s">
        <v>180</v>
      </c>
      <c r="C2056" s="29" t="s">
        <v>279</v>
      </c>
      <c r="D2056" s="29" t="s">
        <v>190</v>
      </c>
      <c r="E2056" s="29" t="s">
        <v>1277</v>
      </c>
      <c r="F2056" s="30">
        <v>0.2</v>
      </c>
      <c r="G2056" s="31"/>
      <c r="H2056" s="31"/>
      <c r="I2056" s="31"/>
      <c r="J2056" s="31"/>
    </row>
    <row r="2057" spans="1:10" ht="14.4" x14ac:dyDescent="0.3">
      <c r="A2057" s="28" t="str">
        <f>B2057&amp;C2057&amp;D2057&amp;E2057</f>
        <v>Детские товарыИгрушки и игрыРазвивающие и обучающие игрушкиБизиборды</v>
      </c>
      <c r="B2057" s="29" t="s">
        <v>105</v>
      </c>
      <c r="C2057" s="29" t="s">
        <v>184</v>
      </c>
      <c r="D2057" s="29" t="s">
        <v>218</v>
      </c>
      <c r="E2057" s="29" t="s">
        <v>2329</v>
      </c>
      <c r="F2057" s="30">
        <v>0.2</v>
      </c>
      <c r="G2057" s="31"/>
      <c r="H2057" s="31"/>
      <c r="I2057" s="31"/>
      <c r="J2057" s="31"/>
    </row>
    <row r="2058" spans="1:10" ht="14.4" x14ac:dyDescent="0.3">
      <c r="A2058" s="28" t="str">
        <f>B2058&amp;C2058&amp;D2058&amp;E2058</f>
        <v>Детские товарыДетская комнатаДетская мебельКомоды</v>
      </c>
      <c r="B2058" s="29" t="s">
        <v>105</v>
      </c>
      <c r="C2058" s="29" t="s">
        <v>397</v>
      </c>
      <c r="D2058" s="29" t="s">
        <v>617</v>
      </c>
      <c r="E2058" s="29" t="s">
        <v>2330</v>
      </c>
      <c r="F2058" s="30">
        <v>0.2</v>
      </c>
      <c r="G2058" s="31"/>
      <c r="H2058" s="31"/>
      <c r="I2058" s="31"/>
      <c r="J2058" s="31"/>
    </row>
    <row r="2059" spans="1:10" ht="14.4" x14ac:dyDescent="0.3">
      <c r="A2059" s="28" t="str">
        <f>B2059&amp;C2059&amp;D2059&amp;E2059</f>
        <v>Красота и уходМаникюр и педикюрИнструменты для маникюраАпельсиновые палочки и салфетки для ногтей</v>
      </c>
      <c r="B2059" s="29" t="s">
        <v>56</v>
      </c>
      <c r="C2059" s="29" t="s">
        <v>57</v>
      </c>
      <c r="D2059" s="29" t="s">
        <v>199</v>
      </c>
      <c r="E2059" s="29" t="s">
        <v>2332</v>
      </c>
      <c r="F2059" s="30">
        <v>0.2</v>
      </c>
      <c r="G2059" s="31"/>
      <c r="H2059" s="31"/>
      <c r="I2059" s="31"/>
      <c r="J2059" s="31"/>
    </row>
    <row r="2060" spans="1:10" ht="14.4" x14ac:dyDescent="0.3">
      <c r="A2060" s="28" t="str">
        <f>B2060&amp;C2060&amp;D2060&amp;E2060</f>
        <v>Детские товарыИгрушки и игрыФигурки и аксессуарыФигурки и аксессуары</v>
      </c>
      <c r="B2060" s="29" t="s">
        <v>105</v>
      </c>
      <c r="C2060" s="29" t="s">
        <v>184</v>
      </c>
      <c r="D2060" s="29" t="s">
        <v>2334</v>
      </c>
      <c r="E2060" s="29" t="s">
        <v>2334</v>
      </c>
      <c r="F2060" s="30">
        <v>0.2</v>
      </c>
      <c r="G2060" s="31"/>
      <c r="H2060" s="31"/>
      <c r="I2060" s="31"/>
      <c r="J2060" s="31"/>
    </row>
    <row r="2061" spans="1:10" ht="14.4" x14ac:dyDescent="0.3">
      <c r="A2061" s="28" t="str">
        <f>B2061&amp;C2061&amp;D2061&amp;E2061</f>
        <v>Красота и уходМакияжЛицоКушоны</v>
      </c>
      <c r="B2061" s="29" t="s">
        <v>56</v>
      </c>
      <c r="C2061" s="29" t="s">
        <v>151</v>
      </c>
      <c r="D2061" s="29" t="s">
        <v>602</v>
      </c>
      <c r="E2061" s="29" t="s">
        <v>2345</v>
      </c>
      <c r="F2061" s="30">
        <v>0.2</v>
      </c>
      <c r="G2061" s="31"/>
      <c r="H2061" s="31"/>
      <c r="I2061" s="31"/>
      <c r="J2061" s="31"/>
    </row>
    <row r="2062" spans="1:10" ht="14.4" x14ac:dyDescent="0.3">
      <c r="A2062" s="28" t="str">
        <f>B2062&amp;C2062&amp;D2062&amp;E2062</f>
        <v>Красота и уходУход за лицомОчищение и умываниеМасло гидрофильное</v>
      </c>
      <c r="B2062" s="29" t="s">
        <v>56</v>
      </c>
      <c r="C2062" s="29" t="s">
        <v>238</v>
      </c>
      <c r="D2062" s="29" t="s">
        <v>728</v>
      </c>
      <c r="E2062" s="29" t="s">
        <v>2349</v>
      </c>
      <c r="F2062" s="30">
        <v>0.2</v>
      </c>
      <c r="G2062" s="31"/>
      <c r="H2062" s="31"/>
      <c r="I2062" s="31"/>
      <c r="J2062" s="31"/>
    </row>
    <row r="2063" spans="1:10" ht="14.4" x14ac:dyDescent="0.3">
      <c r="A2063" s="28" t="str">
        <f>B2063&amp;C2063&amp;D2063&amp;E2063</f>
        <v>АвтотоварыАвтозапчастиСтеклоочистителиСтеклоочистители</v>
      </c>
      <c r="B2063" s="29" t="s">
        <v>12</v>
      </c>
      <c r="C2063" s="29" t="s">
        <v>978</v>
      </c>
      <c r="D2063" s="29" t="s">
        <v>2352</v>
      </c>
      <c r="E2063" s="29" t="s">
        <v>2352</v>
      </c>
      <c r="F2063" s="30">
        <v>0.2</v>
      </c>
      <c r="G2063" s="31"/>
      <c r="H2063" s="31"/>
      <c r="I2063" s="31"/>
      <c r="J2063" s="31"/>
    </row>
    <row r="2064" spans="1:10" ht="14.4" x14ac:dyDescent="0.3">
      <c r="A2064" s="28" t="str">
        <f>B2064&amp;C2064&amp;D2064&amp;E2064</f>
        <v>Красота и уходУход за лицомСредства для проблемной кожиМатирующие салфетки</v>
      </c>
      <c r="B2064" s="29" t="s">
        <v>56</v>
      </c>
      <c r="C2064" s="29" t="s">
        <v>238</v>
      </c>
      <c r="D2064" s="29" t="s">
        <v>1354</v>
      </c>
      <c r="E2064" s="29" t="s">
        <v>2354</v>
      </c>
      <c r="F2064" s="30">
        <v>0.2</v>
      </c>
      <c r="G2064" s="31"/>
      <c r="H2064" s="31"/>
      <c r="I2064" s="31"/>
      <c r="J2064" s="31"/>
    </row>
    <row r="2065" spans="1:10" ht="14.4" x14ac:dyDescent="0.3">
      <c r="A2065" s="28" t="str">
        <f>B2065&amp;C2065&amp;D2065&amp;E2065</f>
        <v>Красота и уходУход за волосамиОкрашивание и химическая завивкаОкислители</v>
      </c>
      <c r="B2065" s="29" t="s">
        <v>56</v>
      </c>
      <c r="C2065" s="29" t="s">
        <v>109</v>
      </c>
      <c r="D2065" s="29" t="s">
        <v>362</v>
      </c>
      <c r="E2065" s="29" t="s">
        <v>2357</v>
      </c>
      <c r="F2065" s="30">
        <v>0.2</v>
      </c>
      <c r="G2065" s="31"/>
      <c r="H2065" s="31"/>
      <c r="I2065" s="31"/>
      <c r="J2065" s="31"/>
    </row>
    <row r="2066" spans="1:10" ht="14.4" x14ac:dyDescent="0.3">
      <c r="A2066" s="28" t="str">
        <f>B2066&amp;C2066&amp;D2066&amp;E2066</f>
        <v>Красота и уходЛичная гигиенаТовары для бритьяЖенские бритвы, станки и сменные кассеты</v>
      </c>
      <c r="B2066" s="29" t="s">
        <v>56</v>
      </c>
      <c r="C2066" s="29" t="s">
        <v>120</v>
      </c>
      <c r="D2066" s="29" t="s">
        <v>2359</v>
      </c>
      <c r="E2066" s="29" t="s">
        <v>2360</v>
      </c>
      <c r="F2066" s="30">
        <v>0.2</v>
      </c>
      <c r="G2066" s="31"/>
      <c r="H2066" s="31"/>
      <c r="I2066" s="31"/>
      <c r="J2066" s="31"/>
    </row>
    <row r="2067" spans="1:10" ht="14.4" x14ac:dyDescent="0.3">
      <c r="A2067" s="28" t="str">
        <f>B2067&amp;C2067&amp;D2067&amp;E2067</f>
        <v>Красота и уходЛичная гигиенаДезодоранты и спреи для ногДезодоранты и спреи для ног</v>
      </c>
      <c r="B2067" s="29" t="s">
        <v>56</v>
      </c>
      <c r="C2067" s="29" t="s">
        <v>120</v>
      </c>
      <c r="D2067" s="29" t="s">
        <v>2362</v>
      </c>
      <c r="E2067" s="29" t="s">
        <v>2362</v>
      </c>
      <c r="F2067" s="30">
        <v>0.2</v>
      </c>
      <c r="G2067" s="31"/>
      <c r="H2067" s="31"/>
      <c r="I2067" s="31"/>
      <c r="J2067" s="31"/>
    </row>
    <row r="2068" spans="1:10" ht="14.4" x14ac:dyDescent="0.3">
      <c r="A2068" s="28" t="str">
        <f>B2068&amp;C2068&amp;D2068&amp;E2068</f>
        <v>АвтотоварыАккумуляторы и аксессуарыКлеммы аккумуляторныеКлеммы аккумуляторные</v>
      </c>
      <c r="B2068" s="29" t="s">
        <v>12</v>
      </c>
      <c r="C2068" s="29" t="s">
        <v>177</v>
      </c>
      <c r="D2068" s="29" t="s">
        <v>2364</v>
      </c>
      <c r="E2068" s="29" t="s">
        <v>2364</v>
      </c>
      <c r="F2068" s="30">
        <v>0.2</v>
      </c>
      <c r="G2068" s="31"/>
      <c r="H2068" s="31"/>
      <c r="I2068" s="31"/>
      <c r="J2068" s="31"/>
    </row>
    <row r="2069" spans="1:10" ht="14.4" x14ac:dyDescent="0.3">
      <c r="A2069" s="28" t="str">
        <f>B2069&amp;C2069&amp;D2069&amp;E2069</f>
        <v>ОбувьМужская обувьТуфлиОксфорды</v>
      </c>
      <c r="B2069" s="29" t="s">
        <v>180</v>
      </c>
      <c r="C2069" s="29" t="s">
        <v>279</v>
      </c>
      <c r="D2069" s="29" t="s">
        <v>280</v>
      </c>
      <c r="E2069" s="29" t="s">
        <v>2365</v>
      </c>
      <c r="F2069" s="30">
        <v>0.2</v>
      </c>
      <c r="G2069" s="31"/>
      <c r="H2069" s="31"/>
      <c r="I2069" s="31"/>
      <c r="J2069" s="31"/>
    </row>
    <row r="2070" spans="1:10" ht="14.4" x14ac:dyDescent="0.3">
      <c r="A2070" s="28" t="str">
        <f>B2070&amp;C2070&amp;D2070&amp;E2070</f>
        <v>Продукты питанияШоколад, конфеты, сладостиПряники, вафлиПряники, вафли</v>
      </c>
      <c r="B2070" s="29" t="s">
        <v>248</v>
      </c>
      <c r="C2070" s="29" t="s">
        <v>249</v>
      </c>
      <c r="D2070" s="29" t="s">
        <v>2368</v>
      </c>
      <c r="E2070" s="29" t="s">
        <v>2368</v>
      </c>
      <c r="F2070" s="30">
        <v>0.2</v>
      </c>
      <c r="G2070" s="31"/>
      <c r="H2070" s="31"/>
      <c r="I2070" s="31"/>
      <c r="J2070" s="31"/>
    </row>
    <row r="2071" spans="1:10" ht="14.4" x14ac:dyDescent="0.3">
      <c r="A2071" s="28" t="str">
        <f>B2071&amp;C2071&amp;D2071&amp;E2071</f>
        <v>Красота и уходЛичная гигиенаДепиляция и эпиляцияНаборы для депиляции</v>
      </c>
      <c r="B2071" s="29" t="s">
        <v>56</v>
      </c>
      <c r="C2071" s="29" t="s">
        <v>120</v>
      </c>
      <c r="D2071" s="29" t="s">
        <v>464</v>
      </c>
      <c r="E2071" s="29" t="s">
        <v>2375</v>
      </c>
      <c r="F2071" s="30">
        <v>0.2</v>
      </c>
      <c r="G2071" s="31"/>
      <c r="H2071" s="31"/>
      <c r="I2071" s="31"/>
      <c r="J2071" s="31"/>
    </row>
    <row r="2072" spans="1:10" ht="14.4" x14ac:dyDescent="0.3">
      <c r="A2072" s="28" t="str">
        <f>B2072&amp;C2072&amp;D2072&amp;E2072</f>
        <v>ЗдоровьеМедицинские приборыИнгаляторы и аксессуарыИнгаляторы и аксессуары</v>
      </c>
      <c r="B2072" s="29" t="s">
        <v>116</v>
      </c>
      <c r="C2072" s="29" t="s">
        <v>381</v>
      </c>
      <c r="D2072" s="29" t="s">
        <v>2376</v>
      </c>
      <c r="E2072" s="29" t="s">
        <v>2376</v>
      </c>
      <c r="F2072" s="30">
        <v>0.2</v>
      </c>
      <c r="G2072" s="31"/>
      <c r="H2072" s="31"/>
      <c r="I2072" s="31"/>
      <c r="J2072" s="31"/>
    </row>
    <row r="2073" spans="1:10" ht="14.4" x14ac:dyDescent="0.3">
      <c r="A2073" s="28" t="str">
        <f>B2073&amp;C2073&amp;D2073&amp;E2073</f>
        <v>КнигиПодарочные изданияПодарочные изданияПодарочные издания</v>
      </c>
      <c r="B2073" s="29" t="s">
        <v>63</v>
      </c>
      <c r="C2073" s="29" t="s">
        <v>2377</v>
      </c>
      <c r="D2073" s="29" t="s">
        <v>2377</v>
      </c>
      <c r="E2073" s="29" t="s">
        <v>2377</v>
      </c>
      <c r="F2073" s="30">
        <v>0.2</v>
      </c>
      <c r="G2073" s="31"/>
      <c r="H2073" s="31"/>
      <c r="I2073" s="31"/>
      <c r="J2073" s="31"/>
    </row>
    <row r="2074" spans="1:10" ht="14.4" x14ac:dyDescent="0.3">
      <c r="A2074" s="28" t="str">
        <f>B2074&amp;C2074&amp;D2074&amp;E2074</f>
        <v>Бытовая техникаТехника для красотыНапольные весыНапольные весы</v>
      </c>
      <c r="B2074" s="29" t="s">
        <v>160</v>
      </c>
      <c r="C2074" s="29" t="s">
        <v>694</v>
      </c>
      <c r="D2074" s="29" t="s">
        <v>2381</v>
      </c>
      <c r="E2074" s="29" t="s">
        <v>2381</v>
      </c>
      <c r="F2074" s="30">
        <v>0.2</v>
      </c>
      <c r="G2074" s="31"/>
      <c r="H2074" s="31"/>
      <c r="I2074" s="31"/>
      <c r="J2074" s="31"/>
    </row>
    <row r="2075" spans="1:10" ht="14.4" x14ac:dyDescent="0.3">
      <c r="A2075" s="28" t="str">
        <f>B2075&amp;C2075&amp;D2075&amp;E2075</f>
        <v>Бытовая техникаТовары для кухниПрочая кухонная техникаКартофелечистки и рыбочистки</v>
      </c>
      <c r="B2075" s="29" t="s">
        <v>160</v>
      </c>
      <c r="C2075" s="29" t="s">
        <v>60</v>
      </c>
      <c r="D2075" s="29" t="s">
        <v>161</v>
      </c>
      <c r="E2075" s="29" t="s">
        <v>2383</v>
      </c>
      <c r="F2075" s="30">
        <v>0.2</v>
      </c>
      <c r="G2075" s="31"/>
      <c r="H2075" s="31"/>
      <c r="I2075" s="31"/>
      <c r="J2075" s="31"/>
    </row>
    <row r="2076" spans="1:10" ht="14.4" x14ac:dyDescent="0.3">
      <c r="A2076" s="28" t="str">
        <f>B2076&amp;C2076&amp;D2076&amp;E2076</f>
        <v>Красота и уходУход за теломЗагар и защита от солнцаАвтозагар</v>
      </c>
      <c r="B2076" s="29" t="s">
        <v>56</v>
      </c>
      <c r="C2076" s="29" t="s">
        <v>100</v>
      </c>
      <c r="D2076" s="29" t="s">
        <v>2214</v>
      </c>
      <c r="E2076" s="29" t="s">
        <v>2391</v>
      </c>
      <c r="F2076" s="30">
        <v>0.2</v>
      </c>
      <c r="G2076" s="31"/>
      <c r="H2076" s="31"/>
      <c r="I2076" s="31"/>
      <c r="J2076" s="31"/>
    </row>
    <row r="2077" spans="1:10" ht="14.4" x14ac:dyDescent="0.3">
      <c r="A2077" s="28" t="str">
        <f>B2077&amp;C2077&amp;D2077&amp;E2077</f>
        <v>Детские товарыИгрушки и игрыРазвивающие и обучающие игрушкиГоловоломки</v>
      </c>
      <c r="B2077" s="29" t="s">
        <v>105</v>
      </c>
      <c r="C2077" s="29" t="s">
        <v>184</v>
      </c>
      <c r="D2077" s="29" t="s">
        <v>218</v>
      </c>
      <c r="E2077" s="29" t="s">
        <v>2393</v>
      </c>
      <c r="F2077" s="30">
        <v>0.2</v>
      </c>
      <c r="G2077" s="31"/>
      <c r="H2077" s="31"/>
      <c r="I2077" s="31"/>
      <c r="J2077" s="31"/>
    </row>
    <row r="2078" spans="1:10" ht="14.4" x14ac:dyDescent="0.3">
      <c r="A2078" s="28" t="str">
        <f>B2078&amp;C2078&amp;D2078&amp;E2078</f>
        <v>ОбувьЖенская обувьБотинкиОксфорды и дерби</v>
      </c>
      <c r="B2078" s="29" t="s">
        <v>180</v>
      </c>
      <c r="C2078" s="29" t="s">
        <v>181</v>
      </c>
      <c r="D2078" s="29" t="s">
        <v>515</v>
      </c>
      <c r="E2078" s="29" t="s">
        <v>2394</v>
      </c>
      <c r="F2078" s="30">
        <v>0.2</v>
      </c>
      <c r="G2078" s="31"/>
      <c r="H2078" s="31"/>
      <c r="I2078" s="31"/>
      <c r="J2078" s="31"/>
    </row>
    <row r="2079" spans="1:10" ht="14.4" x14ac:dyDescent="0.3">
      <c r="A2079" s="28" t="str">
        <f>B2079&amp;C2079&amp;D2079&amp;E2079</f>
        <v>ОбувьМужская обувьБотинкиБерцы</v>
      </c>
      <c r="B2079" s="29" t="s">
        <v>180</v>
      </c>
      <c r="C2079" s="29" t="s">
        <v>279</v>
      </c>
      <c r="D2079" s="29" t="s">
        <v>515</v>
      </c>
      <c r="E2079" s="29" t="s">
        <v>2396</v>
      </c>
      <c r="F2079" s="30">
        <v>0.2</v>
      </c>
      <c r="G2079" s="31"/>
      <c r="H2079" s="31"/>
      <c r="I2079" s="31"/>
      <c r="J2079" s="31"/>
    </row>
    <row r="2080" spans="1:10" ht="14.4" x14ac:dyDescent="0.3">
      <c r="A2080" s="28" t="str">
        <f>B2080&amp;C2080&amp;D2080&amp;E2080</f>
        <v>КанцтоварыБумажная продукцияАнкеты и дневники личныеАнкеты</v>
      </c>
      <c r="B2080" s="29" t="s">
        <v>163</v>
      </c>
      <c r="C2080" s="29" t="s">
        <v>261</v>
      </c>
      <c r="D2080" s="29" t="s">
        <v>2397</v>
      </c>
      <c r="E2080" s="29" t="s">
        <v>2398</v>
      </c>
      <c r="F2080" s="30">
        <v>0.2</v>
      </c>
      <c r="G2080" s="31"/>
      <c r="H2080" s="31"/>
      <c r="I2080" s="31"/>
      <c r="J2080" s="31"/>
    </row>
    <row r="2081" spans="1:10" ht="14.4" x14ac:dyDescent="0.3">
      <c r="A2081" s="28" t="str">
        <f>B2081&amp;C2081&amp;D2081&amp;E2081</f>
        <v>ОбувьМужская обувьЭспадрильи и слипоныЭспадрильи</v>
      </c>
      <c r="B2081" s="29" t="s">
        <v>180</v>
      </c>
      <c r="C2081" s="29" t="s">
        <v>279</v>
      </c>
      <c r="D2081" s="29" t="s">
        <v>2399</v>
      </c>
      <c r="E2081" s="29" t="s">
        <v>2400</v>
      </c>
      <c r="F2081" s="30">
        <v>0.2</v>
      </c>
      <c r="G2081" s="31"/>
      <c r="H2081" s="31"/>
      <c r="I2081" s="31"/>
      <c r="J2081" s="31"/>
    </row>
    <row r="2082" spans="1:10" ht="14.4" x14ac:dyDescent="0.3">
      <c r="A2082" s="28" t="str">
        <f>B2082&amp;C2082&amp;D2082&amp;E2082</f>
        <v>КанцтоварыОфисные принадлежностиСкотчСкотч</v>
      </c>
      <c r="B2082" s="29" t="s">
        <v>163</v>
      </c>
      <c r="C2082" s="29" t="s">
        <v>227</v>
      </c>
      <c r="D2082" s="29" t="s">
        <v>2401</v>
      </c>
      <c r="E2082" s="29" t="s">
        <v>2401</v>
      </c>
      <c r="F2082" s="30">
        <v>0.2</v>
      </c>
      <c r="G2082" s="31"/>
      <c r="H2082" s="31"/>
      <c r="I2082" s="31"/>
      <c r="J2082" s="31"/>
    </row>
    <row r="2083" spans="1:10" ht="14.4" x14ac:dyDescent="0.3">
      <c r="A2083" s="28" t="str">
        <f>B2083&amp;C2083&amp;D2083&amp;E2083</f>
        <v>ЭлектроникаНаушники и аудиотехникаАудиотехникаГромкоговорители</v>
      </c>
      <c r="B2083" s="29" t="s">
        <v>67</v>
      </c>
      <c r="C2083" s="29" t="s">
        <v>74</v>
      </c>
      <c r="D2083" s="29" t="s">
        <v>409</v>
      </c>
      <c r="E2083" s="29" t="s">
        <v>2402</v>
      </c>
      <c r="F2083" s="30">
        <v>0.2</v>
      </c>
      <c r="G2083" s="31"/>
      <c r="H2083" s="31"/>
      <c r="I2083" s="31"/>
      <c r="J2083" s="31"/>
    </row>
    <row r="2084" spans="1:10" ht="14.4" x14ac:dyDescent="0.3">
      <c r="A2084" s="28" t="str">
        <f>B2084&amp;C2084&amp;D2084&amp;E2084</f>
        <v>Красота и уходЛичная гигиенаГигиена полости ртаАксессуары для электрических зубных щеток и ирригаторов</v>
      </c>
      <c r="B2084" s="29" t="s">
        <v>56</v>
      </c>
      <c r="C2084" s="29" t="s">
        <v>120</v>
      </c>
      <c r="D2084" s="29" t="s">
        <v>121</v>
      </c>
      <c r="E2084" s="29" t="s">
        <v>2404</v>
      </c>
      <c r="F2084" s="30">
        <v>0.2</v>
      </c>
      <c r="G2084" s="31"/>
      <c r="H2084" s="31"/>
      <c r="I2084" s="31"/>
      <c r="J2084" s="31"/>
    </row>
    <row r="2085" spans="1:10" ht="14.4" x14ac:dyDescent="0.3">
      <c r="A2085" s="28" t="str">
        <f>B2085&amp;C2085&amp;D2085&amp;E2085</f>
        <v>АвтотоварыЭлектроника для автоБлоки питания для автоБлоки питания для авто</v>
      </c>
      <c r="B2085" s="29" t="s">
        <v>12</v>
      </c>
      <c r="C2085" s="29" t="s">
        <v>360</v>
      </c>
      <c r="D2085" s="29" t="s">
        <v>2405</v>
      </c>
      <c r="E2085" s="29" t="s">
        <v>2405</v>
      </c>
      <c r="F2085" s="30">
        <v>0.2</v>
      </c>
      <c r="G2085" s="31"/>
      <c r="H2085" s="31"/>
      <c r="I2085" s="31"/>
      <c r="J2085" s="31"/>
    </row>
    <row r="2086" spans="1:10" ht="14.4" x14ac:dyDescent="0.3">
      <c r="A2086" s="28" t="str">
        <f>B2086&amp;C2086&amp;D2086&amp;E2086</f>
        <v>КанцтоварыБумажная продукцияАнкеты и дневники личныеДневники личные</v>
      </c>
      <c r="B2086" s="29" t="s">
        <v>163</v>
      </c>
      <c r="C2086" s="29" t="s">
        <v>261</v>
      </c>
      <c r="D2086" s="29" t="s">
        <v>2397</v>
      </c>
      <c r="E2086" s="29" t="s">
        <v>2408</v>
      </c>
      <c r="F2086" s="30">
        <v>0.2</v>
      </c>
      <c r="G2086" s="31"/>
      <c r="H2086" s="31"/>
      <c r="I2086" s="31"/>
      <c r="J2086" s="31"/>
    </row>
    <row r="2087" spans="1:10" ht="14.4" x14ac:dyDescent="0.3">
      <c r="A2087" s="28" t="str">
        <f>B2087&amp;C2087&amp;D2087&amp;E2087</f>
        <v>КанцтоварыЧертежные принадлежностиГеометрические наборыГеометрические наборы</v>
      </c>
      <c r="B2087" s="29" t="s">
        <v>163</v>
      </c>
      <c r="C2087" s="29" t="s">
        <v>492</v>
      </c>
      <c r="D2087" s="29" t="s">
        <v>2412</v>
      </c>
      <c r="E2087" s="29" t="s">
        <v>2412</v>
      </c>
      <c r="F2087" s="30">
        <v>0.2</v>
      </c>
      <c r="G2087" s="31"/>
      <c r="H2087" s="31"/>
      <c r="I2087" s="31"/>
      <c r="J2087" s="31"/>
    </row>
    <row r="2088" spans="1:10" ht="14.4" x14ac:dyDescent="0.3">
      <c r="A2088" s="28" t="str">
        <f>B2088&amp;C2088&amp;D2088&amp;E2088</f>
        <v>КнигиДетям и родителямХудожественная литератураКлассика</v>
      </c>
      <c r="B2088" s="29" t="s">
        <v>63</v>
      </c>
      <c r="C2088" s="29" t="s">
        <v>258</v>
      </c>
      <c r="D2088" s="29" t="s">
        <v>374</v>
      </c>
      <c r="E2088" s="29" t="s">
        <v>2413</v>
      </c>
      <c r="F2088" s="30">
        <v>0.2</v>
      </c>
      <c r="G2088" s="31"/>
      <c r="H2088" s="31"/>
      <c r="I2088" s="31"/>
      <c r="J2088" s="31"/>
    </row>
    <row r="2089" spans="1:10" ht="14.4" x14ac:dyDescent="0.3">
      <c r="A2089" s="28" t="str">
        <f>B2089&amp;C2089&amp;D2089&amp;E2089</f>
        <v>Красота и уходМакияжБровиПомады для бровей</v>
      </c>
      <c r="B2089" s="29" t="s">
        <v>56</v>
      </c>
      <c r="C2089" s="29" t="s">
        <v>151</v>
      </c>
      <c r="D2089" s="29" t="s">
        <v>212</v>
      </c>
      <c r="E2089" s="29" t="s">
        <v>2416</v>
      </c>
      <c r="F2089" s="30">
        <v>0.2</v>
      </c>
      <c r="G2089" s="31"/>
      <c r="H2089" s="31"/>
      <c r="I2089" s="31"/>
      <c r="J2089" s="31"/>
    </row>
    <row r="2090" spans="1:10" ht="14.4" x14ac:dyDescent="0.3">
      <c r="A2090" s="28" t="str">
        <f>B2090&amp;C2090&amp;D2090&amp;E2090</f>
        <v>КанцтоварыОборудование для торговлиСчетчики и детекторы банкнотСчетчики и детекторы банкнот</v>
      </c>
      <c r="B2090" s="29" t="s">
        <v>163</v>
      </c>
      <c r="C2090" s="29" t="s">
        <v>943</v>
      </c>
      <c r="D2090" s="29" t="s">
        <v>2419</v>
      </c>
      <c r="E2090" s="29" t="s">
        <v>2419</v>
      </c>
      <c r="F2090" s="30">
        <v>0.2</v>
      </c>
      <c r="G2090" s="31"/>
      <c r="H2090" s="31"/>
      <c r="I2090" s="31"/>
      <c r="J2090" s="31"/>
    </row>
    <row r="2091" spans="1:10" ht="14.4" x14ac:dyDescent="0.3">
      <c r="A2091" s="28" t="str">
        <f>B2091&amp;C2091&amp;D2091&amp;E2091</f>
        <v>ЭлектроникаКомпьютерная техникаПрограммное обеспечениеПрограммное обеспечение</v>
      </c>
      <c r="B2091" s="29" t="s">
        <v>67</v>
      </c>
      <c r="C2091" s="29" t="s">
        <v>234</v>
      </c>
      <c r="D2091" s="29" t="s">
        <v>2422</v>
      </c>
      <c r="E2091" s="29" t="s">
        <v>2422</v>
      </c>
      <c r="F2091" s="30">
        <v>0.2</v>
      </c>
      <c r="G2091" s="31"/>
      <c r="H2091" s="31"/>
      <c r="I2091" s="31"/>
      <c r="J2091" s="31"/>
    </row>
    <row r="2092" spans="1:10" ht="14.4" x14ac:dyDescent="0.3">
      <c r="A2092" s="28" t="str">
        <f>B2092&amp;C2092&amp;D2092&amp;E2092</f>
        <v>КнигиРелигиозные книгиИсламХадис</v>
      </c>
      <c r="B2092" s="29" t="s">
        <v>63</v>
      </c>
      <c r="C2092" s="29" t="s">
        <v>64</v>
      </c>
      <c r="D2092" s="29" t="s">
        <v>65</v>
      </c>
      <c r="E2092" s="29" t="s">
        <v>2428</v>
      </c>
      <c r="F2092" s="30">
        <v>0.2</v>
      </c>
      <c r="G2092" s="31"/>
      <c r="H2092" s="31"/>
      <c r="I2092" s="31"/>
      <c r="J2092" s="31"/>
    </row>
    <row r="2093" spans="1:10" ht="14.4" x14ac:dyDescent="0.3">
      <c r="A2093" s="28" t="str">
        <f>B2093&amp;C2093&amp;D2093&amp;E2093</f>
        <v>КнигиНехудожественная литератураСаморазвитиеЛичная эффективность</v>
      </c>
      <c r="B2093" s="29" t="s">
        <v>63</v>
      </c>
      <c r="C2093" s="29" t="s">
        <v>141</v>
      </c>
      <c r="D2093" s="29" t="s">
        <v>452</v>
      </c>
      <c r="E2093" s="29" t="s">
        <v>2430</v>
      </c>
      <c r="F2093" s="30">
        <v>0.2</v>
      </c>
      <c r="G2093" s="31"/>
      <c r="H2093" s="31"/>
      <c r="I2093" s="31"/>
      <c r="J2093" s="31"/>
    </row>
    <row r="2094" spans="1:10" ht="14.4" x14ac:dyDescent="0.3">
      <c r="A2094" s="28" t="str">
        <f>B2094&amp;C2094&amp;D2094&amp;E2094</f>
        <v>АвтотоварыАккумуляторы и аксессуарыПровода прикуриванияПровода прикуривания</v>
      </c>
      <c r="B2094" s="29" t="s">
        <v>12</v>
      </c>
      <c r="C2094" s="29" t="s">
        <v>177</v>
      </c>
      <c r="D2094" s="29" t="s">
        <v>2431</v>
      </c>
      <c r="E2094" s="29" t="s">
        <v>2431</v>
      </c>
      <c r="F2094" s="30">
        <v>0.2</v>
      </c>
      <c r="G2094" s="31"/>
      <c r="H2094" s="31"/>
      <c r="I2094" s="31"/>
      <c r="J2094" s="31"/>
    </row>
    <row r="2095" spans="1:10" ht="14.4" x14ac:dyDescent="0.3">
      <c r="A2095" s="28" t="str">
        <f>B2095&amp;C2095&amp;D2095&amp;E2095</f>
        <v>КанцтоварыОфисные принадлежностиКорректоры для текстаКорректоры для текста</v>
      </c>
      <c r="B2095" s="29" t="s">
        <v>163</v>
      </c>
      <c r="C2095" s="29" t="s">
        <v>227</v>
      </c>
      <c r="D2095" s="29" t="s">
        <v>2434</v>
      </c>
      <c r="E2095" s="29" t="s">
        <v>2434</v>
      </c>
      <c r="F2095" s="30">
        <v>0.2</v>
      </c>
      <c r="G2095" s="31"/>
      <c r="H2095" s="31"/>
      <c r="I2095" s="31"/>
      <c r="J2095" s="31"/>
    </row>
    <row r="2096" spans="1:10" ht="14.4" x14ac:dyDescent="0.3">
      <c r="A2096" s="28" t="str">
        <f>B2096&amp;C2096&amp;D2096&amp;E2096</f>
        <v>Товары для домаТовары для кухниСтоловая посудаМасленки, сырницы и лимонницы</v>
      </c>
      <c r="B2096" s="29" t="s">
        <v>59</v>
      </c>
      <c r="C2096" s="29" t="s">
        <v>60</v>
      </c>
      <c r="D2096" s="29" t="s">
        <v>328</v>
      </c>
      <c r="E2096" s="29" t="s">
        <v>2435</v>
      </c>
      <c r="F2096" s="30">
        <v>0.2</v>
      </c>
      <c r="G2096" s="31"/>
      <c r="H2096" s="31"/>
      <c r="I2096" s="31"/>
      <c r="J2096" s="31"/>
    </row>
    <row r="2097" spans="1:10" ht="14.4" x14ac:dyDescent="0.3">
      <c r="A2097" s="28" t="str">
        <f>B2097&amp;C2097&amp;D2097&amp;E2097</f>
        <v>КанцтоварыБумажная продукцияКниги пожеланийКниги пожеланий</v>
      </c>
      <c r="B2097" s="29" t="s">
        <v>163</v>
      </c>
      <c r="C2097" s="29" t="s">
        <v>261</v>
      </c>
      <c r="D2097" s="29" t="s">
        <v>2437</v>
      </c>
      <c r="E2097" s="29" t="s">
        <v>2437</v>
      </c>
      <c r="F2097" s="30">
        <v>0.2</v>
      </c>
      <c r="G2097" s="31"/>
      <c r="H2097" s="31"/>
      <c r="I2097" s="31"/>
      <c r="J2097" s="31"/>
    </row>
    <row r="2098" spans="1:10" ht="14.4" x14ac:dyDescent="0.3">
      <c r="A2098" s="28" t="str">
        <f>B2098&amp;C2098&amp;D2098&amp;E2098</f>
        <v>КнигиНехудожественная литератураИскусство и культураИскусствоведение</v>
      </c>
      <c r="B2098" s="29" t="s">
        <v>63</v>
      </c>
      <c r="C2098" s="29" t="s">
        <v>141</v>
      </c>
      <c r="D2098" s="29" t="s">
        <v>517</v>
      </c>
      <c r="E2098" s="29" t="s">
        <v>2441</v>
      </c>
      <c r="F2098" s="30">
        <v>0.2</v>
      </c>
      <c r="G2098" s="31"/>
      <c r="H2098" s="31"/>
      <c r="I2098" s="31"/>
      <c r="J2098" s="31"/>
    </row>
    <row r="2099" spans="1:10" ht="14.4" x14ac:dyDescent="0.3">
      <c r="A2099" s="28" t="str">
        <f>B2099&amp;C2099&amp;D2099&amp;E2099</f>
        <v>Красота и уходМакияжГлазаТуши для ресниц</v>
      </c>
      <c r="B2099" s="29" t="s">
        <v>56</v>
      </c>
      <c r="C2099" s="29" t="s">
        <v>151</v>
      </c>
      <c r="D2099" s="29" t="s">
        <v>503</v>
      </c>
      <c r="E2099" s="29" t="s">
        <v>2443</v>
      </c>
      <c r="F2099" s="30">
        <v>0.2</v>
      </c>
      <c r="G2099" s="31"/>
      <c r="H2099" s="31"/>
      <c r="I2099" s="31"/>
      <c r="J2099" s="31"/>
    </row>
    <row r="2100" spans="1:10" ht="14.4" x14ac:dyDescent="0.3">
      <c r="A2100" s="28" t="str">
        <f>B2100&amp;C2100&amp;D2100&amp;E2100</f>
        <v>Красота и уходДля мужчинДля бороды и усовОчищающие гели для бороды и усов</v>
      </c>
      <c r="B2100" s="29" t="s">
        <v>56</v>
      </c>
      <c r="C2100" s="29" t="s">
        <v>71</v>
      </c>
      <c r="D2100" s="29" t="s">
        <v>1087</v>
      </c>
      <c r="E2100" s="29" t="s">
        <v>2445</v>
      </c>
      <c r="F2100" s="30">
        <v>0.2</v>
      </c>
      <c r="G2100" s="31"/>
      <c r="H2100" s="31"/>
      <c r="I2100" s="31"/>
      <c r="J2100" s="31"/>
    </row>
    <row r="2101" spans="1:10" ht="14.4" x14ac:dyDescent="0.3">
      <c r="A2101" s="28" t="str">
        <f>B2101&amp;C2101&amp;D2101&amp;E2101</f>
        <v>Красота и уходУход за волосамиОкрашивание и химическая завивкаХна</v>
      </c>
      <c r="B2101" s="29" t="s">
        <v>56</v>
      </c>
      <c r="C2101" s="29" t="s">
        <v>109</v>
      </c>
      <c r="D2101" s="29" t="s">
        <v>362</v>
      </c>
      <c r="E2101" s="29" t="s">
        <v>2449</v>
      </c>
      <c r="F2101" s="30">
        <v>0.2</v>
      </c>
      <c r="G2101" s="31"/>
      <c r="H2101" s="31"/>
      <c r="I2101" s="31"/>
      <c r="J2101" s="31"/>
    </row>
    <row r="2102" spans="1:10" ht="14.4" x14ac:dyDescent="0.3">
      <c r="A2102" s="28" t="str">
        <f>B2102&amp;C2102&amp;D2102&amp;E2102</f>
        <v>Красота и уходМакияжЛицоГлиттеры</v>
      </c>
      <c r="B2102" s="29" t="s">
        <v>56</v>
      </c>
      <c r="C2102" s="29" t="s">
        <v>151</v>
      </c>
      <c r="D2102" s="29" t="s">
        <v>602</v>
      </c>
      <c r="E2102" s="29" t="s">
        <v>2451</v>
      </c>
      <c r="F2102" s="30">
        <v>0.2</v>
      </c>
      <c r="G2102" s="31"/>
      <c r="H2102" s="31"/>
      <c r="I2102" s="31"/>
      <c r="J2102" s="31"/>
    </row>
    <row r="2103" spans="1:10" ht="14.4" x14ac:dyDescent="0.3">
      <c r="A2103" s="28" t="str">
        <f>B2103&amp;C2103&amp;D2103&amp;E2103</f>
        <v>Красота и уходУход за лицомСредства для проблемной кожиМасло косметическое</v>
      </c>
      <c r="B2103" s="29" t="s">
        <v>56</v>
      </c>
      <c r="C2103" s="29" t="s">
        <v>238</v>
      </c>
      <c r="D2103" s="29" t="s">
        <v>1354</v>
      </c>
      <c r="E2103" s="29" t="s">
        <v>2453</v>
      </c>
      <c r="F2103" s="30">
        <v>0.2</v>
      </c>
      <c r="G2103" s="31"/>
      <c r="H2103" s="31"/>
      <c r="I2103" s="31"/>
      <c r="J2103" s="31"/>
    </row>
    <row r="2104" spans="1:10" ht="14.4" x14ac:dyDescent="0.3">
      <c r="A2104" s="28" t="str">
        <f>B2104&amp;C2104&amp;D2104&amp;E2104</f>
        <v>Красота и уходУход за теломУвлажнение и питаниеКремы для тела</v>
      </c>
      <c r="B2104" s="29" t="s">
        <v>56</v>
      </c>
      <c r="C2104" s="29" t="s">
        <v>100</v>
      </c>
      <c r="D2104" s="29" t="s">
        <v>134</v>
      </c>
      <c r="E2104" s="29" t="s">
        <v>1788</v>
      </c>
      <c r="F2104" s="30">
        <v>0.2</v>
      </c>
      <c r="G2104" s="31"/>
      <c r="H2104" s="31"/>
      <c r="I2104" s="31"/>
      <c r="J2104" s="31"/>
    </row>
    <row r="2105" spans="1:10" ht="14.4" x14ac:dyDescent="0.3">
      <c r="A2105" s="28" t="str">
        <f>B2105&amp;C2105&amp;D2105&amp;E2105</f>
        <v>Красота и уходУход за лицомОчищение и умываниеИнструменты косметологические</v>
      </c>
      <c r="B2105" s="29" t="s">
        <v>56</v>
      </c>
      <c r="C2105" s="29" t="s">
        <v>238</v>
      </c>
      <c r="D2105" s="29" t="s">
        <v>728</v>
      </c>
      <c r="E2105" s="29" t="s">
        <v>2454</v>
      </c>
      <c r="F2105" s="30">
        <v>0.2</v>
      </c>
      <c r="G2105" s="31"/>
      <c r="H2105" s="31"/>
      <c r="I2105" s="31"/>
      <c r="J2105" s="31"/>
    </row>
    <row r="2106" spans="1:10" ht="14.4" x14ac:dyDescent="0.3">
      <c r="A2106" s="28" t="str">
        <f>B2106&amp;C2106&amp;D2106&amp;E2106</f>
        <v>КнигиДетям и родителямХудожественная литератураФантастика и фэнтези</v>
      </c>
      <c r="B2106" s="29" t="s">
        <v>63</v>
      </c>
      <c r="C2106" s="29" t="s">
        <v>258</v>
      </c>
      <c r="D2106" s="29" t="s">
        <v>374</v>
      </c>
      <c r="E2106" s="29" t="s">
        <v>2455</v>
      </c>
      <c r="F2106" s="30">
        <v>0.2</v>
      </c>
      <c r="G2106" s="31"/>
      <c r="H2106" s="31"/>
      <c r="I2106" s="31"/>
      <c r="J2106" s="31"/>
    </row>
    <row r="2107" spans="1:10" ht="14.4" x14ac:dyDescent="0.3">
      <c r="A2107" s="28" t="str">
        <f>B2107&amp;C2107&amp;D2107&amp;E2107</f>
        <v>Красота и уходКорейская косметикаУход за лицомСолнцезащитные кремы</v>
      </c>
      <c r="B2107" s="29" t="s">
        <v>56</v>
      </c>
      <c r="C2107" s="29" t="s">
        <v>211</v>
      </c>
      <c r="D2107" s="29" t="s">
        <v>238</v>
      </c>
      <c r="E2107" s="29" t="s">
        <v>2459</v>
      </c>
      <c r="F2107" s="30">
        <v>0.2</v>
      </c>
      <c r="G2107" s="31"/>
      <c r="H2107" s="31"/>
      <c r="I2107" s="31"/>
      <c r="J2107" s="31"/>
    </row>
    <row r="2108" spans="1:10" ht="14.4" x14ac:dyDescent="0.3">
      <c r="A2108" s="28" t="str">
        <f>B2108&amp;C2108&amp;D2108&amp;E2108</f>
        <v>КанцтоварыБумажная продукцияПленка самоклеящаяся, наклейки и этикеткиНаклейка для банковской карты</v>
      </c>
      <c r="B2108" s="29" t="s">
        <v>163</v>
      </c>
      <c r="C2108" s="29" t="s">
        <v>261</v>
      </c>
      <c r="D2108" s="29" t="s">
        <v>1050</v>
      </c>
      <c r="E2108" s="29" t="s">
        <v>2465</v>
      </c>
      <c r="F2108" s="30">
        <v>0.2</v>
      </c>
      <c r="G2108" s="31"/>
      <c r="H2108" s="31"/>
      <c r="I2108" s="31"/>
      <c r="J2108" s="31"/>
    </row>
    <row r="2109" spans="1:10" ht="14.4" x14ac:dyDescent="0.3">
      <c r="A2109" s="28" t="str">
        <f>B2109&amp;C2109&amp;D2109&amp;E2109</f>
        <v>КнигиНехудожественная литератураКрасота, здоровье и спортУход за собой</v>
      </c>
      <c r="B2109" s="29" t="s">
        <v>63</v>
      </c>
      <c r="C2109" s="29" t="s">
        <v>141</v>
      </c>
      <c r="D2109" s="29" t="s">
        <v>888</v>
      </c>
      <c r="E2109" s="29" t="s">
        <v>2467</v>
      </c>
      <c r="F2109" s="30">
        <v>0.2</v>
      </c>
      <c r="G2109" s="31"/>
      <c r="H2109" s="31"/>
      <c r="I2109" s="31"/>
      <c r="J2109" s="31"/>
    </row>
    <row r="2110" spans="1:10" ht="14.4" x14ac:dyDescent="0.3">
      <c r="A2110" s="28" t="str">
        <f>B2110&amp;C2110&amp;D2110&amp;E2110</f>
        <v>КнигиНехудожественная литератураКрасота, здоровье и спортСпорт и фитнес</v>
      </c>
      <c r="B2110" s="29" t="s">
        <v>63</v>
      </c>
      <c r="C2110" s="29" t="s">
        <v>141</v>
      </c>
      <c r="D2110" s="29" t="s">
        <v>888</v>
      </c>
      <c r="E2110" s="29" t="s">
        <v>2468</v>
      </c>
      <c r="F2110" s="30">
        <v>0.2</v>
      </c>
      <c r="G2110" s="31"/>
      <c r="H2110" s="31"/>
      <c r="I2110" s="31"/>
      <c r="J2110" s="31"/>
    </row>
    <row r="2111" spans="1:10" ht="14.4" x14ac:dyDescent="0.3">
      <c r="A2111" s="28" t="str">
        <f>B2111&amp;C2111&amp;D2111&amp;E2111</f>
        <v>КанцтоварыДемонстрационные доскиСтиратели для доскиСтиратели для доски</v>
      </c>
      <c r="B2111" s="29" t="s">
        <v>163</v>
      </c>
      <c r="C2111" s="29" t="s">
        <v>690</v>
      </c>
      <c r="D2111" s="29" t="s">
        <v>2469</v>
      </c>
      <c r="E2111" s="29" t="s">
        <v>2469</v>
      </c>
      <c r="F2111" s="30">
        <v>0.2</v>
      </c>
      <c r="G2111" s="31"/>
      <c r="H2111" s="31"/>
      <c r="I2111" s="31"/>
      <c r="J2111" s="31"/>
    </row>
    <row r="2112" spans="1:10" ht="14.4" x14ac:dyDescent="0.3">
      <c r="A2112" s="28" t="str">
        <f>B2112&amp;C2112&amp;D2112&amp;E2112</f>
        <v>Красота и уходМакияжЛицоХайлайтеры</v>
      </c>
      <c r="B2112" s="29" t="s">
        <v>56</v>
      </c>
      <c r="C2112" s="29" t="s">
        <v>151</v>
      </c>
      <c r="D2112" s="29" t="s">
        <v>602</v>
      </c>
      <c r="E2112" s="29" t="s">
        <v>2473</v>
      </c>
      <c r="F2112" s="30">
        <v>0.2</v>
      </c>
      <c r="G2112" s="31"/>
      <c r="H2112" s="31"/>
      <c r="I2112" s="31"/>
      <c r="J2112" s="31"/>
    </row>
    <row r="2113" spans="1:10" ht="14.4" x14ac:dyDescent="0.3">
      <c r="A2113" s="28" t="str">
        <f>B2113&amp;C2113&amp;D2113&amp;E2113</f>
        <v>КнигиНехудожественная литератураСаморазвитиеМедитация</v>
      </c>
      <c r="B2113" s="29" t="s">
        <v>63</v>
      </c>
      <c r="C2113" s="29" t="s">
        <v>141</v>
      </c>
      <c r="D2113" s="29" t="s">
        <v>452</v>
      </c>
      <c r="E2113" s="29" t="s">
        <v>2475</v>
      </c>
      <c r="F2113" s="30">
        <v>0.2</v>
      </c>
      <c r="G2113" s="31"/>
      <c r="H2113" s="31"/>
      <c r="I2113" s="31"/>
      <c r="J2113" s="31"/>
    </row>
    <row r="2114" spans="1:10" ht="14.4" x14ac:dyDescent="0.3">
      <c r="A2114" s="28" t="str">
        <f>B2114&amp;C2114&amp;D2114&amp;E2114</f>
        <v>Красота и уходЛичная гигиенаМылоМыло-скраб</v>
      </c>
      <c r="B2114" s="29" t="s">
        <v>56</v>
      </c>
      <c r="C2114" s="29" t="s">
        <v>120</v>
      </c>
      <c r="D2114" s="29" t="s">
        <v>1559</v>
      </c>
      <c r="E2114" s="29" t="s">
        <v>2476</v>
      </c>
      <c r="F2114" s="30">
        <v>0.2</v>
      </c>
      <c r="G2114" s="31"/>
      <c r="H2114" s="31"/>
      <c r="I2114" s="31"/>
      <c r="J2114" s="31"/>
    </row>
    <row r="2115" spans="1:10" ht="14.4" x14ac:dyDescent="0.3">
      <c r="A2115" s="28" t="str">
        <f>B2115&amp;C2115&amp;D2115&amp;E2115</f>
        <v>КанцтоварыБумажная продукцияДневникиДневники школьные</v>
      </c>
      <c r="B2115" s="29" t="s">
        <v>163</v>
      </c>
      <c r="C2115" s="29" t="s">
        <v>261</v>
      </c>
      <c r="D2115" s="29" t="s">
        <v>2478</v>
      </c>
      <c r="E2115" s="29" t="s">
        <v>2479</v>
      </c>
      <c r="F2115" s="30">
        <v>0.2</v>
      </c>
      <c r="G2115" s="31"/>
      <c r="H2115" s="31"/>
      <c r="I2115" s="31"/>
      <c r="J2115" s="31"/>
    </row>
    <row r="2116" spans="1:10" ht="14.4" x14ac:dyDescent="0.3">
      <c r="A2116" s="28" t="str">
        <f>B2116&amp;C2116&amp;D2116&amp;E2116</f>
        <v>ЗоотоварыДля кошекМискиМиски</v>
      </c>
      <c r="B2116" s="29" t="s">
        <v>214</v>
      </c>
      <c r="C2116" s="29" t="s">
        <v>283</v>
      </c>
      <c r="D2116" s="29" t="s">
        <v>1036</v>
      </c>
      <c r="E2116" s="29" t="s">
        <v>1036</v>
      </c>
      <c r="F2116" s="30">
        <v>0.2</v>
      </c>
      <c r="G2116" s="31"/>
      <c r="H2116" s="31"/>
      <c r="I2116" s="31"/>
      <c r="J2116" s="31"/>
    </row>
    <row r="2117" spans="1:10" ht="14.4" x14ac:dyDescent="0.3">
      <c r="A2117" s="28" t="str">
        <f>B2117&amp;C2117&amp;D2117&amp;E2117</f>
        <v>Товары для домаМебельШкафы, тумбы, комодыШкафы, тумбы, комоды</v>
      </c>
      <c r="B2117" s="29" t="s">
        <v>59</v>
      </c>
      <c r="C2117" s="29" t="s">
        <v>302</v>
      </c>
      <c r="D2117" s="29" t="s">
        <v>2484</v>
      </c>
      <c r="E2117" s="29" t="s">
        <v>2484</v>
      </c>
      <c r="F2117" s="30">
        <v>0.2</v>
      </c>
      <c r="G2117" s="31"/>
      <c r="H2117" s="31"/>
      <c r="I2117" s="31"/>
      <c r="J2117" s="31"/>
    </row>
    <row r="2118" spans="1:10" ht="14.4" x14ac:dyDescent="0.3">
      <c r="A2118" s="28" t="str">
        <f>B2118&amp;C2118&amp;D2118&amp;E2118</f>
        <v>ОбувьЖенская обувьБотинкиВысокие ботинки</v>
      </c>
      <c r="B2118" s="29" t="s">
        <v>180</v>
      </c>
      <c r="C2118" s="29" t="s">
        <v>181</v>
      </c>
      <c r="D2118" s="29" t="s">
        <v>515</v>
      </c>
      <c r="E2118" s="29" t="s">
        <v>516</v>
      </c>
      <c r="F2118" s="30">
        <v>0.2</v>
      </c>
      <c r="G2118" s="31"/>
      <c r="H2118" s="31"/>
      <c r="I2118" s="31"/>
      <c r="J2118" s="31"/>
    </row>
    <row r="2119" spans="1:10" ht="14.4" x14ac:dyDescent="0.3">
      <c r="A2119" s="28" t="str">
        <f>B2119&amp;C2119&amp;D2119&amp;E2119</f>
        <v>Красота и уходМакияжБровиТуши для бровей</v>
      </c>
      <c r="B2119" s="29" t="s">
        <v>56</v>
      </c>
      <c r="C2119" s="29" t="s">
        <v>151</v>
      </c>
      <c r="D2119" s="29" t="s">
        <v>212</v>
      </c>
      <c r="E2119" s="29" t="s">
        <v>2490</v>
      </c>
      <c r="F2119" s="30">
        <v>0.2</v>
      </c>
      <c r="G2119" s="31"/>
      <c r="H2119" s="31"/>
      <c r="I2119" s="31"/>
      <c r="J2119" s="31"/>
    </row>
    <row r="2120" spans="1:10" ht="14.4" x14ac:dyDescent="0.3">
      <c r="A2120" s="28" t="str">
        <f>B2120&amp;C2120&amp;D2120&amp;E2120</f>
        <v>АвтотоварыЭлектроника для автоДатчики давления шинДатчики давления шин</v>
      </c>
      <c r="B2120" s="29" t="s">
        <v>12</v>
      </c>
      <c r="C2120" s="29" t="s">
        <v>360</v>
      </c>
      <c r="D2120" s="29" t="s">
        <v>2491</v>
      </c>
      <c r="E2120" s="29" t="s">
        <v>2491</v>
      </c>
      <c r="F2120" s="30">
        <v>0.2</v>
      </c>
      <c r="G2120" s="31"/>
      <c r="H2120" s="31"/>
      <c r="I2120" s="31"/>
      <c r="J2120" s="31"/>
    </row>
    <row r="2121" spans="1:10" ht="14.4" x14ac:dyDescent="0.3">
      <c r="A2121" s="28" t="str">
        <f>B2121&amp;C2121&amp;D2121&amp;E2121</f>
        <v>Бытовая техникаКрупная бытовая техникаКулеры для воды и аксессуарыКулеры для воды</v>
      </c>
      <c r="B2121" s="29" t="s">
        <v>160</v>
      </c>
      <c r="C2121" s="29" t="s">
        <v>338</v>
      </c>
      <c r="D2121" s="29" t="s">
        <v>1084</v>
      </c>
      <c r="E2121" s="29" t="s">
        <v>2493</v>
      </c>
      <c r="F2121" s="30">
        <v>0.2</v>
      </c>
      <c r="G2121" s="31"/>
      <c r="H2121" s="31"/>
      <c r="I2121" s="31"/>
      <c r="J2121" s="31"/>
    </row>
    <row r="2122" spans="1:10" ht="14.4" x14ac:dyDescent="0.3">
      <c r="A2122" s="28" t="str">
        <f>B2122&amp;C2122&amp;D2122&amp;E2122</f>
        <v>АвтотоварыШины и дискиКамерыКамеры</v>
      </c>
      <c r="B2122" s="29" t="s">
        <v>12</v>
      </c>
      <c r="C2122" s="29" t="s">
        <v>407</v>
      </c>
      <c r="D2122" s="29" t="s">
        <v>2496</v>
      </c>
      <c r="E2122" s="29" t="s">
        <v>2496</v>
      </c>
      <c r="F2122" s="30">
        <v>0.2</v>
      </c>
      <c r="G2122" s="31"/>
      <c r="H2122" s="31"/>
      <c r="I2122" s="31"/>
      <c r="J2122" s="31"/>
    </row>
    <row r="2123" spans="1:10" ht="14.4" x14ac:dyDescent="0.3">
      <c r="A2123" s="28" t="str">
        <f>B2123&amp;C2123&amp;D2123&amp;E2123</f>
        <v>Красота и уходУход за волосамиПрофессиональные инструменты парикмахераПарикмахерские принадлежности</v>
      </c>
      <c r="B2123" s="29" t="s">
        <v>56</v>
      </c>
      <c r="C2123" s="29" t="s">
        <v>109</v>
      </c>
      <c r="D2123" s="29" t="s">
        <v>1546</v>
      </c>
      <c r="E2123" s="29" t="s">
        <v>2504</v>
      </c>
      <c r="F2123" s="30">
        <v>0.2</v>
      </c>
      <c r="G2123" s="31"/>
      <c r="H2123" s="31"/>
      <c r="I2123" s="31"/>
      <c r="J2123" s="31"/>
    </row>
    <row r="2124" spans="1:10" ht="14.4" x14ac:dyDescent="0.3">
      <c r="A2124" s="28" t="str">
        <f>B2124&amp;C2124&amp;D2124&amp;E2124</f>
        <v>АвтотоварыШины и дискиЦепи и ленты антипробуксовочныеЦепи и ленты антипробуксовочные</v>
      </c>
      <c r="B2124" s="29" t="s">
        <v>12</v>
      </c>
      <c r="C2124" s="29" t="s">
        <v>407</v>
      </c>
      <c r="D2124" s="29" t="s">
        <v>2507</v>
      </c>
      <c r="E2124" s="29" t="s">
        <v>2507</v>
      </c>
      <c r="F2124" s="30">
        <v>0.2</v>
      </c>
      <c r="G2124" s="31"/>
      <c r="H2124" s="31"/>
      <c r="I2124" s="31"/>
      <c r="J2124" s="31"/>
    </row>
    <row r="2125" spans="1:10" ht="14.4" x14ac:dyDescent="0.3">
      <c r="A2125" s="28" t="str">
        <f>B2125&amp;C2125&amp;D2125&amp;E2125</f>
        <v>КанцтоварыБумажная продукцияБланки, визитки и сертификатыБланк подарочного сертификата</v>
      </c>
      <c r="B2125" s="29" t="s">
        <v>163</v>
      </c>
      <c r="C2125" s="29" t="s">
        <v>261</v>
      </c>
      <c r="D2125" s="29" t="s">
        <v>2117</v>
      </c>
      <c r="E2125" s="29" t="s">
        <v>2511</v>
      </c>
      <c r="F2125" s="30">
        <v>0.2</v>
      </c>
      <c r="G2125" s="31"/>
      <c r="H2125" s="31"/>
      <c r="I2125" s="31"/>
      <c r="J2125" s="31"/>
    </row>
    <row r="2126" spans="1:10" ht="14.4" x14ac:dyDescent="0.3">
      <c r="A2126" s="28" t="str">
        <f>B2126&amp;C2126&amp;D2126&amp;E2126</f>
        <v>АвтотоварыАккумуляторы и аксессуарыЗарядные устройства для аккумуляторовЗарядные устройства для аккумуляторов</v>
      </c>
      <c r="B2126" s="29" t="s">
        <v>12</v>
      </c>
      <c r="C2126" s="29" t="s">
        <v>177</v>
      </c>
      <c r="D2126" s="29" t="s">
        <v>2057</v>
      </c>
      <c r="E2126" s="29" t="s">
        <v>2057</v>
      </c>
      <c r="F2126" s="30">
        <v>0.2</v>
      </c>
      <c r="G2126" s="31"/>
      <c r="H2126" s="31"/>
      <c r="I2126" s="31"/>
      <c r="J2126" s="31"/>
    </row>
    <row r="2127" spans="1:10" ht="14.4" x14ac:dyDescent="0.3">
      <c r="A2127" s="28" t="str">
        <f>B2127&amp;C2127&amp;D2127&amp;E2127</f>
        <v>Товары для домаХозяйственные товарыБезмены и весыБезмены и весы</v>
      </c>
      <c r="B2127" s="29" t="s">
        <v>59</v>
      </c>
      <c r="C2127" s="29" t="s">
        <v>193</v>
      </c>
      <c r="D2127" s="29" t="s">
        <v>2519</v>
      </c>
      <c r="E2127" s="29" t="s">
        <v>2519</v>
      </c>
      <c r="F2127" s="30">
        <v>0.2</v>
      </c>
      <c r="G2127" s="31"/>
      <c r="H2127" s="31"/>
      <c r="I2127" s="31"/>
      <c r="J2127" s="31"/>
    </row>
    <row r="2128" spans="1:10" ht="14.4" x14ac:dyDescent="0.3">
      <c r="A2128" s="28" t="str">
        <f>B2128&amp;C2128&amp;D2128&amp;E2128</f>
        <v>КнигиНехудожественная литератураПсихологияВоспитание детей</v>
      </c>
      <c r="B2128" s="29" t="s">
        <v>63</v>
      </c>
      <c r="C2128" s="29" t="s">
        <v>141</v>
      </c>
      <c r="D2128" s="29" t="s">
        <v>1304</v>
      </c>
      <c r="E2128" s="29" t="s">
        <v>2521</v>
      </c>
      <c r="F2128" s="30">
        <v>0.2</v>
      </c>
      <c r="G2128" s="31"/>
      <c r="H2128" s="31"/>
      <c r="I2128" s="31"/>
      <c r="J2128" s="31"/>
    </row>
    <row r="2129" spans="1:10" ht="14.4" x14ac:dyDescent="0.3">
      <c r="A2129" s="28" t="str">
        <f>B2129&amp;C2129&amp;D2129&amp;E2129</f>
        <v>АвтотоварыЭлектроника для автоБортовые компьютерыБортовые компьютеры</v>
      </c>
      <c r="B2129" s="29" t="s">
        <v>12</v>
      </c>
      <c r="C2129" s="29" t="s">
        <v>360</v>
      </c>
      <c r="D2129" s="29" t="s">
        <v>2531</v>
      </c>
      <c r="E2129" s="29" t="s">
        <v>2531</v>
      </c>
      <c r="F2129" s="30">
        <v>0.2</v>
      </c>
      <c r="G2129" s="31"/>
      <c r="H2129" s="31"/>
      <c r="I2129" s="31"/>
      <c r="J2129" s="31"/>
    </row>
    <row r="2130" spans="1:10" ht="14.4" x14ac:dyDescent="0.3">
      <c r="A2130" s="28" t="str">
        <f>B2130&amp;C2130&amp;D2130&amp;E2130</f>
        <v>ЭлектроникаФото и видеотехникаОборудование для фотографовКартриджи и фотопленка</v>
      </c>
      <c r="B2130" s="29" t="s">
        <v>67</v>
      </c>
      <c r="C2130" s="29" t="s">
        <v>174</v>
      </c>
      <c r="D2130" s="29" t="s">
        <v>575</v>
      </c>
      <c r="E2130" s="29" t="s">
        <v>2537</v>
      </c>
      <c r="F2130" s="30">
        <v>0.2</v>
      </c>
      <c r="G2130" s="31"/>
      <c r="H2130" s="31"/>
      <c r="I2130" s="31"/>
      <c r="J2130" s="31"/>
    </row>
    <row r="2131" spans="1:10" ht="14.4" x14ac:dyDescent="0.3">
      <c r="A2131" s="28" t="str">
        <f>B2131&amp;C2131&amp;D2131&amp;E2131</f>
        <v>Детские товарыИгрушки и игрыИгрушечный транспортИгрушечный транспорт</v>
      </c>
      <c r="B2131" s="29" t="s">
        <v>105</v>
      </c>
      <c r="C2131" s="29" t="s">
        <v>184</v>
      </c>
      <c r="D2131" s="29" t="s">
        <v>2542</v>
      </c>
      <c r="E2131" s="29" t="s">
        <v>2542</v>
      </c>
      <c r="F2131" s="30">
        <v>0.2</v>
      </c>
      <c r="G2131" s="31"/>
      <c r="H2131" s="31"/>
      <c r="I2131" s="31"/>
      <c r="J2131" s="31"/>
    </row>
    <row r="2132" spans="1:10" ht="14.4" x14ac:dyDescent="0.3">
      <c r="A2132" s="28" t="str">
        <f>B2132&amp;C2132&amp;D2132&amp;E2132</f>
        <v>Детские товарыГигиена и подгузникиГигиена полости ртаДетские прорезыватели</v>
      </c>
      <c r="B2132" s="29" t="s">
        <v>105</v>
      </c>
      <c r="C2132" s="29" t="s">
        <v>106</v>
      </c>
      <c r="D2132" s="29" t="s">
        <v>121</v>
      </c>
      <c r="E2132" s="29" t="s">
        <v>2544</v>
      </c>
      <c r="F2132" s="30">
        <v>0.2</v>
      </c>
      <c r="G2132" s="31"/>
      <c r="H2132" s="31"/>
      <c r="I2132" s="31"/>
      <c r="J2132" s="31"/>
    </row>
    <row r="2133" spans="1:10" ht="14.4" x14ac:dyDescent="0.3">
      <c r="A2133" s="28" t="str">
        <f>B2133&amp;C2133&amp;D2133&amp;E2133</f>
        <v>КнигиУчебная литература10 класс10 класс</v>
      </c>
      <c r="B2133" s="29" t="s">
        <v>63</v>
      </c>
      <c r="C2133" s="29" t="s">
        <v>210</v>
      </c>
      <c r="D2133" s="29" t="s">
        <v>2550</v>
      </c>
      <c r="E2133" s="29" t="s">
        <v>2550</v>
      </c>
      <c r="F2133" s="30">
        <v>0.2</v>
      </c>
      <c r="G2133" s="31"/>
      <c r="H2133" s="31"/>
      <c r="I2133" s="31"/>
      <c r="J2133" s="31"/>
    </row>
    <row r="2134" spans="1:10" ht="14.4" x14ac:dyDescent="0.3">
      <c r="A2134" s="28" t="str">
        <f>B2134&amp;C2134&amp;D2134&amp;E2134</f>
        <v>Детские товарыГигиена и подгузникиКупание ребенкаВанночки и горки</v>
      </c>
      <c r="B2134" s="29" t="s">
        <v>105</v>
      </c>
      <c r="C2134" s="29" t="s">
        <v>106</v>
      </c>
      <c r="D2134" s="29" t="s">
        <v>705</v>
      </c>
      <c r="E2134" s="29" t="s">
        <v>2556</v>
      </c>
      <c r="F2134" s="30">
        <v>0.2</v>
      </c>
      <c r="G2134" s="31"/>
      <c r="H2134" s="31"/>
      <c r="I2134" s="31"/>
      <c r="J2134" s="31"/>
    </row>
    <row r="2135" spans="1:10" ht="14.4" x14ac:dyDescent="0.3">
      <c r="A2135" s="28" t="str">
        <f>B2135&amp;C2135&amp;D2135&amp;E2135</f>
        <v>КнигиНехудожественная литератураМедицинаСпециальная медицина</v>
      </c>
      <c r="B2135" s="29" t="s">
        <v>63</v>
      </c>
      <c r="C2135" s="29" t="s">
        <v>141</v>
      </c>
      <c r="D2135" s="29" t="s">
        <v>1183</v>
      </c>
      <c r="E2135" s="29" t="s">
        <v>2559</v>
      </c>
      <c r="F2135" s="30">
        <v>0.2</v>
      </c>
      <c r="G2135" s="31"/>
      <c r="H2135" s="31"/>
      <c r="I2135" s="31"/>
      <c r="J2135" s="31"/>
    </row>
    <row r="2136" spans="1:10" ht="14.4" x14ac:dyDescent="0.3">
      <c r="A2136" s="28" t="str">
        <f>B2136&amp;C2136&amp;D2136&amp;E2136</f>
        <v>Детские товарыГигиена и подгузникиДетская косметикаДетские присыпки</v>
      </c>
      <c r="B2136" s="29" t="s">
        <v>105</v>
      </c>
      <c r="C2136" s="29" t="s">
        <v>106</v>
      </c>
      <c r="D2136" s="29" t="s">
        <v>586</v>
      </c>
      <c r="E2136" s="29" t="s">
        <v>2560</v>
      </c>
      <c r="F2136" s="30">
        <v>0.2</v>
      </c>
      <c r="G2136" s="31"/>
      <c r="H2136" s="31"/>
      <c r="I2136" s="31"/>
      <c r="J2136" s="31"/>
    </row>
    <row r="2137" spans="1:10" ht="14.4" x14ac:dyDescent="0.3">
      <c r="A2137" s="28" t="str">
        <f>B2137&amp;C2137&amp;D2137&amp;E2137</f>
        <v>КнигиНехудожественная литератураПублицистикаМемуары. Автобиографии</v>
      </c>
      <c r="B2137" s="29" t="s">
        <v>63</v>
      </c>
      <c r="C2137" s="29" t="s">
        <v>141</v>
      </c>
      <c r="D2137" s="29" t="s">
        <v>251</v>
      </c>
      <c r="E2137" s="29" t="s">
        <v>2561</v>
      </c>
      <c r="F2137" s="30">
        <v>0.2</v>
      </c>
      <c r="G2137" s="31"/>
      <c r="H2137" s="31"/>
      <c r="I2137" s="31"/>
      <c r="J2137" s="31"/>
    </row>
    <row r="2138" spans="1:10" ht="14.4" x14ac:dyDescent="0.3">
      <c r="A2138" s="28" t="str">
        <f>B2138&amp;C2138&amp;D2138&amp;E2138</f>
        <v>ЭлектроникаКомпьютерная техникаКомплектующие для компьютерной техникиБлоки питания</v>
      </c>
      <c r="B2138" s="29" t="s">
        <v>67</v>
      </c>
      <c r="C2138" s="29" t="s">
        <v>234</v>
      </c>
      <c r="D2138" s="29" t="s">
        <v>898</v>
      </c>
      <c r="E2138" s="29" t="s">
        <v>2564</v>
      </c>
      <c r="F2138" s="30">
        <v>0.2</v>
      </c>
      <c r="G2138" s="31"/>
      <c r="H2138" s="31"/>
      <c r="I2138" s="31"/>
      <c r="J2138" s="31"/>
    </row>
    <row r="2139" spans="1:10" ht="14.4" x14ac:dyDescent="0.3">
      <c r="A2139" s="28" t="str">
        <f>B2139&amp;C2139&amp;D2139&amp;E2139</f>
        <v>ОбувьМужская обувьМокасины и топсайдерыТопсайдеры</v>
      </c>
      <c r="B2139" s="29" t="s">
        <v>180</v>
      </c>
      <c r="C2139" s="29" t="s">
        <v>279</v>
      </c>
      <c r="D2139" s="29" t="s">
        <v>1302</v>
      </c>
      <c r="E2139" s="29" t="s">
        <v>1946</v>
      </c>
      <c r="F2139" s="30">
        <v>0.2</v>
      </c>
      <c r="G2139" s="31"/>
      <c r="H2139" s="31"/>
      <c r="I2139" s="31"/>
      <c r="J2139" s="31"/>
    </row>
    <row r="2140" spans="1:10" ht="14.4" x14ac:dyDescent="0.3">
      <c r="A2140" s="28" t="str">
        <f>B2140&amp;C2140&amp;D2140&amp;E2140</f>
        <v>Бытовая химияСредства для стиркиСтиральные порошкиСтиральные порошки</v>
      </c>
      <c r="B2140" s="29" t="s">
        <v>146</v>
      </c>
      <c r="C2140" s="29" t="s">
        <v>797</v>
      </c>
      <c r="D2140" s="29" t="s">
        <v>2565</v>
      </c>
      <c r="E2140" s="29" t="s">
        <v>2565</v>
      </c>
      <c r="F2140" s="30">
        <v>0.2</v>
      </c>
      <c r="G2140" s="31"/>
      <c r="H2140" s="31"/>
      <c r="I2140" s="31"/>
      <c r="J2140" s="31"/>
    </row>
    <row r="2141" spans="1:10" ht="14.4" x14ac:dyDescent="0.3">
      <c r="A2141" s="28" t="str">
        <f>B2141&amp;C2141&amp;D2141&amp;E2141</f>
        <v>Бытовая химияЧистящие и моющие средстваУниверсальные чистящие средстваУниверсальные чистящие средства</v>
      </c>
      <c r="B2141" s="29" t="s">
        <v>146</v>
      </c>
      <c r="C2141" s="29" t="s">
        <v>567</v>
      </c>
      <c r="D2141" s="29" t="s">
        <v>2566</v>
      </c>
      <c r="E2141" s="29" t="s">
        <v>2566</v>
      </c>
      <c r="F2141" s="30">
        <v>0.2</v>
      </c>
      <c r="G2141" s="31"/>
      <c r="H2141" s="31"/>
      <c r="I2141" s="31"/>
      <c r="J2141" s="31"/>
    </row>
    <row r="2142" spans="1:10" ht="14.4" x14ac:dyDescent="0.3">
      <c r="A2142" s="28" t="str">
        <f>B2142&amp;C2142&amp;D2142&amp;E2142</f>
        <v>КанцтоварыПисьменные принадлежностиРучкиРучки</v>
      </c>
      <c r="B2142" s="29" t="s">
        <v>163</v>
      </c>
      <c r="C2142" s="29" t="s">
        <v>684</v>
      </c>
      <c r="D2142" s="29" t="s">
        <v>2570</v>
      </c>
      <c r="E2142" s="29" t="s">
        <v>2570</v>
      </c>
      <c r="F2142" s="30">
        <v>0.2</v>
      </c>
      <c r="G2142" s="31"/>
      <c r="H2142" s="31"/>
      <c r="I2142" s="31"/>
      <c r="J2142" s="31"/>
    </row>
    <row r="2143" spans="1:10" ht="14.4" x14ac:dyDescent="0.3">
      <c r="A2143" s="28" t="str">
        <f>B2143&amp;C2143&amp;D2143&amp;E2143</f>
        <v>Красота и уходКорейская косметикаУход за теломТальк для тела</v>
      </c>
      <c r="B2143" s="29" t="s">
        <v>56</v>
      </c>
      <c r="C2143" s="29" t="s">
        <v>211</v>
      </c>
      <c r="D2143" s="29" t="s">
        <v>100</v>
      </c>
      <c r="E2143" s="29" t="s">
        <v>2579</v>
      </c>
      <c r="F2143" s="30">
        <v>0.2</v>
      </c>
      <c r="G2143" s="31"/>
      <c r="H2143" s="31"/>
      <c r="I2143" s="31"/>
      <c r="J2143" s="31"/>
    </row>
    <row r="2144" spans="1:10" ht="14.4" x14ac:dyDescent="0.3">
      <c r="A2144" s="28" t="str">
        <f>B2144&amp;C2144&amp;D2144&amp;E2144</f>
        <v>ОбувьМужская обувьСпециализированная обувьСпециализированная обувь</v>
      </c>
      <c r="B2144" s="29" t="s">
        <v>180</v>
      </c>
      <c r="C2144" s="29" t="s">
        <v>279</v>
      </c>
      <c r="D2144" s="29" t="s">
        <v>2584</v>
      </c>
      <c r="E2144" s="29" t="s">
        <v>2584</v>
      </c>
      <c r="F2144" s="30">
        <v>0.2</v>
      </c>
      <c r="G2144" s="31"/>
      <c r="H2144" s="31"/>
      <c r="I2144" s="31"/>
      <c r="J2144" s="31"/>
    </row>
    <row r="2145" spans="1:10" ht="14.4" x14ac:dyDescent="0.3">
      <c r="A2145" s="28" t="str">
        <f>B2145&amp;C2145&amp;D2145&amp;E2145</f>
        <v>Детские товарыДетский спорт и активный отдыхИгры на улицеСпортивные игры</v>
      </c>
      <c r="B2145" s="29" t="s">
        <v>105</v>
      </c>
      <c r="C2145" s="29" t="s">
        <v>427</v>
      </c>
      <c r="D2145" s="29" t="s">
        <v>1343</v>
      </c>
      <c r="E2145" s="29" t="s">
        <v>2585</v>
      </c>
      <c r="F2145" s="30">
        <v>0.2</v>
      </c>
      <c r="G2145" s="31"/>
      <c r="H2145" s="31"/>
      <c r="I2145" s="31"/>
      <c r="J2145" s="31"/>
    </row>
    <row r="2146" spans="1:10" ht="14.4" x14ac:dyDescent="0.3">
      <c r="A2146" s="28" t="str">
        <f>B2146&amp;C2146&amp;D2146&amp;E2146</f>
        <v>Красота и уходУход за теломСредства против целлюлита и растяжекСредство от растяжек</v>
      </c>
      <c r="B2146" s="29" t="s">
        <v>56</v>
      </c>
      <c r="C2146" s="29" t="s">
        <v>100</v>
      </c>
      <c r="D2146" s="29" t="s">
        <v>1530</v>
      </c>
      <c r="E2146" s="29" t="s">
        <v>2586</v>
      </c>
      <c r="F2146" s="30">
        <v>0.2</v>
      </c>
      <c r="G2146" s="31"/>
      <c r="H2146" s="31"/>
      <c r="I2146" s="31"/>
      <c r="J2146" s="31"/>
    </row>
    <row r="2147" spans="1:10" ht="14.4" x14ac:dyDescent="0.3">
      <c r="A2147" s="28" t="str">
        <f>B2147&amp;C2147&amp;D2147&amp;E2147</f>
        <v>Красота и уходУход за лицомСредства для проблемной кожиЛосьоны</v>
      </c>
      <c r="B2147" s="29" t="s">
        <v>56</v>
      </c>
      <c r="C2147" s="29" t="s">
        <v>238</v>
      </c>
      <c r="D2147" s="29" t="s">
        <v>1354</v>
      </c>
      <c r="E2147" s="29" t="s">
        <v>1853</v>
      </c>
      <c r="F2147" s="30">
        <v>0.2</v>
      </c>
      <c r="G2147" s="31"/>
      <c r="H2147" s="31"/>
      <c r="I2147" s="31"/>
      <c r="J2147" s="31"/>
    </row>
    <row r="2148" spans="1:10" ht="14.4" x14ac:dyDescent="0.3">
      <c r="A2148" s="28" t="str">
        <f>B2148&amp;C2148&amp;D2148&amp;E2148</f>
        <v>Красота и уходЛичная гигиенаГигиена полости ртаЗубные порошки</v>
      </c>
      <c r="B2148" s="29" t="s">
        <v>56</v>
      </c>
      <c r="C2148" s="29" t="s">
        <v>120</v>
      </c>
      <c r="D2148" s="29" t="s">
        <v>121</v>
      </c>
      <c r="E2148" s="29" t="s">
        <v>2593</v>
      </c>
      <c r="F2148" s="30">
        <v>0.2</v>
      </c>
      <c r="G2148" s="31"/>
      <c r="H2148" s="31"/>
      <c r="I2148" s="31"/>
      <c r="J2148" s="31"/>
    </row>
    <row r="2149" spans="1:10" ht="14.4" x14ac:dyDescent="0.3">
      <c r="A2149" s="28" t="str">
        <f>B2149&amp;C2149&amp;D2149&amp;E2149</f>
        <v>Спорт и отдыхБассейны и аксессуарыФильтры, насосы и хлоргенераторыФильтры, насосы и хлоргенераторы</v>
      </c>
      <c r="B2149" s="29" t="s">
        <v>101</v>
      </c>
      <c r="C2149" s="29" t="s">
        <v>102</v>
      </c>
      <c r="D2149" s="29" t="s">
        <v>2595</v>
      </c>
      <c r="E2149" s="29" t="s">
        <v>2595</v>
      </c>
      <c r="F2149" s="30">
        <v>0.2</v>
      </c>
      <c r="G2149" s="31"/>
      <c r="H2149" s="31"/>
      <c r="I2149" s="31"/>
      <c r="J2149" s="31"/>
    </row>
    <row r="2150" spans="1:10" ht="14.4" x14ac:dyDescent="0.3">
      <c r="A2150" s="28" t="str">
        <f>B2150&amp;C2150&amp;D2150&amp;E2150</f>
        <v>Детские товарыДетский спорт и активный отдыхХодунки и прыгункиХодунки и прыгунки</v>
      </c>
      <c r="B2150" s="29" t="s">
        <v>105</v>
      </c>
      <c r="C2150" s="29" t="s">
        <v>427</v>
      </c>
      <c r="D2150" s="29" t="s">
        <v>2598</v>
      </c>
      <c r="E2150" s="29" t="s">
        <v>2598</v>
      </c>
      <c r="F2150" s="30">
        <v>0.2</v>
      </c>
      <c r="G2150" s="31"/>
      <c r="H2150" s="31"/>
      <c r="I2150" s="31"/>
      <c r="J2150" s="31"/>
    </row>
    <row r="2151" spans="1:10" ht="14.4" x14ac:dyDescent="0.3">
      <c r="A2151" s="28" t="str">
        <f>B2151&amp;C2151&amp;D2151&amp;E2151</f>
        <v>КнигиХудожественная литератураФантастикаФантастика</v>
      </c>
      <c r="B2151" s="29" t="s">
        <v>63</v>
      </c>
      <c r="C2151" s="29" t="s">
        <v>374</v>
      </c>
      <c r="D2151" s="29" t="s">
        <v>2599</v>
      </c>
      <c r="E2151" s="29" t="s">
        <v>2599</v>
      </c>
      <c r="F2151" s="30">
        <v>0.2</v>
      </c>
      <c r="G2151" s="31"/>
      <c r="H2151" s="31"/>
      <c r="I2151" s="31"/>
      <c r="J2151" s="31"/>
    </row>
    <row r="2152" spans="1:10" ht="14.4" x14ac:dyDescent="0.3">
      <c r="A2152" s="28" t="str">
        <f>B2152&amp;C2152&amp;D2152&amp;E2152</f>
        <v>Красота и уходКорейская косметикаУход за лицомТоники</v>
      </c>
      <c r="B2152" s="29" t="s">
        <v>56</v>
      </c>
      <c r="C2152" s="29" t="s">
        <v>211</v>
      </c>
      <c r="D2152" s="29" t="s">
        <v>238</v>
      </c>
      <c r="E2152" s="29" t="s">
        <v>1660</v>
      </c>
      <c r="F2152" s="30">
        <v>0.2</v>
      </c>
      <c r="G2152" s="31"/>
      <c r="H2152" s="31"/>
      <c r="I2152" s="31"/>
      <c r="J2152" s="31"/>
    </row>
    <row r="2153" spans="1:10" ht="14.4" x14ac:dyDescent="0.3">
      <c r="A2153" s="28" t="str">
        <f>B2153&amp;C2153&amp;D2153&amp;E2153</f>
        <v>КнигиЛитература на иностранных языкахДругие языкиДругие языки</v>
      </c>
      <c r="B2153" s="29" t="s">
        <v>63</v>
      </c>
      <c r="C2153" s="29" t="s">
        <v>1188</v>
      </c>
      <c r="D2153" s="29" t="s">
        <v>2604</v>
      </c>
      <c r="E2153" s="29" t="s">
        <v>2604</v>
      </c>
      <c r="F2153" s="30">
        <v>0.2</v>
      </c>
      <c r="G2153" s="31"/>
      <c r="H2153" s="31"/>
      <c r="I2153" s="31"/>
      <c r="J2153" s="31"/>
    </row>
    <row r="2154" spans="1:10" ht="14.4" x14ac:dyDescent="0.3">
      <c r="A2154" s="28" t="str">
        <f>B2154&amp;C2154&amp;D2154&amp;E2154</f>
        <v>ЗоотоварыДля собакТовары для дрессировки собак и аммуницияДрессировка собак</v>
      </c>
      <c r="B2154" s="29" t="s">
        <v>214</v>
      </c>
      <c r="C2154" s="29" t="s">
        <v>509</v>
      </c>
      <c r="D2154" s="29" t="s">
        <v>1763</v>
      </c>
      <c r="E2154" s="29" t="s">
        <v>2605</v>
      </c>
      <c r="F2154" s="30">
        <v>0.2</v>
      </c>
      <c r="G2154" s="31"/>
      <c r="H2154" s="31"/>
      <c r="I2154" s="31"/>
      <c r="J2154" s="31"/>
    </row>
    <row r="2155" spans="1:10" ht="14.4" x14ac:dyDescent="0.3">
      <c r="A2155" s="28" t="str">
        <f>B2155&amp;C2155&amp;D2155&amp;E2155</f>
        <v>АксессуарыАксессуары для путешествийТовары для снаМаски для сна</v>
      </c>
      <c r="B2155" s="29" t="s">
        <v>88</v>
      </c>
      <c r="C2155" s="29" t="s">
        <v>573</v>
      </c>
      <c r="D2155" s="29" t="s">
        <v>581</v>
      </c>
      <c r="E2155" s="29" t="s">
        <v>2608</v>
      </c>
      <c r="F2155" s="30">
        <v>0.2</v>
      </c>
      <c r="G2155" s="31"/>
      <c r="H2155" s="31"/>
      <c r="I2155" s="31"/>
      <c r="J2155" s="31"/>
    </row>
    <row r="2156" spans="1:10" ht="14.4" x14ac:dyDescent="0.3">
      <c r="A2156" s="28" t="str">
        <f>B2156&amp;C2156&amp;D2156&amp;E2156</f>
        <v>КнигиХудожественная литератураПрозаСентиментальная проза</v>
      </c>
      <c r="B2156" s="29" t="s">
        <v>63</v>
      </c>
      <c r="C2156" s="29" t="s">
        <v>374</v>
      </c>
      <c r="D2156" s="29" t="s">
        <v>624</v>
      </c>
      <c r="E2156" s="29" t="s">
        <v>2609</v>
      </c>
      <c r="F2156" s="30">
        <v>0.2</v>
      </c>
      <c r="G2156" s="31"/>
      <c r="H2156" s="31"/>
      <c r="I2156" s="31"/>
      <c r="J2156" s="31"/>
    </row>
    <row r="2157" spans="1:10" ht="14.4" x14ac:dyDescent="0.3">
      <c r="A2157" s="28" t="str">
        <f>B2157&amp;C2157&amp;D2157&amp;E2157</f>
        <v>Красота и уходЛичная гигиенаМылоМыло туалетное</v>
      </c>
      <c r="B2157" s="29" t="s">
        <v>56</v>
      </c>
      <c r="C2157" s="29" t="s">
        <v>120</v>
      </c>
      <c r="D2157" s="29" t="s">
        <v>1559</v>
      </c>
      <c r="E2157" s="29" t="s">
        <v>2616</v>
      </c>
      <c r="F2157" s="30">
        <v>0.2</v>
      </c>
      <c r="G2157" s="31"/>
      <c r="H2157" s="31"/>
      <c r="I2157" s="31"/>
      <c r="J2157" s="31"/>
    </row>
    <row r="2158" spans="1:10" ht="14.4" x14ac:dyDescent="0.3">
      <c r="A2158" s="28" t="str">
        <f>B2158&amp;C2158&amp;D2158&amp;E2158</f>
        <v>Красота и уходУход за теломЗагар и защита от солнцаСолнцезащитные средства</v>
      </c>
      <c r="B2158" s="29" t="s">
        <v>56</v>
      </c>
      <c r="C2158" s="29" t="s">
        <v>100</v>
      </c>
      <c r="D2158" s="29" t="s">
        <v>2214</v>
      </c>
      <c r="E2158" s="29" t="s">
        <v>2618</v>
      </c>
      <c r="F2158" s="30">
        <v>0.2</v>
      </c>
      <c r="G2158" s="31"/>
      <c r="H2158" s="31"/>
      <c r="I2158" s="31"/>
      <c r="J2158" s="31"/>
    </row>
    <row r="2159" spans="1:10" ht="14.4" x14ac:dyDescent="0.3">
      <c r="A2159" s="28" t="str">
        <f>B2159&amp;C2159&amp;D2159&amp;E2159</f>
        <v>Красота и уходДля мужчинУход за лицомСкрабы и пилинги</v>
      </c>
      <c r="B2159" s="29" t="s">
        <v>56</v>
      </c>
      <c r="C2159" s="29" t="s">
        <v>71</v>
      </c>
      <c r="D2159" s="29" t="s">
        <v>238</v>
      </c>
      <c r="E2159" s="29" t="s">
        <v>2060</v>
      </c>
      <c r="F2159" s="30">
        <v>0.2</v>
      </c>
      <c r="G2159" s="31"/>
      <c r="H2159" s="31"/>
      <c r="I2159" s="31"/>
      <c r="J2159" s="31"/>
    </row>
    <row r="2160" spans="1:10" ht="14.4" x14ac:dyDescent="0.3">
      <c r="A2160" s="28" t="str">
        <f>B2160&amp;C2160&amp;D2160&amp;E2160</f>
        <v>ЭлектроникаКомпьютерная техникаАксессуары для компьютеровПодставки для компьютеров</v>
      </c>
      <c r="B2160" s="29" t="s">
        <v>67</v>
      </c>
      <c r="C2160" s="29" t="s">
        <v>234</v>
      </c>
      <c r="D2160" s="29" t="s">
        <v>235</v>
      </c>
      <c r="E2160" s="29" t="s">
        <v>2620</v>
      </c>
      <c r="F2160" s="30">
        <v>0.2</v>
      </c>
      <c r="G2160" s="31"/>
      <c r="H2160" s="31"/>
      <c r="I2160" s="31"/>
      <c r="J2160" s="31"/>
    </row>
    <row r="2161" spans="1:10" ht="14.4" x14ac:dyDescent="0.3">
      <c r="A2161" s="28" t="str">
        <f>B2161&amp;C2161&amp;D2161&amp;E2161</f>
        <v>Спорт и отдыхСвободные весаТурники и брусьяТурники и брусья</v>
      </c>
      <c r="B2161" s="29" t="s">
        <v>101</v>
      </c>
      <c r="C2161" s="29" t="s">
        <v>734</v>
      </c>
      <c r="D2161" s="29" t="s">
        <v>2621</v>
      </c>
      <c r="E2161" s="29" t="s">
        <v>2621</v>
      </c>
      <c r="F2161" s="30">
        <v>0.2</v>
      </c>
      <c r="G2161" s="31"/>
      <c r="H2161" s="31"/>
      <c r="I2161" s="31"/>
      <c r="J2161" s="31"/>
    </row>
    <row r="2162" spans="1:10" ht="14.4" x14ac:dyDescent="0.3">
      <c r="A2162" s="28" t="str">
        <f>B2162&amp;C2162&amp;D2162&amp;E2162</f>
        <v>КанцтоварыДемонстрационные доскиМагниты для досокМагниты для досок</v>
      </c>
      <c r="B2162" s="29" t="s">
        <v>163</v>
      </c>
      <c r="C2162" s="29" t="s">
        <v>690</v>
      </c>
      <c r="D2162" s="29" t="s">
        <v>2623</v>
      </c>
      <c r="E2162" s="29" t="s">
        <v>2623</v>
      </c>
      <c r="F2162" s="30">
        <v>0.2</v>
      </c>
      <c r="G2162" s="31"/>
      <c r="H2162" s="31"/>
      <c r="I2162" s="31"/>
      <c r="J2162" s="31"/>
    </row>
    <row r="2163" spans="1:10" ht="14.4" x14ac:dyDescent="0.3">
      <c r="A2163" s="28" t="str">
        <f>B2163&amp;C2163&amp;D2163&amp;E2163</f>
        <v>АвтотоварыЭлектроника для автоАвтомобильная громкая связьАвтомобильная громкая связь</v>
      </c>
      <c r="B2163" s="29" t="s">
        <v>12</v>
      </c>
      <c r="C2163" s="29" t="s">
        <v>360</v>
      </c>
      <c r="D2163" s="29" t="s">
        <v>2626</v>
      </c>
      <c r="E2163" s="29" t="s">
        <v>2626</v>
      </c>
      <c r="F2163" s="30">
        <v>0.2</v>
      </c>
      <c r="G2163" s="31"/>
      <c r="H2163" s="31"/>
      <c r="I2163" s="31"/>
      <c r="J2163" s="31"/>
    </row>
    <row r="2164" spans="1:10" ht="14.4" x14ac:dyDescent="0.3">
      <c r="A2164" s="28" t="str">
        <f>B2164&amp;C2164&amp;D2164&amp;E2164</f>
        <v>ЭлектроникаУмный дом и безопасностьВидеонаблюдениеРегистраторы</v>
      </c>
      <c r="B2164" s="29" t="s">
        <v>67</v>
      </c>
      <c r="C2164" s="29" t="s">
        <v>411</v>
      </c>
      <c r="D2164" s="29" t="s">
        <v>1139</v>
      </c>
      <c r="E2164" s="29" t="s">
        <v>2629</v>
      </c>
      <c r="F2164" s="30">
        <v>0.2</v>
      </c>
      <c r="G2164" s="31"/>
      <c r="H2164" s="31"/>
      <c r="I2164" s="31"/>
      <c r="J2164" s="31"/>
    </row>
    <row r="2165" spans="1:10" ht="14.4" x14ac:dyDescent="0.3">
      <c r="A2165" s="28" t="str">
        <f>B2165&amp;C2165&amp;D2165&amp;E2165</f>
        <v>Детские товарыДетское творчествоНастольные и карточные игрыШахматы и шашки для детей</v>
      </c>
      <c r="B2165" s="29" t="s">
        <v>105</v>
      </c>
      <c r="C2165" s="29" t="s">
        <v>440</v>
      </c>
      <c r="D2165" s="29" t="s">
        <v>441</v>
      </c>
      <c r="E2165" s="29" t="s">
        <v>2632</v>
      </c>
      <c r="F2165" s="30">
        <v>0.2</v>
      </c>
      <c r="G2165" s="31"/>
      <c r="H2165" s="31"/>
      <c r="I2165" s="31"/>
      <c r="J2165" s="31"/>
    </row>
    <row r="2166" spans="1:10" ht="14.4" x14ac:dyDescent="0.3">
      <c r="A2166" s="28" t="str">
        <f>B2166&amp;C2166&amp;D2166&amp;E2166</f>
        <v>КанцтоварыБумажная продукцияБумага для факсаБумага для факса</v>
      </c>
      <c r="B2166" s="29" t="s">
        <v>163</v>
      </c>
      <c r="C2166" s="29" t="s">
        <v>261</v>
      </c>
      <c r="D2166" s="29" t="s">
        <v>2634</v>
      </c>
      <c r="E2166" s="29" t="s">
        <v>2634</v>
      </c>
      <c r="F2166" s="30">
        <v>0.2</v>
      </c>
      <c r="G2166" s="31"/>
      <c r="H2166" s="31"/>
      <c r="I2166" s="31"/>
      <c r="J2166" s="31"/>
    </row>
    <row r="2167" spans="1:10" ht="14.4" x14ac:dyDescent="0.3">
      <c r="A2167" s="28" t="str">
        <f>B2167&amp;C2167&amp;D2167&amp;E2167</f>
        <v>Красота и уходЛичная гигиенаГигиена полости ртаЗубные щетки</v>
      </c>
      <c r="B2167" s="29" t="s">
        <v>56</v>
      </c>
      <c r="C2167" s="29" t="s">
        <v>120</v>
      </c>
      <c r="D2167" s="29" t="s">
        <v>121</v>
      </c>
      <c r="E2167" s="29" t="s">
        <v>2639</v>
      </c>
      <c r="F2167" s="30">
        <v>0.2</v>
      </c>
      <c r="G2167" s="31"/>
      <c r="H2167" s="31"/>
      <c r="I2167" s="31"/>
      <c r="J2167" s="31"/>
    </row>
    <row r="2168" spans="1:10" ht="14.4" x14ac:dyDescent="0.3">
      <c r="A2168" s="28" t="str">
        <f>B2168&amp;C2168&amp;D2168&amp;E2168</f>
        <v>ЭлектроникаФото и видеотехникаОборудование для фотографовФотофоны</v>
      </c>
      <c r="B2168" s="29" t="s">
        <v>67</v>
      </c>
      <c r="C2168" s="29" t="s">
        <v>174</v>
      </c>
      <c r="D2168" s="29" t="s">
        <v>575</v>
      </c>
      <c r="E2168" s="29" t="s">
        <v>2644</v>
      </c>
      <c r="F2168" s="30">
        <v>0.2</v>
      </c>
      <c r="G2168" s="31"/>
      <c r="H2168" s="31"/>
      <c r="I2168" s="31"/>
      <c r="J2168" s="31"/>
    </row>
    <row r="2169" spans="1:10" ht="14.4" x14ac:dyDescent="0.3">
      <c r="A2169" s="28" t="str">
        <f>B2169&amp;C2169&amp;D2169&amp;E2169</f>
        <v>КанцтоварыПапки и файлыФайлы и разделителиФайлы и разделители</v>
      </c>
      <c r="B2169" s="29" t="s">
        <v>163</v>
      </c>
      <c r="C2169" s="29" t="s">
        <v>293</v>
      </c>
      <c r="D2169" s="29" t="s">
        <v>2648</v>
      </c>
      <c r="E2169" s="29" t="s">
        <v>2648</v>
      </c>
      <c r="F2169" s="30">
        <v>0.2</v>
      </c>
      <c r="G2169" s="31"/>
      <c r="H2169" s="31"/>
      <c r="I2169" s="31"/>
      <c r="J2169" s="31"/>
    </row>
    <row r="2170" spans="1:10" ht="14.4" x14ac:dyDescent="0.3">
      <c r="A2170" s="28" t="str">
        <f>B2170&amp;C2170&amp;D2170&amp;E2170</f>
        <v>ЗоотоварыДля кошекКогтеточки и игровые комплексыКогтеточки</v>
      </c>
      <c r="B2170" s="29" t="s">
        <v>214</v>
      </c>
      <c r="C2170" s="29" t="s">
        <v>283</v>
      </c>
      <c r="D2170" s="29" t="s">
        <v>1564</v>
      </c>
      <c r="E2170" s="29" t="s">
        <v>2649</v>
      </c>
      <c r="F2170" s="30">
        <v>0.2</v>
      </c>
      <c r="G2170" s="31"/>
      <c r="H2170" s="31"/>
      <c r="I2170" s="31"/>
      <c r="J2170" s="31"/>
    </row>
    <row r="2171" spans="1:10" ht="14.4" x14ac:dyDescent="0.3">
      <c r="A2171" s="28" t="str">
        <f>B2171&amp;C2171&amp;D2171&amp;E2171</f>
        <v>АвтотоварыЭлектроника для автоБегущая строкаБегущая строка</v>
      </c>
      <c r="B2171" s="29" t="s">
        <v>12</v>
      </c>
      <c r="C2171" s="29" t="s">
        <v>360</v>
      </c>
      <c r="D2171" s="29" t="s">
        <v>2651</v>
      </c>
      <c r="E2171" s="29" t="s">
        <v>2651</v>
      </c>
      <c r="F2171" s="30">
        <v>0.2</v>
      </c>
      <c r="G2171" s="31"/>
      <c r="H2171" s="31"/>
      <c r="I2171" s="31"/>
      <c r="J2171" s="31"/>
    </row>
    <row r="2172" spans="1:10" ht="14.4" x14ac:dyDescent="0.3">
      <c r="A2172" s="28" t="str">
        <f>B2172&amp;C2172&amp;D2172&amp;E2172</f>
        <v>КанцтоварыПисьменные принадлежностиТочилки для карандашейТочилки для карандашей</v>
      </c>
      <c r="B2172" s="29" t="s">
        <v>163</v>
      </c>
      <c r="C2172" s="29" t="s">
        <v>684</v>
      </c>
      <c r="D2172" s="29" t="s">
        <v>2656</v>
      </c>
      <c r="E2172" s="29" t="s">
        <v>2656</v>
      </c>
      <c r="F2172" s="30">
        <v>0.2</v>
      </c>
      <c r="G2172" s="31"/>
      <c r="H2172" s="31"/>
      <c r="I2172" s="31"/>
      <c r="J2172" s="31"/>
    </row>
    <row r="2173" spans="1:10" ht="14.4" x14ac:dyDescent="0.3">
      <c r="A2173" s="28" t="str">
        <f>B2173&amp;C2173&amp;D2173&amp;E2173</f>
        <v>Детские товарыТовары для кормленияПустышки, соски и аксессуарыПустышки, соски и аксессуары</v>
      </c>
      <c r="B2173" s="29" t="s">
        <v>105</v>
      </c>
      <c r="C2173" s="29" t="s">
        <v>639</v>
      </c>
      <c r="D2173" s="29" t="s">
        <v>2657</v>
      </c>
      <c r="E2173" s="29" t="s">
        <v>2657</v>
      </c>
      <c r="F2173" s="30">
        <v>0.2</v>
      </c>
      <c r="G2173" s="31"/>
      <c r="H2173" s="31"/>
      <c r="I2173" s="31"/>
      <c r="J2173" s="31"/>
    </row>
    <row r="2174" spans="1:10" ht="14.4" x14ac:dyDescent="0.3">
      <c r="A2174" s="28" t="str">
        <f>B2174&amp;C2174&amp;D2174&amp;E2174</f>
        <v>Продукты питанияШоколад, конфеты, сладостиКонфетыШоколадные конфеты</v>
      </c>
      <c r="B2174" s="29" t="s">
        <v>248</v>
      </c>
      <c r="C2174" s="29" t="s">
        <v>249</v>
      </c>
      <c r="D2174" s="29" t="s">
        <v>870</v>
      </c>
      <c r="E2174" s="29" t="s">
        <v>2660</v>
      </c>
      <c r="F2174" s="30">
        <v>0.2</v>
      </c>
      <c r="G2174" s="31"/>
      <c r="H2174" s="31"/>
      <c r="I2174" s="31"/>
      <c r="J2174" s="31"/>
    </row>
    <row r="2175" spans="1:10" ht="14.4" x14ac:dyDescent="0.3">
      <c r="A2175" s="28" t="str">
        <f>B2175&amp;C2175&amp;D2175&amp;E2175</f>
        <v>АвтотоварыЭлектроника для автоДатчики для автоДатчики для авто</v>
      </c>
      <c r="B2175" s="29" t="s">
        <v>12</v>
      </c>
      <c r="C2175" s="29" t="s">
        <v>360</v>
      </c>
      <c r="D2175" s="29" t="s">
        <v>2661</v>
      </c>
      <c r="E2175" s="29" t="s">
        <v>2661</v>
      </c>
      <c r="F2175" s="30">
        <v>0.2</v>
      </c>
      <c r="G2175" s="31"/>
      <c r="H2175" s="31"/>
      <c r="I2175" s="31"/>
      <c r="J2175" s="31"/>
    </row>
    <row r="2176" spans="1:10" ht="14.4" x14ac:dyDescent="0.3">
      <c r="A2176" s="28" t="str">
        <f>B2176&amp;C2176&amp;D2176&amp;E2176</f>
        <v>АвтотоварыИнструменты и оборудованиеАксессуары для автоинструментаАксессуары для автоинструмента</v>
      </c>
      <c r="B2176" s="29" t="s">
        <v>12</v>
      </c>
      <c r="C2176" s="29" t="s">
        <v>479</v>
      </c>
      <c r="D2176" s="29" t="s">
        <v>2662</v>
      </c>
      <c r="E2176" s="29" t="s">
        <v>2662</v>
      </c>
      <c r="F2176" s="30">
        <v>0.2</v>
      </c>
      <c r="G2176" s="31"/>
      <c r="H2176" s="31"/>
      <c r="I2176" s="31"/>
      <c r="J2176" s="31"/>
    </row>
    <row r="2177" spans="1:10" ht="14.4" x14ac:dyDescent="0.3">
      <c r="A2177" s="28" t="str">
        <f>B2177&amp;C2177&amp;D2177&amp;E2177</f>
        <v>КанцтоварыБумажная продукцияТетрадиКольца для тетради</v>
      </c>
      <c r="B2177" s="29" t="s">
        <v>163</v>
      </c>
      <c r="C2177" s="29" t="s">
        <v>261</v>
      </c>
      <c r="D2177" s="29" t="s">
        <v>930</v>
      </c>
      <c r="E2177" s="29" t="s">
        <v>2663</v>
      </c>
      <c r="F2177" s="30">
        <v>0.2</v>
      </c>
      <c r="G2177" s="31"/>
      <c r="H2177" s="31"/>
      <c r="I2177" s="31"/>
      <c r="J2177" s="31"/>
    </row>
    <row r="2178" spans="1:10" ht="14.4" x14ac:dyDescent="0.3">
      <c r="A2178" s="28" t="str">
        <f>B2178&amp;C2178&amp;D2178&amp;E2178</f>
        <v>Дача, сад и огородОбустройство дачи и садаДуши и рукомойникиДуши и рукомойники</v>
      </c>
      <c r="B2178" s="29" t="s">
        <v>352</v>
      </c>
      <c r="C2178" s="29" t="s">
        <v>966</v>
      </c>
      <c r="D2178" s="29" t="s">
        <v>2664</v>
      </c>
      <c r="E2178" s="29" t="s">
        <v>2664</v>
      </c>
      <c r="F2178" s="30">
        <v>0.2</v>
      </c>
      <c r="G2178" s="31"/>
      <c r="H2178" s="31"/>
      <c r="I2178" s="31"/>
      <c r="J2178" s="31"/>
    </row>
    <row r="2179" spans="1:10" ht="14.4" x14ac:dyDescent="0.3">
      <c r="A2179" s="28" t="str">
        <f>B2179&amp;C2179&amp;D2179&amp;E2179</f>
        <v>Красота и уходМакияжГлазаНакладные ресницы</v>
      </c>
      <c r="B2179" s="29" t="s">
        <v>56</v>
      </c>
      <c r="C2179" s="29" t="s">
        <v>151</v>
      </c>
      <c r="D2179" s="29" t="s">
        <v>503</v>
      </c>
      <c r="E2179" s="29" t="s">
        <v>2667</v>
      </c>
      <c r="F2179" s="30">
        <v>0.2</v>
      </c>
      <c r="G2179" s="31"/>
      <c r="H2179" s="31"/>
      <c r="I2179" s="31"/>
      <c r="J2179" s="31"/>
    </row>
    <row r="2180" spans="1:10" ht="14.4" x14ac:dyDescent="0.3">
      <c r="A2180" s="28" t="str">
        <f>B2180&amp;C2180&amp;D2180&amp;E2180</f>
        <v>ОбувьМужская обувьСандалии и сабоСабо</v>
      </c>
      <c r="B2180" s="29" t="s">
        <v>180</v>
      </c>
      <c r="C2180" s="29" t="s">
        <v>279</v>
      </c>
      <c r="D2180" s="29" t="s">
        <v>1318</v>
      </c>
      <c r="E2180" s="29" t="s">
        <v>594</v>
      </c>
      <c r="F2180" s="30">
        <v>0.2</v>
      </c>
      <c r="G2180" s="31"/>
      <c r="H2180" s="31"/>
      <c r="I2180" s="31"/>
      <c r="J2180" s="31"/>
    </row>
    <row r="2181" spans="1:10" ht="14.4" x14ac:dyDescent="0.3">
      <c r="A2181" s="28" t="str">
        <f>B2181&amp;C2181&amp;D2181&amp;E2181</f>
        <v>КнигиНехудожественная литератураПутешествия, путеводителиПутешествия, путеводители</v>
      </c>
      <c r="B2181" s="29" t="s">
        <v>63</v>
      </c>
      <c r="C2181" s="29" t="s">
        <v>141</v>
      </c>
      <c r="D2181" s="29" t="s">
        <v>2669</v>
      </c>
      <c r="E2181" s="29" t="s">
        <v>2669</v>
      </c>
      <c r="F2181" s="30">
        <v>0.2</v>
      </c>
      <c r="G2181" s="31"/>
      <c r="H2181" s="31"/>
      <c r="I2181" s="31"/>
      <c r="J2181" s="31"/>
    </row>
    <row r="2182" spans="1:10" ht="14.4" x14ac:dyDescent="0.3">
      <c r="A2182" s="28" t="str">
        <f>B2182&amp;C2182&amp;D2182&amp;E2182</f>
        <v>Красота и уходЛичная гигиенаГигиена полости ртаПолоскание и уход за полостью рта</v>
      </c>
      <c r="B2182" s="29" t="s">
        <v>56</v>
      </c>
      <c r="C2182" s="29" t="s">
        <v>120</v>
      </c>
      <c r="D2182" s="29" t="s">
        <v>121</v>
      </c>
      <c r="E2182" s="29" t="s">
        <v>2673</v>
      </c>
      <c r="F2182" s="30">
        <v>0.2</v>
      </c>
      <c r="G2182" s="31"/>
      <c r="H2182" s="31"/>
      <c r="I2182" s="31"/>
      <c r="J2182" s="31"/>
    </row>
    <row r="2183" spans="1:10" ht="14.4" x14ac:dyDescent="0.3">
      <c r="A2183" s="28" t="str">
        <f>B2183&amp;C2183&amp;D2183&amp;E2183</f>
        <v>Красота и уходУход за лицомСредства для проблемной кожиФлюиды, эликсиры, эссенции</v>
      </c>
      <c r="B2183" s="29" t="s">
        <v>56</v>
      </c>
      <c r="C2183" s="29" t="s">
        <v>238</v>
      </c>
      <c r="D2183" s="29" t="s">
        <v>1354</v>
      </c>
      <c r="E2183" s="29" t="s">
        <v>2674</v>
      </c>
      <c r="F2183" s="30">
        <v>0.2</v>
      </c>
      <c r="G2183" s="31"/>
      <c r="H2183" s="31"/>
      <c r="I2183" s="31"/>
      <c r="J2183" s="31"/>
    </row>
    <row r="2184" spans="1:10" ht="14.4" x14ac:dyDescent="0.3">
      <c r="A2184" s="28" t="str">
        <f>B2184&amp;C2184&amp;D2184&amp;E2184</f>
        <v>Красота и уходЛичная гигиенаИнтимная гигиенаПрокладки и тампоны</v>
      </c>
      <c r="B2184" s="29" t="s">
        <v>56</v>
      </c>
      <c r="C2184" s="29" t="s">
        <v>120</v>
      </c>
      <c r="D2184" s="29" t="s">
        <v>483</v>
      </c>
      <c r="E2184" s="29" t="s">
        <v>2675</v>
      </c>
      <c r="F2184" s="30">
        <v>0.2</v>
      </c>
      <c r="G2184" s="31"/>
      <c r="H2184" s="31"/>
      <c r="I2184" s="31"/>
      <c r="J2184" s="31"/>
    </row>
    <row r="2185" spans="1:10" ht="14.4" x14ac:dyDescent="0.3">
      <c r="A2185" s="28" t="str">
        <f>B2185&amp;C2185&amp;D2185&amp;E2185</f>
        <v>ОбувьМужская обувьРезиновая обувьШлепанцы</v>
      </c>
      <c r="B2185" s="29" t="s">
        <v>180</v>
      </c>
      <c r="C2185" s="29" t="s">
        <v>279</v>
      </c>
      <c r="D2185" s="29" t="s">
        <v>593</v>
      </c>
      <c r="E2185" s="29" t="s">
        <v>2302</v>
      </c>
      <c r="F2185" s="30">
        <v>0.2</v>
      </c>
      <c r="G2185" s="31"/>
      <c r="H2185" s="31"/>
      <c r="I2185" s="31"/>
      <c r="J2185" s="31"/>
    </row>
    <row r="2186" spans="1:10" ht="14.4" x14ac:dyDescent="0.3">
      <c r="A2186" s="28" t="str">
        <f>B2186&amp;C2186&amp;D2186&amp;E2186</f>
        <v>КанцтоварыТовары для школы и обученияГлобусыГлобусы</v>
      </c>
      <c r="B2186" s="29" t="s">
        <v>163</v>
      </c>
      <c r="C2186" s="29" t="s">
        <v>1568</v>
      </c>
      <c r="D2186" s="29" t="s">
        <v>2678</v>
      </c>
      <c r="E2186" s="29" t="s">
        <v>2678</v>
      </c>
      <c r="F2186" s="30">
        <v>0.2</v>
      </c>
      <c r="G2186" s="31"/>
      <c r="H2186" s="31"/>
      <c r="I2186" s="31"/>
      <c r="J2186" s="31"/>
    </row>
    <row r="2187" spans="1:10" ht="14.4" x14ac:dyDescent="0.3">
      <c r="A2187" s="28" t="str">
        <f>B2187&amp;C2187&amp;D2187&amp;E2187</f>
        <v>Продукты питанияШоколад, конфеты, сладостиТорты, рулеты, кексыТорты, рулеты, кексы</v>
      </c>
      <c r="B2187" s="29" t="s">
        <v>248</v>
      </c>
      <c r="C2187" s="29" t="s">
        <v>249</v>
      </c>
      <c r="D2187" s="29" t="s">
        <v>2679</v>
      </c>
      <c r="E2187" s="29" t="s">
        <v>2679</v>
      </c>
      <c r="F2187" s="30">
        <v>0.2</v>
      </c>
      <c r="G2187" s="31"/>
      <c r="H2187" s="31"/>
      <c r="I2187" s="31"/>
      <c r="J2187" s="31"/>
    </row>
    <row r="2188" spans="1:10" ht="14.4" x14ac:dyDescent="0.3">
      <c r="A2188" s="28" t="str">
        <f>B2188&amp;C2188&amp;D2188&amp;E2188</f>
        <v>Товары для домаХозяйственные товарыИнвентарь для уборкиТряпки, салфетки и губки</v>
      </c>
      <c r="B2188" s="29" t="s">
        <v>59</v>
      </c>
      <c r="C2188" s="29" t="s">
        <v>193</v>
      </c>
      <c r="D2188" s="29" t="s">
        <v>308</v>
      </c>
      <c r="E2188" s="29" t="s">
        <v>2682</v>
      </c>
      <c r="F2188" s="30">
        <v>0.2</v>
      </c>
      <c r="G2188" s="31"/>
      <c r="H2188" s="31"/>
      <c r="I2188" s="31"/>
      <c r="J2188" s="31"/>
    </row>
    <row r="2189" spans="1:10" ht="14.4" x14ac:dyDescent="0.3">
      <c r="A2189" s="28" t="str">
        <f>B2189&amp;C2189&amp;D2189&amp;E2189</f>
        <v>Дача, сад и огородСадовый инструментТележки и тачкиТележки и тачки</v>
      </c>
      <c r="B2189" s="29" t="s">
        <v>352</v>
      </c>
      <c r="C2189" s="29" t="s">
        <v>353</v>
      </c>
      <c r="D2189" s="29" t="s">
        <v>2686</v>
      </c>
      <c r="E2189" s="29" t="s">
        <v>2686</v>
      </c>
      <c r="F2189" s="30">
        <v>0.2</v>
      </c>
      <c r="G2189" s="31"/>
      <c r="H2189" s="31"/>
      <c r="I2189" s="31"/>
      <c r="J2189" s="31"/>
    </row>
    <row r="2190" spans="1:10" ht="14.4" x14ac:dyDescent="0.3">
      <c r="A2190" s="28" t="str">
        <f>B2190&amp;C2190&amp;D2190&amp;E2190</f>
        <v>ЗоотоварыДля кошекГрумингГруминг</v>
      </c>
      <c r="B2190" s="29" t="s">
        <v>214</v>
      </c>
      <c r="C2190" s="29" t="s">
        <v>283</v>
      </c>
      <c r="D2190" s="29" t="s">
        <v>1941</v>
      </c>
      <c r="E2190" s="29" t="s">
        <v>1941</v>
      </c>
      <c r="F2190" s="30">
        <v>0.2</v>
      </c>
      <c r="G2190" s="31"/>
      <c r="H2190" s="31"/>
      <c r="I2190" s="31"/>
      <c r="J2190" s="31"/>
    </row>
    <row r="2191" spans="1:10" ht="14.4" x14ac:dyDescent="0.3">
      <c r="A2191" s="28" t="str">
        <f>B2191&amp;C2191&amp;D2191&amp;E2191</f>
        <v>ЭлектроникаКомпьютерная техникаКомпьютерная периферияWi-Fi контроллеры</v>
      </c>
      <c r="B2191" s="29" t="s">
        <v>67</v>
      </c>
      <c r="C2191" s="29" t="s">
        <v>234</v>
      </c>
      <c r="D2191" s="29" t="s">
        <v>794</v>
      </c>
      <c r="E2191" s="29" t="s">
        <v>2689</v>
      </c>
      <c r="F2191" s="30">
        <v>0.2</v>
      </c>
      <c r="G2191" s="31"/>
      <c r="H2191" s="31"/>
      <c r="I2191" s="31"/>
      <c r="J2191" s="31"/>
    </row>
    <row r="2192" spans="1:10" ht="14.4" x14ac:dyDescent="0.3">
      <c r="A2192" s="28" t="str">
        <f>B2192&amp;C2192&amp;D2192&amp;E2192</f>
        <v>Товары для домаХозяйственные товарыАксессуары для ваннойКоврики резиновые</v>
      </c>
      <c r="B2192" s="29" t="s">
        <v>59</v>
      </c>
      <c r="C2192" s="29" t="s">
        <v>193</v>
      </c>
      <c r="D2192" s="29" t="s">
        <v>194</v>
      </c>
      <c r="E2192" s="29" t="s">
        <v>2690</v>
      </c>
      <c r="F2192" s="30">
        <v>0.2</v>
      </c>
      <c r="G2192" s="31"/>
      <c r="H2192" s="31"/>
      <c r="I2192" s="31"/>
      <c r="J2192" s="31"/>
    </row>
    <row r="2193" spans="1:10" ht="14.4" x14ac:dyDescent="0.3">
      <c r="A2193" s="28" t="str">
        <f>B2193&amp;C2193&amp;D2193&amp;E2193</f>
        <v>ЭлектроникаКомпьютерная техникаКомплектующие для компьютерной техникиКорпуса</v>
      </c>
      <c r="B2193" s="29" t="s">
        <v>67</v>
      </c>
      <c r="C2193" s="29" t="s">
        <v>234</v>
      </c>
      <c r="D2193" s="29" t="s">
        <v>898</v>
      </c>
      <c r="E2193" s="29" t="s">
        <v>2693</v>
      </c>
      <c r="F2193" s="30">
        <v>0.2</v>
      </c>
      <c r="G2193" s="31"/>
      <c r="H2193" s="31"/>
      <c r="I2193" s="31"/>
      <c r="J2193" s="31"/>
    </row>
    <row r="2194" spans="1:10" ht="14.4" x14ac:dyDescent="0.3">
      <c r="A2194" s="28" t="str">
        <f>B2194&amp;C2194&amp;D2194&amp;E2194</f>
        <v>Товары для домаХозяйственные товарыИнвентарь для уборкиМешки для мусора</v>
      </c>
      <c r="B2194" s="29" t="s">
        <v>59</v>
      </c>
      <c r="C2194" s="29" t="s">
        <v>193</v>
      </c>
      <c r="D2194" s="29" t="s">
        <v>308</v>
      </c>
      <c r="E2194" s="29" t="s">
        <v>2696</v>
      </c>
      <c r="F2194" s="30">
        <v>0.2</v>
      </c>
      <c r="G2194" s="31"/>
      <c r="H2194" s="31"/>
      <c r="I2194" s="31"/>
      <c r="J2194" s="31"/>
    </row>
    <row r="2195" spans="1:10" ht="14.4" x14ac:dyDescent="0.3">
      <c r="A2195" s="28" t="str">
        <f>B2195&amp;C2195&amp;D2195&amp;E2195</f>
        <v>Продукты питанияШоколад, конфеты, сладостиВосточные сладостиВосточные сладости</v>
      </c>
      <c r="B2195" s="29" t="s">
        <v>248</v>
      </c>
      <c r="C2195" s="29" t="s">
        <v>249</v>
      </c>
      <c r="D2195" s="29" t="s">
        <v>2697</v>
      </c>
      <c r="E2195" s="29" t="s">
        <v>2697</v>
      </c>
      <c r="F2195" s="30">
        <v>0.2</v>
      </c>
      <c r="G2195" s="31"/>
      <c r="H2195" s="31"/>
      <c r="I2195" s="31"/>
      <c r="J2195" s="31"/>
    </row>
    <row r="2196" spans="1:10" ht="14.4" x14ac:dyDescent="0.3">
      <c r="A2196" s="28" t="str">
        <f>B2196&amp;C2196&amp;D2196&amp;E2196</f>
        <v>ЭлектроникаУмный дом и безопасностьВидеонаблюдениеАвтоматика для ворот</v>
      </c>
      <c r="B2196" s="29" t="s">
        <v>67</v>
      </c>
      <c r="C2196" s="29" t="s">
        <v>411</v>
      </c>
      <c r="D2196" s="29" t="s">
        <v>1139</v>
      </c>
      <c r="E2196" s="29" t="s">
        <v>2699</v>
      </c>
      <c r="F2196" s="30">
        <v>0.2</v>
      </c>
      <c r="G2196" s="31"/>
      <c r="H2196" s="31"/>
      <c r="I2196" s="31"/>
      <c r="J2196" s="31"/>
    </row>
    <row r="2197" spans="1:10" ht="14.4" x14ac:dyDescent="0.3">
      <c r="A2197" s="28" t="str">
        <f>B2197&amp;C2197&amp;D2197&amp;E2197</f>
        <v>Товары для домаХозяйственные товарыАксессуары для ваннойНаборы для ванной комнаты</v>
      </c>
      <c r="B2197" s="29" t="s">
        <v>59</v>
      </c>
      <c r="C2197" s="29" t="s">
        <v>193</v>
      </c>
      <c r="D2197" s="29" t="s">
        <v>194</v>
      </c>
      <c r="E2197" s="29" t="s">
        <v>2701</v>
      </c>
      <c r="F2197" s="30">
        <v>0.2</v>
      </c>
      <c r="G2197" s="31"/>
      <c r="H2197" s="31"/>
      <c r="I2197" s="31"/>
      <c r="J2197" s="31"/>
    </row>
    <row r="2198" spans="1:10" ht="14.4" x14ac:dyDescent="0.3">
      <c r="A2198" s="28" t="str">
        <f>B2198&amp;C2198&amp;D2198&amp;E2198</f>
        <v>Красота и уходМакияжГубыБлески</v>
      </c>
      <c r="B2198" s="29" t="s">
        <v>56</v>
      </c>
      <c r="C2198" s="29" t="s">
        <v>151</v>
      </c>
      <c r="D2198" s="29" t="s">
        <v>152</v>
      </c>
      <c r="E2198" s="29" t="s">
        <v>2702</v>
      </c>
      <c r="F2198" s="30">
        <v>0.2</v>
      </c>
      <c r="G2198" s="31"/>
      <c r="H2198" s="31"/>
      <c r="I2198" s="31"/>
      <c r="J2198" s="31"/>
    </row>
    <row r="2199" spans="1:10" ht="14.4" x14ac:dyDescent="0.3">
      <c r="A2199" s="28" t="str">
        <f>B2199&amp;C2199&amp;D2199&amp;E2199</f>
        <v>КнигиНехудожественная литератураПублицистикаЖурналистские расследования</v>
      </c>
      <c r="B2199" s="29" t="s">
        <v>63</v>
      </c>
      <c r="C2199" s="29" t="s">
        <v>141</v>
      </c>
      <c r="D2199" s="29" t="s">
        <v>251</v>
      </c>
      <c r="E2199" s="29" t="s">
        <v>2703</v>
      </c>
      <c r="F2199" s="30">
        <v>0.2</v>
      </c>
      <c r="G2199" s="31"/>
      <c r="H2199" s="31"/>
      <c r="I2199" s="31"/>
      <c r="J2199" s="31"/>
    </row>
    <row r="2200" spans="1:10" ht="14.4" x14ac:dyDescent="0.3">
      <c r="A2200" s="28" t="str">
        <f>B2200&amp;C2200&amp;D2200&amp;E2200</f>
        <v>ЗдоровьеМедицинские приборыМедицинские браслеты и пульсоксиметрыМедицинские браслеты и пульсоксиметры</v>
      </c>
      <c r="B2200" s="29" t="s">
        <v>116</v>
      </c>
      <c r="C2200" s="29" t="s">
        <v>381</v>
      </c>
      <c r="D2200" s="29" t="s">
        <v>2705</v>
      </c>
      <c r="E2200" s="29" t="s">
        <v>2705</v>
      </c>
      <c r="F2200" s="30">
        <v>0.2</v>
      </c>
      <c r="G2200" s="31"/>
      <c r="H2200" s="31"/>
      <c r="I2200" s="31"/>
      <c r="J2200" s="31"/>
    </row>
    <row r="2201" spans="1:10" ht="14.4" x14ac:dyDescent="0.3">
      <c r="A2201" s="28" t="str">
        <f>B2201&amp;C2201&amp;D2201&amp;E2201</f>
        <v>КнигиХудожественная литератураПриключенияПриключения</v>
      </c>
      <c r="B2201" s="29" t="s">
        <v>63</v>
      </c>
      <c r="C2201" s="29" t="s">
        <v>374</v>
      </c>
      <c r="D2201" s="29" t="s">
        <v>2706</v>
      </c>
      <c r="E2201" s="29" t="s">
        <v>2706</v>
      </c>
      <c r="F2201" s="30">
        <v>0.2</v>
      </c>
      <c r="G2201" s="31"/>
      <c r="H2201" s="31"/>
      <c r="I2201" s="31"/>
      <c r="J2201" s="31"/>
    </row>
    <row r="2202" spans="1:10" ht="14.4" x14ac:dyDescent="0.3">
      <c r="A2202" s="28" t="str">
        <f>B2202&amp;C2202&amp;D2202&amp;E2202</f>
        <v>Детские товарыДетский спорт и активный отдыхИгровые комплексы и детские площадкиИгровые комплексы и детские площадки</v>
      </c>
      <c r="B2202" s="29" t="s">
        <v>105</v>
      </c>
      <c r="C2202" s="29" t="s">
        <v>427</v>
      </c>
      <c r="D2202" s="29" t="s">
        <v>2711</v>
      </c>
      <c r="E2202" s="29" t="s">
        <v>2711</v>
      </c>
      <c r="F2202" s="30">
        <v>0.2</v>
      </c>
      <c r="G2202" s="31"/>
      <c r="H2202" s="31"/>
      <c r="I2202" s="31"/>
      <c r="J2202" s="31"/>
    </row>
    <row r="2203" spans="1:10" ht="14.4" x14ac:dyDescent="0.3">
      <c r="A2203" s="28" t="str">
        <f>B2203&amp;C2203&amp;D2203&amp;E2203</f>
        <v>Красота и уходКорейская косметикаУход за лицомПатчи</v>
      </c>
      <c r="B2203" s="29" t="s">
        <v>56</v>
      </c>
      <c r="C2203" s="29" t="s">
        <v>211</v>
      </c>
      <c r="D2203" s="29" t="s">
        <v>238</v>
      </c>
      <c r="E2203" s="29" t="s">
        <v>1842</v>
      </c>
      <c r="F2203" s="30">
        <v>0.2</v>
      </c>
      <c r="G2203" s="31"/>
      <c r="H2203" s="31"/>
      <c r="I2203" s="31"/>
      <c r="J2203" s="31"/>
    </row>
    <row r="2204" spans="1:10" ht="14.4" x14ac:dyDescent="0.3">
      <c r="A2204" s="28" t="str">
        <f>B2204&amp;C2204&amp;D2204&amp;E2204</f>
        <v>Красота и уходУход за лицомСредства для проблемной кожиПенка для умывания</v>
      </c>
      <c r="B2204" s="29" t="s">
        <v>56</v>
      </c>
      <c r="C2204" s="29" t="s">
        <v>238</v>
      </c>
      <c r="D2204" s="29" t="s">
        <v>1354</v>
      </c>
      <c r="E2204" s="29" t="s">
        <v>729</v>
      </c>
      <c r="F2204" s="30">
        <v>0.2</v>
      </c>
      <c r="G2204" s="31"/>
      <c r="H2204" s="31"/>
      <c r="I2204" s="31"/>
      <c r="J2204" s="31"/>
    </row>
    <row r="2205" spans="1:10" ht="14.4" x14ac:dyDescent="0.3">
      <c r="A2205" s="28" t="str">
        <f>B2205&amp;C2205&amp;D2205&amp;E2205</f>
        <v>КанцтоварыПапки и файлыПапки подвесныеПапки подвесные</v>
      </c>
      <c r="B2205" s="29" t="s">
        <v>163</v>
      </c>
      <c r="C2205" s="29" t="s">
        <v>293</v>
      </c>
      <c r="D2205" s="29" t="s">
        <v>2717</v>
      </c>
      <c r="E2205" s="29" t="s">
        <v>2717</v>
      </c>
      <c r="F2205" s="30">
        <v>0.2</v>
      </c>
      <c r="G2205" s="31"/>
      <c r="H2205" s="31"/>
      <c r="I2205" s="31"/>
      <c r="J2205" s="31"/>
    </row>
    <row r="2206" spans="1:10" ht="14.4" x14ac:dyDescent="0.3">
      <c r="A2206" s="28" t="str">
        <f>B2206&amp;C2206&amp;D2206&amp;E2206</f>
        <v>Красота и уходЛичная гигиенаГигиена полости ртаОтбеливание зубов</v>
      </c>
      <c r="B2206" s="29" t="s">
        <v>56</v>
      </c>
      <c r="C2206" s="29" t="s">
        <v>120</v>
      </c>
      <c r="D2206" s="29" t="s">
        <v>121</v>
      </c>
      <c r="E2206" s="29" t="s">
        <v>2718</v>
      </c>
      <c r="F2206" s="30">
        <v>0.2</v>
      </c>
      <c r="G2206" s="31"/>
      <c r="H2206" s="31"/>
      <c r="I2206" s="31"/>
      <c r="J2206" s="31"/>
    </row>
    <row r="2207" spans="1:10" ht="14.4" x14ac:dyDescent="0.3">
      <c r="A2207" s="28" t="str">
        <f>B2207&amp;C2207&amp;D2207&amp;E2207</f>
        <v>ЭлектроникаНаушники и аудиотехникаАудиотехникаКомпьютерная акустика</v>
      </c>
      <c r="B2207" s="29" t="s">
        <v>67</v>
      </c>
      <c r="C2207" s="29" t="s">
        <v>74</v>
      </c>
      <c r="D2207" s="29" t="s">
        <v>409</v>
      </c>
      <c r="E2207" s="29" t="s">
        <v>2720</v>
      </c>
      <c r="F2207" s="30">
        <v>0.2</v>
      </c>
      <c r="G2207" s="31"/>
      <c r="H2207" s="31"/>
      <c r="I2207" s="31"/>
      <c r="J2207" s="31"/>
    </row>
    <row r="2208" spans="1:10" ht="14.4" x14ac:dyDescent="0.3">
      <c r="A2208" s="28" t="str">
        <f>B2208&amp;C2208&amp;D2208&amp;E2208</f>
        <v>КнигиБукинистикаХудожественная литератураСовременная проза</v>
      </c>
      <c r="B2208" s="29" t="s">
        <v>63</v>
      </c>
      <c r="C2208" s="29" t="s">
        <v>209</v>
      </c>
      <c r="D2208" s="29" t="s">
        <v>374</v>
      </c>
      <c r="E2208" s="29" t="s">
        <v>790</v>
      </c>
      <c r="F2208" s="30">
        <v>0.2</v>
      </c>
      <c r="G2208" s="31"/>
      <c r="H2208" s="31"/>
      <c r="I2208" s="31"/>
      <c r="J2208" s="31"/>
    </row>
    <row r="2209" spans="1:10" ht="14.4" x14ac:dyDescent="0.3">
      <c r="A2209" s="28" t="str">
        <f>B2209&amp;C2209&amp;D2209&amp;E2209</f>
        <v>ЭлектроникаТелевизоры и видеотехникаТюнеры и ресиверыDVB-T2 тюнеры</v>
      </c>
      <c r="B2209" s="29" t="s">
        <v>67</v>
      </c>
      <c r="C2209" s="29" t="s">
        <v>136</v>
      </c>
      <c r="D2209" s="29" t="s">
        <v>2724</v>
      </c>
      <c r="E2209" s="29" t="s">
        <v>2725</v>
      </c>
      <c r="F2209" s="30">
        <v>0.2</v>
      </c>
      <c r="G2209" s="31"/>
      <c r="H2209" s="31"/>
      <c r="I2209" s="31"/>
      <c r="J2209" s="31"/>
    </row>
    <row r="2210" spans="1:10" ht="14.4" x14ac:dyDescent="0.3">
      <c r="A2210" s="28" t="str">
        <f>B2210&amp;C2210&amp;D2210&amp;E2210</f>
        <v>Красота и уходДля мужчинУход за теломГели для душа</v>
      </c>
      <c r="B2210" s="29" t="s">
        <v>56</v>
      </c>
      <c r="C2210" s="29" t="s">
        <v>71</v>
      </c>
      <c r="D2210" s="29" t="s">
        <v>100</v>
      </c>
      <c r="E2210" s="29" t="s">
        <v>1206</v>
      </c>
      <c r="F2210" s="30">
        <v>0.2</v>
      </c>
      <c r="G2210" s="31"/>
      <c r="H2210" s="31"/>
      <c r="I2210" s="31"/>
      <c r="J2210" s="31"/>
    </row>
    <row r="2211" spans="1:10" ht="14.4" x14ac:dyDescent="0.3">
      <c r="A2211" s="28" t="str">
        <f>B2211&amp;C2211&amp;D2211&amp;E2211</f>
        <v>Дача, сад и огородОбустройство дачи и садаКомпостеры и активаторы компостаКомпостеры и активаторы компоста</v>
      </c>
      <c r="B2211" s="29" t="s">
        <v>352</v>
      </c>
      <c r="C2211" s="29" t="s">
        <v>966</v>
      </c>
      <c r="D2211" s="29" t="s">
        <v>2730</v>
      </c>
      <c r="E2211" s="29" t="s">
        <v>2730</v>
      </c>
      <c r="F2211" s="30">
        <v>0.2</v>
      </c>
      <c r="G2211" s="31"/>
      <c r="H2211" s="31"/>
      <c r="I2211" s="31"/>
      <c r="J2211" s="31"/>
    </row>
    <row r="2212" spans="1:10" ht="14.4" x14ac:dyDescent="0.3">
      <c r="A2212" s="28" t="str">
        <f>B2212&amp;C2212&amp;D2212&amp;E2212</f>
        <v>Красота и уходУход за лицомУвлажнение и питаниеФлюиды</v>
      </c>
      <c r="B2212" s="29" t="s">
        <v>56</v>
      </c>
      <c r="C2212" s="29" t="s">
        <v>238</v>
      </c>
      <c r="D2212" s="29" t="s">
        <v>134</v>
      </c>
      <c r="E2212" s="29" t="s">
        <v>2731</v>
      </c>
      <c r="F2212" s="30">
        <v>0.2</v>
      </c>
      <c r="G2212" s="31"/>
      <c r="H2212" s="31"/>
      <c r="I2212" s="31"/>
      <c r="J2212" s="31"/>
    </row>
    <row r="2213" spans="1:10" ht="14.4" x14ac:dyDescent="0.3">
      <c r="A2213" s="28" t="str">
        <f>B2213&amp;C2213&amp;D2213&amp;E2213</f>
        <v>Бытовая техникаТовары для кухниЭлектрические чайники и термопотыЧайники электрические</v>
      </c>
      <c r="B2213" s="29" t="s">
        <v>160</v>
      </c>
      <c r="C2213" s="29" t="s">
        <v>60</v>
      </c>
      <c r="D2213" s="29" t="s">
        <v>1019</v>
      </c>
      <c r="E2213" s="29" t="s">
        <v>2732</v>
      </c>
      <c r="F2213" s="30">
        <v>0.2</v>
      </c>
      <c r="G2213" s="31"/>
      <c r="H2213" s="31"/>
      <c r="I2213" s="31"/>
      <c r="J2213" s="31"/>
    </row>
    <row r="2214" spans="1:10" ht="14.4" x14ac:dyDescent="0.3">
      <c r="A2214" s="28" t="str">
        <f>B2214&amp;C2214&amp;D2214&amp;E2214</f>
        <v>Бытовая химияСредства по уходу за обувьюДезодоранты для обувиДезодоранты для обуви</v>
      </c>
      <c r="B2214" s="29" t="s">
        <v>146</v>
      </c>
      <c r="C2214" s="29" t="s">
        <v>344</v>
      </c>
      <c r="D2214" s="29" t="s">
        <v>2733</v>
      </c>
      <c r="E2214" s="29" t="s">
        <v>2733</v>
      </c>
      <c r="F2214" s="30">
        <v>0.2</v>
      </c>
      <c r="G2214" s="31"/>
      <c r="H2214" s="31"/>
      <c r="I2214" s="31"/>
      <c r="J2214" s="31"/>
    </row>
    <row r="2215" spans="1:10" ht="14.4" x14ac:dyDescent="0.3">
      <c r="A2215" s="28" t="str">
        <f>B2215&amp;C2215&amp;D2215&amp;E2215</f>
        <v>ЭлектроникаКомпьютерная техникаКомпьютерная периферияВнешние оптические приводы</v>
      </c>
      <c r="B2215" s="29" t="s">
        <v>67</v>
      </c>
      <c r="C2215" s="29" t="s">
        <v>234</v>
      </c>
      <c r="D2215" s="29" t="s">
        <v>794</v>
      </c>
      <c r="E2215" s="29" t="s">
        <v>2736</v>
      </c>
      <c r="F2215" s="30">
        <v>0.2</v>
      </c>
      <c r="G2215" s="31"/>
      <c r="H2215" s="31"/>
      <c r="I2215" s="31"/>
      <c r="J2215" s="31"/>
    </row>
    <row r="2216" spans="1:10" ht="14.4" x14ac:dyDescent="0.3">
      <c r="A2216" s="28" t="str">
        <f>B2216&amp;C2216&amp;D2216&amp;E2216</f>
        <v>КнигиДетям и родителямРазвитие детейУчимся писать</v>
      </c>
      <c r="B2216" s="29" t="s">
        <v>63</v>
      </c>
      <c r="C2216" s="29" t="s">
        <v>258</v>
      </c>
      <c r="D2216" s="29" t="s">
        <v>259</v>
      </c>
      <c r="E2216" s="29" t="s">
        <v>2737</v>
      </c>
      <c r="F2216" s="30">
        <v>0.2</v>
      </c>
      <c r="G2216" s="31"/>
      <c r="H2216" s="31"/>
      <c r="I2216" s="31"/>
      <c r="J2216" s="31"/>
    </row>
    <row r="2217" spans="1:10" ht="14.4" x14ac:dyDescent="0.3">
      <c r="A2217" s="28" t="str">
        <f>B2217&amp;C2217&amp;D2217&amp;E2217</f>
        <v>Строительство и ремонтСантехникаКухонные мойкиКухонные мойки</v>
      </c>
      <c r="B2217" s="29" t="s">
        <v>77</v>
      </c>
      <c r="C2217" s="29" t="s">
        <v>388</v>
      </c>
      <c r="D2217" s="29" t="s">
        <v>2742</v>
      </c>
      <c r="E2217" s="29" t="s">
        <v>2742</v>
      </c>
      <c r="F2217" s="30">
        <v>0.2</v>
      </c>
      <c r="G2217" s="31"/>
      <c r="H2217" s="31"/>
      <c r="I2217" s="31"/>
      <c r="J2217" s="31"/>
    </row>
    <row r="2218" spans="1:10" ht="14.4" x14ac:dyDescent="0.3">
      <c r="A2218" s="28" t="str">
        <f>B2218&amp;C2218&amp;D2218&amp;E2218</f>
        <v>Красота и уходКорейская косметикаУход за теломГели для душа</v>
      </c>
      <c r="B2218" s="29" t="s">
        <v>56</v>
      </c>
      <c r="C2218" s="29" t="s">
        <v>211</v>
      </c>
      <c r="D2218" s="29" t="s">
        <v>100</v>
      </c>
      <c r="E2218" s="29" t="s">
        <v>1206</v>
      </c>
      <c r="F2218" s="30">
        <v>0.2</v>
      </c>
      <c r="G2218" s="31"/>
      <c r="H2218" s="31"/>
      <c r="I2218" s="31"/>
      <c r="J2218" s="31"/>
    </row>
    <row r="2219" spans="1:10" ht="14.4" x14ac:dyDescent="0.3">
      <c r="A2219" s="28" t="str">
        <f>B2219&amp;C2219&amp;D2219&amp;E2219</f>
        <v>Красота и уходУход за лицомОчищение и умываниеГель для умывания</v>
      </c>
      <c r="B2219" s="29" t="s">
        <v>56</v>
      </c>
      <c r="C2219" s="29" t="s">
        <v>238</v>
      </c>
      <c r="D2219" s="29" t="s">
        <v>728</v>
      </c>
      <c r="E2219" s="29" t="s">
        <v>2745</v>
      </c>
      <c r="F2219" s="30">
        <v>0.2</v>
      </c>
      <c r="G2219" s="31"/>
      <c r="H2219" s="31"/>
      <c r="I2219" s="31"/>
      <c r="J2219" s="31"/>
    </row>
    <row r="2220" spans="1:10" ht="14.4" x14ac:dyDescent="0.3">
      <c r="A2220" s="28" t="str">
        <f>B2220&amp;C2220&amp;D2220&amp;E2220</f>
        <v>АвтотоварыИнструменты и оборудованиеКрепежКрепеж</v>
      </c>
      <c r="B2220" s="29" t="s">
        <v>12</v>
      </c>
      <c r="C2220" s="29" t="s">
        <v>479</v>
      </c>
      <c r="D2220" s="29" t="s">
        <v>350</v>
      </c>
      <c r="E2220" s="29" t="s">
        <v>350</v>
      </c>
      <c r="F2220" s="30">
        <v>0.2</v>
      </c>
      <c r="G2220" s="31"/>
      <c r="H2220" s="31"/>
      <c r="I2220" s="31"/>
      <c r="J2220" s="31"/>
    </row>
    <row r="2221" spans="1:10" ht="14.4" x14ac:dyDescent="0.3">
      <c r="A2221" s="28" t="str">
        <f>B2221&amp;C2221&amp;D2221&amp;E2221</f>
        <v>Товары для домаХозяйственные товарыИнвентарь для уборкиСовки</v>
      </c>
      <c r="B2221" s="29" t="s">
        <v>59</v>
      </c>
      <c r="C2221" s="29" t="s">
        <v>193</v>
      </c>
      <c r="D2221" s="29" t="s">
        <v>308</v>
      </c>
      <c r="E2221" s="29" t="s">
        <v>2748</v>
      </c>
      <c r="F2221" s="30">
        <v>0.2</v>
      </c>
      <c r="G2221" s="31"/>
      <c r="H2221" s="31"/>
      <c r="I2221" s="31"/>
      <c r="J2221" s="31"/>
    </row>
    <row r="2222" spans="1:10" ht="14.4" x14ac:dyDescent="0.3">
      <c r="A2222" s="28" t="str">
        <f>B2222&amp;C2222&amp;D2222&amp;E2222</f>
        <v>КнигиНехудожественная литератураМедицинаПсихиатрия. Психотерапия</v>
      </c>
      <c r="B2222" s="29" t="s">
        <v>63</v>
      </c>
      <c r="C2222" s="29" t="s">
        <v>141</v>
      </c>
      <c r="D2222" s="29" t="s">
        <v>1183</v>
      </c>
      <c r="E2222" s="29" t="s">
        <v>2749</v>
      </c>
      <c r="F2222" s="30">
        <v>0.2</v>
      </c>
      <c r="G2222" s="31"/>
      <c r="H2222" s="31"/>
      <c r="I2222" s="31"/>
      <c r="J2222" s="31"/>
    </row>
    <row r="2223" spans="1:10" ht="14.4" x14ac:dyDescent="0.3">
      <c r="A2223" s="28" t="str">
        <f>B2223&amp;C2223&amp;D2223&amp;E2223</f>
        <v>ЗоотоварыДля кошекКорма и лакомстваСухие корма</v>
      </c>
      <c r="B2223" s="29" t="s">
        <v>214</v>
      </c>
      <c r="C2223" s="29" t="s">
        <v>283</v>
      </c>
      <c r="D2223" s="29" t="s">
        <v>284</v>
      </c>
      <c r="E2223" s="29" t="s">
        <v>659</v>
      </c>
      <c r="F2223" s="30">
        <v>0.2</v>
      </c>
      <c r="G2223" s="31"/>
      <c r="H2223" s="31"/>
      <c r="I2223" s="31"/>
      <c r="J2223" s="31"/>
    </row>
    <row r="2224" spans="1:10" ht="14.4" x14ac:dyDescent="0.3">
      <c r="A2224" s="28" t="str">
        <f>B2224&amp;C2224&amp;D2224&amp;E2224</f>
        <v>Детские товарыГигиена и подгузникиУход за ребенкомСалфетки для детей</v>
      </c>
      <c r="B2224" s="29" t="s">
        <v>105</v>
      </c>
      <c r="C2224" s="29" t="s">
        <v>106</v>
      </c>
      <c r="D2224" s="29" t="s">
        <v>560</v>
      </c>
      <c r="E2224" s="29" t="s">
        <v>2756</v>
      </c>
      <c r="F2224" s="30">
        <v>0.2</v>
      </c>
      <c r="G2224" s="31"/>
      <c r="H2224" s="31"/>
      <c r="I2224" s="31"/>
      <c r="J2224" s="31"/>
    </row>
    <row r="2225" spans="1:10" ht="14.4" x14ac:dyDescent="0.3">
      <c r="A2225" s="28" t="str">
        <f>B2225&amp;C2225&amp;D2225&amp;E2225</f>
        <v>Красота и уходМакияжБровиТени для бровей</v>
      </c>
      <c r="B2225" s="29" t="s">
        <v>56</v>
      </c>
      <c r="C2225" s="29" t="s">
        <v>151</v>
      </c>
      <c r="D2225" s="29" t="s">
        <v>212</v>
      </c>
      <c r="E2225" s="29" t="s">
        <v>2757</v>
      </c>
      <c r="F2225" s="30">
        <v>0.2</v>
      </c>
      <c r="G2225" s="31"/>
      <c r="H2225" s="31"/>
      <c r="I2225" s="31"/>
      <c r="J2225" s="31"/>
    </row>
    <row r="2226" spans="1:10" ht="14.4" x14ac:dyDescent="0.3">
      <c r="A2226" s="28" t="str">
        <f>B2226&amp;C2226&amp;D2226&amp;E2226</f>
        <v>КнигиДетям и родителямПознавательная литератураЖивотные и растения</v>
      </c>
      <c r="B2226" s="29" t="s">
        <v>63</v>
      </c>
      <c r="C2226" s="29" t="s">
        <v>258</v>
      </c>
      <c r="D2226" s="29" t="s">
        <v>475</v>
      </c>
      <c r="E2226" s="29" t="s">
        <v>2758</v>
      </c>
      <c r="F2226" s="30">
        <v>0.2</v>
      </c>
      <c r="G2226" s="31"/>
      <c r="H2226" s="31"/>
      <c r="I2226" s="31"/>
      <c r="J2226" s="31"/>
    </row>
    <row r="2227" spans="1:10" ht="14.4" x14ac:dyDescent="0.3">
      <c r="A2227" s="28" t="str">
        <f>B2227&amp;C2227&amp;D2227&amp;E2227</f>
        <v>КнигиУчебная литература8 класс8 класс</v>
      </c>
      <c r="B2227" s="29" t="s">
        <v>63</v>
      </c>
      <c r="C2227" s="29" t="s">
        <v>210</v>
      </c>
      <c r="D2227" s="29" t="s">
        <v>2764</v>
      </c>
      <c r="E2227" s="29" t="s">
        <v>2764</v>
      </c>
      <c r="F2227" s="30">
        <v>0.2</v>
      </c>
      <c r="G2227" s="31"/>
      <c r="H2227" s="31"/>
      <c r="I2227" s="31"/>
      <c r="J2227" s="31"/>
    </row>
    <row r="2228" spans="1:10" ht="14.4" x14ac:dyDescent="0.3">
      <c r="A2228" s="28" t="str">
        <f>B2228&amp;C2228&amp;D2228&amp;E2228</f>
        <v>Красота и уходМаникюр и педикюрМатериалы для наращивания ногтейНакладные ногти, типсы и клей для ногтей</v>
      </c>
      <c r="B2228" s="29" t="s">
        <v>56</v>
      </c>
      <c r="C2228" s="29" t="s">
        <v>57</v>
      </c>
      <c r="D2228" s="29" t="s">
        <v>186</v>
      </c>
      <c r="E2228" s="29" t="s">
        <v>2765</v>
      </c>
      <c r="F2228" s="30">
        <v>0.2</v>
      </c>
      <c r="G2228" s="31"/>
      <c r="H2228" s="31"/>
      <c r="I2228" s="31"/>
      <c r="J2228" s="31"/>
    </row>
    <row r="2229" spans="1:10" ht="14.4" x14ac:dyDescent="0.3">
      <c r="A2229" s="28" t="str">
        <f>B2229&amp;C2229&amp;D2229&amp;E2229</f>
        <v>ЭлектроникаЧасы и электронные будильникиАромабудильники и картриджиАромабудильники и картриджи</v>
      </c>
      <c r="B2229" s="29" t="s">
        <v>67</v>
      </c>
      <c r="C2229" s="29" t="s">
        <v>2193</v>
      </c>
      <c r="D2229" s="29" t="s">
        <v>2769</v>
      </c>
      <c r="E2229" s="29" t="s">
        <v>2769</v>
      </c>
      <c r="F2229" s="30">
        <v>0.2</v>
      </c>
      <c r="G2229" s="31"/>
      <c r="H2229" s="31"/>
      <c r="I2229" s="31"/>
      <c r="J2229" s="31"/>
    </row>
    <row r="2230" spans="1:10" ht="14.4" x14ac:dyDescent="0.3">
      <c r="A2230" s="28" t="str">
        <f>B2230&amp;C2230&amp;D2230&amp;E2230</f>
        <v>КанцтоварыБумажная продукцияКонвертыКонверты</v>
      </c>
      <c r="B2230" s="29" t="s">
        <v>163</v>
      </c>
      <c r="C2230" s="29" t="s">
        <v>261</v>
      </c>
      <c r="D2230" s="29" t="s">
        <v>1697</v>
      </c>
      <c r="E2230" s="29" t="s">
        <v>1697</v>
      </c>
      <c r="F2230" s="30">
        <v>0.2</v>
      </c>
      <c r="G2230" s="31"/>
      <c r="H2230" s="31"/>
      <c r="I2230" s="31"/>
      <c r="J2230" s="31"/>
    </row>
    <row r="2231" spans="1:10" ht="14.4" x14ac:dyDescent="0.3">
      <c r="A2231" s="28" t="str">
        <f>B2231&amp;C2231&amp;D2231&amp;E2231</f>
        <v>Красота и уходДля мужчинМужская парфюмерияПарфюмерная вода</v>
      </c>
      <c r="B2231" s="29" t="s">
        <v>56</v>
      </c>
      <c r="C2231" s="29" t="s">
        <v>71</v>
      </c>
      <c r="D2231" s="29" t="s">
        <v>856</v>
      </c>
      <c r="E2231" s="29" t="s">
        <v>1345</v>
      </c>
      <c r="F2231" s="30">
        <v>0.2</v>
      </c>
      <c r="G2231" s="31"/>
      <c r="H2231" s="31"/>
      <c r="I2231" s="31"/>
      <c r="J2231" s="31"/>
    </row>
    <row r="2232" spans="1:10" ht="14.4" x14ac:dyDescent="0.3">
      <c r="A2232" s="28" t="str">
        <f>B2232&amp;C2232&amp;D2232&amp;E2232</f>
        <v>ЗдоровьеМассажеры и массажное оборудованиеМассажные столыМассажные столы</v>
      </c>
      <c r="B2232" s="29" t="s">
        <v>116</v>
      </c>
      <c r="C2232" s="29" t="s">
        <v>495</v>
      </c>
      <c r="D2232" s="29" t="s">
        <v>2772</v>
      </c>
      <c r="E2232" s="29" t="s">
        <v>2772</v>
      </c>
      <c r="F2232" s="30">
        <v>0.2</v>
      </c>
      <c r="G2232" s="31"/>
      <c r="H2232" s="31"/>
      <c r="I2232" s="31"/>
      <c r="J2232" s="31"/>
    </row>
    <row r="2233" spans="1:10" ht="14.4" x14ac:dyDescent="0.3">
      <c r="A2233" s="28" t="str">
        <f>B2233&amp;C2233&amp;D2233&amp;E2233</f>
        <v>ОбувьЖенская обувьТуфли и лоферыЛоферы</v>
      </c>
      <c r="B2233" s="29" t="s">
        <v>180</v>
      </c>
      <c r="C2233" s="29" t="s">
        <v>181</v>
      </c>
      <c r="D2233" s="29" t="s">
        <v>1332</v>
      </c>
      <c r="E2233" s="29" t="s">
        <v>1212</v>
      </c>
      <c r="F2233" s="30">
        <v>0.2</v>
      </c>
      <c r="G2233" s="31"/>
      <c r="H2233" s="31"/>
      <c r="I2233" s="31"/>
      <c r="J2233" s="31"/>
    </row>
    <row r="2234" spans="1:10" ht="14.4" x14ac:dyDescent="0.3">
      <c r="A2234" s="28" t="str">
        <f>B2234&amp;C2234&amp;D2234&amp;E2234</f>
        <v>Детские товарыДетская комнатаДетская мебельСтолы детские</v>
      </c>
      <c r="B2234" s="29" t="s">
        <v>105</v>
      </c>
      <c r="C2234" s="29" t="s">
        <v>397</v>
      </c>
      <c r="D2234" s="29" t="s">
        <v>617</v>
      </c>
      <c r="E2234" s="29" t="s">
        <v>2774</v>
      </c>
      <c r="F2234" s="30">
        <v>0.2</v>
      </c>
      <c r="G2234" s="31"/>
      <c r="H2234" s="31"/>
      <c r="I2234" s="31"/>
      <c r="J2234" s="31"/>
    </row>
    <row r="2235" spans="1:10" ht="14.4" x14ac:dyDescent="0.3">
      <c r="A2235" s="28" t="str">
        <f>B2235&amp;C2235&amp;D2235&amp;E2235</f>
        <v>Красота и уходУход за теломСредства для душа и ванныБомбочки для ванны</v>
      </c>
      <c r="B2235" s="29" t="s">
        <v>56</v>
      </c>
      <c r="C2235" s="29" t="s">
        <v>100</v>
      </c>
      <c r="D2235" s="29" t="s">
        <v>1205</v>
      </c>
      <c r="E2235" s="29" t="s">
        <v>2775</v>
      </c>
      <c r="F2235" s="30">
        <v>0.2</v>
      </c>
      <c r="G2235" s="31"/>
      <c r="H2235" s="31"/>
      <c r="I2235" s="31"/>
      <c r="J2235" s="31"/>
    </row>
    <row r="2236" spans="1:10" ht="14.4" x14ac:dyDescent="0.3">
      <c r="A2236" s="28" t="str">
        <f>B2236&amp;C2236&amp;D2236&amp;E2236</f>
        <v>КанцтоварыБумажная продукцияБумага копировальнаяБумага копировальная</v>
      </c>
      <c r="B2236" s="29" t="s">
        <v>163</v>
      </c>
      <c r="C2236" s="29" t="s">
        <v>261</v>
      </c>
      <c r="D2236" s="29" t="s">
        <v>2776</v>
      </c>
      <c r="E2236" s="29" t="s">
        <v>2776</v>
      </c>
      <c r="F2236" s="30">
        <v>0.2</v>
      </c>
      <c r="G2236" s="31"/>
      <c r="H2236" s="31"/>
      <c r="I2236" s="31"/>
      <c r="J2236" s="31"/>
    </row>
    <row r="2237" spans="1:10" ht="14.4" x14ac:dyDescent="0.3">
      <c r="A2237" s="28" t="str">
        <f>B2237&amp;C2237&amp;D2237&amp;E2237</f>
        <v>Красота и уходМаникюр и педикюрХна для ногтейХна для ногтей</v>
      </c>
      <c r="B2237" s="29" t="s">
        <v>56</v>
      </c>
      <c r="C2237" s="29" t="s">
        <v>57</v>
      </c>
      <c r="D2237" s="29" t="s">
        <v>2781</v>
      </c>
      <c r="E2237" s="29" t="s">
        <v>2781</v>
      </c>
      <c r="F2237" s="30">
        <v>0.2</v>
      </c>
      <c r="G2237" s="31"/>
      <c r="H2237" s="31"/>
      <c r="I2237" s="31"/>
      <c r="J2237" s="31"/>
    </row>
    <row r="2238" spans="1:10" ht="14.4" x14ac:dyDescent="0.3">
      <c r="A2238" s="28" t="str">
        <f>B2238&amp;C2238&amp;D2238&amp;E2238</f>
        <v>Детские товарыИгрушки и игрыКонструкторыДеревянные</v>
      </c>
      <c r="B2238" s="29" t="s">
        <v>105</v>
      </c>
      <c r="C2238" s="29" t="s">
        <v>184</v>
      </c>
      <c r="D2238" s="29" t="s">
        <v>1027</v>
      </c>
      <c r="E2238" s="29" t="s">
        <v>2782</v>
      </c>
      <c r="F2238" s="30">
        <v>0.2</v>
      </c>
      <c r="G2238" s="31"/>
      <c r="H2238" s="31"/>
      <c r="I2238" s="31"/>
      <c r="J2238" s="31"/>
    </row>
    <row r="2239" spans="1:10" ht="14.4" x14ac:dyDescent="0.3">
      <c r="A2239" s="28" t="str">
        <f>B2239&amp;C2239&amp;D2239&amp;E2239</f>
        <v>ЭлектроникаФото и видеотехникаОборудование для фотографовФотобоксы</v>
      </c>
      <c r="B2239" s="29" t="s">
        <v>67</v>
      </c>
      <c r="C2239" s="29" t="s">
        <v>174</v>
      </c>
      <c r="D2239" s="29" t="s">
        <v>575</v>
      </c>
      <c r="E2239" s="29" t="s">
        <v>2784</v>
      </c>
      <c r="F2239" s="30">
        <v>0.2</v>
      </c>
      <c r="G2239" s="31"/>
      <c r="H2239" s="31"/>
      <c r="I2239" s="31"/>
      <c r="J2239" s="31"/>
    </row>
    <row r="2240" spans="1:10" ht="14.4" x14ac:dyDescent="0.3">
      <c r="A2240" s="28" t="str">
        <f>B2240&amp;C2240&amp;D2240&amp;E2240</f>
        <v>Красота и уходУход за теломСредства для душа и ванныМасло для душа</v>
      </c>
      <c r="B2240" s="29" t="s">
        <v>56</v>
      </c>
      <c r="C2240" s="29" t="s">
        <v>100</v>
      </c>
      <c r="D2240" s="29" t="s">
        <v>1205</v>
      </c>
      <c r="E2240" s="29" t="s">
        <v>2788</v>
      </c>
      <c r="F2240" s="30">
        <v>0.2</v>
      </c>
      <c r="G2240" s="31"/>
      <c r="H2240" s="31"/>
      <c r="I2240" s="31"/>
      <c r="J2240" s="31"/>
    </row>
    <row r="2241" spans="1:10" ht="14.4" x14ac:dyDescent="0.3">
      <c r="A2241" s="28" t="str">
        <f>B2241&amp;C2241&amp;D2241&amp;E2241</f>
        <v>Строительство и ремонтИнструментыИзмерительные приборыИзмерение длин и углов наклона</v>
      </c>
      <c r="B2241" s="29" t="s">
        <v>77</v>
      </c>
      <c r="C2241" s="29" t="s">
        <v>78</v>
      </c>
      <c r="D2241" s="29" t="s">
        <v>418</v>
      </c>
      <c r="E2241" s="29" t="s">
        <v>2789</v>
      </c>
      <c r="F2241" s="30">
        <v>0.2</v>
      </c>
      <c r="G2241" s="31"/>
      <c r="H2241" s="31"/>
      <c r="I2241" s="31"/>
      <c r="J2241" s="31"/>
    </row>
    <row r="2242" spans="1:10" ht="14.4" x14ac:dyDescent="0.3">
      <c r="A2242" s="28" t="str">
        <f>B2242&amp;C2242&amp;D2242&amp;E2242</f>
        <v>ЭлектроникаКомпьютерная техникаКомплектующие для компьютерной техникиПрочая электротехника</v>
      </c>
      <c r="B2242" s="29" t="s">
        <v>67</v>
      </c>
      <c r="C2242" s="29" t="s">
        <v>234</v>
      </c>
      <c r="D2242" s="29" t="s">
        <v>898</v>
      </c>
      <c r="E2242" s="29" t="s">
        <v>2790</v>
      </c>
      <c r="F2242" s="30">
        <v>0.2</v>
      </c>
      <c r="G2242" s="31"/>
      <c r="H2242" s="31"/>
      <c r="I2242" s="31"/>
      <c r="J2242" s="31"/>
    </row>
    <row r="2243" spans="1:10" ht="14.4" x14ac:dyDescent="0.3">
      <c r="A2243" s="28" t="str">
        <f>B2243&amp;C2243&amp;D2243&amp;E2243</f>
        <v>КнигиНехудожественная литератураМедицинаПопулярная медицина</v>
      </c>
      <c r="B2243" s="29" t="s">
        <v>63</v>
      </c>
      <c r="C2243" s="29" t="s">
        <v>141</v>
      </c>
      <c r="D2243" s="29" t="s">
        <v>1183</v>
      </c>
      <c r="E2243" s="29" t="s">
        <v>2796</v>
      </c>
      <c r="F2243" s="30">
        <v>0.2</v>
      </c>
      <c r="G2243" s="31"/>
      <c r="H2243" s="31"/>
      <c r="I2243" s="31"/>
      <c r="J2243" s="31"/>
    </row>
    <row r="2244" spans="1:10" ht="14.4" x14ac:dyDescent="0.3">
      <c r="A2244" s="28" t="str">
        <f>B2244&amp;C2244&amp;D2244&amp;E2244</f>
        <v>Бытовая химияЧистящие и моющие средстваСредства для кухниСредства для кухни</v>
      </c>
      <c r="B2244" s="29" t="s">
        <v>146</v>
      </c>
      <c r="C2244" s="29" t="s">
        <v>567</v>
      </c>
      <c r="D2244" s="29" t="s">
        <v>2797</v>
      </c>
      <c r="E2244" s="29" t="s">
        <v>2797</v>
      </c>
      <c r="F2244" s="30">
        <v>0.2</v>
      </c>
      <c r="G2244" s="31"/>
      <c r="H2244" s="31"/>
      <c r="I2244" s="31"/>
      <c r="J2244" s="31"/>
    </row>
    <row r="2245" spans="1:10" ht="14.4" x14ac:dyDescent="0.3">
      <c r="A2245" s="28" t="str">
        <f>B2245&amp;C2245&amp;D2245&amp;E2245</f>
        <v>Дача, сад и огородПикник, барбекю, грильШампурыШампуры</v>
      </c>
      <c r="B2245" s="29" t="s">
        <v>352</v>
      </c>
      <c r="C2245" s="29" t="s">
        <v>1048</v>
      </c>
      <c r="D2245" s="29" t="s">
        <v>2800</v>
      </c>
      <c r="E2245" s="29" t="s">
        <v>2800</v>
      </c>
      <c r="F2245" s="30">
        <v>0.2</v>
      </c>
      <c r="G2245" s="31"/>
      <c r="H2245" s="31"/>
      <c r="I2245" s="31"/>
      <c r="J2245" s="31"/>
    </row>
    <row r="2246" spans="1:10" ht="14.4" x14ac:dyDescent="0.3">
      <c r="A2246" s="28" t="str">
        <f>B2246&amp;C2246&amp;D2246&amp;E2246</f>
        <v>ЭлектроникаФото и видеотехникаАксессуары для фото- и видеокамерПереходные кольца/адаптеры для объективов</v>
      </c>
      <c r="B2246" s="29" t="s">
        <v>67</v>
      </c>
      <c r="C2246" s="29" t="s">
        <v>174</v>
      </c>
      <c r="D2246" s="29" t="s">
        <v>175</v>
      </c>
      <c r="E2246" s="29" t="s">
        <v>2802</v>
      </c>
      <c r="F2246" s="30">
        <v>0.2</v>
      </c>
      <c r="G2246" s="31"/>
      <c r="H2246" s="31"/>
      <c r="I2246" s="31"/>
      <c r="J2246" s="31"/>
    </row>
    <row r="2247" spans="1:10" ht="14.4" x14ac:dyDescent="0.3">
      <c r="A2247" s="28" t="str">
        <f>B2247&amp;C2247&amp;D2247&amp;E2247</f>
        <v>ЗдоровьеМедицинские изделия и расходные материалыПеревязочные материалыМарли</v>
      </c>
      <c r="B2247" s="29" t="s">
        <v>116</v>
      </c>
      <c r="C2247" s="29" t="s">
        <v>436</v>
      </c>
      <c r="D2247" s="29" t="s">
        <v>1956</v>
      </c>
      <c r="E2247" s="29" t="s">
        <v>2803</v>
      </c>
      <c r="F2247" s="30">
        <v>0.2</v>
      </c>
      <c r="G2247" s="31"/>
      <c r="H2247" s="31"/>
      <c r="I2247" s="31"/>
      <c r="J2247" s="31"/>
    </row>
    <row r="2248" spans="1:10" ht="14.4" x14ac:dyDescent="0.3">
      <c r="A2248" s="28" t="str">
        <f>B2248&amp;C2248&amp;D2248&amp;E2248</f>
        <v>Спорт и отдыхТренажерыАксессуары для тренажеровАксессуары для тренажеров</v>
      </c>
      <c r="B2248" s="29" t="s">
        <v>101</v>
      </c>
      <c r="C2248" s="29" t="s">
        <v>1995</v>
      </c>
      <c r="D2248" s="29" t="s">
        <v>2806</v>
      </c>
      <c r="E2248" s="29" t="s">
        <v>2806</v>
      </c>
      <c r="F2248" s="30">
        <v>0.2</v>
      </c>
      <c r="G2248" s="31"/>
      <c r="H2248" s="31"/>
      <c r="I2248" s="31"/>
      <c r="J2248" s="31"/>
    </row>
    <row r="2249" spans="1:10" ht="14.4" x14ac:dyDescent="0.3">
      <c r="A2249" s="28" t="str">
        <f>B2249&amp;C2249&amp;D2249&amp;E2249</f>
        <v>ЭлектроникаНаушники и аудиотехникаАудиотехникаМагнитофоны</v>
      </c>
      <c r="B2249" s="29" t="s">
        <v>67</v>
      </c>
      <c r="C2249" s="29" t="s">
        <v>74</v>
      </c>
      <c r="D2249" s="29" t="s">
        <v>409</v>
      </c>
      <c r="E2249" s="29" t="s">
        <v>2810</v>
      </c>
      <c r="F2249" s="30">
        <v>0.2</v>
      </c>
      <c r="G2249" s="31"/>
      <c r="H2249" s="31"/>
      <c r="I2249" s="31"/>
      <c r="J2249" s="31"/>
    </row>
    <row r="2250" spans="1:10" ht="14.4" x14ac:dyDescent="0.3">
      <c r="A2250" s="28" t="str">
        <f>B2250&amp;C2250&amp;D2250&amp;E2250</f>
        <v>КнигиХудожественная литератураФэнтезиФэнтези</v>
      </c>
      <c r="B2250" s="29" t="s">
        <v>63</v>
      </c>
      <c r="C2250" s="29" t="s">
        <v>374</v>
      </c>
      <c r="D2250" s="29" t="s">
        <v>2768</v>
      </c>
      <c r="E2250" s="29" t="s">
        <v>2768</v>
      </c>
      <c r="F2250" s="30">
        <v>0.2</v>
      </c>
      <c r="G2250" s="31"/>
      <c r="H2250" s="31"/>
      <c r="I2250" s="31"/>
      <c r="J2250" s="31"/>
    </row>
    <row r="2251" spans="1:10" ht="14.4" x14ac:dyDescent="0.3">
      <c r="A2251" s="28" t="str">
        <f>B2251&amp;C2251&amp;D2251&amp;E2251</f>
        <v>Товары для домаХозяйственные товарыАксессуары для ваннойПробки для ванны и раковины</v>
      </c>
      <c r="B2251" s="29" t="s">
        <v>59</v>
      </c>
      <c r="C2251" s="29" t="s">
        <v>193</v>
      </c>
      <c r="D2251" s="29" t="s">
        <v>194</v>
      </c>
      <c r="E2251" s="29" t="s">
        <v>2816</v>
      </c>
      <c r="F2251" s="30">
        <v>0.2</v>
      </c>
      <c r="G2251" s="31"/>
      <c r="H2251" s="31"/>
      <c r="I2251" s="31"/>
      <c r="J2251" s="31"/>
    </row>
    <row r="2252" spans="1:10" ht="14.4" x14ac:dyDescent="0.3">
      <c r="A2252" s="28" t="str">
        <f>B2252&amp;C2252&amp;D2252&amp;E2252</f>
        <v>Продукты питанияШоколад, конфеты, сладостиКонфетыЖелейные конфеты</v>
      </c>
      <c r="B2252" s="29" t="s">
        <v>248</v>
      </c>
      <c r="C2252" s="29" t="s">
        <v>249</v>
      </c>
      <c r="D2252" s="29" t="s">
        <v>870</v>
      </c>
      <c r="E2252" s="29" t="s">
        <v>2817</v>
      </c>
      <c r="F2252" s="30">
        <v>0.2</v>
      </c>
      <c r="G2252" s="31"/>
      <c r="H2252" s="31"/>
      <c r="I2252" s="31"/>
      <c r="J2252" s="31"/>
    </row>
    <row r="2253" spans="1:10" ht="14.4" x14ac:dyDescent="0.3">
      <c r="A2253" s="28" t="str">
        <f>B2253&amp;C2253&amp;D2253&amp;E2253</f>
        <v>Детские товарыДетская комнатаДекор и освещениеРостомеры</v>
      </c>
      <c r="B2253" s="29" t="s">
        <v>105</v>
      </c>
      <c r="C2253" s="29" t="s">
        <v>397</v>
      </c>
      <c r="D2253" s="29" t="s">
        <v>455</v>
      </c>
      <c r="E2253" s="29" t="s">
        <v>2819</v>
      </c>
      <c r="F2253" s="30">
        <v>0.2</v>
      </c>
      <c r="G2253" s="31"/>
      <c r="H2253" s="31"/>
      <c r="I2253" s="31"/>
      <c r="J2253" s="31"/>
    </row>
    <row r="2254" spans="1:10" ht="14.4" x14ac:dyDescent="0.3">
      <c r="A2254" s="28" t="str">
        <f>B2254&amp;C2254&amp;D2254&amp;E2254</f>
        <v>Красота и уходУход за волосамиОкрашивание и химическая завивкаКисти и аксессуары для окрашивания</v>
      </c>
      <c r="B2254" s="29" t="s">
        <v>56</v>
      </c>
      <c r="C2254" s="29" t="s">
        <v>109</v>
      </c>
      <c r="D2254" s="29" t="s">
        <v>362</v>
      </c>
      <c r="E2254" s="29" t="s">
        <v>2828</v>
      </c>
      <c r="F2254" s="30">
        <v>0.2</v>
      </c>
      <c r="G2254" s="31"/>
      <c r="H2254" s="31"/>
      <c r="I2254" s="31"/>
      <c r="J2254" s="31"/>
    </row>
    <row r="2255" spans="1:10" ht="14.4" x14ac:dyDescent="0.3">
      <c r="A2255" s="28" t="str">
        <f>B2255&amp;C2255&amp;D2255&amp;E2255</f>
        <v>КанцтоварыПапки и файлыПапки для дипломаПапки для диплома</v>
      </c>
      <c r="B2255" s="29" t="s">
        <v>163</v>
      </c>
      <c r="C2255" s="29" t="s">
        <v>293</v>
      </c>
      <c r="D2255" s="29" t="s">
        <v>2829</v>
      </c>
      <c r="E2255" s="29" t="s">
        <v>2829</v>
      </c>
      <c r="F2255" s="30">
        <v>0.2</v>
      </c>
      <c r="G2255" s="31"/>
      <c r="H2255" s="31"/>
      <c r="I2255" s="31"/>
      <c r="J2255" s="31"/>
    </row>
    <row r="2256" spans="1:10" ht="14.4" x14ac:dyDescent="0.3">
      <c r="A2256" s="28" t="str">
        <f>B2256&amp;C2256&amp;D2256&amp;E2256</f>
        <v>Красота и уходМакияжЛицоКорректоры и консилеры</v>
      </c>
      <c r="B2256" s="29" t="s">
        <v>56</v>
      </c>
      <c r="C2256" s="29" t="s">
        <v>151</v>
      </c>
      <c r="D2256" s="29" t="s">
        <v>602</v>
      </c>
      <c r="E2256" s="29" t="s">
        <v>2830</v>
      </c>
      <c r="F2256" s="30">
        <v>0.2</v>
      </c>
      <c r="G2256" s="31"/>
      <c r="H2256" s="31"/>
      <c r="I2256" s="31"/>
      <c r="J2256" s="31"/>
    </row>
    <row r="2257" spans="1:10" ht="14.4" x14ac:dyDescent="0.3">
      <c r="A2257" s="28" t="str">
        <f>B2257&amp;C2257&amp;D2257&amp;E2257</f>
        <v>Красота и уходЛичная гигиенаИнтимная гигиенаПеленки и подгузники для взрослых</v>
      </c>
      <c r="B2257" s="29" t="s">
        <v>56</v>
      </c>
      <c r="C2257" s="29" t="s">
        <v>120</v>
      </c>
      <c r="D2257" s="29" t="s">
        <v>483</v>
      </c>
      <c r="E2257" s="29" t="s">
        <v>2832</v>
      </c>
      <c r="F2257" s="30">
        <v>0.2</v>
      </c>
      <c r="G2257" s="31"/>
      <c r="H2257" s="31"/>
      <c r="I2257" s="31"/>
      <c r="J2257" s="31"/>
    </row>
    <row r="2258" spans="1:10" ht="14.4" x14ac:dyDescent="0.3">
      <c r="A2258" s="28" t="str">
        <f>B2258&amp;C2258&amp;D2258&amp;E2258</f>
        <v>КанцтоварыПисьменные принадлежностиАксессуары и расходники для ручекАксессуары и расходники для ручек</v>
      </c>
      <c r="B2258" s="29" t="s">
        <v>163</v>
      </c>
      <c r="C2258" s="29" t="s">
        <v>684</v>
      </c>
      <c r="D2258" s="29" t="s">
        <v>2833</v>
      </c>
      <c r="E2258" s="29" t="s">
        <v>2833</v>
      </c>
      <c r="F2258" s="30">
        <v>0.2</v>
      </c>
      <c r="G2258" s="31"/>
      <c r="H2258" s="31"/>
      <c r="I2258" s="31"/>
      <c r="J2258" s="31"/>
    </row>
    <row r="2259" spans="1:10" ht="14.4" x14ac:dyDescent="0.3">
      <c r="A2259" s="28" t="str">
        <f>B2259&amp;C2259&amp;D2259&amp;E2259</f>
        <v>Красота и уходМакияжБровиСыворотки и масла для ухода за бровями</v>
      </c>
      <c r="B2259" s="29" t="s">
        <v>56</v>
      </c>
      <c r="C2259" s="29" t="s">
        <v>151</v>
      </c>
      <c r="D2259" s="29" t="s">
        <v>212</v>
      </c>
      <c r="E2259" s="29" t="s">
        <v>2834</v>
      </c>
      <c r="F2259" s="30">
        <v>0.2</v>
      </c>
      <c r="G2259" s="31"/>
      <c r="H2259" s="31"/>
      <c r="I2259" s="31"/>
      <c r="J2259" s="31"/>
    </row>
    <row r="2260" spans="1:10" ht="14.4" x14ac:dyDescent="0.3">
      <c r="A2260" s="28" t="str">
        <f>B2260&amp;C2260&amp;D2260&amp;E2260</f>
        <v>ОбувьЖенская обувьРезиновая обувьСандалии</v>
      </c>
      <c r="B2260" s="29" t="s">
        <v>180</v>
      </c>
      <c r="C2260" s="29" t="s">
        <v>181</v>
      </c>
      <c r="D2260" s="29" t="s">
        <v>593</v>
      </c>
      <c r="E2260" s="29" t="s">
        <v>336</v>
      </c>
      <c r="F2260" s="30">
        <v>0.2</v>
      </c>
      <c r="G2260" s="31"/>
      <c r="H2260" s="31"/>
      <c r="I2260" s="31"/>
      <c r="J2260" s="31"/>
    </row>
    <row r="2261" spans="1:10" ht="14.4" x14ac:dyDescent="0.3">
      <c r="A2261" s="28" t="str">
        <f>B2261&amp;C2261&amp;D2261&amp;E2261</f>
        <v>Красота и уходУход за волосамиСредства для укладкиБлеск</v>
      </c>
      <c r="B2261" s="29" t="s">
        <v>56</v>
      </c>
      <c r="C2261" s="29" t="s">
        <v>109</v>
      </c>
      <c r="D2261" s="29" t="s">
        <v>73</v>
      </c>
      <c r="E2261" s="29" t="s">
        <v>2838</v>
      </c>
      <c r="F2261" s="30">
        <v>0.2</v>
      </c>
      <c r="G2261" s="31"/>
      <c r="H2261" s="31"/>
      <c r="I2261" s="31"/>
      <c r="J2261" s="31"/>
    </row>
    <row r="2262" spans="1:10" ht="14.4" x14ac:dyDescent="0.3">
      <c r="A2262" s="28" t="str">
        <f>B2262&amp;C2262&amp;D2262&amp;E2262</f>
        <v>Детские товарыДетская комнатаТовары для снаКоконы и позиционеры</v>
      </c>
      <c r="B2262" s="29" t="s">
        <v>105</v>
      </c>
      <c r="C2262" s="29" t="s">
        <v>397</v>
      </c>
      <c r="D2262" s="29" t="s">
        <v>581</v>
      </c>
      <c r="E2262" s="29" t="s">
        <v>2842</v>
      </c>
      <c r="F2262" s="30">
        <v>0.2</v>
      </c>
      <c r="G2262" s="31"/>
      <c r="H2262" s="31"/>
      <c r="I2262" s="31"/>
      <c r="J2262" s="31"/>
    </row>
    <row r="2263" spans="1:10" ht="14.4" x14ac:dyDescent="0.3">
      <c r="A2263" s="28" t="str">
        <f>B2263&amp;C2263&amp;D2263&amp;E2263</f>
        <v>КанцтоварыБумажная продукцияБланки, визитки и сертификатыДизайн-бумага</v>
      </c>
      <c r="B2263" s="29" t="s">
        <v>163</v>
      </c>
      <c r="C2263" s="29" t="s">
        <v>261</v>
      </c>
      <c r="D2263" s="29" t="s">
        <v>2117</v>
      </c>
      <c r="E2263" s="29" t="s">
        <v>2843</v>
      </c>
      <c r="F2263" s="30">
        <v>0.2</v>
      </c>
      <c r="G2263" s="31"/>
      <c r="H2263" s="31"/>
      <c r="I2263" s="31"/>
      <c r="J2263" s="31"/>
    </row>
    <row r="2264" spans="1:10" ht="14.4" x14ac:dyDescent="0.3">
      <c r="A2264" s="28" t="str">
        <f>B2264&amp;C2264&amp;D2264&amp;E2264</f>
        <v>Строительство и ремонтВодоснабжение для дома и садаДля автоматического водоснабженияДля автоматического водоснабжения</v>
      </c>
      <c r="B2264" s="29" t="s">
        <v>77</v>
      </c>
      <c r="C2264" s="29" t="s">
        <v>676</v>
      </c>
      <c r="D2264" s="29" t="s">
        <v>2846</v>
      </c>
      <c r="E2264" s="29" t="s">
        <v>2846</v>
      </c>
      <c r="F2264" s="30">
        <v>0.2</v>
      </c>
      <c r="G2264" s="31"/>
      <c r="H2264" s="31"/>
      <c r="I2264" s="31"/>
      <c r="J2264" s="31"/>
    </row>
    <row r="2265" spans="1:10" ht="14.4" x14ac:dyDescent="0.3">
      <c r="A2265" s="28" t="str">
        <f>B2265&amp;C2265&amp;D2265&amp;E2265</f>
        <v>КанцтоварыБумажная продукцияПленка самоклеящаяся, наклейки и этикеткиНаклейки для консервации, хранения</v>
      </c>
      <c r="B2265" s="29" t="s">
        <v>163</v>
      </c>
      <c r="C2265" s="29" t="s">
        <v>261</v>
      </c>
      <c r="D2265" s="29" t="s">
        <v>1050</v>
      </c>
      <c r="E2265" s="29" t="s">
        <v>2847</v>
      </c>
      <c r="F2265" s="30">
        <v>0.2</v>
      </c>
      <c r="G2265" s="31"/>
      <c r="H2265" s="31"/>
      <c r="I2265" s="31"/>
      <c r="J2265" s="31"/>
    </row>
    <row r="2266" spans="1:10" ht="14.4" x14ac:dyDescent="0.3">
      <c r="A2266" s="28" t="str">
        <f>B2266&amp;C2266&amp;D2266&amp;E2266</f>
        <v>КнигиУчебная литература6 класс6 класс</v>
      </c>
      <c r="B2266" s="29" t="s">
        <v>63</v>
      </c>
      <c r="C2266" s="29" t="s">
        <v>210</v>
      </c>
      <c r="D2266" s="29" t="s">
        <v>2849</v>
      </c>
      <c r="E2266" s="29" t="s">
        <v>2849</v>
      </c>
      <c r="F2266" s="30">
        <v>0.2</v>
      </c>
      <c r="G2266" s="31"/>
      <c r="H2266" s="31"/>
      <c r="I2266" s="31"/>
      <c r="J2266" s="31"/>
    </row>
    <row r="2267" spans="1:10" ht="14.4" x14ac:dyDescent="0.3">
      <c r="A2267" s="28" t="str">
        <f>B2267&amp;C2267&amp;D2267&amp;E2267</f>
        <v>ЭлектроникаУмный дом и безопасностьБезопасность домаОповещатели</v>
      </c>
      <c r="B2267" s="29" t="s">
        <v>67</v>
      </c>
      <c r="C2267" s="29" t="s">
        <v>411</v>
      </c>
      <c r="D2267" s="29" t="s">
        <v>412</v>
      </c>
      <c r="E2267" s="29" t="s">
        <v>2850</v>
      </c>
      <c r="F2267" s="30">
        <v>0.2</v>
      </c>
      <c r="G2267" s="31"/>
      <c r="H2267" s="31"/>
      <c r="I2267" s="31"/>
      <c r="J2267" s="31"/>
    </row>
    <row r="2268" spans="1:10" ht="14.4" x14ac:dyDescent="0.3">
      <c r="A2268" s="28" t="str">
        <f>B2268&amp;C2268&amp;D2268&amp;E2268</f>
        <v>ЗоотоварыДля собакКорма и ЛакомстваЛакомства</v>
      </c>
      <c r="B2268" s="29" t="s">
        <v>214</v>
      </c>
      <c r="C2268" s="29" t="s">
        <v>509</v>
      </c>
      <c r="D2268" s="29" t="s">
        <v>658</v>
      </c>
      <c r="E2268" s="29" t="s">
        <v>962</v>
      </c>
      <c r="F2268" s="30">
        <v>0.2</v>
      </c>
      <c r="G2268" s="31"/>
      <c r="H2268" s="31"/>
      <c r="I2268" s="31"/>
      <c r="J2268" s="31"/>
    </row>
    <row r="2269" spans="1:10" ht="14.4" x14ac:dyDescent="0.3">
      <c r="A2269" s="28" t="str">
        <f>B2269&amp;C2269&amp;D2269&amp;E2269</f>
        <v>ЗдоровьеМедицинские изделия и расходные материалыРасходные материалыАксессуары для стерилизации</v>
      </c>
      <c r="B2269" s="29" t="s">
        <v>116</v>
      </c>
      <c r="C2269" s="29" t="s">
        <v>436</v>
      </c>
      <c r="D2269" s="29" t="s">
        <v>1110</v>
      </c>
      <c r="E2269" s="29" t="s">
        <v>2859</v>
      </c>
      <c r="F2269" s="30">
        <v>0.2</v>
      </c>
      <c r="G2269" s="31"/>
      <c r="H2269" s="31"/>
      <c r="I2269" s="31"/>
      <c r="J2269" s="31"/>
    </row>
    <row r="2270" spans="1:10" ht="14.4" x14ac:dyDescent="0.3">
      <c r="A2270" s="28" t="str">
        <f>B2270&amp;C2270&amp;D2270&amp;E2270</f>
        <v>КнигиДетям и родителямХудожественная литератураСтихи</v>
      </c>
      <c r="B2270" s="29" t="s">
        <v>63</v>
      </c>
      <c r="C2270" s="29" t="s">
        <v>258</v>
      </c>
      <c r="D2270" s="29" t="s">
        <v>374</v>
      </c>
      <c r="E2270" s="29" t="s">
        <v>2860</v>
      </c>
      <c r="F2270" s="30">
        <v>0.2</v>
      </c>
      <c r="G2270" s="31"/>
      <c r="H2270" s="31"/>
      <c r="I2270" s="31"/>
      <c r="J2270" s="31"/>
    </row>
    <row r="2271" spans="1:10" ht="14.4" x14ac:dyDescent="0.3">
      <c r="A2271" s="28" t="str">
        <f>B2271&amp;C2271&amp;D2271&amp;E2271</f>
        <v>Красота и уходУход за волосамиСредства для укладкиГели</v>
      </c>
      <c r="B2271" s="29" t="s">
        <v>56</v>
      </c>
      <c r="C2271" s="29" t="s">
        <v>109</v>
      </c>
      <c r="D2271" s="29" t="s">
        <v>73</v>
      </c>
      <c r="E2271" s="29" t="s">
        <v>2861</v>
      </c>
      <c r="F2271" s="30">
        <v>0.2</v>
      </c>
      <c r="G2271" s="31"/>
      <c r="H2271" s="31"/>
      <c r="I2271" s="31"/>
      <c r="J2271" s="31"/>
    </row>
    <row r="2272" spans="1:10" ht="14.4" x14ac:dyDescent="0.3">
      <c r="A2272" s="28" t="str">
        <f>B2272&amp;C2272&amp;D2272&amp;E2272</f>
        <v>Бытовая химияСредства для стиркиХозяйственное мылоХозяйственное мыло</v>
      </c>
      <c r="B2272" s="29" t="s">
        <v>146</v>
      </c>
      <c r="C2272" s="29" t="s">
        <v>797</v>
      </c>
      <c r="D2272" s="29" t="s">
        <v>2862</v>
      </c>
      <c r="E2272" s="29" t="s">
        <v>2862</v>
      </c>
      <c r="F2272" s="30">
        <v>0.2</v>
      </c>
      <c r="G2272" s="31"/>
      <c r="H2272" s="31"/>
      <c r="I2272" s="31"/>
      <c r="J2272" s="31"/>
    </row>
    <row r="2273" spans="1:10" ht="14.4" x14ac:dyDescent="0.3">
      <c r="A2273" s="28" t="str">
        <f>B2273&amp;C2273&amp;D2273&amp;E2273</f>
        <v>Красота и уходУход за теломСредства для душа и ванныСкрабы и пилинги</v>
      </c>
      <c r="B2273" s="29" t="s">
        <v>56</v>
      </c>
      <c r="C2273" s="29" t="s">
        <v>100</v>
      </c>
      <c r="D2273" s="29" t="s">
        <v>1205</v>
      </c>
      <c r="E2273" s="29" t="s">
        <v>2060</v>
      </c>
      <c r="F2273" s="30">
        <v>0.2</v>
      </c>
      <c r="G2273" s="31"/>
      <c r="H2273" s="31"/>
      <c r="I2273" s="31"/>
      <c r="J2273" s="31"/>
    </row>
    <row r="2274" spans="1:10" ht="14.4" x14ac:dyDescent="0.3">
      <c r="A2274" s="28" t="str">
        <f>B2274&amp;C2274&amp;D2274&amp;E2274</f>
        <v>АвтотоварыЭлектроника для автоВыключатели зажиганияВыключатели зажигания</v>
      </c>
      <c r="B2274" s="29" t="s">
        <v>12</v>
      </c>
      <c r="C2274" s="29" t="s">
        <v>360</v>
      </c>
      <c r="D2274" s="29" t="s">
        <v>2866</v>
      </c>
      <c r="E2274" s="29" t="s">
        <v>2866</v>
      </c>
      <c r="F2274" s="30">
        <v>0.2</v>
      </c>
      <c r="G2274" s="31"/>
      <c r="H2274" s="31"/>
      <c r="I2274" s="31"/>
      <c r="J2274" s="31"/>
    </row>
    <row r="2275" spans="1:10" ht="14.4" x14ac:dyDescent="0.3">
      <c r="A2275" s="28" t="str">
        <f>B2275&amp;C2275&amp;D2275&amp;E2275</f>
        <v>Бытовая химияСредства по уходу за обувьюЗащита от воды, от соли и реагентовЗащита от воды, от соли и реагентов</v>
      </c>
      <c r="B2275" s="29" t="s">
        <v>146</v>
      </c>
      <c r="C2275" s="29" t="s">
        <v>344</v>
      </c>
      <c r="D2275" s="29" t="s">
        <v>2869</v>
      </c>
      <c r="E2275" s="29" t="s">
        <v>2869</v>
      </c>
      <c r="F2275" s="30">
        <v>0.2</v>
      </c>
      <c r="G2275" s="31"/>
      <c r="H2275" s="31"/>
      <c r="I2275" s="31"/>
      <c r="J2275" s="31"/>
    </row>
    <row r="2276" spans="1:10" ht="14.4" x14ac:dyDescent="0.3">
      <c r="A2276" s="28" t="str">
        <f>B2276&amp;C2276&amp;D2276&amp;E2276</f>
        <v>ОбувьЖенская обувьТуфли и лоферыЛодочки</v>
      </c>
      <c r="B2276" s="29" t="s">
        <v>180</v>
      </c>
      <c r="C2276" s="29" t="s">
        <v>181</v>
      </c>
      <c r="D2276" s="29" t="s">
        <v>1332</v>
      </c>
      <c r="E2276" s="29" t="s">
        <v>2871</v>
      </c>
      <c r="F2276" s="30">
        <v>0.2</v>
      </c>
      <c r="G2276" s="31"/>
      <c r="H2276" s="31"/>
      <c r="I2276" s="31"/>
      <c r="J2276" s="31"/>
    </row>
    <row r="2277" spans="1:10" ht="14.4" x14ac:dyDescent="0.3">
      <c r="A2277" s="28" t="str">
        <f>B2277&amp;C2277&amp;D2277&amp;E2277</f>
        <v>КнигиНехудожественная литератураПсихологияЛюбовь и отношения</v>
      </c>
      <c r="B2277" s="29" t="s">
        <v>63</v>
      </c>
      <c r="C2277" s="29" t="s">
        <v>141</v>
      </c>
      <c r="D2277" s="29" t="s">
        <v>1304</v>
      </c>
      <c r="E2277" s="29" t="s">
        <v>2872</v>
      </c>
      <c r="F2277" s="30">
        <v>0.2</v>
      </c>
      <c r="G2277" s="31"/>
      <c r="H2277" s="31"/>
      <c r="I2277" s="31"/>
      <c r="J2277" s="31"/>
    </row>
    <row r="2278" spans="1:10" ht="14.4" x14ac:dyDescent="0.3">
      <c r="A2278" s="28" t="str">
        <f>B2278&amp;C2278&amp;D2278&amp;E2278</f>
        <v>КнигиНехудожественная литератураСаморазвитиеЭмоциональный интеллект</v>
      </c>
      <c r="B2278" s="29" t="s">
        <v>63</v>
      </c>
      <c r="C2278" s="29" t="s">
        <v>141</v>
      </c>
      <c r="D2278" s="29" t="s">
        <v>452</v>
      </c>
      <c r="E2278" s="29" t="s">
        <v>2873</v>
      </c>
      <c r="F2278" s="30">
        <v>0.2</v>
      </c>
      <c r="G2278" s="31"/>
      <c r="H2278" s="31"/>
      <c r="I2278" s="31"/>
      <c r="J2278" s="31"/>
    </row>
    <row r="2279" spans="1:10" ht="14.4" x14ac:dyDescent="0.3">
      <c r="A2279" s="28" t="str">
        <f>B2279&amp;C2279&amp;D2279&amp;E2279</f>
        <v>Красота и уходКорейская косметикаУход за лицомМаски</v>
      </c>
      <c r="B2279" s="29" t="s">
        <v>56</v>
      </c>
      <c r="C2279" s="29" t="s">
        <v>211</v>
      </c>
      <c r="D2279" s="29" t="s">
        <v>238</v>
      </c>
      <c r="E2279" s="29" t="s">
        <v>239</v>
      </c>
      <c r="F2279" s="30">
        <v>0.2</v>
      </c>
      <c r="G2279" s="31"/>
      <c r="H2279" s="31"/>
      <c r="I2279" s="31"/>
      <c r="J2279" s="31"/>
    </row>
    <row r="2280" spans="1:10" ht="14.4" x14ac:dyDescent="0.3">
      <c r="A2280" s="28" t="str">
        <f>B2280&amp;C2280&amp;D2280&amp;E2280</f>
        <v>Детские товарыГигиена и подгузникиДетская косметикаСредства для купания</v>
      </c>
      <c r="B2280" s="29" t="s">
        <v>105</v>
      </c>
      <c r="C2280" s="29" t="s">
        <v>106</v>
      </c>
      <c r="D2280" s="29" t="s">
        <v>586</v>
      </c>
      <c r="E2280" s="29" t="s">
        <v>2876</v>
      </c>
      <c r="F2280" s="30">
        <v>0.2</v>
      </c>
      <c r="G2280" s="31"/>
      <c r="H2280" s="31"/>
      <c r="I2280" s="31"/>
      <c r="J2280" s="31"/>
    </row>
    <row r="2281" spans="1:10" ht="14.4" x14ac:dyDescent="0.3">
      <c r="A2281" s="28" t="str">
        <f>B2281&amp;C2281&amp;D2281&amp;E2281</f>
        <v>Бытовая химияСредства для ухода за бытовой техникойДля мелкой бытовой техникиДля мелкой бытовой техники</v>
      </c>
      <c r="B2281" s="29" t="s">
        <v>146</v>
      </c>
      <c r="C2281" s="29" t="s">
        <v>147</v>
      </c>
      <c r="D2281" s="29" t="s">
        <v>2877</v>
      </c>
      <c r="E2281" s="29" t="s">
        <v>2877</v>
      </c>
      <c r="F2281" s="30">
        <v>0.2</v>
      </c>
      <c r="G2281" s="31"/>
      <c r="H2281" s="31"/>
      <c r="I2281" s="31"/>
      <c r="J2281" s="31"/>
    </row>
    <row r="2282" spans="1:10" ht="14.4" x14ac:dyDescent="0.3">
      <c r="A2282" s="28" t="str">
        <f>B2282&amp;C2282&amp;D2282&amp;E2282</f>
        <v>Строительство и ремонтРучной инструмент и оснасткаКлючиНаборы ключей</v>
      </c>
      <c r="B2282" s="29" t="s">
        <v>77</v>
      </c>
      <c r="C2282" s="29" t="s">
        <v>127</v>
      </c>
      <c r="D2282" s="29" t="s">
        <v>462</v>
      </c>
      <c r="E2282" s="29" t="s">
        <v>2878</v>
      </c>
      <c r="F2282" s="30">
        <v>0.2</v>
      </c>
      <c r="G2282" s="31"/>
      <c r="H2282" s="31"/>
      <c r="I2282" s="31"/>
      <c r="J2282" s="31"/>
    </row>
    <row r="2283" spans="1:10" ht="14.4" x14ac:dyDescent="0.3">
      <c r="A2283" s="28" t="str">
        <f>B2283&amp;C2283&amp;D2283&amp;E2283</f>
        <v>ОбувьМужская обувьСапоги и уггиВаленки</v>
      </c>
      <c r="B2283" s="29" t="s">
        <v>180</v>
      </c>
      <c r="C2283" s="29" t="s">
        <v>279</v>
      </c>
      <c r="D2283" s="29" t="s">
        <v>190</v>
      </c>
      <c r="E2283" s="29" t="s">
        <v>2879</v>
      </c>
      <c r="F2283" s="30">
        <v>0.2</v>
      </c>
      <c r="G2283" s="31"/>
      <c r="H2283" s="31"/>
      <c r="I2283" s="31"/>
      <c r="J2283" s="31"/>
    </row>
    <row r="2284" spans="1:10" ht="14.4" x14ac:dyDescent="0.3">
      <c r="A2284" s="28" t="str">
        <f>B2284&amp;C2284&amp;D2284&amp;E2284</f>
        <v>Бытовая химияСредства для стиркиГели и жидкости для стиркиГели и жидкости для стирки</v>
      </c>
      <c r="B2284" s="29" t="s">
        <v>146</v>
      </c>
      <c r="C2284" s="29" t="s">
        <v>797</v>
      </c>
      <c r="D2284" s="29" t="s">
        <v>2881</v>
      </c>
      <c r="E2284" s="29" t="s">
        <v>2881</v>
      </c>
      <c r="F2284" s="30">
        <v>0.2</v>
      </c>
      <c r="G2284" s="31"/>
      <c r="H2284" s="31"/>
      <c r="I2284" s="31"/>
      <c r="J2284" s="31"/>
    </row>
    <row r="2285" spans="1:10" ht="14.4" x14ac:dyDescent="0.3">
      <c r="A2285" s="28" t="str">
        <f>B2285&amp;C2285&amp;D2285&amp;E2285</f>
        <v>Красота и уходУход за лицомУвлажнение и питаниеЭссенции</v>
      </c>
      <c r="B2285" s="29" t="s">
        <v>56</v>
      </c>
      <c r="C2285" s="29" t="s">
        <v>238</v>
      </c>
      <c r="D2285" s="29" t="s">
        <v>134</v>
      </c>
      <c r="E2285" s="29" t="s">
        <v>588</v>
      </c>
      <c r="F2285" s="30">
        <v>0.2</v>
      </c>
      <c r="G2285" s="31"/>
      <c r="H2285" s="31"/>
      <c r="I2285" s="31"/>
      <c r="J2285" s="31"/>
    </row>
    <row r="2286" spans="1:10" ht="14.4" x14ac:dyDescent="0.3">
      <c r="A2286" s="28" t="str">
        <f>B2286&amp;C2286&amp;D2286&amp;E2286</f>
        <v>АвтотоварыАккумуляторы и аксессуарыАккумуляторные батареиАккумуляторные батареи</v>
      </c>
      <c r="B2286" s="29" t="s">
        <v>12</v>
      </c>
      <c r="C2286" s="29" t="s">
        <v>177</v>
      </c>
      <c r="D2286" s="29" t="s">
        <v>2885</v>
      </c>
      <c r="E2286" s="29" t="s">
        <v>2885</v>
      </c>
      <c r="F2286" s="30">
        <v>0.2</v>
      </c>
      <c r="G2286" s="31"/>
      <c r="H2286" s="31"/>
      <c r="I2286" s="31"/>
      <c r="J2286" s="31"/>
    </row>
    <row r="2287" spans="1:10" ht="14.4" x14ac:dyDescent="0.3">
      <c r="A2287" s="28" t="str">
        <f>B2287&amp;C2287&amp;D2287&amp;E2287</f>
        <v>Красота и уходМакияжЛицоФиксаторы макияжа</v>
      </c>
      <c r="B2287" s="29" t="s">
        <v>56</v>
      </c>
      <c r="C2287" s="29" t="s">
        <v>151</v>
      </c>
      <c r="D2287" s="29" t="s">
        <v>602</v>
      </c>
      <c r="E2287" s="29" t="s">
        <v>2892</v>
      </c>
      <c r="F2287" s="30">
        <v>0.2</v>
      </c>
      <c r="G2287" s="31"/>
      <c r="H2287" s="31"/>
      <c r="I2287" s="31"/>
      <c r="J2287" s="31"/>
    </row>
    <row r="2288" spans="1:10" ht="14.4" x14ac:dyDescent="0.3">
      <c r="A2288" s="28" t="str">
        <f>B2288&amp;C2288&amp;D2288&amp;E2288</f>
        <v>Красота и уходМакияжГлазаПодводки для глаз, контур</v>
      </c>
      <c r="B2288" s="29" t="s">
        <v>56</v>
      </c>
      <c r="C2288" s="29" t="s">
        <v>151</v>
      </c>
      <c r="D2288" s="29" t="s">
        <v>503</v>
      </c>
      <c r="E2288" s="29" t="s">
        <v>2893</v>
      </c>
      <c r="F2288" s="30">
        <v>0.2</v>
      </c>
      <c r="G2288" s="31"/>
      <c r="H2288" s="31"/>
      <c r="I2288" s="31"/>
      <c r="J2288" s="31"/>
    </row>
    <row r="2289" spans="1:10" ht="14.4" x14ac:dyDescent="0.3">
      <c r="A2289" s="28" t="str">
        <f>B2289&amp;C2289&amp;D2289&amp;E2289</f>
        <v>Детские товарыГигиена и подгузникиКупание ребенкаГубки и мочалки</v>
      </c>
      <c r="B2289" s="29" t="s">
        <v>105</v>
      </c>
      <c r="C2289" s="29" t="s">
        <v>106</v>
      </c>
      <c r="D2289" s="29" t="s">
        <v>705</v>
      </c>
      <c r="E2289" s="29" t="s">
        <v>2894</v>
      </c>
      <c r="F2289" s="30">
        <v>0.2</v>
      </c>
      <c r="G2289" s="31"/>
      <c r="H2289" s="31"/>
      <c r="I2289" s="31"/>
      <c r="J2289" s="31"/>
    </row>
    <row r="2290" spans="1:10" ht="14.4" x14ac:dyDescent="0.3">
      <c r="A2290" s="28" t="str">
        <f>B2290&amp;C2290&amp;D2290&amp;E2290</f>
        <v>АвтотоварыШины и дискиДискиДиски</v>
      </c>
      <c r="B2290" s="29" t="s">
        <v>12</v>
      </c>
      <c r="C2290" s="29" t="s">
        <v>407</v>
      </c>
      <c r="D2290" s="29" t="s">
        <v>2898</v>
      </c>
      <c r="E2290" s="29" t="s">
        <v>2898</v>
      </c>
      <c r="F2290" s="30">
        <v>0.2</v>
      </c>
      <c r="G2290" s="31"/>
      <c r="H2290" s="31"/>
      <c r="I2290" s="31"/>
      <c r="J2290" s="31"/>
    </row>
    <row r="2291" spans="1:10" ht="14.4" x14ac:dyDescent="0.3">
      <c r="A2291" s="28" t="str">
        <f>B2291&amp;C2291&amp;D2291&amp;E2291</f>
        <v>КанцтоварыПечати и штампыКраски штемпельныеКраски штемпельные</v>
      </c>
      <c r="B2291" s="29" t="s">
        <v>163</v>
      </c>
      <c r="C2291" s="29" t="s">
        <v>698</v>
      </c>
      <c r="D2291" s="29" t="s">
        <v>2900</v>
      </c>
      <c r="E2291" s="29" t="s">
        <v>2900</v>
      </c>
      <c r="F2291" s="30">
        <v>0.2</v>
      </c>
      <c r="G2291" s="31"/>
      <c r="H2291" s="31"/>
      <c r="I2291" s="31"/>
      <c r="J2291" s="31"/>
    </row>
    <row r="2292" spans="1:10" ht="14.4" x14ac:dyDescent="0.3">
      <c r="A2292" s="28" t="str">
        <f>B2292&amp;C2292&amp;D2292&amp;E2292</f>
        <v>АвтотоварыЭлектроника для автоПодавители сигнала GPSПодавители сигнала GPS</v>
      </c>
      <c r="B2292" s="29" t="s">
        <v>12</v>
      </c>
      <c r="C2292" s="29" t="s">
        <v>360</v>
      </c>
      <c r="D2292" s="29" t="s">
        <v>2901</v>
      </c>
      <c r="E2292" s="29" t="s">
        <v>2901</v>
      </c>
      <c r="F2292" s="30">
        <v>0.2</v>
      </c>
      <c r="G2292" s="31"/>
      <c r="H2292" s="31"/>
      <c r="I2292" s="31"/>
      <c r="J2292" s="31"/>
    </row>
    <row r="2293" spans="1:10" ht="14.4" x14ac:dyDescent="0.3">
      <c r="A2293" s="28" t="str">
        <f>B2293&amp;C2293&amp;D2293&amp;E2293</f>
        <v>ЗоотоварыДля кошекТовары для перевозкиТовары для перевозки</v>
      </c>
      <c r="B2293" s="29" t="s">
        <v>214</v>
      </c>
      <c r="C2293" s="29" t="s">
        <v>283</v>
      </c>
      <c r="D2293" s="29" t="s">
        <v>2902</v>
      </c>
      <c r="E2293" s="29" t="s">
        <v>2902</v>
      </c>
      <c r="F2293" s="30">
        <v>0.2</v>
      </c>
      <c r="G2293" s="31"/>
      <c r="H2293" s="31"/>
      <c r="I2293" s="31"/>
      <c r="J2293" s="31"/>
    </row>
    <row r="2294" spans="1:10" ht="14.4" x14ac:dyDescent="0.3">
      <c r="A2294" s="28" t="str">
        <f>B2294&amp;C2294&amp;D2294&amp;E2294</f>
        <v>КнигиДетям и родителямПознавательная литератураЭтикет</v>
      </c>
      <c r="B2294" s="29" t="s">
        <v>63</v>
      </c>
      <c r="C2294" s="29" t="s">
        <v>258</v>
      </c>
      <c r="D2294" s="29" t="s">
        <v>475</v>
      </c>
      <c r="E2294" s="29" t="s">
        <v>2907</v>
      </c>
      <c r="F2294" s="30">
        <v>0.2</v>
      </c>
      <c r="G2294" s="31"/>
      <c r="H2294" s="31"/>
      <c r="I2294" s="31"/>
      <c r="J2294" s="31"/>
    </row>
    <row r="2295" spans="1:10" ht="14.4" x14ac:dyDescent="0.3">
      <c r="A2295" s="28" t="str">
        <f>B2295&amp;C2295&amp;D2295&amp;E2295</f>
        <v>Красота и уходМакияжГлазаКарандаши для глаз, контур</v>
      </c>
      <c r="B2295" s="29" t="s">
        <v>56</v>
      </c>
      <c r="C2295" s="29" t="s">
        <v>151</v>
      </c>
      <c r="D2295" s="29" t="s">
        <v>503</v>
      </c>
      <c r="E2295" s="29" t="s">
        <v>2910</v>
      </c>
      <c r="F2295" s="30">
        <v>0.2</v>
      </c>
      <c r="G2295" s="31"/>
      <c r="H2295" s="31"/>
      <c r="I2295" s="31"/>
      <c r="J2295" s="31"/>
    </row>
    <row r="2296" spans="1:10" ht="14.4" x14ac:dyDescent="0.3">
      <c r="A2296" s="28" t="str">
        <f>B2296&amp;C2296&amp;D2296&amp;E2296</f>
        <v>Красота и уходУход за теломСредства для душа и ванныМасло для ванны</v>
      </c>
      <c r="B2296" s="29" t="s">
        <v>56</v>
      </c>
      <c r="C2296" s="29" t="s">
        <v>100</v>
      </c>
      <c r="D2296" s="29" t="s">
        <v>1205</v>
      </c>
      <c r="E2296" s="29" t="s">
        <v>2913</v>
      </c>
      <c r="F2296" s="30">
        <v>0.2</v>
      </c>
      <c r="G2296" s="31"/>
      <c r="H2296" s="31"/>
      <c r="I2296" s="31"/>
      <c r="J2296" s="31"/>
    </row>
    <row r="2297" spans="1:10" ht="14.4" x14ac:dyDescent="0.3">
      <c r="A2297" s="28" t="str">
        <f>B2297&amp;C2297&amp;D2297&amp;E2297</f>
        <v>КанцтоварыДемонстрационные доскиНаборы для досок и флипчартовНаборы для досок и флипчартов</v>
      </c>
      <c r="B2297" s="29" t="s">
        <v>163</v>
      </c>
      <c r="C2297" s="29" t="s">
        <v>690</v>
      </c>
      <c r="D2297" s="29" t="s">
        <v>2915</v>
      </c>
      <c r="E2297" s="29" t="s">
        <v>2915</v>
      </c>
      <c r="F2297" s="30">
        <v>0.2</v>
      </c>
      <c r="G2297" s="31"/>
      <c r="H2297" s="31"/>
      <c r="I2297" s="31"/>
      <c r="J2297" s="31"/>
    </row>
    <row r="2298" spans="1:10" ht="14.4" x14ac:dyDescent="0.3">
      <c r="A2298" s="28" t="str">
        <f>B2298&amp;C2298&amp;D2298&amp;E2298</f>
        <v>Бытовая химияОсвежители и нейтрализаторыНейтрализаторы запаховНейтрализаторы запахов</v>
      </c>
      <c r="B2298" s="29" t="s">
        <v>146</v>
      </c>
      <c r="C2298" s="29" t="s">
        <v>739</v>
      </c>
      <c r="D2298" s="29" t="s">
        <v>2916</v>
      </c>
      <c r="E2298" s="29" t="s">
        <v>2916</v>
      </c>
      <c r="F2298" s="30">
        <v>0.2</v>
      </c>
      <c r="G2298" s="31"/>
      <c r="H2298" s="31"/>
      <c r="I2298" s="31"/>
      <c r="J2298" s="31"/>
    </row>
    <row r="2299" spans="1:10" ht="14.4" x14ac:dyDescent="0.3">
      <c r="A2299" s="28" t="str">
        <f>B2299&amp;C2299&amp;D2299&amp;E2299</f>
        <v>ОбувьЖенская обувьБалеткиБалетки с открытым носом</v>
      </c>
      <c r="B2299" s="29" t="s">
        <v>180</v>
      </c>
      <c r="C2299" s="29" t="s">
        <v>181</v>
      </c>
      <c r="D2299" s="29" t="s">
        <v>182</v>
      </c>
      <c r="E2299" s="29" t="s">
        <v>2919</v>
      </c>
      <c r="F2299" s="30">
        <v>0.2</v>
      </c>
      <c r="G2299" s="31"/>
      <c r="H2299" s="31"/>
      <c r="I2299" s="31"/>
      <c r="J2299" s="31"/>
    </row>
    <row r="2300" spans="1:10" ht="14.4" x14ac:dyDescent="0.3">
      <c r="A2300" s="28" t="str">
        <f>B2300&amp;C2300&amp;D2300&amp;E2300</f>
        <v>Строительство и ремонтСантехникаПолотенцесушители и комплектующиеПолотенцесушители и комплектующие</v>
      </c>
      <c r="B2300" s="29" t="s">
        <v>77</v>
      </c>
      <c r="C2300" s="29" t="s">
        <v>388</v>
      </c>
      <c r="D2300" s="29" t="s">
        <v>2921</v>
      </c>
      <c r="E2300" s="29" t="s">
        <v>2921</v>
      </c>
      <c r="F2300" s="30">
        <v>0.2</v>
      </c>
      <c r="G2300" s="31"/>
      <c r="H2300" s="31"/>
      <c r="I2300" s="31"/>
      <c r="J2300" s="31"/>
    </row>
    <row r="2301" spans="1:10" ht="14.4" x14ac:dyDescent="0.3">
      <c r="A2301" s="28" t="str">
        <f>B2301&amp;C2301&amp;D2301&amp;E2301</f>
        <v>КнигиБукинистикаНехудожественная литератураПсихология</v>
      </c>
      <c r="B2301" s="29" t="s">
        <v>63</v>
      </c>
      <c r="C2301" s="29" t="s">
        <v>209</v>
      </c>
      <c r="D2301" s="29" t="s">
        <v>141</v>
      </c>
      <c r="E2301" s="29" t="s">
        <v>1304</v>
      </c>
      <c r="F2301" s="30">
        <v>0.2</v>
      </c>
      <c r="G2301" s="31"/>
      <c r="H2301" s="31"/>
      <c r="I2301" s="31"/>
      <c r="J2301" s="31"/>
    </row>
    <row r="2302" spans="1:10" ht="14.4" x14ac:dyDescent="0.3">
      <c r="A2302" s="28" t="str">
        <f>B2302&amp;C2302&amp;D2302&amp;E2302</f>
        <v>ЭлектроникаУмный дом и безопасностьБезопасность домаЭлектронные замки</v>
      </c>
      <c r="B2302" s="29" t="s">
        <v>67</v>
      </c>
      <c r="C2302" s="29" t="s">
        <v>411</v>
      </c>
      <c r="D2302" s="29" t="s">
        <v>412</v>
      </c>
      <c r="E2302" s="29" t="s">
        <v>2925</v>
      </c>
      <c r="F2302" s="30">
        <v>0.2</v>
      </c>
      <c r="G2302" s="31"/>
      <c r="H2302" s="31"/>
      <c r="I2302" s="31"/>
      <c r="J2302" s="31"/>
    </row>
    <row r="2303" spans="1:10" ht="14.4" x14ac:dyDescent="0.3">
      <c r="A2303" s="28" t="str">
        <f>B2303&amp;C2303&amp;D2303&amp;E2303</f>
        <v>Красота и уходМакияжЛицоПудры</v>
      </c>
      <c r="B2303" s="29" t="s">
        <v>56</v>
      </c>
      <c r="C2303" s="29" t="s">
        <v>151</v>
      </c>
      <c r="D2303" s="29" t="s">
        <v>602</v>
      </c>
      <c r="E2303" s="29" t="s">
        <v>1211</v>
      </c>
      <c r="F2303" s="30">
        <v>0.2</v>
      </c>
      <c r="G2303" s="31"/>
      <c r="H2303" s="31"/>
      <c r="I2303" s="31"/>
      <c r="J2303" s="31"/>
    </row>
    <row r="2304" spans="1:10" ht="14.4" x14ac:dyDescent="0.3">
      <c r="A2304" s="28" t="str">
        <f>B2304&amp;C2304&amp;D2304&amp;E2304</f>
        <v>КанцтоварыОфисные принадлежностиСтеплеры и скобыСтеплеры и скобы</v>
      </c>
      <c r="B2304" s="29" t="s">
        <v>163</v>
      </c>
      <c r="C2304" s="29" t="s">
        <v>227</v>
      </c>
      <c r="D2304" s="29" t="s">
        <v>2930</v>
      </c>
      <c r="E2304" s="29" t="s">
        <v>2930</v>
      </c>
      <c r="F2304" s="30">
        <v>0.2</v>
      </c>
      <c r="G2304" s="31"/>
      <c r="H2304" s="31"/>
      <c r="I2304" s="31"/>
      <c r="J2304" s="31"/>
    </row>
    <row r="2305" spans="1:10" ht="14.4" x14ac:dyDescent="0.3">
      <c r="A2305" s="28" t="str">
        <f>B2305&amp;C2305&amp;D2305&amp;E2305</f>
        <v>КнигиНехудожественная литератураСаморазвитиеРазвитие мозга</v>
      </c>
      <c r="B2305" s="29" t="s">
        <v>63</v>
      </c>
      <c r="C2305" s="29" t="s">
        <v>141</v>
      </c>
      <c r="D2305" s="29" t="s">
        <v>452</v>
      </c>
      <c r="E2305" s="29" t="s">
        <v>2933</v>
      </c>
      <c r="F2305" s="30">
        <v>0.2</v>
      </c>
      <c r="G2305" s="31"/>
      <c r="H2305" s="31"/>
      <c r="I2305" s="31"/>
      <c r="J2305" s="31"/>
    </row>
    <row r="2306" spans="1:10" ht="14.4" x14ac:dyDescent="0.3">
      <c r="A2306" s="28" t="str">
        <f>B2306&amp;C2306&amp;D2306&amp;E2306</f>
        <v>Товары для домаХозяйственные товарыУпаковка и переездУпаковка и переезд</v>
      </c>
      <c r="B2306" s="29" t="s">
        <v>59</v>
      </c>
      <c r="C2306" s="29" t="s">
        <v>193</v>
      </c>
      <c r="D2306" s="29" t="s">
        <v>2936</v>
      </c>
      <c r="E2306" s="29" t="s">
        <v>2936</v>
      </c>
      <c r="F2306" s="30">
        <v>0.2</v>
      </c>
      <c r="G2306" s="31"/>
      <c r="H2306" s="31"/>
      <c r="I2306" s="31"/>
      <c r="J2306" s="31"/>
    </row>
    <row r="2307" spans="1:10" ht="14.4" x14ac:dyDescent="0.3">
      <c r="A2307" s="28" t="str">
        <f>B2307&amp;C2307&amp;D2307&amp;E2307</f>
        <v>Красота и уходМакияжБровиПодводки для бровей</v>
      </c>
      <c r="B2307" s="29" t="s">
        <v>56</v>
      </c>
      <c r="C2307" s="29" t="s">
        <v>151</v>
      </c>
      <c r="D2307" s="29" t="s">
        <v>212</v>
      </c>
      <c r="E2307" s="29" t="s">
        <v>2937</v>
      </c>
      <c r="F2307" s="30">
        <v>0.2</v>
      </c>
      <c r="G2307" s="31"/>
      <c r="H2307" s="31"/>
      <c r="I2307" s="31"/>
      <c r="J2307" s="31"/>
    </row>
    <row r="2308" spans="1:10" ht="14.4" x14ac:dyDescent="0.3">
      <c r="A2308" s="28" t="str">
        <f>B2308&amp;C2308&amp;D2308&amp;E2308</f>
        <v>КнигиНехудожественная литератураИсторияВсемирная история</v>
      </c>
      <c r="B2308" s="29" t="s">
        <v>63</v>
      </c>
      <c r="C2308" s="29" t="s">
        <v>141</v>
      </c>
      <c r="D2308" s="29" t="s">
        <v>951</v>
      </c>
      <c r="E2308" s="29" t="s">
        <v>2938</v>
      </c>
      <c r="F2308" s="30">
        <v>0.2</v>
      </c>
      <c r="G2308" s="31"/>
      <c r="H2308" s="31"/>
      <c r="I2308" s="31"/>
      <c r="J2308" s="31"/>
    </row>
    <row r="2309" spans="1:10" ht="14.4" x14ac:dyDescent="0.3">
      <c r="A2309" s="28" t="str">
        <f>B2309&amp;C2309&amp;D2309&amp;E2309</f>
        <v>КанцтоварыПапки и файлыПапки для бумагиПапки для бумаги</v>
      </c>
      <c r="B2309" s="29" t="s">
        <v>163</v>
      </c>
      <c r="C2309" s="29" t="s">
        <v>293</v>
      </c>
      <c r="D2309" s="29" t="s">
        <v>2939</v>
      </c>
      <c r="E2309" s="29" t="s">
        <v>2939</v>
      </c>
      <c r="F2309" s="30">
        <v>0.2</v>
      </c>
      <c r="G2309" s="31"/>
      <c r="H2309" s="31"/>
      <c r="I2309" s="31"/>
      <c r="J2309" s="31"/>
    </row>
    <row r="2310" spans="1:10" ht="14.4" x14ac:dyDescent="0.3">
      <c r="A2310" s="28" t="str">
        <f>B2310&amp;C2310&amp;D2310&amp;E2310</f>
        <v>Строительство и ремонтСантехникаДушевые системы и лейкиДушевые системы и лейки</v>
      </c>
      <c r="B2310" s="29" t="s">
        <v>77</v>
      </c>
      <c r="C2310" s="29" t="s">
        <v>388</v>
      </c>
      <c r="D2310" s="29" t="s">
        <v>2941</v>
      </c>
      <c r="E2310" s="29" t="s">
        <v>2941</v>
      </c>
      <c r="F2310" s="30">
        <v>0.2</v>
      </c>
      <c r="G2310" s="31"/>
      <c r="H2310" s="31"/>
      <c r="I2310" s="31"/>
      <c r="J2310" s="31"/>
    </row>
    <row r="2311" spans="1:10" ht="14.4" x14ac:dyDescent="0.3">
      <c r="A2311" s="28" t="str">
        <f>B2311&amp;C2311&amp;D2311&amp;E2311</f>
        <v>Красота и уходЛичная гигиенаГигиена полости ртаУход за зубными протезами</v>
      </c>
      <c r="B2311" s="29" t="s">
        <v>56</v>
      </c>
      <c r="C2311" s="29" t="s">
        <v>120</v>
      </c>
      <c r="D2311" s="29" t="s">
        <v>121</v>
      </c>
      <c r="E2311" s="29" t="s">
        <v>2942</v>
      </c>
      <c r="F2311" s="30">
        <v>0.2</v>
      </c>
      <c r="G2311" s="31"/>
      <c r="H2311" s="31"/>
      <c r="I2311" s="31"/>
      <c r="J2311" s="31"/>
    </row>
    <row r="2312" spans="1:10" ht="14.4" x14ac:dyDescent="0.3">
      <c r="A2312" s="28" t="str">
        <f>B2312&amp;C2312&amp;D2312&amp;E2312</f>
        <v>Дача, сад и огородСадовая техникаИзмельчители и воздуходувкиИзмельчители и воздуходувки</v>
      </c>
      <c r="B2312" s="29" t="s">
        <v>352</v>
      </c>
      <c r="C2312" s="29" t="s">
        <v>839</v>
      </c>
      <c r="D2312" s="29" t="s">
        <v>2947</v>
      </c>
      <c r="E2312" s="29" t="s">
        <v>2947</v>
      </c>
      <c r="F2312" s="30">
        <v>0.2</v>
      </c>
      <c r="G2312" s="31"/>
      <c r="H2312" s="31"/>
      <c r="I2312" s="31"/>
      <c r="J2312" s="31"/>
    </row>
    <row r="2313" spans="1:10" ht="14.4" x14ac:dyDescent="0.3">
      <c r="A2313" s="28" t="str">
        <f>B2313&amp;C2313&amp;D2313&amp;E2313</f>
        <v>КнигиХудожественная литератураДетективыДетективы</v>
      </c>
      <c r="B2313" s="29" t="s">
        <v>63</v>
      </c>
      <c r="C2313" s="29" t="s">
        <v>374</v>
      </c>
      <c r="D2313" s="29" t="s">
        <v>2951</v>
      </c>
      <c r="E2313" s="29" t="s">
        <v>2951</v>
      </c>
      <c r="F2313" s="30">
        <v>0.2</v>
      </c>
      <c r="G2313" s="31"/>
      <c r="H2313" s="31"/>
      <c r="I2313" s="31"/>
      <c r="J2313" s="31"/>
    </row>
    <row r="2314" spans="1:10" ht="14.4" x14ac:dyDescent="0.3">
      <c r="A2314" s="28" t="str">
        <f>B2314&amp;C2314&amp;D2314&amp;E2314</f>
        <v>Красота и уходМаникюр и педикюрИнструменты для маникюраФрезы и триммеры для кутикул</v>
      </c>
      <c r="B2314" s="29" t="s">
        <v>56</v>
      </c>
      <c r="C2314" s="29" t="s">
        <v>57</v>
      </c>
      <c r="D2314" s="29" t="s">
        <v>199</v>
      </c>
      <c r="E2314" s="29" t="s">
        <v>2956</v>
      </c>
      <c r="F2314" s="30">
        <v>0.2</v>
      </c>
      <c r="G2314" s="31"/>
      <c r="H2314" s="31"/>
      <c r="I2314" s="31"/>
      <c r="J2314" s="31"/>
    </row>
    <row r="2315" spans="1:10" ht="14.4" x14ac:dyDescent="0.3">
      <c r="A2315" s="28" t="str">
        <f>B2315&amp;C2315&amp;D2315&amp;E2315</f>
        <v>Товары для домаХозяйственные товарыИнвентарь для уборкиВантузы и тросы</v>
      </c>
      <c r="B2315" s="29" t="s">
        <v>59</v>
      </c>
      <c r="C2315" s="29" t="s">
        <v>193</v>
      </c>
      <c r="D2315" s="29" t="s">
        <v>308</v>
      </c>
      <c r="E2315" s="29" t="s">
        <v>2958</v>
      </c>
      <c r="F2315" s="30">
        <v>0.2</v>
      </c>
      <c r="G2315" s="31"/>
      <c r="H2315" s="31"/>
      <c r="I2315" s="31"/>
      <c r="J2315" s="31"/>
    </row>
    <row r="2316" spans="1:10" ht="14.4" x14ac:dyDescent="0.3">
      <c r="A2316" s="28" t="str">
        <f>B2316&amp;C2316&amp;D2316&amp;E2316</f>
        <v>Продукты питанияШоколад, конфеты, сладостиКонфетыЖевательные конфеты</v>
      </c>
      <c r="B2316" s="29" t="s">
        <v>248</v>
      </c>
      <c r="C2316" s="29" t="s">
        <v>249</v>
      </c>
      <c r="D2316" s="29" t="s">
        <v>870</v>
      </c>
      <c r="E2316" s="29" t="s">
        <v>2959</v>
      </c>
      <c r="F2316" s="30">
        <v>0.2</v>
      </c>
      <c r="G2316" s="31"/>
      <c r="H2316" s="31"/>
      <c r="I2316" s="31"/>
      <c r="J2316" s="31"/>
    </row>
    <row r="2317" spans="1:10" ht="14.4" x14ac:dyDescent="0.3">
      <c r="A2317" s="28" t="str">
        <f>B2317&amp;C2317&amp;D2317&amp;E2317</f>
        <v>Красота и уходАроматерапияЭфирные маслаЭфирные масла</v>
      </c>
      <c r="B2317" s="29" t="s">
        <v>56</v>
      </c>
      <c r="C2317" s="29" t="s">
        <v>2961</v>
      </c>
      <c r="D2317" s="29" t="s">
        <v>2962</v>
      </c>
      <c r="E2317" s="29" t="s">
        <v>2962</v>
      </c>
      <c r="F2317" s="30">
        <v>0.2</v>
      </c>
      <c r="G2317" s="31"/>
      <c r="H2317" s="31"/>
      <c r="I2317" s="31"/>
      <c r="J2317" s="31"/>
    </row>
    <row r="2318" spans="1:10" ht="14.4" x14ac:dyDescent="0.3">
      <c r="A2318" s="28" t="str">
        <f>B2318&amp;C2318&amp;D2318&amp;E2318</f>
        <v>ЗдоровьеМедицинские изделия и расходные материалыМедицинские инструментыМедицинские инструменты</v>
      </c>
      <c r="B2318" s="29" t="s">
        <v>116</v>
      </c>
      <c r="C2318" s="29" t="s">
        <v>436</v>
      </c>
      <c r="D2318" s="29" t="s">
        <v>2964</v>
      </c>
      <c r="E2318" s="29" t="s">
        <v>2964</v>
      </c>
      <c r="F2318" s="30">
        <v>0.2</v>
      </c>
      <c r="G2318" s="31"/>
      <c r="H2318" s="31"/>
      <c r="I2318" s="31"/>
      <c r="J2318" s="31"/>
    </row>
    <row r="2319" spans="1:10" ht="14.4" x14ac:dyDescent="0.3">
      <c r="A2319" s="28" t="str">
        <f>B2319&amp;C2319&amp;D2319&amp;E2319</f>
        <v>ЭлектроникаНаушники и аудиотехникаАудиотехникаМикрофоны</v>
      </c>
      <c r="B2319" s="29" t="s">
        <v>67</v>
      </c>
      <c r="C2319" s="29" t="s">
        <v>74</v>
      </c>
      <c r="D2319" s="29" t="s">
        <v>409</v>
      </c>
      <c r="E2319" s="29" t="s">
        <v>2966</v>
      </c>
      <c r="F2319" s="30">
        <v>0.2</v>
      </c>
      <c r="G2319" s="31"/>
      <c r="H2319" s="31"/>
      <c r="I2319" s="31"/>
      <c r="J2319" s="31"/>
    </row>
    <row r="2320" spans="1:10" ht="14.4" x14ac:dyDescent="0.3">
      <c r="A2320" s="28" t="str">
        <f>B2320&amp;C2320&amp;D2320&amp;E2320</f>
        <v>Детские товарыДетская комнатаТовары для снаБортики для кроватки</v>
      </c>
      <c r="B2320" s="29" t="s">
        <v>105</v>
      </c>
      <c r="C2320" s="29" t="s">
        <v>397</v>
      </c>
      <c r="D2320" s="29" t="s">
        <v>581</v>
      </c>
      <c r="E2320" s="29" t="s">
        <v>2972</v>
      </c>
      <c r="F2320" s="30">
        <v>0.2</v>
      </c>
      <c r="G2320" s="31"/>
      <c r="H2320" s="31"/>
      <c r="I2320" s="31"/>
      <c r="J2320" s="31"/>
    </row>
    <row r="2321" spans="1:10" ht="14.4" x14ac:dyDescent="0.3">
      <c r="A2321" s="28" t="str">
        <f>B2321&amp;C2321&amp;D2321&amp;E2321</f>
        <v>Детские товарыДетская комнатаТовары для снаБалдахины и москитные сетки</v>
      </c>
      <c r="B2321" s="29" t="s">
        <v>105</v>
      </c>
      <c r="C2321" s="29" t="s">
        <v>397</v>
      </c>
      <c r="D2321" s="29" t="s">
        <v>581</v>
      </c>
      <c r="E2321" s="29" t="s">
        <v>2976</v>
      </c>
      <c r="F2321" s="30">
        <v>0.2</v>
      </c>
      <c r="G2321" s="31"/>
      <c r="H2321" s="31"/>
      <c r="I2321" s="31"/>
      <c r="J2321" s="31"/>
    </row>
    <row r="2322" spans="1:10" ht="14.4" x14ac:dyDescent="0.3">
      <c r="A2322" s="28" t="str">
        <f>B2322&amp;C2322&amp;D2322&amp;E2322</f>
        <v>Продукты питанияШоколад, конфеты, сладостиЗефир, пастила, мармеладЗефир, пастила, мармелад</v>
      </c>
      <c r="B2322" s="29" t="s">
        <v>248</v>
      </c>
      <c r="C2322" s="29" t="s">
        <v>249</v>
      </c>
      <c r="D2322" s="29" t="s">
        <v>2977</v>
      </c>
      <c r="E2322" s="29" t="s">
        <v>2977</v>
      </c>
      <c r="F2322" s="30">
        <v>0.2</v>
      </c>
      <c r="G2322" s="31"/>
      <c r="H2322" s="31"/>
      <c r="I2322" s="31"/>
      <c r="J2322" s="31"/>
    </row>
    <row r="2323" spans="1:10" ht="14.4" x14ac:dyDescent="0.3">
      <c r="A2323" s="28" t="str">
        <f>B2323&amp;C2323&amp;D2323&amp;E2323</f>
        <v>ЗдоровьеМедицинские изделия и расходные материалыПеревязочные материалыБинты</v>
      </c>
      <c r="B2323" s="29" t="s">
        <v>116</v>
      </c>
      <c r="C2323" s="29" t="s">
        <v>436</v>
      </c>
      <c r="D2323" s="29" t="s">
        <v>1956</v>
      </c>
      <c r="E2323" s="29" t="s">
        <v>2978</v>
      </c>
      <c r="F2323" s="30">
        <v>0.2</v>
      </c>
      <c r="G2323" s="31"/>
      <c r="H2323" s="31"/>
      <c r="I2323" s="31"/>
      <c r="J2323" s="31"/>
    </row>
    <row r="2324" spans="1:10" ht="14.4" x14ac:dyDescent="0.3">
      <c r="A2324" s="28" t="str">
        <f>B2324&amp;C2324&amp;D2324&amp;E2324</f>
        <v>Детские товарыГигиена и подгузникиГоршки и детские сиденья на унитазГоршки и детские сиденья на унитаз</v>
      </c>
      <c r="B2324" s="29" t="s">
        <v>105</v>
      </c>
      <c r="C2324" s="29" t="s">
        <v>106</v>
      </c>
      <c r="D2324" s="29" t="s">
        <v>2982</v>
      </c>
      <c r="E2324" s="29" t="s">
        <v>2982</v>
      </c>
      <c r="F2324" s="30">
        <v>0.2</v>
      </c>
      <c r="G2324" s="31"/>
      <c r="H2324" s="31"/>
      <c r="I2324" s="31"/>
      <c r="J2324" s="31"/>
    </row>
    <row r="2325" spans="1:10" ht="14.4" x14ac:dyDescent="0.3">
      <c r="A2325" s="28" t="str">
        <f>B2325&amp;C2325&amp;D2325&amp;E2325</f>
        <v>ЗдоровьеМедицинские изделия и расходные материалыПеревязочные материалыВата</v>
      </c>
      <c r="B2325" s="29" t="s">
        <v>116</v>
      </c>
      <c r="C2325" s="29" t="s">
        <v>436</v>
      </c>
      <c r="D2325" s="29" t="s">
        <v>1956</v>
      </c>
      <c r="E2325" s="29" t="s">
        <v>2986</v>
      </c>
      <c r="F2325" s="30">
        <v>0.2</v>
      </c>
      <c r="G2325" s="31"/>
      <c r="H2325" s="31"/>
      <c r="I2325" s="31"/>
      <c r="J2325" s="31"/>
    </row>
    <row r="2326" spans="1:10" ht="14.4" x14ac:dyDescent="0.3">
      <c r="A2326" s="28" t="str">
        <f>B2326&amp;C2326&amp;D2326&amp;E2326</f>
        <v>КанцтоварыДемонстрационные доскиУказкиУказки</v>
      </c>
      <c r="B2326" s="29" t="s">
        <v>163</v>
      </c>
      <c r="C2326" s="29" t="s">
        <v>690</v>
      </c>
      <c r="D2326" s="29" t="s">
        <v>2988</v>
      </c>
      <c r="E2326" s="29" t="s">
        <v>2988</v>
      </c>
      <c r="F2326" s="30">
        <v>0.2</v>
      </c>
      <c r="G2326" s="31"/>
      <c r="H2326" s="31"/>
      <c r="I2326" s="31"/>
      <c r="J2326" s="31"/>
    </row>
    <row r="2327" spans="1:10" ht="14.4" x14ac:dyDescent="0.3">
      <c r="A2327" s="28" t="str">
        <f>B2327&amp;C2327&amp;D2327&amp;E2327</f>
        <v>Продукты питанияШоколад, конфеты, сладостиЖевательные резинкиЖевательные резинки</v>
      </c>
      <c r="B2327" s="29" t="s">
        <v>248</v>
      </c>
      <c r="C2327" s="29" t="s">
        <v>249</v>
      </c>
      <c r="D2327" s="29" t="s">
        <v>2989</v>
      </c>
      <c r="E2327" s="29" t="s">
        <v>2989</v>
      </c>
      <c r="F2327" s="30">
        <v>0.2</v>
      </c>
      <c r="G2327" s="31"/>
      <c r="H2327" s="31"/>
      <c r="I2327" s="31"/>
      <c r="J2327" s="31"/>
    </row>
    <row r="2328" spans="1:10" ht="14.4" x14ac:dyDescent="0.3">
      <c r="A2328" s="28" t="str">
        <f>B2328&amp;C2328&amp;D2328&amp;E2328</f>
        <v>Красота и уходДля мужчинМужская парфюмерияТуалетная вода</v>
      </c>
      <c r="B2328" s="29" t="s">
        <v>56</v>
      </c>
      <c r="C2328" s="29" t="s">
        <v>71</v>
      </c>
      <c r="D2328" s="29" t="s">
        <v>856</v>
      </c>
      <c r="E2328" s="29" t="s">
        <v>2008</v>
      </c>
      <c r="F2328" s="30">
        <v>0.2</v>
      </c>
      <c r="G2328" s="31"/>
      <c r="H2328" s="31"/>
      <c r="I2328" s="31"/>
      <c r="J2328" s="31"/>
    </row>
    <row r="2329" spans="1:10" ht="14.4" x14ac:dyDescent="0.3">
      <c r="A2329" s="28" t="str">
        <f>B2329&amp;C2329&amp;D2329&amp;E2329</f>
        <v>Бытовая техникаПрочие аксессуары и запчасти для бытовой техникиПрочие аксессуары и запчасти для бытовой техникиПрочие аксессуары и запчасти для бытовой техники</v>
      </c>
      <c r="B2329" s="29" t="s">
        <v>160</v>
      </c>
      <c r="C2329" s="29" t="s">
        <v>2999</v>
      </c>
      <c r="D2329" s="29" t="s">
        <v>2999</v>
      </c>
      <c r="E2329" s="29" t="s">
        <v>2999</v>
      </c>
      <c r="F2329" s="30">
        <v>0.2</v>
      </c>
      <c r="G2329" s="31"/>
      <c r="H2329" s="31"/>
      <c r="I2329" s="31"/>
      <c r="J2329" s="31"/>
    </row>
    <row r="2330" spans="1:10" ht="14.4" x14ac:dyDescent="0.3">
      <c r="A2330" s="28" t="str">
        <f>B2330&amp;C2330&amp;D2330&amp;E2330</f>
        <v>КанцтоварыБумажная продукцияКниги учетаКниги учета</v>
      </c>
      <c r="B2330" s="29" t="s">
        <v>163</v>
      </c>
      <c r="C2330" s="29" t="s">
        <v>261</v>
      </c>
      <c r="D2330" s="29" t="s">
        <v>3001</v>
      </c>
      <c r="E2330" s="29" t="s">
        <v>3001</v>
      </c>
      <c r="F2330" s="30">
        <v>0.2</v>
      </c>
      <c r="G2330" s="31"/>
      <c r="H2330" s="31"/>
      <c r="I2330" s="31"/>
      <c r="J2330" s="31"/>
    </row>
    <row r="2331" spans="1:10" ht="14.4" x14ac:dyDescent="0.3">
      <c r="A2331" s="28" t="str">
        <f>B2331&amp;C2331&amp;D2331&amp;E2331</f>
        <v>Красота и уходУход за теломУвлажнение и питаниеКремы для ног</v>
      </c>
      <c r="B2331" s="29" t="s">
        <v>56</v>
      </c>
      <c r="C2331" s="29" t="s">
        <v>100</v>
      </c>
      <c r="D2331" s="29" t="s">
        <v>134</v>
      </c>
      <c r="E2331" s="29" t="s">
        <v>831</v>
      </c>
      <c r="F2331" s="30">
        <v>0.2</v>
      </c>
      <c r="G2331" s="31"/>
      <c r="H2331" s="31"/>
      <c r="I2331" s="31"/>
      <c r="J2331" s="31"/>
    </row>
    <row r="2332" spans="1:10" ht="14.4" x14ac:dyDescent="0.3">
      <c r="A2332" s="28" t="str">
        <f>B2332&amp;C2332&amp;D2332&amp;E2332</f>
        <v>КнигиНехудожественная литератураПсихологияАрт-терапия</v>
      </c>
      <c r="B2332" s="29" t="s">
        <v>63</v>
      </c>
      <c r="C2332" s="29" t="s">
        <v>141</v>
      </c>
      <c r="D2332" s="29" t="s">
        <v>1304</v>
      </c>
      <c r="E2332" s="29" t="s">
        <v>3003</v>
      </c>
      <c r="F2332" s="30">
        <v>0.2</v>
      </c>
      <c r="G2332" s="31"/>
      <c r="H2332" s="31"/>
      <c r="I2332" s="31"/>
      <c r="J2332" s="31"/>
    </row>
    <row r="2333" spans="1:10" ht="14.4" x14ac:dyDescent="0.3">
      <c r="A2333" s="28" t="str">
        <f>B2333&amp;C2333&amp;D2333&amp;E2333</f>
        <v>КнигиДетям и родителямХудожественная литератураСовременная проза</v>
      </c>
      <c r="B2333" s="29" t="s">
        <v>63</v>
      </c>
      <c r="C2333" s="29" t="s">
        <v>258</v>
      </c>
      <c r="D2333" s="29" t="s">
        <v>374</v>
      </c>
      <c r="E2333" s="29" t="s">
        <v>790</v>
      </c>
      <c r="F2333" s="30">
        <v>0.2</v>
      </c>
      <c r="G2333" s="31"/>
      <c r="H2333" s="31"/>
      <c r="I2333" s="31"/>
      <c r="J2333" s="31"/>
    </row>
    <row r="2334" spans="1:10" ht="14.4" x14ac:dyDescent="0.3">
      <c r="A2334" s="28" t="str">
        <f>B2334&amp;C2334&amp;D2334&amp;E2334</f>
        <v>КнигиНехудожественная литератураПсихологияУправление стрессом</v>
      </c>
      <c r="B2334" s="29" t="s">
        <v>63</v>
      </c>
      <c r="C2334" s="29" t="s">
        <v>141</v>
      </c>
      <c r="D2334" s="29" t="s">
        <v>1304</v>
      </c>
      <c r="E2334" s="29" t="s">
        <v>3007</v>
      </c>
      <c r="F2334" s="30">
        <v>0.2</v>
      </c>
      <c r="G2334" s="31"/>
      <c r="H2334" s="31"/>
      <c r="I2334" s="31"/>
      <c r="J2334" s="31"/>
    </row>
    <row r="2335" spans="1:10" ht="14.4" x14ac:dyDescent="0.3">
      <c r="A2335" s="28" t="str">
        <f>B2335&amp;C2335&amp;D2335&amp;E2335</f>
        <v>ЭлектроникаТелевизоры и видеотехникаАксессуары для телевизоров3D очки</v>
      </c>
      <c r="B2335" s="29" t="s">
        <v>67</v>
      </c>
      <c r="C2335" s="29" t="s">
        <v>136</v>
      </c>
      <c r="D2335" s="29" t="s">
        <v>156</v>
      </c>
      <c r="E2335" s="29" t="s">
        <v>3010</v>
      </c>
      <c r="F2335" s="30">
        <v>0.2</v>
      </c>
      <c r="G2335" s="31"/>
      <c r="H2335" s="31"/>
      <c r="I2335" s="31"/>
      <c r="J2335" s="31"/>
    </row>
    <row r="2336" spans="1:10" ht="14.4" x14ac:dyDescent="0.3">
      <c r="A2336" s="28" t="str">
        <f>B2336&amp;C2336&amp;D2336&amp;E2336</f>
        <v>Красота и уходЛичная гигиенаГигиена полости ртаНасадки для электрических зубных щеток и ирригаторов</v>
      </c>
      <c r="B2336" s="29" t="s">
        <v>56</v>
      </c>
      <c r="C2336" s="29" t="s">
        <v>120</v>
      </c>
      <c r="D2336" s="29" t="s">
        <v>121</v>
      </c>
      <c r="E2336" s="29" t="s">
        <v>3011</v>
      </c>
      <c r="F2336" s="30">
        <v>0.2</v>
      </c>
      <c r="G2336" s="31"/>
      <c r="H2336" s="31"/>
      <c r="I2336" s="31"/>
      <c r="J2336" s="31"/>
    </row>
    <row r="2337" spans="1:10" ht="14.4" x14ac:dyDescent="0.3">
      <c r="A2337" s="28" t="str">
        <f>B2337&amp;C2337&amp;D2337&amp;E2337</f>
        <v>Красота и уходПрофессиональная косметикаМужчинамМужчинам</v>
      </c>
      <c r="B2337" s="29" t="s">
        <v>56</v>
      </c>
      <c r="C2337" s="29" t="s">
        <v>99</v>
      </c>
      <c r="D2337" s="29" t="s">
        <v>3015</v>
      </c>
      <c r="E2337" s="29" t="s">
        <v>3015</v>
      </c>
      <c r="F2337" s="30">
        <v>0.2</v>
      </c>
      <c r="G2337" s="31"/>
      <c r="H2337" s="31"/>
      <c r="I2337" s="31"/>
      <c r="J2337" s="31"/>
    </row>
    <row r="2338" spans="1:10" ht="14.4" x14ac:dyDescent="0.3">
      <c r="A2338" s="28" t="str">
        <f>B2338&amp;C2338&amp;D2338&amp;E2338</f>
        <v>ЭлектроникаТелевизоры и видеотехникаАксессуары для телевизоровАнтенны для телевизоров</v>
      </c>
      <c r="B2338" s="29" t="s">
        <v>67</v>
      </c>
      <c r="C2338" s="29" t="s">
        <v>136</v>
      </c>
      <c r="D2338" s="29" t="s">
        <v>156</v>
      </c>
      <c r="E2338" s="29" t="s">
        <v>3016</v>
      </c>
      <c r="F2338" s="30">
        <v>0.2</v>
      </c>
      <c r="G2338" s="31"/>
      <c r="H2338" s="31"/>
      <c r="I2338" s="31"/>
      <c r="J2338" s="31"/>
    </row>
    <row r="2339" spans="1:10" ht="14.4" x14ac:dyDescent="0.3">
      <c r="A2339" s="28" t="str">
        <f>B2339&amp;C2339&amp;D2339&amp;E2339</f>
        <v>Бытовая техникаТехника для красотыСтрижка волосМашинки для стрижки</v>
      </c>
      <c r="B2339" s="29" t="s">
        <v>160</v>
      </c>
      <c r="C2339" s="29" t="s">
        <v>694</v>
      </c>
      <c r="D2339" s="29" t="s">
        <v>2102</v>
      </c>
      <c r="E2339" s="29" t="s">
        <v>1658</v>
      </c>
      <c r="F2339" s="30">
        <v>0.2</v>
      </c>
      <c r="G2339" s="31"/>
      <c r="H2339" s="31"/>
      <c r="I2339" s="31"/>
      <c r="J2339" s="31"/>
    </row>
    <row r="2340" spans="1:10" ht="14.4" x14ac:dyDescent="0.3">
      <c r="A2340" s="28" t="str">
        <f>B2340&amp;C2340&amp;D2340&amp;E2340</f>
        <v>Детские товарыГигиена и подгузникиГигиена полости ртаДетские зубные щетки</v>
      </c>
      <c r="B2340" s="29" t="s">
        <v>105</v>
      </c>
      <c r="C2340" s="29" t="s">
        <v>106</v>
      </c>
      <c r="D2340" s="29" t="s">
        <v>121</v>
      </c>
      <c r="E2340" s="29" t="s">
        <v>3019</v>
      </c>
      <c r="F2340" s="30">
        <v>0.2</v>
      </c>
      <c r="G2340" s="31"/>
      <c r="H2340" s="31"/>
      <c r="I2340" s="31"/>
      <c r="J2340" s="31"/>
    </row>
    <row r="2341" spans="1:10" ht="14.4" x14ac:dyDescent="0.3">
      <c r="A2341" s="28" t="str">
        <f>B2341&amp;C2341&amp;D2341&amp;E2341</f>
        <v>Детские товарыГигиена и подгузникиДетская косметикаДетское мыло</v>
      </c>
      <c r="B2341" s="29" t="s">
        <v>105</v>
      </c>
      <c r="C2341" s="29" t="s">
        <v>106</v>
      </c>
      <c r="D2341" s="29" t="s">
        <v>586</v>
      </c>
      <c r="E2341" s="29" t="s">
        <v>3022</v>
      </c>
      <c r="F2341" s="30">
        <v>0.2</v>
      </c>
      <c r="G2341" s="31"/>
      <c r="H2341" s="31"/>
      <c r="I2341" s="31"/>
      <c r="J2341" s="31"/>
    </row>
    <row r="2342" spans="1:10" ht="14.4" x14ac:dyDescent="0.3">
      <c r="A2342" s="28" t="str">
        <f>B2342&amp;C2342&amp;D2342&amp;E2342</f>
        <v>Красота и уходЛичная гигиенаБумажная и ватная продукцияСалфетки</v>
      </c>
      <c r="B2342" s="29" t="s">
        <v>56</v>
      </c>
      <c r="C2342" s="29" t="s">
        <v>120</v>
      </c>
      <c r="D2342" s="29" t="s">
        <v>246</v>
      </c>
      <c r="E2342" s="29" t="s">
        <v>2786</v>
      </c>
      <c r="F2342" s="30">
        <v>0.2</v>
      </c>
      <c r="G2342" s="31"/>
      <c r="H2342" s="31"/>
      <c r="I2342" s="31"/>
      <c r="J2342" s="31"/>
    </row>
    <row r="2343" spans="1:10" ht="14.4" x14ac:dyDescent="0.3">
      <c r="A2343" s="28" t="str">
        <f>B2343&amp;C2343&amp;D2343&amp;E2343</f>
        <v>КнигиДетям и родителямХудожественная литератураПриключения</v>
      </c>
      <c r="B2343" s="29" t="s">
        <v>63</v>
      </c>
      <c r="C2343" s="29" t="s">
        <v>258</v>
      </c>
      <c r="D2343" s="29" t="s">
        <v>374</v>
      </c>
      <c r="E2343" s="29" t="s">
        <v>2706</v>
      </c>
      <c r="F2343" s="30">
        <v>0.2</v>
      </c>
      <c r="G2343" s="31"/>
      <c r="H2343" s="31"/>
      <c r="I2343" s="31"/>
      <c r="J2343" s="31"/>
    </row>
    <row r="2344" spans="1:10" ht="14.4" x14ac:dyDescent="0.3">
      <c r="A2344" s="28" t="str">
        <f>B2344&amp;C2344&amp;D2344&amp;E2344</f>
        <v>ОбувьЖенская обувьБотильоныВысокие ботильоны</v>
      </c>
      <c r="B2344" s="29" t="s">
        <v>180</v>
      </c>
      <c r="C2344" s="29" t="s">
        <v>181</v>
      </c>
      <c r="D2344" s="29" t="s">
        <v>1917</v>
      </c>
      <c r="E2344" s="29" t="s">
        <v>3026</v>
      </c>
      <c r="F2344" s="30">
        <v>0.2</v>
      </c>
      <c r="G2344" s="31"/>
      <c r="H2344" s="31"/>
      <c r="I2344" s="31"/>
      <c r="J2344" s="31"/>
    </row>
    <row r="2345" spans="1:10" ht="14.4" x14ac:dyDescent="0.3">
      <c r="A2345" s="28" t="str">
        <f>B2345&amp;C2345&amp;D2345&amp;E2345</f>
        <v>Красота и уходУход за лицомУвлажнение и питаниеНочные кремы</v>
      </c>
      <c r="B2345" s="29" t="s">
        <v>56</v>
      </c>
      <c r="C2345" s="29" t="s">
        <v>238</v>
      </c>
      <c r="D2345" s="29" t="s">
        <v>134</v>
      </c>
      <c r="E2345" s="29" t="s">
        <v>2191</v>
      </c>
      <c r="F2345" s="30">
        <v>0.2</v>
      </c>
      <c r="G2345" s="31"/>
      <c r="H2345" s="31"/>
      <c r="I2345" s="31"/>
      <c r="J2345" s="31"/>
    </row>
    <row r="2346" spans="1:10" ht="14.4" x14ac:dyDescent="0.3">
      <c r="A2346" s="28" t="str">
        <f>B2346&amp;C2346&amp;D2346&amp;E2346</f>
        <v>Красота и уходПрофессиональная косметикаУход за лицомУход за лицом</v>
      </c>
      <c r="B2346" s="29" t="s">
        <v>56</v>
      </c>
      <c r="C2346" s="29" t="s">
        <v>99</v>
      </c>
      <c r="D2346" s="29" t="s">
        <v>238</v>
      </c>
      <c r="E2346" s="29" t="s">
        <v>238</v>
      </c>
      <c r="F2346" s="30">
        <v>0.2</v>
      </c>
      <c r="G2346" s="31"/>
      <c r="H2346" s="31"/>
      <c r="I2346" s="31"/>
      <c r="J2346" s="31"/>
    </row>
    <row r="2347" spans="1:10" ht="14.4" x14ac:dyDescent="0.3">
      <c r="A2347" s="28" t="str">
        <f>B2347&amp;C2347&amp;D2347&amp;E2347</f>
        <v>Детские товарыГигиена и подгузникиУход за ребенкомДетские расчески и щетки</v>
      </c>
      <c r="B2347" s="29" t="s">
        <v>105</v>
      </c>
      <c r="C2347" s="29" t="s">
        <v>106</v>
      </c>
      <c r="D2347" s="29" t="s">
        <v>560</v>
      </c>
      <c r="E2347" s="29" t="s">
        <v>3036</v>
      </c>
      <c r="F2347" s="30">
        <v>0.2</v>
      </c>
      <c r="G2347" s="31"/>
      <c r="H2347" s="31"/>
      <c r="I2347" s="31"/>
      <c r="J2347" s="31"/>
    </row>
    <row r="2348" spans="1:10" ht="14.4" x14ac:dyDescent="0.3">
      <c r="A2348" s="28" t="str">
        <f>B2348&amp;C2348&amp;D2348&amp;E2348</f>
        <v>КнигиДетям и родителямРазвитие детейУчимся считать</v>
      </c>
      <c r="B2348" s="29" t="s">
        <v>63</v>
      </c>
      <c r="C2348" s="29" t="s">
        <v>258</v>
      </c>
      <c r="D2348" s="29" t="s">
        <v>259</v>
      </c>
      <c r="E2348" s="29" t="s">
        <v>3039</v>
      </c>
      <c r="F2348" s="30">
        <v>0.2</v>
      </c>
      <c r="G2348" s="31"/>
      <c r="H2348" s="31"/>
      <c r="I2348" s="31"/>
      <c r="J2348" s="31"/>
    </row>
    <row r="2349" spans="1:10" ht="14.4" x14ac:dyDescent="0.3">
      <c r="A2349" s="28" t="str">
        <f>B2349&amp;C2349&amp;D2349&amp;E2349</f>
        <v>АвтотоварыУход за автомобилемАнтигравийАнтигравий</v>
      </c>
      <c r="B2349" s="29" t="s">
        <v>12</v>
      </c>
      <c r="C2349" s="29" t="s">
        <v>201</v>
      </c>
      <c r="D2349" s="29" t="s">
        <v>3040</v>
      </c>
      <c r="E2349" s="29" t="s">
        <v>3040</v>
      </c>
      <c r="F2349" s="30">
        <v>0.2</v>
      </c>
      <c r="G2349" s="31"/>
      <c r="H2349" s="31"/>
      <c r="I2349" s="31"/>
      <c r="J2349" s="31"/>
    </row>
    <row r="2350" spans="1:10" ht="14.4" x14ac:dyDescent="0.3">
      <c r="A2350" s="28" t="str">
        <f>B2350&amp;C2350&amp;D2350&amp;E2350</f>
        <v>Красота и уходКорейская косметикаУход за волосамиШампуни</v>
      </c>
      <c r="B2350" s="29" t="s">
        <v>56</v>
      </c>
      <c r="C2350" s="29" t="s">
        <v>211</v>
      </c>
      <c r="D2350" s="29" t="s">
        <v>109</v>
      </c>
      <c r="E2350" s="29" t="s">
        <v>748</v>
      </c>
      <c r="F2350" s="30">
        <v>0.2</v>
      </c>
      <c r="G2350" s="31"/>
      <c r="H2350" s="31"/>
      <c r="I2350" s="31"/>
      <c r="J2350" s="31"/>
    </row>
    <row r="2351" spans="1:10" ht="14.4" x14ac:dyDescent="0.3">
      <c r="A2351" s="28" t="str">
        <f>B2351&amp;C2351&amp;D2351&amp;E2351</f>
        <v>КанцтоварыБумажная продукцияЕженедельники и ежедневники, планнерыПланнеры</v>
      </c>
      <c r="B2351" s="29" t="s">
        <v>163</v>
      </c>
      <c r="C2351" s="29" t="s">
        <v>261</v>
      </c>
      <c r="D2351" s="29" t="s">
        <v>590</v>
      </c>
      <c r="E2351" s="29" t="s">
        <v>3043</v>
      </c>
      <c r="F2351" s="30">
        <v>0.2</v>
      </c>
      <c r="G2351" s="31"/>
      <c r="H2351" s="31"/>
      <c r="I2351" s="31"/>
      <c r="J2351" s="31"/>
    </row>
    <row r="2352" spans="1:10" ht="14.4" x14ac:dyDescent="0.3">
      <c r="A2352" s="28" t="str">
        <f>B2352&amp;C2352&amp;D2352&amp;E2352</f>
        <v>ОбувьЖенская обувьОбувь с увеличенной полнотойМокасины и топсайдеры</v>
      </c>
      <c r="B2352" s="29" t="s">
        <v>180</v>
      </c>
      <c r="C2352" s="29" t="s">
        <v>181</v>
      </c>
      <c r="D2352" s="29" t="s">
        <v>3047</v>
      </c>
      <c r="E2352" s="29" t="s">
        <v>1302</v>
      </c>
      <c r="F2352" s="30">
        <v>0.2</v>
      </c>
      <c r="G2352" s="31"/>
      <c r="H2352" s="31"/>
      <c r="I2352" s="31"/>
      <c r="J2352" s="31"/>
    </row>
    <row r="2353" spans="1:10" ht="14.4" x14ac:dyDescent="0.3">
      <c r="A2353" s="28" t="str">
        <f>B2353&amp;C2353&amp;D2353&amp;E2353</f>
        <v>ОбувьМужская обувьЭспадрильи и слипоныСлипоны</v>
      </c>
      <c r="B2353" s="29" t="s">
        <v>180</v>
      </c>
      <c r="C2353" s="29" t="s">
        <v>279</v>
      </c>
      <c r="D2353" s="29" t="s">
        <v>2399</v>
      </c>
      <c r="E2353" s="29" t="s">
        <v>940</v>
      </c>
      <c r="F2353" s="30">
        <v>0.2</v>
      </c>
      <c r="G2353" s="31"/>
      <c r="H2353" s="31"/>
      <c r="I2353" s="31"/>
      <c r="J2353" s="31"/>
    </row>
    <row r="2354" spans="1:10" ht="14.4" x14ac:dyDescent="0.3">
      <c r="A2354" s="28" t="str">
        <f>B2354&amp;C2354&amp;D2354&amp;E2354</f>
        <v>Бытовая техникаТехника для красотыАппаратная косметологияМассажеры для лица и тела</v>
      </c>
      <c r="B2354" s="29" t="s">
        <v>160</v>
      </c>
      <c r="C2354" s="29" t="s">
        <v>694</v>
      </c>
      <c r="D2354" s="29" t="s">
        <v>987</v>
      </c>
      <c r="E2354" s="29" t="s">
        <v>3053</v>
      </c>
      <c r="F2354" s="30">
        <v>0.2</v>
      </c>
      <c r="G2354" s="31"/>
      <c r="H2354" s="31"/>
      <c r="I2354" s="31"/>
      <c r="J2354" s="31"/>
    </row>
    <row r="2355" spans="1:10" ht="14.4" x14ac:dyDescent="0.3">
      <c r="A2355" s="28" t="str">
        <f>B2355&amp;C2355&amp;D2355&amp;E2355</f>
        <v>Детские товарыГигиена и подгузникиКупание ребенкаКоврики для купания</v>
      </c>
      <c r="B2355" s="29" t="s">
        <v>105</v>
      </c>
      <c r="C2355" s="29" t="s">
        <v>106</v>
      </c>
      <c r="D2355" s="29" t="s">
        <v>705</v>
      </c>
      <c r="E2355" s="29" t="s">
        <v>3055</v>
      </c>
      <c r="F2355" s="30">
        <v>0.2</v>
      </c>
      <c r="G2355" s="31"/>
      <c r="H2355" s="31"/>
      <c r="I2355" s="31"/>
      <c r="J2355" s="31"/>
    </row>
    <row r="2356" spans="1:10" ht="14.4" x14ac:dyDescent="0.3">
      <c r="A2356" s="28" t="str">
        <f>B2356&amp;C2356&amp;D2356&amp;E2356</f>
        <v>Красота и уходДля мужчинДля волосСыворотки для волос</v>
      </c>
      <c r="B2356" s="29" t="s">
        <v>56</v>
      </c>
      <c r="C2356" s="29" t="s">
        <v>71</v>
      </c>
      <c r="D2356" s="29" t="s">
        <v>72</v>
      </c>
      <c r="E2356" s="29" t="s">
        <v>3056</v>
      </c>
      <c r="F2356" s="30">
        <v>0.2</v>
      </c>
      <c r="G2356" s="31"/>
      <c r="H2356" s="31"/>
      <c r="I2356" s="31"/>
      <c r="J2356" s="31"/>
    </row>
    <row r="2357" spans="1:10" ht="14.4" x14ac:dyDescent="0.3">
      <c r="A2357" s="28" t="str">
        <f>B2357&amp;C2357&amp;D2357&amp;E2357</f>
        <v>КанцтоварыПисьменные принадлежностиМелки и пастельМелки и пастель</v>
      </c>
      <c r="B2357" s="29" t="s">
        <v>163</v>
      </c>
      <c r="C2357" s="29" t="s">
        <v>684</v>
      </c>
      <c r="D2357" s="29" t="s">
        <v>3057</v>
      </c>
      <c r="E2357" s="29" t="s">
        <v>3057</v>
      </c>
      <c r="F2357" s="30">
        <v>0.2</v>
      </c>
      <c r="G2357" s="31"/>
      <c r="H2357" s="31"/>
      <c r="I2357" s="31"/>
      <c r="J2357" s="31"/>
    </row>
    <row r="2358" spans="1:10" ht="14.4" x14ac:dyDescent="0.3">
      <c r="A2358" s="28" t="str">
        <f>B2358&amp;C2358&amp;D2358&amp;E2358</f>
        <v>ЗдоровьеМедицинские изделия и расходные материалыПерчатки медицинскиеПерчатки медицинские</v>
      </c>
      <c r="B2358" s="29" t="s">
        <v>116</v>
      </c>
      <c r="C2358" s="29" t="s">
        <v>436</v>
      </c>
      <c r="D2358" s="29" t="s">
        <v>3058</v>
      </c>
      <c r="E2358" s="29" t="s">
        <v>3058</v>
      </c>
      <c r="F2358" s="30">
        <v>0.2</v>
      </c>
      <c r="G2358" s="31"/>
      <c r="H2358" s="31"/>
      <c r="I2358" s="31"/>
      <c r="J2358" s="31"/>
    </row>
    <row r="2359" spans="1:10" ht="14.4" x14ac:dyDescent="0.3">
      <c r="A2359" s="28" t="str">
        <f>B2359&amp;C2359&amp;D2359&amp;E2359</f>
        <v>ОбувьЖенская обувьЭспадрильиЭспадрильи</v>
      </c>
      <c r="B2359" s="29" t="s">
        <v>180</v>
      </c>
      <c r="C2359" s="29" t="s">
        <v>181</v>
      </c>
      <c r="D2359" s="29" t="s">
        <v>2400</v>
      </c>
      <c r="E2359" s="29" t="s">
        <v>2400</v>
      </c>
      <c r="F2359" s="30">
        <v>0.2</v>
      </c>
      <c r="G2359" s="31"/>
      <c r="H2359" s="31"/>
      <c r="I2359" s="31"/>
      <c r="J2359" s="31"/>
    </row>
    <row r="2360" spans="1:10" ht="14.4" x14ac:dyDescent="0.3">
      <c r="A2360" s="28" t="str">
        <f>B2360&amp;C2360&amp;D2360&amp;E2360</f>
        <v>ЗдоровьеМассажеры и массажное оборудованиеМассажные коврикиМассажные коврики</v>
      </c>
      <c r="B2360" s="29" t="s">
        <v>116</v>
      </c>
      <c r="C2360" s="29" t="s">
        <v>495</v>
      </c>
      <c r="D2360" s="29" t="s">
        <v>3069</v>
      </c>
      <c r="E2360" s="29" t="s">
        <v>3069</v>
      </c>
      <c r="F2360" s="30">
        <v>0.2</v>
      </c>
      <c r="G2360" s="31"/>
      <c r="H2360" s="31"/>
      <c r="I2360" s="31"/>
      <c r="J2360" s="31"/>
    </row>
    <row r="2361" spans="1:10" ht="14.4" x14ac:dyDescent="0.3">
      <c r="A2361" s="28" t="str">
        <f>B2361&amp;C2361&amp;D2361&amp;E2361</f>
        <v>КанцтоварыБумажная продукцияФотобумагаФотобумага</v>
      </c>
      <c r="B2361" s="29" t="s">
        <v>163</v>
      </c>
      <c r="C2361" s="29" t="s">
        <v>261</v>
      </c>
      <c r="D2361" s="29" t="s">
        <v>3072</v>
      </c>
      <c r="E2361" s="29" t="s">
        <v>3072</v>
      </c>
      <c r="F2361" s="30">
        <v>0.2</v>
      </c>
      <c r="G2361" s="31"/>
      <c r="H2361" s="31"/>
      <c r="I2361" s="31"/>
      <c r="J2361" s="31"/>
    </row>
    <row r="2362" spans="1:10" ht="14.4" x14ac:dyDescent="0.3">
      <c r="A2362" s="28" t="str">
        <f>B2362&amp;C2362&amp;D2362&amp;E2362</f>
        <v>ОбувьЖенская обувьРезиновая обувьСапоги</v>
      </c>
      <c r="B2362" s="29" t="s">
        <v>180</v>
      </c>
      <c r="C2362" s="29" t="s">
        <v>181</v>
      </c>
      <c r="D2362" s="29" t="s">
        <v>593</v>
      </c>
      <c r="E2362" s="29" t="s">
        <v>1277</v>
      </c>
      <c r="F2362" s="30">
        <v>0.2</v>
      </c>
      <c r="G2362" s="31"/>
      <c r="H2362" s="31"/>
      <c r="I2362" s="31"/>
      <c r="J2362" s="31"/>
    </row>
    <row r="2363" spans="1:10" ht="14.4" x14ac:dyDescent="0.3">
      <c r="A2363" s="28" t="str">
        <f>B2363&amp;C2363&amp;D2363&amp;E2363</f>
        <v>Красота и уходДля мужчинУход за теломДезодоранты и антиперcпиранты для мужчин</v>
      </c>
      <c r="B2363" s="29" t="s">
        <v>56</v>
      </c>
      <c r="C2363" s="29" t="s">
        <v>71</v>
      </c>
      <c r="D2363" s="29" t="s">
        <v>100</v>
      </c>
      <c r="E2363" s="29" t="s">
        <v>3078</v>
      </c>
      <c r="F2363" s="30">
        <v>0.2</v>
      </c>
      <c r="G2363" s="31"/>
      <c r="H2363" s="31"/>
      <c r="I2363" s="31"/>
      <c r="J2363" s="31"/>
    </row>
    <row r="2364" spans="1:10" ht="14.4" x14ac:dyDescent="0.3">
      <c r="A2364" s="28" t="str">
        <f>B2364&amp;C2364&amp;D2364&amp;E2364</f>
        <v>КнигиДетям и родителямХудожественная литератураДетективы</v>
      </c>
      <c r="B2364" s="29" t="s">
        <v>63</v>
      </c>
      <c r="C2364" s="29" t="s">
        <v>258</v>
      </c>
      <c r="D2364" s="29" t="s">
        <v>374</v>
      </c>
      <c r="E2364" s="29" t="s">
        <v>2951</v>
      </c>
      <c r="F2364" s="30">
        <v>0.2</v>
      </c>
      <c r="G2364" s="31"/>
      <c r="H2364" s="31"/>
      <c r="I2364" s="31"/>
      <c r="J2364" s="31"/>
    </row>
    <row r="2365" spans="1:10" ht="14.4" x14ac:dyDescent="0.3">
      <c r="A2365" s="28" t="str">
        <f>B2365&amp;C2365&amp;D2365&amp;E2365</f>
        <v>Спорт и отдыхСамокаты и аксессуарыСамокатыСамокаты</v>
      </c>
      <c r="B2365" s="29" t="s">
        <v>101</v>
      </c>
      <c r="C2365" s="29" t="s">
        <v>1311</v>
      </c>
      <c r="D2365" s="29" t="s">
        <v>3081</v>
      </c>
      <c r="E2365" s="29" t="s">
        <v>3081</v>
      </c>
      <c r="F2365" s="30">
        <v>0.2</v>
      </c>
      <c r="G2365" s="31"/>
      <c r="H2365" s="31"/>
      <c r="I2365" s="31"/>
      <c r="J2365" s="31"/>
    </row>
    <row r="2366" spans="1:10" ht="14.4" x14ac:dyDescent="0.3">
      <c r="A2366" s="28" t="str">
        <f>B2366&amp;C2366&amp;D2366&amp;E2366</f>
        <v>ОбувьЖенская обувьСлипоныВысокие слипоны</v>
      </c>
      <c r="B2366" s="29" t="s">
        <v>180</v>
      </c>
      <c r="C2366" s="29" t="s">
        <v>181</v>
      </c>
      <c r="D2366" s="29" t="s">
        <v>940</v>
      </c>
      <c r="E2366" s="29" t="s">
        <v>3082</v>
      </c>
      <c r="F2366" s="30">
        <v>0.2</v>
      </c>
      <c r="G2366" s="31"/>
      <c r="H2366" s="31"/>
      <c r="I2366" s="31"/>
      <c r="J2366" s="31"/>
    </row>
    <row r="2367" spans="1:10" ht="14.4" x14ac:dyDescent="0.3">
      <c r="A2367" s="28" t="str">
        <f>B2367&amp;C2367&amp;D2367&amp;E2367</f>
        <v>Красота и уходПрофессиональная косметикаМакияжМакияж</v>
      </c>
      <c r="B2367" s="29" t="s">
        <v>56</v>
      </c>
      <c r="C2367" s="29" t="s">
        <v>99</v>
      </c>
      <c r="D2367" s="29" t="s">
        <v>151</v>
      </c>
      <c r="E2367" s="29" t="s">
        <v>151</v>
      </c>
      <c r="F2367" s="30">
        <v>0.2</v>
      </c>
      <c r="G2367" s="31"/>
      <c r="H2367" s="31"/>
      <c r="I2367" s="31"/>
      <c r="J2367" s="31"/>
    </row>
    <row r="2368" spans="1:10" ht="14.4" x14ac:dyDescent="0.3">
      <c r="A2368" s="28" t="str">
        <f>B2368&amp;C2368&amp;D2368&amp;E2368</f>
        <v>Красота и уходУход за теломЗагар и защита от солнцаСредства после загара</v>
      </c>
      <c r="B2368" s="29" t="s">
        <v>56</v>
      </c>
      <c r="C2368" s="29" t="s">
        <v>100</v>
      </c>
      <c r="D2368" s="29" t="s">
        <v>2214</v>
      </c>
      <c r="E2368" s="29" t="s">
        <v>3091</v>
      </c>
      <c r="F2368" s="30">
        <v>0.2</v>
      </c>
      <c r="G2368" s="31"/>
      <c r="H2368" s="31"/>
      <c r="I2368" s="31"/>
      <c r="J2368" s="31"/>
    </row>
    <row r="2369" spans="1:10" ht="14.4" x14ac:dyDescent="0.3">
      <c r="A2369" s="28" t="str">
        <f>B2369&amp;C2369&amp;D2369&amp;E2369</f>
        <v>КнигиДетям и родителямКомиксыКомиксы</v>
      </c>
      <c r="B2369" s="29" t="s">
        <v>63</v>
      </c>
      <c r="C2369" s="29" t="s">
        <v>258</v>
      </c>
      <c r="D2369" s="29" t="s">
        <v>1112</v>
      </c>
      <c r="E2369" s="29" t="s">
        <v>1112</v>
      </c>
      <c r="F2369" s="30">
        <v>0.2</v>
      </c>
      <c r="G2369" s="31"/>
      <c r="H2369" s="31"/>
      <c r="I2369" s="31"/>
      <c r="J2369" s="31"/>
    </row>
    <row r="2370" spans="1:10" ht="14.4" x14ac:dyDescent="0.3">
      <c r="A2370" s="28" t="str">
        <f>B2370&amp;C2370&amp;D2370&amp;E2370</f>
        <v>Красота и уходУход за лицомУвлажнение и питаниеДневные кремы</v>
      </c>
      <c r="B2370" s="29" t="s">
        <v>56</v>
      </c>
      <c r="C2370" s="29" t="s">
        <v>238</v>
      </c>
      <c r="D2370" s="29" t="s">
        <v>134</v>
      </c>
      <c r="E2370" s="29" t="s">
        <v>969</v>
      </c>
      <c r="F2370" s="30">
        <v>0.2</v>
      </c>
      <c r="G2370" s="31"/>
      <c r="H2370" s="31"/>
      <c r="I2370" s="31"/>
      <c r="J2370" s="31"/>
    </row>
    <row r="2371" spans="1:10" ht="14.4" x14ac:dyDescent="0.3">
      <c r="A2371" s="28" t="str">
        <f>B2371&amp;C2371&amp;D2371&amp;E2371</f>
        <v>Детские товарыИгрушки и игрыКукольные домикиКукольные домики</v>
      </c>
      <c r="B2371" s="29" t="s">
        <v>105</v>
      </c>
      <c r="C2371" s="29" t="s">
        <v>184</v>
      </c>
      <c r="D2371" s="29" t="s">
        <v>3095</v>
      </c>
      <c r="E2371" s="29" t="s">
        <v>3095</v>
      </c>
      <c r="F2371" s="30">
        <v>0.2</v>
      </c>
      <c r="G2371" s="31"/>
      <c r="H2371" s="31"/>
      <c r="I2371" s="31"/>
      <c r="J2371" s="31"/>
    </row>
    <row r="2372" spans="1:10" ht="14.4" x14ac:dyDescent="0.3">
      <c r="A2372" s="28" t="str">
        <f>B2372&amp;C2372&amp;D2372&amp;E2372</f>
        <v>Детские товарыТовары для кормленияПосуда и принадлежности для кормленияДетские кружки</v>
      </c>
      <c r="B2372" s="29" t="s">
        <v>105</v>
      </c>
      <c r="C2372" s="29" t="s">
        <v>639</v>
      </c>
      <c r="D2372" s="29" t="s">
        <v>640</v>
      </c>
      <c r="E2372" s="29" t="s">
        <v>3098</v>
      </c>
      <c r="F2372" s="30">
        <v>0.2</v>
      </c>
      <c r="G2372" s="31"/>
      <c r="H2372" s="31"/>
      <c r="I2372" s="31"/>
      <c r="J2372" s="31"/>
    </row>
    <row r="2373" spans="1:10" ht="14.4" x14ac:dyDescent="0.3">
      <c r="A2373" s="28" t="str">
        <f>B2373&amp;C2373&amp;D2373&amp;E2373</f>
        <v>Спорт и отдыхЗимний спортТюбингиТюбинги</v>
      </c>
      <c r="B2373" s="29" t="s">
        <v>101</v>
      </c>
      <c r="C2373" s="29" t="s">
        <v>1173</v>
      </c>
      <c r="D2373" s="29" t="s">
        <v>3101</v>
      </c>
      <c r="E2373" s="29" t="s">
        <v>3101</v>
      </c>
      <c r="F2373" s="30">
        <v>0.2</v>
      </c>
      <c r="G2373" s="31"/>
      <c r="H2373" s="31"/>
      <c r="I2373" s="31"/>
      <c r="J2373" s="31"/>
    </row>
    <row r="2374" spans="1:10" ht="14.4" x14ac:dyDescent="0.3">
      <c r="A2374" s="28" t="str">
        <f>B2374&amp;C2374&amp;D2374&amp;E2374</f>
        <v>КанцтоварыТовары для школы и обученияКарты мираКарты мира</v>
      </c>
      <c r="B2374" s="29" t="s">
        <v>163</v>
      </c>
      <c r="C2374" s="29" t="s">
        <v>1568</v>
      </c>
      <c r="D2374" s="29" t="s">
        <v>1569</v>
      </c>
      <c r="E2374" s="29" t="s">
        <v>1569</v>
      </c>
      <c r="F2374" s="30">
        <v>0.2</v>
      </c>
      <c r="G2374" s="31"/>
      <c r="H2374" s="31"/>
      <c r="I2374" s="31"/>
      <c r="J2374" s="31"/>
    </row>
    <row r="2375" spans="1:10" ht="14.4" x14ac:dyDescent="0.3">
      <c r="A2375" s="28" t="str">
        <f>B2375&amp;C2375&amp;D2375&amp;E2375</f>
        <v>ОбувьМужская обувьКроссовки и кедыКеды</v>
      </c>
      <c r="B2375" s="29" t="s">
        <v>180</v>
      </c>
      <c r="C2375" s="29" t="s">
        <v>279</v>
      </c>
      <c r="D2375" s="29" t="s">
        <v>1674</v>
      </c>
      <c r="E2375" s="29" t="s">
        <v>3105</v>
      </c>
      <c r="F2375" s="30">
        <v>0.2</v>
      </c>
      <c r="G2375" s="31"/>
      <c r="H2375" s="31"/>
      <c r="I2375" s="31"/>
      <c r="J2375" s="31"/>
    </row>
    <row r="2376" spans="1:10" ht="14.4" x14ac:dyDescent="0.3">
      <c r="A2376" s="28" t="str">
        <f>B2376&amp;C2376&amp;D2376&amp;E2376</f>
        <v>КанцтоварыОфисные принадлежностиКлейКлей</v>
      </c>
      <c r="B2376" s="29" t="s">
        <v>163</v>
      </c>
      <c r="C2376" s="29" t="s">
        <v>227</v>
      </c>
      <c r="D2376" s="29" t="s">
        <v>3107</v>
      </c>
      <c r="E2376" s="29" t="s">
        <v>3107</v>
      </c>
      <c r="F2376" s="30">
        <v>0.2</v>
      </c>
      <c r="G2376" s="31"/>
      <c r="H2376" s="31"/>
      <c r="I2376" s="31"/>
      <c r="J2376" s="31"/>
    </row>
    <row r="2377" spans="1:10" ht="14.4" x14ac:dyDescent="0.3">
      <c r="A2377" s="28" t="str">
        <f>B2377&amp;C2377&amp;D2377&amp;E2377</f>
        <v>Детские товарыКоляски и автокреслаРюкзаки, слинги, сумки-кенгуруРюкзаки, слинги, сумки-кенгуру</v>
      </c>
      <c r="B2377" s="29" t="s">
        <v>105</v>
      </c>
      <c r="C2377" s="29" t="s">
        <v>678</v>
      </c>
      <c r="D2377" s="29" t="s">
        <v>3109</v>
      </c>
      <c r="E2377" s="29" t="s">
        <v>3109</v>
      </c>
      <c r="F2377" s="30">
        <v>0.2</v>
      </c>
      <c r="G2377" s="31"/>
      <c r="H2377" s="31"/>
      <c r="I2377" s="31"/>
      <c r="J2377" s="31"/>
    </row>
    <row r="2378" spans="1:10" ht="14.4" x14ac:dyDescent="0.3">
      <c r="A2378" s="28" t="str">
        <f>B2378&amp;C2378&amp;D2378&amp;E2378</f>
        <v>Красота и уходДля мужчинУход за лицомКремы для лица</v>
      </c>
      <c r="B2378" s="29" t="s">
        <v>56</v>
      </c>
      <c r="C2378" s="29" t="s">
        <v>71</v>
      </c>
      <c r="D2378" s="29" t="s">
        <v>238</v>
      </c>
      <c r="E2378" s="29" t="s">
        <v>3112</v>
      </c>
      <c r="F2378" s="30">
        <v>0.2</v>
      </c>
      <c r="G2378" s="31"/>
      <c r="H2378" s="31"/>
      <c r="I2378" s="31"/>
      <c r="J2378" s="31"/>
    </row>
    <row r="2379" spans="1:10" ht="14.4" x14ac:dyDescent="0.3">
      <c r="A2379" s="28" t="str">
        <f>B2379&amp;C2379&amp;D2379&amp;E2379</f>
        <v>ЭлектроникаФото и видеотехникаАксессуары для фото- и видеокамерОбъективы</v>
      </c>
      <c r="B2379" s="29" t="s">
        <v>67</v>
      </c>
      <c r="C2379" s="29" t="s">
        <v>174</v>
      </c>
      <c r="D2379" s="29" t="s">
        <v>175</v>
      </c>
      <c r="E2379" s="29" t="s">
        <v>3114</v>
      </c>
      <c r="F2379" s="30">
        <v>0.2</v>
      </c>
      <c r="G2379" s="31"/>
      <c r="H2379" s="31"/>
      <c r="I2379" s="31"/>
      <c r="J2379" s="31"/>
    </row>
    <row r="2380" spans="1:10" ht="14.4" x14ac:dyDescent="0.3">
      <c r="A2380" s="28" t="str">
        <f>B2380&amp;C2380&amp;D2380&amp;E2380</f>
        <v>ЭлектроникаНаушники и аудиотехникаПериферия и аксессуарыПредусилители</v>
      </c>
      <c r="B2380" s="29" t="s">
        <v>67</v>
      </c>
      <c r="C2380" s="29" t="s">
        <v>74</v>
      </c>
      <c r="D2380" s="29" t="s">
        <v>763</v>
      </c>
      <c r="E2380" s="29" t="s">
        <v>3115</v>
      </c>
      <c r="F2380" s="30">
        <v>0.2</v>
      </c>
      <c r="G2380" s="31"/>
      <c r="H2380" s="31"/>
      <c r="I2380" s="31"/>
      <c r="J2380" s="31"/>
    </row>
    <row r="2381" spans="1:10" ht="14.4" x14ac:dyDescent="0.3">
      <c r="A2381" s="28" t="str">
        <f>B2381&amp;C2381&amp;D2381&amp;E2381</f>
        <v>ОбувьЖенская обувьКроссовки и кедыКеды</v>
      </c>
      <c r="B2381" s="29" t="s">
        <v>180</v>
      </c>
      <c r="C2381" s="29" t="s">
        <v>181</v>
      </c>
      <c r="D2381" s="29" t="s">
        <v>1674</v>
      </c>
      <c r="E2381" s="29" t="s">
        <v>3105</v>
      </c>
      <c r="F2381" s="30">
        <v>0.2</v>
      </c>
      <c r="G2381" s="31"/>
      <c r="H2381" s="31"/>
      <c r="I2381" s="31"/>
      <c r="J2381" s="31"/>
    </row>
    <row r="2382" spans="1:10" ht="14.4" x14ac:dyDescent="0.3">
      <c r="A2382" s="28" t="str">
        <f>B2382&amp;C2382&amp;D2382&amp;E2382</f>
        <v>Товары для домаХозяйственные товарыАксессуары для ваннойЕршики для унитаза</v>
      </c>
      <c r="B2382" s="29" t="s">
        <v>59</v>
      </c>
      <c r="C2382" s="29" t="s">
        <v>193</v>
      </c>
      <c r="D2382" s="29" t="s">
        <v>194</v>
      </c>
      <c r="E2382" s="29" t="s">
        <v>3127</v>
      </c>
      <c r="F2382" s="30">
        <v>0.2</v>
      </c>
      <c r="G2382" s="31"/>
      <c r="H2382" s="31"/>
      <c r="I2382" s="31"/>
      <c r="J2382" s="31"/>
    </row>
    <row r="2383" spans="1:10" ht="14.4" x14ac:dyDescent="0.3">
      <c r="A2383" s="28" t="str">
        <f>B2383&amp;C2383&amp;D2383&amp;E2383</f>
        <v>Товары для домаТовары для кухниСтоловая посудаСоусники</v>
      </c>
      <c r="B2383" s="29" t="s">
        <v>59</v>
      </c>
      <c r="C2383" s="29" t="s">
        <v>60</v>
      </c>
      <c r="D2383" s="29" t="s">
        <v>328</v>
      </c>
      <c r="E2383" s="29" t="s">
        <v>3132</v>
      </c>
      <c r="F2383" s="30">
        <v>0.2</v>
      </c>
      <c r="G2383" s="31"/>
      <c r="H2383" s="31"/>
      <c r="I2383" s="31"/>
      <c r="J2383" s="31"/>
    </row>
    <row r="2384" spans="1:10" ht="14.4" x14ac:dyDescent="0.3">
      <c r="A2384" s="28" t="str">
        <f>B2384&amp;C2384&amp;D2384&amp;E2384</f>
        <v>КнигиНехудожественная литератураНаучная литератураНаучная психология</v>
      </c>
      <c r="B2384" s="29" t="s">
        <v>63</v>
      </c>
      <c r="C2384" s="29" t="s">
        <v>141</v>
      </c>
      <c r="D2384" s="29" t="s">
        <v>1224</v>
      </c>
      <c r="E2384" s="29" t="s">
        <v>3133</v>
      </c>
      <c r="F2384" s="30">
        <v>0.2</v>
      </c>
      <c r="G2384" s="31"/>
      <c r="H2384" s="31"/>
      <c r="I2384" s="31"/>
      <c r="J2384" s="31"/>
    </row>
    <row r="2385" spans="1:10" ht="14.4" x14ac:dyDescent="0.3">
      <c r="A2385" s="28" t="str">
        <f>B2385&amp;C2385&amp;D2385&amp;E2385</f>
        <v>ОбувьЖенская обувьРезиновая обувьСланцы</v>
      </c>
      <c r="B2385" s="29" t="s">
        <v>180</v>
      </c>
      <c r="C2385" s="29" t="s">
        <v>181</v>
      </c>
      <c r="D2385" s="29" t="s">
        <v>593</v>
      </c>
      <c r="E2385" s="29" t="s">
        <v>1515</v>
      </c>
      <c r="F2385" s="30">
        <v>0.2</v>
      </c>
      <c r="G2385" s="31"/>
      <c r="H2385" s="31"/>
      <c r="I2385" s="31"/>
      <c r="J2385" s="31"/>
    </row>
    <row r="2386" spans="1:10" ht="14.4" x14ac:dyDescent="0.3">
      <c r="A2386" s="28" t="str">
        <f>B2386&amp;C2386&amp;D2386&amp;E2386</f>
        <v>Продукты питанияШоколад, конфеты, сладостиПеченьеПеченье</v>
      </c>
      <c r="B2386" s="29" t="s">
        <v>248</v>
      </c>
      <c r="C2386" s="29" t="s">
        <v>249</v>
      </c>
      <c r="D2386" s="29" t="s">
        <v>3134</v>
      </c>
      <c r="E2386" s="29" t="s">
        <v>3134</v>
      </c>
      <c r="F2386" s="30">
        <v>0.2</v>
      </c>
      <c r="G2386" s="31"/>
      <c r="H2386" s="31"/>
      <c r="I2386" s="31"/>
      <c r="J2386" s="31"/>
    </row>
    <row r="2387" spans="1:10" ht="14.4" x14ac:dyDescent="0.3">
      <c r="A2387" s="28" t="str">
        <f>B2387&amp;C2387&amp;D2387&amp;E2387</f>
        <v>КанцтоварыБумажная продукцияАльбомы для рисованияАльбомы для рисования</v>
      </c>
      <c r="B2387" s="29" t="s">
        <v>163</v>
      </c>
      <c r="C2387" s="29" t="s">
        <v>261</v>
      </c>
      <c r="D2387" s="29" t="s">
        <v>3141</v>
      </c>
      <c r="E2387" s="29" t="s">
        <v>3141</v>
      </c>
      <c r="F2387" s="30">
        <v>0.2</v>
      </c>
      <c r="G2387" s="31"/>
      <c r="H2387" s="31"/>
      <c r="I2387" s="31"/>
      <c r="J2387" s="31"/>
    </row>
    <row r="2388" spans="1:10" ht="14.4" x14ac:dyDescent="0.3">
      <c r="A2388" s="28" t="str">
        <f>B2388&amp;C2388&amp;D2388&amp;E2388</f>
        <v>Красота и уходУход за теломСредства для душа и ванныСоль для ванны</v>
      </c>
      <c r="B2388" s="29" t="s">
        <v>56</v>
      </c>
      <c r="C2388" s="29" t="s">
        <v>100</v>
      </c>
      <c r="D2388" s="29" t="s">
        <v>1205</v>
      </c>
      <c r="E2388" s="29" t="s">
        <v>3142</v>
      </c>
      <c r="F2388" s="30">
        <v>0.2</v>
      </c>
      <c r="G2388" s="31"/>
      <c r="H2388" s="31"/>
      <c r="I2388" s="31"/>
      <c r="J2388" s="31"/>
    </row>
    <row r="2389" spans="1:10" ht="14.4" x14ac:dyDescent="0.3">
      <c r="A2389" s="28" t="str">
        <f>B2389&amp;C2389&amp;D2389&amp;E2389</f>
        <v>ОбувьЖенская обувьБосоножкиБосоножки</v>
      </c>
      <c r="B2389" s="29" t="s">
        <v>180</v>
      </c>
      <c r="C2389" s="29" t="s">
        <v>181</v>
      </c>
      <c r="D2389" s="29" t="s">
        <v>3143</v>
      </c>
      <c r="E2389" s="29" t="s">
        <v>3143</v>
      </c>
      <c r="F2389" s="30">
        <v>0.2</v>
      </c>
      <c r="G2389" s="31"/>
      <c r="H2389" s="31"/>
      <c r="I2389" s="31"/>
      <c r="J2389" s="31"/>
    </row>
    <row r="2390" spans="1:10" ht="14.4" x14ac:dyDescent="0.3">
      <c r="A2390" s="28" t="str">
        <f>B2390&amp;C2390&amp;D2390&amp;E2390</f>
        <v>КанцтоварыОфисные принадлежностиКанцелярские мелочиКанцелярские мелочи</v>
      </c>
      <c r="B2390" s="29" t="s">
        <v>163</v>
      </c>
      <c r="C2390" s="29" t="s">
        <v>227</v>
      </c>
      <c r="D2390" s="29" t="s">
        <v>3144</v>
      </c>
      <c r="E2390" s="29" t="s">
        <v>3144</v>
      </c>
      <c r="F2390" s="30">
        <v>0.2</v>
      </c>
      <c r="G2390" s="31"/>
      <c r="H2390" s="31"/>
      <c r="I2390" s="31"/>
      <c r="J2390" s="31"/>
    </row>
    <row r="2391" spans="1:10" ht="14.4" x14ac:dyDescent="0.3">
      <c r="A2391" s="28" t="str">
        <f>B2391&amp;C2391&amp;D2391&amp;E2391</f>
        <v>Бытовая техникаТехника для домаПылесосы и аксессуарыЗапчасти и аксессуары для пылесосов</v>
      </c>
      <c r="B2391" s="29" t="s">
        <v>160</v>
      </c>
      <c r="C2391" s="29" t="s">
        <v>229</v>
      </c>
      <c r="D2391" s="29" t="s">
        <v>230</v>
      </c>
      <c r="E2391" s="29" t="s">
        <v>231</v>
      </c>
      <c r="F2391" s="30">
        <v>0.18</v>
      </c>
      <c r="G2391" s="31"/>
      <c r="H2391" s="31"/>
      <c r="I2391" s="31"/>
      <c r="J2391" s="31"/>
    </row>
    <row r="2392" spans="1:10" ht="14.4" x14ac:dyDescent="0.3">
      <c r="A2392" s="28" t="str">
        <f>B2392&amp;C2392&amp;D2392&amp;E2392</f>
        <v>Детские товарыДетский спорт и активный отдыхДетский транспортСамокаты детские</v>
      </c>
      <c r="B2392" s="29" t="s">
        <v>105</v>
      </c>
      <c r="C2392" s="29" t="s">
        <v>427</v>
      </c>
      <c r="D2392" s="29" t="s">
        <v>428</v>
      </c>
      <c r="E2392" s="29" t="s">
        <v>429</v>
      </c>
      <c r="F2392" s="30">
        <v>0.18</v>
      </c>
      <c r="G2392" s="31"/>
      <c r="H2392" s="31"/>
      <c r="I2392" s="31"/>
      <c r="J2392" s="31"/>
    </row>
    <row r="2393" spans="1:10" ht="14.4" x14ac:dyDescent="0.3">
      <c r="A2393" s="28" t="str">
        <f>B2393&amp;C2393&amp;D2393&amp;E2393</f>
        <v>ЭлектроникаНаушники и аудиотехникаАудиотехникаРации и радиостанции</v>
      </c>
      <c r="B2393" s="29" t="s">
        <v>67</v>
      </c>
      <c r="C2393" s="29" t="s">
        <v>74</v>
      </c>
      <c r="D2393" s="29" t="s">
        <v>409</v>
      </c>
      <c r="E2393" s="29" t="s">
        <v>565</v>
      </c>
      <c r="F2393" s="30">
        <v>0.18</v>
      </c>
      <c r="G2393" s="31"/>
      <c r="H2393" s="31"/>
      <c r="I2393" s="31"/>
      <c r="J2393" s="31"/>
    </row>
    <row r="2394" spans="1:10" ht="14.4" x14ac:dyDescent="0.3">
      <c r="A2394" s="28" t="str">
        <f>B2394&amp;C2394&amp;D2394&amp;E2394</f>
        <v>Дача, сад и огородПикник, барбекю, грильОчаги и дровницы для костраОчаги и дровницы для костра</v>
      </c>
      <c r="B2394" s="29" t="s">
        <v>352</v>
      </c>
      <c r="C2394" s="29" t="s">
        <v>1048</v>
      </c>
      <c r="D2394" s="29" t="s">
        <v>1049</v>
      </c>
      <c r="E2394" s="29" t="s">
        <v>1049</v>
      </c>
      <c r="F2394" s="30">
        <v>0.18</v>
      </c>
      <c r="G2394" s="31"/>
      <c r="H2394" s="31"/>
      <c r="I2394" s="31"/>
      <c r="J2394" s="31"/>
    </row>
    <row r="2395" spans="1:10" ht="14.4" x14ac:dyDescent="0.3">
      <c r="A2395" s="28" t="str">
        <f>B2395&amp;C2395&amp;D2395&amp;E2395</f>
        <v>ЭлектроникаУмный дом и безопасностьВидеонаблюдениеСистемы видеонаблюдения</v>
      </c>
      <c r="B2395" s="29" t="s">
        <v>67</v>
      </c>
      <c r="C2395" s="29" t="s">
        <v>411</v>
      </c>
      <c r="D2395" s="29" t="s">
        <v>1139</v>
      </c>
      <c r="E2395" s="29" t="s">
        <v>1210</v>
      </c>
      <c r="F2395" s="30">
        <v>0.18</v>
      </c>
      <c r="G2395" s="31"/>
      <c r="H2395" s="31"/>
      <c r="I2395" s="31"/>
      <c r="J2395" s="31"/>
    </row>
    <row r="2396" spans="1:10" ht="14.4" x14ac:dyDescent="0.3">
      <c r="A2396" s="28" t="str">
        <f>B2396&amp;C2396&amp;D2396&amp;E2396</f>
        <v>Бытовая техникаТехника для домаУтюги и отпаривателиЗапчасти и аксессуары для утюгов</v>
      </c>
      <c r="B2396" s="29" t="s">
        <v>160</v>
      </c>
      <c r="C2396" s="29" t="s">
        <v>229</v>
      </c>
      <c r="D2396" s="29" t="s">
        <v>473</v>
      </c>
      <c r="E2396" s="29" t="s">
        <v>1518</v>
      </c>
      <c r="F2396" s="30">
        <v>0.18</v>
      </c>
      <c r="G2396" s="31"/>
      <c r="H2396" s="31"/>
      <c r="I2396" s="31"/>
      <c r="J2396" s="31"/>
    </row>
    <row r="2397" spans="1:10" ht="14.4" x14ac:dyDescent="0.3">
      <c r="A2397" s="28" t="str">
        <f>B2397&amp;C2397&amp;D2397&amp;E2397</f>
        <v>Дача, сад и огородПикник, барбекю, грильГрили, барбекю и коптильниГрили, барбекю и коптильни</v>
      </c>
      <c r="B2397" s="29" t="s">
        <v>352</v>
      </c>
      <c r="C2397" s="29" t="s">
        <v>1048</v>
      </c>
      <c r="D2397" s="29" t="s">
        <v>1599</v>
      </c>
      <c r="E2397" s="29" t="s">
        <v>1599</v>
      </c>
      <c r="F2397" s="30">
        <v>0.18</v>
      </c>
      <c r="G2397" s="31"/>
      <c r="H2397" s="31"/>
      <c r="I2397" s="31"/>
      <c r="J2397" s="31"/>
    </row>
    <row r="2398" spans="1:10" ht="14.4" x14ac:dyDescent="0.3">
      <c r="A2398" s="28" t="str">
        <f>B2398&amp;C2398&amp;D2398&amp;E2398</f>
        <v>Бытовая техникаТехника для домаУтюги и отпаривателиСредства очистки</v>
      </c>
      <c r="B2398" s="29" t="s">
        <v>160</v>
      </c>
      <c r="C2398" s="29" t="s">
        <v>229</v>
      </c>
      <c r="D2398" s="29" t="s">
        <v>473</v>
      </c>
      <c r="E2398" s="29" t="s">
        <v>1669</v>
      </c>
      <c r="F2398" s="30">
        <v>0.18</v>
      </c>
      <c r="G2398" s="31"/>
      <c r="H2398" s="31"/>
      <c r="I2398" s="31"/>
      <c r="J2398" s="31"/>
    </row>
    <row r="2399" spans="1:10" ht="14.4" x14ac:dyDescent="0.3">
      <c r="A2399" s="28" t="str">
        <f>B2399&amp;C2399&amp;D2399&amp;E2399</f>
        <v>Дача, сад и огородПикник, барбекю, грильМангалыМангалы</v>
      </c>
      <c r="B2399" s="29" t="s">
        <v>352</v>
      </c>
      <c r="C2399" s="29" t="s">
        <v>1048</v>
      </c>
      <c r="D2399" s="29" t="s">
        <v>1825</v>
      </c>
      <c r="E2399" s="29" t="s">
        <v>1825</v>
      </c>
      <c r="F2399" s="30">
        <v>0.18</v>
      </c>
      <c r="G2399" s="31"/>
      <c r="H2399" s="31"/>
      <c r="I2399" s="31"/>
      <c r="J2399" s="31"/>
    </row>
    <row r="2400" spans="1:10" ht="14.4" x14ac:dyDescent="0.3">
      <c r="A2400" s="28" t="str">
        <f>B2400&amp;C2400&amp;D2400&amp;E2400</f>
        <v>Детские товарыДетский спорт и активный отдыхДетский транспортБорды и доски</v>
      </c>
      <c r="B2400" s="29" t="s">
        <v>105</v>
      </c>
      <c r="C2400" s="29" t="s">
        <v>427</v>
      </c>
      <c r="D2400" s="29" t="s">
        <v>428</v>
      </c>
      <c r="E2400" s="29" t="s">
        <v>2156</v>
      </c>
      <c r="F2400" s="30">
        <v>0.18</v>
      </c>
      <c r="G2400" s="31"/>
      <c r="H2400" s="31"/>
      <c r="I2400" s="31"/>
      <c r="J2400" s="31"/>
    </row>
    <row r="2401" spans="1:10" ht="14.4" x14ac:dyDescent="0.3">
      <c r="A2401" s="28" t="str">
        <f>B2401&amp;C2401&amp;D2401&amp;E2401</f>
        <v>Детские товарыДетский спорт и активный отдыхДетский транспортРолики детские</v>
      </c>
      <c r="B2401" s="29" t="s">
        <v>105</v>
      </c>
      <c r="C2401" s="29" t="s">
        <v>427</v>
      </c>
      <c r="D2401" s="29" t="s">
        <v>428</v>
      </c>
      <c r="E2401" s="29" t="s">
        <v>2254</v>
      </c>
      <c r="F2401" s="30">
        <v>0.18</v>
      </c>
      <c r="G2401" s="31"/>
      <c r="H2401" s="31"/>
      <c r="I2401" s="31"/>
      <c r="J2401" s="31"/>
    </row>
    <row r="2402" spans="1:10" ht="14.4" x14ac:dyDescent="0.3">
      <c r="A2402" s="28" t="str">
        <f>B2402&amp;C2402&amp;D2402&amp;E2402</f>
        <v>Детские товарыДетский спорт и активный отдыхДетский транспортВелосипеды детские</v>
      </c>
      <c r="B2402" s="29" t="s">
        <v>105</v>
      </c>
      <c r="C2402" s="29" t="s">
        <v>427</v>
      </c>
      <c r="D2402" s="29" t="s">
        <v>428</v>
      </c>
      <c r="E2402" s="29" t="s">
        <v>2358</v>
      </c>
      <c r="F2402" s="30">
        <v>0.18</v>
      </c>
      <c r="G2402" s="31"/>
      <c r="H2402" s="31"/>
      <c r="I2402" s="31"/>
      <c r="J2402" s="31"/>
    </row>
    <row r="2403" spans="1:10" ht="14.4" x14ac:dyDescent="0.3">
      <c r="A2403" s="28" t="str">
        <f>B2403&amp;C2403&amp;D2403&amp;E2403</f>
        <v>ЗоотоварыДля собакАксессуары для перевозки собакПереноски для собак</v>
      </c>
      <c r="B2403" s="29" t="s">
        <v>214</v>
      </c>
      <c r="C2403" s="29" t="s">
        <v>509</v>
      </c>
      <c r="D2403" s="29" t="s">
        <v>1041</v>
      </c>
      <c r="E2403" s="29" t="s">
        <v>2403</v>
      </c>
      <c r="F2403" s="30">
        <v>0.18</v>
      </c>
      <c r="G2403" s="31"/>
      <c r="H2403" s="31"/>
      <c r="I2403" s="31"/>
      <c r="J2403" s="31"/>
    </row>
    <row r="2404" spans="1:10" ht="14.4" x14ac:dyDescent="0.3">
      <c r="A2404" s="28" t="str">
        <f>B2404&amp;C2404&amp;D2404&amp;E2404</f>
        <v>Детские товарыДетский спорт и активный отдыхДетский транспортБеговелы и каталки</v>
      </c>
      <c r="B2404" s="29" t="s">
        <v>105</v>
      </c>
      <c r="C2404" s="29" t="s">
        <v>427</v>
      </c>
      <c r="D2404" s="29" t="s">
        <v>428</v>
      </c>
      <c r="E2404" s="29" t="s">
        <v>2985</v>
      </c>
      <c r="F2404" s="30">
        <v>0.18</v>
      </c>
      <c r="G2404" s="31"/>
      <c r="H2404" s="31"/>
      <c r="I2404" s="31"/>
      <c r="J2404" s="31"/>
    </row>
    <row r="2405" spans="1:10" ht="14.4" x14ac:dyDescent="0.3">
      <c r="A2405" s="28" t="str">
        <f>B2405&amp;C2405&amp;D2405&amp;E2405</f>
        <v>АвтотоварыАвтозапчастиАвтосветАвтосвет</v>
      </c>
      <c r="B2405" s="29" t="s">
        <v>12</v>
      </c>
      <c r="C2405" s="29" t="s">
        <v>978</v>
      </c>
      <c r="D2405" s="29" t="s">
        <v>3130</v>
      </c>
      <c r="E2405" s="29" t="s">
        <v>3130</v>
      </c>
      <c r="F2405" s="30">
        <v>0.18</v>
      </c>
      <c r="G2405" s="31"/>
      <c r="H2405" s="31"/>
      <c r="I2405" s="31"/>
      <c r="J2405" s="31"/>
    </row>
    <row r="2406" spans="1:10" ht="14.4" x14ac:dyDescent="0.3">
      <c r="A2406" s="28" t="str">
        <f>B2406&amp;C2406&amp;D2406&amp;E2406</f>
        <v>Бытовая техникаТовары для кухниТехника для жарки и варкиПрочая техника для жарки и варки</v>
      </c>
      <c r="B2406" s="29" t="s">
        <v>160</v>
      </c>
      <c r="C2406" s="29" t="s">
        <v>60</v>
      </c>
      <c r="D2406" s="29" t="s">
        <v>232</v>
      </c>
      <c r="E2406" s="29" t="s">
        <v>233</v>
      </c>
      <c r="F2406" s="30">
        <v>0.17</v>
      </c>
      <c r="G2406" s="31"/>
      <c r="H2406" s="31"/>
      <c r="I2406" s="31"/>
      <c r="J2406" s="31"/>
    </row>
    <row r="2407" spans="1:10" ht="14.4" x14ac:dyDescent="0.3">
      <c r="A2407" s="28" t="str">
        <f>B2407&amp;C2407&amp;D2407&amp;E2407</f>
        <v>АвтотоварыГараж и автосервисСпецинструменты для слесарных работСпецинструменты для слесарных работ</v>
      </c>
      <c r="B2407" s="29" t="s">
        <v>12</v>
      </c>
      <c r="C2407" s="29" t="s">
        <v>310</v>
      </c>
      <c r="D2407" s="29" t="s">
        <v>311</v>
      </c>
      <c r="E2407" s="29" t="s">
        <v>311</v>
      </c>
      <c r="F2407" s="30">
        <v>0.17</v>
      </c>
      <c r="G2407" s="31"/>
      <c r="H2407" s="31"/>
      <c r="I2407" s="31"/>
      <c r="J2407" s="31"/>
    </row>
    <row r="2408" spans="1:10" ht="14.4" x14ac:dyDescent="0.3">
      <c r="A2408" s="28" t="str">
        <f>B2408&amp;C2408&amp;D2408&amp;E2408</f>
        <v>Строительство и ремонтИнструментыПаяльное оборудованиеПрипои</v>
      </c>
      <c r="B2408" s="29" t="s">
        <v>77</v>
      </c>
      <c r="C2408" s="29" t="s">
        <v>78</v>
      </c>
      <c r="D2408" s="29" t="s">
        <v>372</v>
      </c>
      <c r="E2408" s="29" t="s">
        <v>373</v>
      </c>
      <c r="F2408" s="30">
        <v>0.17</v>
      </c>
      <c r="G2408" s="31"/>
      <c r="H2408" s="31"/>
      <c r="I2408" s="31"/>
      <c r="J2408" s="31"/>
    </row>
    <row r="2409" spans="1:10" ht="14.4" x14ac:dyDescent="0.3">
      <c r="A2409" s="28" t="str">
        <f>B2409&amp;C2409&amp;D2409&amp;E2409</f>
        <v>Продукты питанияЧай, кофе, горячие напиткиЧай травянойЧай травяной</v>
      </c>
      <c r="B2409" s="29" t="s">
        <v>248</v>
      </c>
      <c r="C2409" s="29" t="s">
        <v>395</v>
      </c>
      <c r="D2409" s="29" t="s">
        <v>396</v>
      </c>
      <c r="E2409" s="29" t="s">
        <v>396</v>
      </c>
      <c r="F2409" s="30">
        <v>0.17</v>
      </c>
      <c r="G2409" s="31"/>
      <c r="H2409" s="31"/>
      <c r="I2409" s="31"/>
      <c r="J2409" s="31"/>
    </row>
    <row r="2410" spans="1:10" ht="14.4" x14ac:dyDescent="0.3">
      <c r="A2410" s="28" t="str">
        <f>B2410&amp;C2410&amp;D2410&amp;E2410</f>
        <v>Бытовая техникаТехника для домаУтюги и отпаривателиУтюги</v>
      </c>
      <c r="B2410" s="29" t="s">
        <v>160</v>
      </c>
      <c r="C2410" s="29" t="s">
        <v>229</v>
      </c>
      <c r="D2410" s="29" t="s">
        <v>473</v>
      </c>
      <c r="E2410" s="29" t="s">
        <v>474</v>
      </c>
      <c r="F2410" s="30">
        <v>0.17</v>
      </c>
      <c r="G2410" s="31"/>
      <c r="H2410" s="31"/>
      <c r="I2410" s="31"/>
      <c r="J2410" s="31"/>
    </row>
    <row r="2411" spans="1:10" ht="14.4" x14ac:dyDescent="0.3">
      <c r="A2411" s="28" t="str">
        <f>B2411&amp;C2411&amp;D2411&amp;E2411</f>
        <v>Бытовая техникаТовары для кухниПрочая кухонная техникаПопкорн-мейкеры</v>
      </c>
      <c r="B2411" s="29" t="s">
        <v>160</v>
      </c>
      <c r="C2411" s="29" t="s">
        <v>60</v>
      </c>
      <c r="D2411" s="29" t="s">
        <v>161</v>
      </c>
      <c r="E2411" s="29" t="s">
        <v>519</v>
      </c>
      <c r="F2411" s="30">
        <v>0.17</v>
      </c>
      <c r="G2411" s="31"/>
      <c r="H2411" s="31"/>
      <c r="I2411" s="31"/>
      <c r="J2411" s="31"/>
    </row>
    <row r="2412" spans="1:10" ht="14.4" x14ac:dyDescent="0.3">
      <c r="A2412" s="28" t="str">
        <f>B2412&amp;C2412&amp;D2412&amp;E2412</f>
        <v>Строительство и ремонтИнструментыПневмоинструментыПневмоинструменты</v>
      </c>
      <c r="B2412" s="29" t="s">
        <v>77</v>
      </c>
      <c r="C2412" s="29" t="s">
        <v>78</v>
      </c>
      <c r="D2412" s="29" t="s">
        <v>522</v>
      </c>
      <c r="E2412" s="29" t="s">
        <v>522</v>
      </c>
      <c r="F2412" s="30">
        <v>0.17</v>
      </c>
      <c r="G2412" s="31"/>
      <c r="H2412" s="31"/>
      <c r="I2412" s="31"/>
      <c r="J2412" s="31"/>
    </row>
    <row r="2413" spans="1:10" ht="14.4" x14ac:dyDescent="0.3">
      <c r="A2413" s="28" t="str">
        <f>B2413&amp;C2413&amp;D2413&amp;E2413</f>
        <v>Бытовая техникаТовары для кухниПрочая кухонная техникаАппараты для сахарной ваты</v>
      </c>
      <c r="B2413" s="29" t="s">
        <v>160</v>
      </c>
      <c r="C2413" s="29" t="s">
        <v>60</v>
      </c>
      <c r="D2413" s="29" t="s">
        <v>161</v>
      </c>
      <c r="E2413" s="29" t="s">
        <v>558</v>
      </c>
      <c r="F2413" s="30">
        <v>0.17</v>
      </c>
      <c r="G2413" s="31"/>
      <c r="H2413" s="31"/>
      <c r="I2413" s="31"/>
      <c r="J2413" s="31"/>
    </row>
    <row r="2414" spans="1:10" ht="14.4" x14ac:dyDescent="0.3">
      <c r="A2414" s="28" t="str">
        <f>B2414&amp;C2414&amp;D2414&amp;E2414</f>
        <v>Строительство и ремонтИнструментыПаяльное оборудованиеХимия для пайки</v>
      </c>
      <c r="B2414" s="29" t="s">
        <v>77</v>
      </c>
      <c r="C2414" s="29" t="s">
        <v>78</v>
      </c>
      <c r="D2414" s="29" t="s">
        <v>372</v>
      </c>
      <c r="E2414" s="29" t="s">
        <v>559</v>
      </c>
      <c r="F2414" s="30">
        <v>0.17</v>
      </c>
      <c r="G2414" s="31"/>
      <c r="H2414" s="31"/>
      <c r="I2414" s="31"/>
      <c r="J2414" s="31"/>
    </row>
    <row r="2415" spans="1:10" ht="14.4" x14ac:dyDescent="0.3">
      <c r="A2415" s="28" t="str">
        <f>B2415&amp;C2415&amp;D2415&amp;E2415</f>
        <v>Бытовая техникаТовары для кухниТехника для жарки и варкиНастольные плиты</v>
      </c>
      <c r="B2415" s="29" t="s">
        <v>160</v>
      </c>
      <c r="C2415" s="29" t="s">
        <v>60</v>
      </c>
      <c r="D2415" s="29" t="s">
        <v>232</v>
      </c>
      <c r="E2415" s="29" t="s">
        <v>597</v>
      </c>
      <c r="F2415" s="30">
        <v>0.17</v>
      </c>
      <c r="G2415" s="31"/>
      <c r="H2415" s="31"/>
      <c r="I2415" s="31"/>
      <c r="J2415" s="31"/>
    </row>
    <row r="2416" spans="1:10" ht="14.4" x14ac:dyDescent="0.3">
      <c r="A2416" s="28" t="str">
        <f>B2416&amp;C2416&amp;D2416&amp;E2416</f>
        <v>Строительство и ремонтИнструментыПневмоинструментыШланги воздушные для компрессора</v>
      </c>
      <c r="B2416" s="29" t="s">
        <v>77</v>
      </c>
      <c r="C2416" s="29" t="s">
        <v>78</v>
      </c>
      <c r="D2416" s="29" t="s">
        <v>522</v>
      </c>
      <c r="E2416" s="29" t="s">
        <v>609</v>
      </c>
      <c r="F2416" s="30">
        <v>0.17</v>
      </c>
      <c r="G2416" s="31"/>
      <c r="H2416" s="31"/>
      <c r="I2416" s="31"/>
      <c r="J2416" s="31"/>
    </row>
    <row r="2417" spans="1:10" ht="14.4" x14ac:dyDescent="0.3">
      <c r="A2417" s="28" t="str">
        <f>B2417&amp;C2417&amp;D2417&amp;E2417</f>
        <v>Строительство и ремонтИнструментыРасходные элементыНасадки для граверов</v>
      </c>
      <c r="B2417" s="29" t="s">
        <v>77</v>
      </c>
      <c r="C2417" s="29" t="s">
        <v>78</v>
      </c>
      <c r="D2417" s="29" t="s">
        <v>615</v>
      </c>
      <c r="E2417" s="29" t="s">
        <v>616</v>
      </c>
      <c r="F2417" s="30">
        <v>0.17</v>
      </c>
      <c r="G2417" s="31"/>
      <c r="H2417" s="31"/>
      <c r="I2417" s="31"/>
      <c r="J2417" s="31"/>
    </row>
    <row r="2418" spans="1:10" ht="14.4" x14ac:dyDescent="0.3">
      <c r="A2418" s="28" t="str">
        <f>B2418&amp;C2418&amp;D2418&amp;E2418</f>
        <v>Бытовая техникаТовары для кухниИзмельчение и смешиваниеНасадки и аксессуары для измельчения</v>
      </c>
      <c r="B2418" s="29" t="s">
        <v>160</v>
      </c>
      <c r="C2418" s="29" t="s">
        <v>60</v>
      </c>
      <c r="D2418" s="29" t="s">
        <v>632</v>
      </c>
      <c r="E2418" s="29" t="s">
        <v>633</v>
      </c>
      <c r="F2418" s="30">
        <v>0.17</v>
      </c>
      <c r="G2418" s="31"/>
      <c r="H2418" s="31"/>
      <c r="I2418" s="31"/>
      <c r="J2418" s="31"/>
    </row>
    <row r="2419" spans="1:10" ht="14.4" x14ac:dyDescent="0.3">
      <c r="A2419" s="28" t="str">
        <f>B2419&amp;C2419&amp;D2419&amp;E2419</f>
        <v>Продукты питанияЧай, кофе, горячие напиткиКофе зерновойКофе зерновой</v>
      </c>
      <c r="B2419" s="29" t="s">
        <v>248</v>
      </c>
      <c r="C2419" s="29" t="s">
        <v>395</v>
      </c>
      <c r="D2419" s="29" t="s">
        <v>652</v>
      </c>
      <c r="E2419" s="29" t="s">
        <v>652</v>
      </c>
      <c r="F2419" s="30">
        <v>0.17</v>
      </c>
      <c r="G2419" s="31"/>
      <c r="H2419" s="31"/>
      <c r="I2419" s="31"/>
      <c r="J2419" s="31"/>
    </row>
    <row r="2420" spans="1:10" ht="14.4" x14ac:dyDescent="0.3">
      <c r="A2420" s="28" t="str">
        <f>B2420&amp;C2420&amp;D2420&amp;E2420</f>
        <v>Бытовая техникаТехника для красотыУкладка волосМультистайлеры</v>
      </c>
      <c r="B2420" s="29" t="s">
        <v>160</v>
      </c>
      <c r="C2420" s="29" t="s">
        <v>694</v>
      </c>
      <c r="D2420" s="29" t="s">
        <v>695</v>
      </c>
      <c r="E2420" s="29" t="s">
        <v>696</v>
      </c>
      <c r="F2420" s="30">
        <v>0.17</v>
      </c>
      <c r="G2420" s="31"/>
      <c r="H2420" s="31"/>
      <c r="I2420" s="31"/>
      <c r="J2420" s="31"/>
    </row>
    <row r="2421" spans="1:10" ht="14.4" x14ac:dyDescent="0.3">
      <c r="A2421" s="28" t="str">
        <f>B2421&amp;C2421&amp;D2421&amp;E2421</f>
        <v>Продукты питанияЧай, кофе, горячие напиткиЧай зеленыйЧай зеленый</v>
      </c>
      <c r="B2421" s="29" t="s">
        <v>248</v>
      </c>
      <c r="C2421" s="29" t="s">
        <v>395</v>
      </c>
      <c r="D2421" s="29" t="s">
        <v>732</v>
      </c>
      <c r="E2421" s="29" t="s">
        <v>732</v>
      </c>
      <c r="F2421" s="30">
        <v>0.17</v>
      </c>
      <c r="G2421" s="31"/>
      <c r="H2421" s="31"/>
      <c r="I2421" s="31"/>
      <c r="J2421" s="31"/>
    </row>
    <row r="2422" spans="1:10" ht="14.4" x14ac:dyDescent="0.3">
      <c r="A2422" s="28" t="str">
        <f>B2422&amp;C2422&amp;D2422&amp;E2422</f>
        <v>АвтотоварыГараж и автосервисДиагностическое оборудованиеДиагностическое оборудование</v>
      </c>
      <c r="B2422" s="29" t="s">
        <v>12</v>
      </c>
      <c r="C2422" s="29" t="s">
        <v>310</v>
      </c>
      <c r="D2422" s="29" t="s">
        <v>752</v>
      </c>
      <c r="E2422" s="29" t="s">
        <v>752</v>
      </c>
      <c r="F2422" s="30">
        <v>0.17</v>
      </c>
      <c r="G2422" s="31"/>
      <c r="H2422" s="31"/>
      <c r="I2422" s="31"/>
      <c r="J2422" s="31"/>
    </row>
    <row r="2423" spans="1:10" ht="14.4" x14ac:dyDescent="0.3">
      <c r="A2423" s="28" t="str">
        <f>B2423&amp;C2423&amp;D2423&amp;E2423</f>
        <v>Строительство и ремонтИнструментыПаяльное оборудованиеНабор для пайки</v>
      </c>
      <c r="B2423" s="29" t="s">
        <v>77</v>
      </c>
      <c r="C2423" s="29" t="s">
        <v>78</v>
      </c>
      <c r="D2423" s="29" t="s">
        <v>372</v>
      </c>
      <c r="E2423" s="29" t="s">
        <v>777</v>
      </c>
      <c r="F2423" s="30">
        <v>0.17</v>
      </c>
      <c r="G2423" s="31"/>
      <c r="H2423" s="31"/>
      <c r="I2423" s="31"/>
      <c r="J2423" s="31"/>
    </row>
    <row r="2424" spans="1:10" ht="14.4" x14ac:dyDescent="0.3">
      <c r="A2424" s="28" t="str">
        <f>B2424&amp;C2424&amp;D2424&amp;E2424</f>
        <v>Бытовая техникаТовары для кухниМикроволновые печиМикроволновые печи</v>
      </c>
      <c r="B2424" s="29" t="s">
        <v>160</v>
      </c>
      <c r="C2424" s="29" t="s">
        <v>60</v>
      </c>
      <c r="D2424" s="29" t="s">
        <v>850</v>
      </c>
      <c r="E2424" s="29" t="s">
        <v>850</v>
      </c>
      <c r="F2424" s="30">
        <v>0.17</v>
      </c>
      <c r="G2424" s="31"/>
      <c r="H2424" s="31"/>
      <c r="I2424" s="31"/>
      <c r="J2424" s="31"/>
    </row>
    <row r="2425" spans="1:10" ht="14.4" x14ac:dyDescent="0.3">
      <c r="A2425" s="28" t="str">
        <f>B2425&amp;C2425&amp;D2425&amp;E2425</f>
        <v>Строительство и ремонтИнструментыПаяльное оборудованиеПаяльники</v>
      </c>
      <c r="B2425" s="29" t="s">
        <v>77</v>
      </c>
      <c r="C2425" s="29" t="s">
        <v>78</v>
      </c>
      <c r="D2425" s="29" t="s">
        <v>372</v>
      </c>
      <c r="E2425" s="29" t="s">
        <v>959</v>
      </c>
      <c r="F2425" s="30">
        <v>0.17</v>
      </c>
      <c r="G2425" s="31"/>
      <c r="H2425" s="31"/>
      <c r="I2425" s="31"/>
      <c r="J2425" s="31"/>
    </row>
    <row r="2426" spans="1:10" ht="14.4" x14ac:dyDescent="0.3">
      <c r="A2426" s="28" t="str">
        <f>B2426&amp;C2426&amp;D2426&amp;E2426</f>
        <v>Бытовая техникаТовары для кухниЭлектрические чайники и термопотыТермопоты</v>
      </c>
      <c r="B2426" s="29" t="s">
        <v>160</v>
      </c>
      <c r="C2426" s="29" t="s">
        <v>60</v>
      </c>
      <c r="D2426" s="29" t="s">
        <v>1019</v>
      </c>
      <c r="E2426" s="29" t="s">
        <v>1020</v>
      </c>
      <c r="F2426" s="30">
        <v>0.17</v>
      </c>
      <c r="G2426" s="31"/>
      <c r="H2426" s="31"/>
      <c r="I2426" s="31"/>
      <c r="J2426" s="31"/>
    </row>
    <row r="2427" spans="1:10" ht="14.4" x14ac:dyDescent="0.3">
      <c r="A2427" s="28" t="str">
        <f>B2427&amp;C2427&amp;D2427&amp;E2427</f>
        <v>Бытовая техникаТехника для домаУтюги и отпаривателиГладильные системы и прессы</v>
      </c>
      <c r="B2427" s="29" t="s">
        <v>160</v>
      </c>
      <c r="C2427" s="29" t="s">
        <v>229</v>
      </c>
      <c r="D2427" s="29" t="s">
        <v>473</v>
      </c>
      <c r="E2427" s="29" t="s">
        <v>1125</v>
      </c>
      <c r="F2427" s="30">
        <v>0.17</v>
      </c>
      <c r="G2427" s="31"/>
      <c r="H2427" s="31"/>
      <c r="I2427" s="31"/>
      <c r="J2427" s="31"/>
    </row>
    <row r="2428" spans="1:10" ht="14.4" x14ac:dyDescent="0.3">
      <c r="A2428" s="28" t="str">
        <f>B2428&amp;C2428&amp;D2428&amp;E2428</f>
        <v>Бытовая техникаТовары для кухниИзмельчение и смешиваниеБлендеры стационарные</v>
      </c>
      <c r="B2428" s="29" t="s">
        <v>160</v>
      </c>
      <c r="C2428" s="29" t="s">
        <v>60</v>
      </c>
      <c r="D2428" s="29" t="s">
        <v>632</v>
      </c>
      <c r="E2428" s="29" t="s">
        <v>1126</v>
      </c>
      <c r="F2428" s="30">
        <v>0.17</v>
      </c>
      <c r="G2428" s="31"/>
      <c r="H2428" s="31"/>
      <c r="I2428" s="31"/>
      <c r="J2428" s="31"/>
    </row>
    <row r="2429" spans="1:10" ht="14.4" x14ac:dyDescent="0.3">
      <c r="A2429" s="28" t="str">
        <f>B2429&amp;C2429&amp;D2429&amp;E2429</f>
        <v>Бытовая техникаКлиматическая техникаОчищение и увлажнение воздухаАксессуары для увлажнителей и очистителей</v>
      </c>
      <c r="B2429" s="29" t="s">
        <v>160</v>
      </c>
      <c r="C2429" s="29" t="s">
        <v>621</v>
      </c>
      <c r="D2429" s="29" t="s">
        <v>863</v>
      </c>
      <c r="E2429" s="29" t="s">
        <v>1158</v>
      </c>
      <c r="F2429" s="30">
        <v>0.17</v>
      </c>
      <c r="G2429" s="31"/>
      <c r="H2429" s="31"/>
      <c r="I2429" s="31"/>
      <c r="J2429" s="31"/>
    </row>
    <row r="2430" spans="1:10" ht="14.4" x14ac:dyDescent="0.3">
      <c r="A2430" s="28" t="str">
        <f>B2430&amp;C2430&amp;D2430&amp;E2430</f>
        <v>Строительство и ремонтИнструментыРасходные элементыПилки для электролобзиков</v>
      </c>
      <c r="B2430" s="29" t="s">
        <v>77</v>
      </c>
      <c r="C2430" s="29" t="s">
        <v>78</v>
      </c>
      <c r="D2430" s="29" t="s">
        <v>615</v>
      </c>
      <c r="E2430" s="29" t="s">
        <v>1239</v>
      </c>
      <c r="F2430" s="30">
        <v>0.17</v>
      </c>
      <c r="G2430" s="31"/>
      <c r="H2430" s="31"/>
      <c r="I2430" s="31"/>
      <c r="J2430" s="31"/>
    </row>
    <row r="2431" spans="1:10" ht="14.4" x14ac:dyDescent="0.3">
      <c r="A2431" s="28" t="str">
        <f>B2431&amp;C2431&amp;D2431&amp;E2431</f>
        <v>Бытовая техникаТовары для кухниТехника для жарки и варкиМультиварки и рисоварки</v>
      </c>
      <c r="B2431" s="29" t="s">
        <v>160</v>
      </c>
      <c r="C2431" s="29" t="s">
        <v>60</v>
      </c>
      <c r="D2431" s="29" t="s">
        <v>232</v>
      </c>
      <c r="E2431" s="29" t="s">
        <v>1244</v>
      </c>
      <c r="F2431" s="30">
        <v>0.17</v>
      </c>
      <c r="G2431" s="31"/>
      <c r="H2431" s="31"/>
      <c r="I2431" s="31"/>
      <c r="J2431" s="31"/>
    </row>
    <row r="2432" spans="1:10" ht="14.4" x14ac:dyDescent="0.3">
      <c r="A2432" s="28" t="str">
        <f>B2432&amp;C2432&amp;D2432&amp;E2432</f>
        <v>Строительство и ремонтИнструментыРасходные элементыСверла</v>
      </c>
      <c r="B2432" s="29" t="s">
        <v>77</v>
      </c>
      <c r="C2432" s="29" t="s">
        <v>78</v>
      </c>
      <c r="D2432" s="29" t="s">
        <v>615</v>
      </c>
      <c r="E2432" s="29" t="s">
        <v>1253</v>
      </c>
      <c r="F2432" s="30">
        <v>0.17</v>
      </c>
      <c r="G2432" s="31"/>
      <c r="H2432" s="31"/>
      <c r="I2432" s="31"/>
      <c r="J2432" s="31"/>
    </row>
    <row r="2433" spans="1:10" ht="14.4" x14ac:dyDescent="0.3">
      <c r="A2433" s="28" t="str">
        <f>B2433&amp;C2433&amp;D2433&amp;E2433</f>
        <v>Строительство и ремонтИнструментыПрочие инструментыПрочие инструменты</v>
      </c>
      <c r="B2433" s="29" t="s">
        <v>77</v>
      </c>
      <c r="C2433" s="29" t="s">
        <v>78</v>
      </c>
      <c r="D2433" s="29" t="s">
        <v>1338</v>
      </c>
      <c r="E2433" s="29" t="s">
        <v>1338</v>
      </c>
      <c r="F2433" s="30">
        <v>0.17</v>
      </c>
      <c r="G2433" s="31"/>
      <c r="H2433" s="31"/>
      <c r="I2433" s="31"/>
      <c r="J2433" s="31"/>
    </row>
    <row r="2434" spans="1:10" ht="14.4" x14ac:dyDescent="0.3">
      <c r="A2434" s="28" t="str">
        <f>B2434&amp;C2434&amp;D2434&amp;E2434</f>
        <v>Продукты питанияЧай, кофе, горячие напиткиЧай черныйЧай черный</v>
      </c>
      <c r="B2434" s="29" t="s">
        <v>248</v>
      </c>
      <c r="C2434" s="29" t="s">
        <v>395</v>
      </c>
      <c r="D2434" s="29" t="s">
        <v>1366</v>
      </c>
      <c r="E2434" s="29" t="s">
        <v>1366</v>
      </c>
      <c r="F2434" s="30">
        <v>0.17</v>
      </c>
      <c r="G2434" s="31"/>
      <c r="H2434" s="31"/>
      <c r="I2434" s="31"/>
      <c r="J2434" s="31"/>
    </row>
    <row r="2435" spans="1:10" ht="14.4" x14ac:dyDescent="0.3">
      <c r="A2435" s="28" t="str">
        <f>B2435&amp;C2435&amp;D2435&amp;E2435</f>
        <v>Строительство и ремонтИнструментыРасходные элементыБиты</v>
      </c>
      <c r="B2435" s="29" t="s">
        <v>77</v>
      </c>
      <c r="C2435" s="29" t="s">
        <v>78</v>
      </c>
      <c r="D2435" s="29" t="s">
        <v>615</v>
      </c>
      <c r="E2435" s="29" t="s">
        <v>1407</v>
      </c>
      <c r="F2435" s="30">
        <v>0.17</v>
      </c>
      <c r="G2435" s="31"/>
      <c r="H2435" s="31"/>
      <c r="I2435" s="31"/>
      <c r="J2435" s="31"/>
    </row>
    <row r="2436" spans="1:10" ht="14.4" x14ac:dyDescent="0.3">
      <c r="A2436" s="28" t="str">
        <f>B2436&amp;C2436&amp;D2436&amp;E2436</f>
        <v>Строительство и ремонтИнструментыРасходные элементыШлифовальные круги</v>
      </c>
      <c r="B2436" s="29" t="s">
        <v>77</v>
      </c>
      <c r="C2436" s="29" t="s">
        <v>78</v>
      </c>
      <c r="D2436" s="29" t="s">
        <v>615</v>
      </c>
      <c r="E2436" s="29" t="s">
        <v>1431</v>
      </c>
      <c r="F2436" s="30">
        <v>0.17</v>
      </c>
      <c r="G2436" s="31"/>
      <c r="H2436" s="31"/>
      <c r="I2436" s="31"/>
      <c r="J2436" s="31"/>
    </row>
    <row r="2437" spans="1:10" ht="14.4" x14ac:dyDescent="0.3">
      <c r="A2437" s="28" t="str">
        <f>B2437&amp;C2437&amp;D2437&amp;E2437</f>
        <v>Бытовая техникаТовары для кухниПриготовление кофеФильтры для кофемашин</v>
      </c>
      <c r="B2437" s="29" t="s">
        <v>160</v>
      </c>
      <c r="C2437" s="29" t="s">
        <v>60</v>
      </c>
      <c r="D2437" s="29" t="s">
        <v>358</v>
      </c>
      <c r="E2437" s="29" t="s">
        <v>1433</v>
      </c>
      <c r="F2437" s="30">
        <v>0.17</v>
      </c>
      <c r="G2437" s="31"/>
      <c r="H2437" s="31"/>
      <c r="I2437" s="31"/>
      <c r="J2437" s="31"/>
    </row>
    <row r="2438" spans="1:10" ht="14.4" x14ac:dyDescent="0.3">
      <c r="A2438" s="28" t="str">
        <f>B2438&amp;C2438&amp;D2438&amp;E2438</f>
        <v>Бытовая техникаТовары для кухниТехника для жарки и варкиВафельницы и сэндвичницы</v>
      </c>
      <c r="B2438" s="29" t="s">
        <v>160</v>
      </c>
      <c r="C2438" s="29" t="s">
        <v>60</v>
      </c>
      <c r="D2438" s="29" t="s">
        <v>232</v>
      </c>
      <c r="E2438" s="29" t="s">
        <v>1444</v>
      </c>
      <c r="F2438" s="30">
        <v>0.17</v>
      </c>
      <c r="G2438" s="31"/>
      <c r="H2438" s="31"/>
      <c r="I2438" s="31"/>
      <c r="J2438" s="31"/>
    </row>
    <row r="2439" spans="1:10" ht="14.4" x14ac:dyDescent="0.3">
      <c r="A2439" s="28" t="str">
        <f>B2439&amp;C2439&amp;D2439&amp;E2439</f>
        <v>Бытовая техникаТовары для кухниЭлектрические чайники и термопотыКипятильники</v>
      </c>
      <c r="B2439" s="29" t="s">
        <v>160</v>
      </c>
      <c r="C2439" s="29" t="s">
        <v>60</v>
      </c>
      <c r="D2439" s="29" t="s">
        <v>1019</v>
      </c>
      <c r="E2439" s="29" t="s">
        <v>1500</v>
      </c>
      <c r="F2439" s="30">
        <v>0.17</v>
      </c>
      <c r="G2439" s="31"/>
      <c r="H2439" s="31"/>
      <c r="I2439" s="31"/>
      <c r="J2439" s="31"/>
    </row>
    <row r="2440" spans="1:10" ht="14.4" x14ac:dyDescent="0.3">
      <c r="A2440" s="28" t="str">
        <f>B2440&amp;C2440&amp;D2440&amp;E2440</f>
        <v>Спорт и отдыхОтдых на природе, рыбалка и охотаРыбалкаЛодки и аксессуары</v>
      </c>
      <c r="B2440" s="29" t="s">
        <v>101</v>
      </c>
      <c r="C2440" s="29" t="s">
        <v>166</v>
      </c>
      <c r="D2440" s="29" t="s">
        <v>167</v>
      </c>
      <c r="E2440" s="29" t="s">
        <v>1502</v>
      </c>
      <c r="F2440" s="30">
        <v>0.17</v>
      </c>
      <c r="G2440" s="31"/>
      <c r="H2440" s="31"/>
      <c r="I2440" s="31"/>
      <c r="J2440" s="31"/>
    </row>
    <row r="2441" spans="1:10" ht="14.4" x14ac:dyDescent="0.3">
      <c r="A2441" s="28" t="str">
        <f>B2441&amp;C2441&amp;D2441&amp;E2441</f>
        <v>Бытовая техникаТовары для кухниСоковыжималкиСоковыжималки</v>
      </c>
      <c r="B2441" s="29" t="s">
        <v>160</v>
      </c>
      <c r="C2441" s="29" t="s">
        <v>60</v>
      </c>
      <c r="D2441" s="29" t="s">
        <v>1548</v>
      </c>
      <c r="E2441" s="29" t="s">
        <v>1548</v>
      </c>
      <c r="F2441" s="30">
        <v>0.17</v>
      </c>
      <c r="G2441" s="31"/>
      <c r="H2441" s="31"/>
      <c r="I2441" s="31"/>
      <c r="J2441" s="31"/>
    </row>
    <row r="2442" spans="1:10" ht="14.4" x14ac:dyDescent="0.3">
      <c r="A2442" s="28" t="str">
        <f>B2442&amp;C2442&amp;D2442&amp;E2442</f>
        <v>Строительство и ремонтИнструментыПаяльное оборудованиеАксессуары для пайки</v>
      </c>
      <c r="B2442" s="29" t="s">
        <v>77</v>
      </c>
      <c r="C2442" s="29" t="s">
        <v>78</v>
      </c>
      <c r="D2442" s="29" t="s">
        <v>372</v>
      </c>
      <c r="E2442" s="29" t="s">
        <v>1573</v>
      </c>
      <c r="F2442" s="30">
        <v>0.17</v>
      </c>
      <c r="G2442" s="31"/>
      <c r="H2442" s="31"/>
      <c r="I2442" s="31"/>
      <c r="J2442" s="31"/>
    </row>
    <row r="2443" spans="1:10" ht="14.4" x14ac:dyDescent="0.3">
      <c r="A2443" s="28" t="str">
        <f>B2443&amp;C2443&amp;D2443&amp;E2443</f>
        <v>Бытовая техникаТовары для кухниТехника для жарки и варкиАэрогрили и фритюрницы</v>
      </c>
      <c r="B2443" s="29" t="s">
        <v>160</v>
      </c>
      <c r="C2443" s="29" t="s">
        <v>60</v>
      </c>
      <c r="D2443" s="29" t="s">
        <v>232</v>
      </c>
      <c r="E2443" s="29" t="s">
        <v>1575</v>
      </c>
      <c r="F2443" s="30">
        <v>0.17</v>
      </c>
      <c r="G2443" s="31"/>
      <c r="H2443" s="31"/>
      <c r="I2443" s="31"/>
      <c r="J2443" s="31"/>
    </row>
    <row r="2444" spans="1:10" ht="14.4" x14ac:dyDescent="0.3">
      <c r="A2444" s="28" t="str">
        <f>B2444&amp;C2444&amp;D2444&amp;E2444</f>
        <v>Бытовая техникаТехника для домаУтюги и отпаривателиОтпариватели</v>
      </c>
      <c r="B2444" s="29" t="s">
        <v>160</v>
      </c>
      <c r="C2444" s="29" t="s">
        <v>229</v>
      </c>
      <c r="D2444" s="29" t="s">
        <v>473</v>
      </c>
      <c r="E2444" s="29" t="s">
        <v>1596</v>
      </c>
      <c r="F2444" s="30">
        <v>0.17</v>
      </c>
      <c r="G2444" s="31"/>
      <c r="H2444" s="31"/>
      <c r="I2444" s="31"/>
      <c r="J2444" s="31"/>
    </row>
    <row r="2445" spans="1:10" ht="14.4" x14ac:dyDescent="0.3">
      <c r="A2445" s="28" t="str">
        <f>B2445&amp;C2445&amp;D2445&amp;E2445</f>
        <v>Бытовая техникаТовары для кухниПрочая кухонная техникаПаста-машины</v>
      </c>
      <c r="B2445" s="29" t="s">
        <v>160</v>
      </c>
      <c r="C2445" s="29" t="s">
        <v>60</v>
      </c>
      <c r="D2445" s="29" t="s">
        <v>161</v>
      </c>
      <c r="E2445" s="29" t="s">
        <v>1649</v>
      </c>
      <c r="F2445" s="30">
        <v>0.17</v>
      </c>
      <c r="G2445" s="31"/>
      <c r="H2445" s="31"/>
      <c r="I2445" s="31"/>
      <c r="J2445" s="31"/>
    </row>
    <row r="2446" spans="1:10" ht="14.4" x14ac:dyDescent="0.3">
      <c r="A2446" s="28" t="str">
        <f>B2446&amp;C2446&amp;D2446&amp;E2446</f>
        <v>АвтотоварыГараж и автосервисИнструменты для кузовных работИнструменты для кузовных работ</v>
      </c>
      <c r="B2446" s="29" t="s">
        <v>12</v>
      </c>
      <c r="C2446" s="29" t="s">
        <v>310</v>
      </c>
      <c r="D2446" s="29" t="s">
        <v>1657</v>
      </c>
      <c r="E2446" s="29" t="s">
        <v>1657</v>
      </c>
      <c r="F2446" s="30">
        <v>0.17</v>
      </c>
      <c r="G2446" s="31"/>
      <c r="H2446" s="31"/>
      <c r="I2446" s="31"/>
      <c r="J2446" s="31"/>
    </row>
    <row r="2447" spans="1:10" ht="14.4" x14ac:dyDescent="0.3">
      <c r="A2447" s="28" t="str">
        <f>B2447&amp;C2447&amp;D2447&amp;E2447</f>
        <v>АвтотоварыГараж и автосервисКантователи и держателиКантователи и держатели</v>
      </c>
      <c r="B2447" s="29" t="s">
        <v>12</v>
      </c>
      <c r="C2447" s="29" t="s">
        <v>310</v>
      </c>
      <c r="D2447" s="29" t="s">
        <v>1721</v>
      </c>
      <c r="E2447" s="29" t="s">
        <v>1721</v>
      </c>
      <c r="F2447" s="30">
        <v>0.17</v>
      </c>
      <c r="G2447" s="31"/>
      <c r="H2447" s="31"/>
      <c r="I2447" s="31"/>
      <c r="J2447" s="31"/>
    </row>
    <row r="2448" spans="1:10" ht="14.4" x14ac:dyDescent="0.3">
      <c r="A2448" s="28" t="str">
        <f>B2448&amp;C2448&amp;D2448&amp;E2448</f>
        <v>Продукты питанияЧай, кофе, горячие напиткиКакао, горячий шоколадКакао, горячий шоколад</v>
      </c>
      <c r="B2448" s="29" t="s">
        <v>248</v>
      </c>
      <c r="C2448" s="29" t="s">
        <v>395</v>
      </c>
      <c r="D2448" s="29" t="s">
        <v>1722</v>
      </c>
      <c r="E2448" s="29" t="s">
        <v>1722</v>
      </c>
      <c r="F2448" s="30">
        <v>0.17</v>
      </c>
      <c r="G2448" s="31"/>
      <c r="H2448" s="31"/>
      <c r="I2448" s="31"/>
      <c r="J2448" s="31"/>
    </row>
    <row r="2449" spans="1:10" ht="14.4" x14ac:dyDescent="0.3">
      <c r="A2449" s="28" t="str">
        <f>B2449&amp;C2449&amp;D2449&amp;E2449</f>
        <v>Бытовая техникаКлиматическая техникаОчищение и увлажнение воздухаОсушители воздуха</v>
      </c>
      <c r="B2449" s="29" t="s">
        <v>160</v>
      </c>
      <c r="C2449" s="29" t="s">
        <v>621</v>
      </c>
      <c r="D2449" s="29" t="s">
        <v>863</v>
      </c>
      <c r="E2449" s="29" t="s">
        <v>1727</v>
      </c>
      <c r="F2449" s="30">
        <v>0.17</v>
      </c>
      <c r="G2449" s="31"/>
      <c r="H2449" s="31"/>
      <c r="I2449" s="31"/>
      <c r="J2449" s="31"/>
    </row>
    <row r="2450" spans="1:10" ht="14.4" x14ac:dyDescent="0.3">
      <c r="A2450" s="28" t="str">
        <f>B2450&amp;C2450&amp;D2450&amp;E2450</f>
        <v>Строительство и ремонтИнструментыСтанки и комплектующиеСтанки и комплектующие</v>
      </c>
      <c r="B2450" s="29" t="s">
        <v>77</v>
      </c>
      <c r="C2450" s="29" t="s">
        <v>78</v>
      </c>
      <c r="D2450" s="29" t="s">
        <v>1747</v>
      </c>
      <c r="E2450" s="29" t="s">
        <v>1747</v>
      </c>
      <c r="F2450" s="30">
        <v>0.17</v>
      </c>
      <c r="G2450" s="31"/>
      <c r="H2450" s="31"/>
      <c r="I2450" s="31"/>
      <c r="J2450" s="31"/>
    </row>
    <row r="2451" spans="1:10" ht="14.4" x14ac:dyDescent="0.3">
      <c r="A2451" s="28" t="str">
        <f>B2451&amp;C2451&amp;D2451&amp;E2451</f>
        <v>АвтотоварыГараж и автосервисОборудование для авторемонтаОборудование для авторемонта</v>
      </c>
      <c r="B2451" s="29" t="s">
        <v>12</v>
      </c>
      <c r="C2451" s="29" t="s">
        <v>310</v>
      </c>
      <c r="D2451" s="29" t="s">
        <v>1824</v>
      </c>
      <c r="E2451" s="29" t="s">
        <v>1824</v>
      </c>
      <c r="F2451" s="30">
        <v>0.17</v>
      </c>
      <c r="G2451" s="31"/>
      <c r="H2451" s="31"/>
      <c r="I2451" s="31"/>
      <c r="J2451" s="31"/>
    </row>
    <row r="2452" spans="1:10" ht="14.4" x14ac:dyDescent="0.3">
      <c r="A2452" s="28" t="str">
        <f>B2452&amp;C2452&amp;D2452&amp;E2452</f>
        <v>Бытовая техникаТовары для кухниИзмельчение и смешиваниеМиксеры</v>
      </c>
      <c r="B2452" s="29" t="s">
        <v>160</v>
      </c>
      <c r="C2452" s="29" t="s">
        <v>60</v>
      </c>
      <c r="D2452" s="29" t="s">
        <v>632</v>
      </c>
      <c r="E2452" s="29" t="s">
        <v>1850</v>
      </c>
      <c r="F2452" s="30">
        <v>0.17</v>
      </c>
      <c r="G2452" s="31"/>
      <c r="H2452" s="31"/>
      <c r="I2452" s="31"/>
      <c r="J2452" s="31"/>
    </row>
    <row r="2453" spans="1:10" ht="14.4" x14ac:dyDescent="0.3">
      <c r="A2453" s="28" t="str">
        <f>B2453&amp;C2453&amp;D2453&amp;E2453</f>
        <v>Бытовая техникаТовары для кухниТехника для жарки и варкиЭлектрогрили</v>
      </c>
      <c r="B2453" s="29" t="s">
        <v>160</v>
      </c>
      <c r="C2453" s="29" t="s">
        <v>60</v>
      </c>
      <c r="D2453" s="29" t="s">
        <v>232</v>
      </c>
      <c r="E2453" s="29" t="s">
        <v>1855</v>
      </c>
      <c r="F2453" s="30">
        <v>0.17</v>
      </c>
      <c r="G2453" s="31"/>
      <c r="H2453" s="31"/>
      <c r="I2453" s="31"/>
      <c r="J2453" s="31"/>
    </row>
    <row r="2454" spans="1:10" ht="14.4" x14ac:dyDescent="0.3">
      <c r="A2454" s="28" t="str">
        <f>B2454&amp;C2454&amp;D2454&amp;E2454</f>
        <v>Бытовая техникаТехника для красотыЭлектробритвыЭлектробритвы</v>
      </c>
      <c r="B2454" s="29" t="s">
        <v>160</v>
      </c>
      <c r="C2454" s="29" t="s">
        <v>694</v>
      </c>
      <c r="D2454" s="29" t="s">
        <v>1883</v>
      </c>
      <c r="E2454" s="29" t="s">
        <v>1883</v>
      </c>
      <c r="F2454" s="30">
        <v>0.17</v>
      </c>
      <c r="G2454" s="31"/>
      <c r="H2454" s="31"/>
      <c r="I2454" s="31"/>
      <c r="J2454" s="31"/>
    </row>
    <row r="2455" spans="1:10" ht="14.4" x14ac:dyDescent="0.3">
      <c r="A2455" s="28" t="str">
        <f>B2455&amp;C2455&amp;D2455&amp;E2455</f>
        <v>Бытовая техникаТовары для кухниПриготовление кофеКофемолки</v>
      </c>
      <c r="B2455" s="29" t="s">
        <v>160</v>
      </c>
      <c r="C2455" s="29" t="s">
        <v>60</v>
      </c>
      <c r="D2455" s="29" t="s">
        <v>358</v>
      </c>
      <c r="E2455" s="29" t="s">
        <v>1892</v>
      </c>
      <c r="F2455" s="30">
        <v>0.17</v>
      </c>
      <c r="G2455" s="31"/>
      <c r="H2455" s="31"/>
      <c r="I2455" s="31"/>
      <c r="J2455" s="31"/>
    </row>
    <row r="2456" spans="1:10" ht="14.4" x14ac:dyDescent="0.3">
      <c r="A2456" s="28" t="str">
        <f>B2456&amp;C2456&amp;D2456&amp;E2456</f>
        <v>Строительство и ремонтИнструментыРасходные элементыПильные диски</v>
      </c>
      <c r="B2456" s="29" t="s">
        <v>77</v>
      </c>
      <c r="C2456" s="29" t="s">
        <v>78</v>
      </c>
      <c r="D2456" s="29" t="s">
        <v>615</v>
      </c>
      <c r="E2456" s="29" t="s">
        <v>1911</v>
      </c>
      <c r="F2456" s="30">
        <v>0.17</v>
      </c>
      <c r="G2456" s="31"/>
      <c r="H2456" s="31"/>
      <c r="I2456" s="31"/>
      <c r="J2456" s="31"/>
    </row>
    <row r="2457" spans="1:10" ht="14.4" x14ac:dyDescent="0.3">
      <c r="A2457" s="28" t="str">
        <f>B2457&amp;C2457&amp;D2457&amp;E2457</f>
        <v>Строительство и ремонтИнструментыПильно-отрезные инструментыРеноваторы</v>
      </c>
      <c r="B2457" s="29" t="s">
        <v>77</v>
      </c>
      <c r="C2457" s="29" t="s">
        <v>78</v>
      </c>
      <c r="D2457" s="29" t="s">
        <v>1925</v>
      </c>
      <c r="E2457" s="29" t="s">
        <v>1926</v>
      </c>
      <c r="F2457" s="30">
        <v>0.17</v>
      </c>
      <c r="G2457" s="31"/>
      <c r="H2457" s="31"/>
      <c r="I2457" s="31"/>
      <c r="J2457" s="31"/>
    </row>
    <row r="2458" spans="1:10" ht="14.4" x14ac:dyDescent="0.3">
      <c r="A2458" s="28" t="str">
        <f>B2458&amp;C2458&amp;D2458&amp;E2458</f>
        <v>Продукты питанияЧай, кофе, горячие напиткиКофе молотыйКофе молотый</v>
      </c>
      <c r="B2458" s="29" t="s">
        <v>248</v>
      </c>
      <c r="C2458" s="29" t="s">
        <v>395</v>
      </c>
      <c r="D2458" s="29" t="s">
        <v>1962</v>
      </c>
      <c r="E2458" s="29" t="s">
        <v>1962</v>
      </c>
      <c r="F2458" s="30">
        <v>0.17</v>
      </c>
      <c r="G2458" s="31"/>
      <c r="H2458" s="31"/>
      <c r="I2458" s="31"/>
      <c r="J2458" s="31"/>
    </row>
    <row r="2459" spans="1:10" ht="14.4" x14ac:dyDescent="0.3">
      <c r="A2459" s="28" t="str">
        <f>B2459&amp;C2459&amp;D2459&amp;E2459</f>
        <v>АвтотоварыГараж и автосервисПневмоинструменты для автоПневмоинструменты для авто</v>
      </c>
      <c r="B2459" s="29" t="s">
        <v>12</v>
      </c>
      <c r="C2459" s="29" t="s">
        <v>310</v>
      </c>
      <c r="D2459" s="29" t="s">
        <v>1980</v>
      </c>
      <c r="E2459" s="29" t="s">
        <v>1980</v>
      </c>
      <c r="F2459" s="30">
        <v>0.17</v>
      </c>
      <c r="G2459" s="31"/>
      <c r="H2459" s="31"/>
      <c r="I2459" s="31"/>
      <c r="J2459" s="31"/>
    </row>
    <row r="2460" spans="1:10" ht="14.4" x14ac:dyDescent="0.3">
      <c r="A2460" s="28" t="str">
        <f>B2460&amp;C2460&amp;D2460&amp;E2460</f>
        <v>Строительство и ремонтИнструментыПаяльное оборудованиеПаяльная станция</v>
      </c>
      <c r="B2460" s="29" t="s">
        <v>77</v>
      </c>
      <c r="C2460" s="29" t="s">
        <v>78</v>
      </c>
      <c r="D2460" s="29" t="s">
        <v>372</v>
      </c>
      <c r="E2460" s="29" t="s">
        <v>2033</v>
      </c>
      <c r="F2460" s="30">
        <v>0.17</v>
      </c>
      <c r="G2460" s="31"/>
      <c r="H2460" s="31"/>
      <c r="I2460" s="31"/>
      <c r="J2460" s="31"/>
    </row>
    <row r="2461" spans="1:10" ht="14.4" x14ac:dyDescent="0.3">
      <c r="A2461" s="28" t="str">
        <f>B2461&amp;C2461&amp;D2461&amp;E2461</f>
        <v>Бытовая техникаТовары для кухниИзмельчение и смешиваниеМясорубки</v>
      </c>
      <c r="B2461" s="29" t="s">
        <v>160</v>
      </c>
      <c r="C2461" s="29" t="s">
        <v>60</v>
      </c>
      <c r="D2461" s="29" t="s">
        <v>632</v>
      </c>
      <c r="E2461" s="29" t="s">
        <v>2038</v>
      </c>
      <c r="F2461" s="30">
        <v>0.17</v>
      </c>
      <c r="G2461" s="31"/>
      <c r="H2461" s="31"/>
      <c r="I2461" s="31"/>
      <c r="J2461" s="31"/>
    </row>
    <row r="2462" spans="1:10" ht="14.4" x14ac:dyDescent="0.3">
      <c r="A2462" s="28" t="str">
        <f>B2462&amp;C2462&amp;D2462&amp;E2462</f>
        <v>АвтотоварыГараж и автосервисОборудование для парковкиОборудование для парковки</v>
      </c>
      <c r="B2462" s="29" t="s">
        <v>12</v>
      </c>
      <c r="C2462" s="29" t="s">
        <v>310</v>
      </c>
      <c r="D2462" s="29" t="s">
        <v>2061</v>
      </c>
      <c r="E2462" s="29" t="s">
        <v>2061</v>
      </c>
      <c r="F2462" s="30">
        <v>0.17</v>
      </c>
      <c r="G2462" s="31"/>
      <c r="H2462" s="31"/>
      <c r="I2462" s="31"/>
      <c r="J2462" s="31"/>
    </row>
    <row r="2463" spans="1:10" ht="14.4" x14ac:dyDescent="0.3">
      <c r="A2463" s="28" t="str">
        <f>B2463&amp;C2463&amp;D2463&amp;E2463</f>
        <v>АвтотоварыГараж и автосервисЗамена жидкостей автомобиляЗамена жидкостей автомобиля</v>
      </c>
      <c r="B2463" s="29" t="s">
        <v>12</v>
      </c>
      <c r="C2463" s="29" t="s">
        <v>310</v>
      </c>
      <c r="D2463" s="29" t="s">
        <v>2066</v>
      </c>
      <c r="E2463" s="29" t="s">
        <v>2066</v>
      </c>
      <c r="F2463" s="30">
        <v>0.17</v>
      </c>
      <c r="G2463" s="31"/>
      <c r="H2463" s="31"/>
      <c r="I2463" s="31"/>
      <c r="J2463" s="31"/>
    </row>
    <row r="2464" spans="1:10" ht="14.4" x14ac:dyDescent="0.3">
      <c r="A2464" s="28" t="str">
        <f>B2464&amp;C2464&amp;D2464&amp;E2464</f>
        <v>Бытовая техникаТовары для кухниТехника для жарки и варкиМини-печи</v>
      </c>
      <c r="B2464" s="29" t="s">
        <v>160</v>
      </c>
      <c r="C2464" s="29" t="s">
        <v>60</v>
      </c>
      <c r="D2464" s="29" t="s">
        <v>232</v>
      </c>
      <c r="E2464" s="29" t="s">
        <v>2195</v>
      </c>
      <c r="F2464" s="30">
        <v>0.17</v>
      </c>
      <c r="G2464" s="31"/>
      <c r="H2464" s="31"/>
      <c r="I2464" s="31"/>
      <c r="J2464" s="31"/>
    </row>
    <row r="2465" spans="1:10" ht="14.4" x14ac:dyDescent="0.3">
      <c r="A2465" s="28" t="str">
        <f>B2465&amp;C2465&amp;D2465&amp;E2465</f>
        <v>Строительство и ремонтИнструментыРасходные элементыПолотна для сабельных пил</v>
      </c>
      <c r="B2465" s="29" t="s">
        <v>77</v>
      </c>
      <c r="C2465" s="29" t="s">
        <v>78</v>
      </c>
      <c r="D2465" s="29" t="s">
        <v>615</v>
      </c>
      <c r="E2465" s="29" t="s">
        <v>2203</v>
      </c>
      <c r="F2465" s="30">
        <v>0.17</v>
      </c>
      <c r="G2465" s="31"/>
      <c r="H2465" s="31"/>
      <c r="I2465" s="31"/>
      <c r="J2465" s="31"/>
    </row>
    <row r="2466" spans="1:10" ht="14.4" x14ac:dyDescent="0.3">
      <c r="A2466" s="28" t="str">
        <f>B2466&amp;C2466&amp;D2466&amp;E2466</f>
        <v>Бытовая техникаТехника для красотыУкладка волосВыпрямители для волос</v>
      </c>
      <c r="B2466" s="29" t="s">
        <v>160</v>
      </c>
      <c r="C2466" s="29" t="s">
        <v>694</v>
      </c>
      <c r="D2466" s="29" t="s">
        <v>695</v>
      </c>
      <c r="E2466" s="29" t="s">
        <v>2227</v>
      </c>
      <c r="F2466" s="30">
        <v>0.17</v>
      </c>
      <c r="G2466" s="31"/>
      <c r="H2466" s="31"/>
      <c r="I2466" s="31"/>
      <c r="J2466" s="31"/>
    </row>
    <row r="2467" spans="1:10" ht="14.4" x14ac:dyDescent="0.3">
      <c r="A2467" s="28" t="str">
        <f>B2467&amp;C2467&amp;D2467&amp;E2467</f>
        <v>Продукты питанияЧай, кофе, горячие напиткиКофе растворимыйКофе растворимый</v>
      </c>
      <c r="B2467" s="29" t="s">
        <v>248</v>
      </c>
      <c r="C2467" s="29" t="s">
        <v>395</v>
      </c>
      <c r="D2467" s="29" t="s">
        <v>2282</v>
      </c>
      <c r="E2467" s="29" t="s">
        <v>2282</v>
      </c>
      <c r="F2467" s="30">
        <v>0.17</v>
      </c>
      <c r="G2467" s="31"/>
      <c r="H2467" s="31"/>
      <c r="I2467" s="31"/>
      <c r="J2467" s="31"/>
    </row>
    <row r="2468" spans="1:10" ht="14.4" x14ac:dyDescent="0.3">
      <c r="A2468" s="28" t="str">
        <f>B2468&amp;C2468&amp;D2468&amp;E2468</f>
        <v>ЭлектроникаУмные часы и фитнес браслетыУмные часыУмные часы</v>
      </c>
      <c r="B2468" s="29" t="s">
        <v>67</v>
      </c>
      <c r="C2468" s="29" t="s">
        <v>356</v>
      </c>
      <c r="D2468" s="29" t="s">
        <v>16</v>
      </c>
      <c r="E2468" s="29" t="s">
        <v>16</v>
      </c>
      <c r="F2468" s="30">
        <v>0.17</v>
      </c>
      <c r="G2468" s="31"/>
      <c r="H2468" s="31"/>
      <c r="I2468" s="31"/>
      <c r="J2468" s="31"/>
    </row>
    <row r="2469" spans="1:10" ht="14.4" x14ac:dyDescent="0.3">
      <c r="A2469" s="28" t="str">
        <f>B2469&amp;C2469&amp;D2469&amp;E2469</f>
        <v>Бытовая техникаТовары для кухниИзмельчение и смешиваниеОвощерезки и электротерки</v>
      </c>
      <c r="B2469" s="29" t="s">
        <v>160</v>
      </c>
      <c r="C2469" s="29" t="s">
        <v>60</v>
      </c>
      <c r="D2469" s="29" t="s">
        <v>632</v>
      </c>
      <c r="E2469" s="29" t="s">
        <v>2373</v>
      </c>
      <c r="F2469" s="30">
        <v>0.17</v>
      </c>
      <c r="G2469" s="31"/>
      <c r="H2469" s="31"/>
      <c r="I2469" s="31"/>
      <c r="J2469" s="31"/>
    </row>
    <row r="2470" spans="1:10" ht="14.4" x14ac:dyDescent="0.3">
      <c r="A2470" s="28" t="str">
        <f>B2470&amp;C2470&amp;D2470&amp;E2470</f>
        <v>Строительство и ремонтИнструментыРасходные элементыФрезы</v>
      </c>
      <c r="B2470" s="29" t="s">
        <v>77</v>
      </c>
      <c r="C2470" s="29" t="s">
        <v>78</v>
      </c>
      <c r="D2470" s="29" t="s">
        <v>615</v>
      </c>
      <c r="E2470" s="29" t="s">
        <v>2436</v>
      </c>
      <c r="F2470" s="30">
        <v>0.17</v>
      </c>
      <c r="G2470" s="31"/>
      <c r="H2470" s="31"/>
      <c r="I2470" s="31"/>
      <c r="J2470" s="31"/>
    </row>
    <row r="2471" spans="1:10" ht="14.4" x14ac:dyDescent="0.3">
      <c r="A2471" s="28" t="str">
        <f>B2471&amp;C2471&amp;D2471&amp;E2471</f>
        <v>Бытовая техникаТовары для кухниПриготовление кофеВспениватели молока</v>
      </c>
      <c r="B2471" s="29" t="s">
        <v>160</v>
      </c>
      <c r="C2471" s="29" t="s">
        <v>60</v>
      </c>
      <c r="D2471" s="29" t="s">
        <v>358</v>
      </c>
      <c r="E2471" s="29" t="s">
        <v>2185</v>
      </c>
      <c r="F2471" s="30">
        <v>0.17</v>
      </c>
      <c r="G2471" s="31"/>
      <c r="H2471" s="31"/>
      <c r="I2471" s="31"/>
      <c r="J2471" s="31"/>
    </row>
    <row r="2472" spans="1:10" ht="14.4" x14ac:dyDescent="0.3">
      <c r="A2472" s="28" t="str">
        <f>B2472&amp;C2472&amp;D2472&amp;E2472</f>
        <v>АвтотоварыГараж и автосервисШиномонтажное оборудованиеШиномонтажное оборудование</v>
      </c>
      <c r="B2472" s="29" t="s">
        <v>12</v>
      </c>
      <c r="C2472" s="29" t="s">
        <v>310</v>
      </c>
      <c r="D2472" s="29" t="s">
        <v>2526</v>
      </c>
      <c r="E2472" s="29" t="s">
        <v>2526</v>
      </c>
      <c r="F2472" s="30">
        <v>0.17</v>
      </c>
      <c r="G2472" s="31"/>
      <c r="H2472" s="31"/>
      <c r="I2472" s="31"/>
      <c r="J2472" s="31"/>
    </row>
    <row r="2473" spans="1:10" ht="14.4" x14ac:dyDescent="0.3">
      <c r="A2473" s="28" t="str">
        <f>B2473&amp;C2473&amp;D2473&amp;E2473</f>
        <v>Продукты питанияЧай, кофе, горячие напиткиЧай с добавкамиЧай с добавками</v>
      </c>
      <c r="B2473" s="29" t="s">
        <v>248</v>
      </c>
      <c r="C2473" s="29" t="s">
        <v>395</v>
      </c>
      <c r="D2473" s="29" t="s">
        <v>2596</v>
      </c>
      <c r="E2473" s="29" t="s">
        <v>2596</v>
      </c>
      <c r="F2473" s="30">
        <v>0.17</v>
      </c>
      <c r="G2473" s="31"/>
      <c r="H2473" s="31"/>
      <c r="I2473" s="31"/>
      <c r="J2473" s="31"/>
    </row>
    <row r="2474" spans="1:10" ht="14.4" x14ac:dyDescent="0.3">
      <c r="A2474" s="28" t="str">
        <f>B2474&amp;C2474&amp;D2474&amp;E2474</f>
        <v>Бытовая техникаКлиматическая техникаОчищение и увлажнение воздухаАромадиффузоры</v>
      </c>
      <c r="B2474" s="29" t="s">
        <v>160</v>
      </c>
      <c r="C2474" s="29" t="s">
        <v>621</v>
      </c>
      <c r="D2474" s="29" t="s">
        <v>863</v>
      </c>
      <c r="E2474" s="29" t="s">
        <v>2613</v>
      </c>
      <c r="F2474" s="30">
        <v>0.17</v>
      </c>
      <c r="G2474" s="31"/>
      <c r="H2474" s="31"/>
      <c r="I2474" s="31"/>
      <c r="J2474" s="31"/>
    </row>
    <row r="2475" spans="1:10" ht="14.4" x14ac:dyDescent="0.3">
      <c r="A2475" s="28" t="str">
        <f>B2475&amp;C2475&amp;D2475&amp;E2475</f>
        <v>АвтотоварыГараж и автосервисРемонтные лежакиРемонтные лежаки</v>
      </c>
      <c r="B2475" s="29" t="s">
        <v>12</v>
      </c>
      <c r="C2475" s="29" t="s">
        <v>310</v>
      </c>
      <c r="D2475" s="29" t="s">
        <v>2670</v>
      </c>
      <c r="E2475" s="29" t="s">
        <v>2670</v>
      </c>
      <c r="F2475" s="30">
        <v>0.17</v>
      </c>
      <c r="G2475" s="31"/>
      <c r="H2475" s="31"/>
      <c r="I2475" s="31"/>
      <c r="J2475" s="31"/>
    </row>
    <row r="2476" spans="1:10" ht="14.4" x14ac:dyDescent="0.3">
      <c r="A2476" s="28" t="str">
        <f>B2476&amp;C2476&amp;D2476&amp;E2476</f>
        <v>Продукты питанияЧай, кофе, горячие напиткиЦикорийЦикорий</v>
      </c>
      <c r="B2476" s="29" t="s">
        <v>248</v>
      </c>
      <c r="C2476" s="29" t="s">
        <v>395</v>
      </c>
      <c r="D2476" s="29" t="s">
        <v>2681</v>
      </c>
      <c r="E2476" s="29" t="s">
        <v>2681</v>
      </c>
      <c r="F2476" s="30">
        <v>0.17</v>
      </c>
      <c r="G2476" s="31"/>
      <c r="H2476" s="31"/>
      <c r="I2476" s="31"/>
      <c r="J2476" s="31"/>
    </row>
    <row r="2477" spans="1:10" ht="14.4" x14ac:dyDescent="0.3">
      <c r="A2477" s="28" t="str">
        <f>B2477&amp;C2477&amp;D2477&amp;E2477</f>
        <v>Бытовая техникаТовары для кухниТехника для жарки и варкиТостеры</v>
      </c>
      <c r="B2477" s="29" t="s">
        <v>160</v>
      </c>
      <c r="C2477" s="29" t="s">
        <v>60</v>
      </c>
      <c r="D2477" s="29" t="s">
        <v>232</v>
      </c>
      <c r="E2477" s="29" t="s">
        <v>2714</v>
      </c>
      <c r="F2477" s="30">
        <v>0.17</v>
      </c>
      <c r="G2477" s="31"/>
      <c r="H2477" s="31"/>
      <c r="I2477" s="31"/>
      <c r="J2477" s="31"/>
    </row>
    <row r="2478" spans="1:10" ht="14.4" x14ac:dyDescent="0.3">
      <c r="A2478" s="28" t="str">
        <f>B2478&amp;C2478&amp;D2478&amp;E2478</f>
        <v>Бытовая техникаТовары для кухниТехника для жарки и варкиМультипекари</v>
      </c>
      <c r="B2478" s="29" t="s">
        <v>160</v>
      </c>
      <c r="C2478" s="29" t="s">
        <v>60</v>
      </c>
      <c r="D2478" s="29" t="s">
        <v>232</v>
      </c>
      <c r="E2478" s="29" t="s">
        <v>2787</v>
      </c>
      <c r="F2478" s="30">
        <v>0.17</v>
      </c>
      <c r="G2478" s="31"/>
      <c r="H2478" s="31"/>
      <c r="I2478" s="31"/>
      <c r="J2478" s="31"/>
    </row>
    <row r="2479" spans="1:10" ht="14.4" x14ac:dyDescent="0.3">
      <c r="A2479" s="28" t="str">
        <f>B2479&amp;C2479&amp;D2479&amp;E2479</f>
        <v>ЗоотоварыДля птицИгрушки и аксессуары для птицИгрушки</v>
      </c>
      <c r="B2479" s="29" t="s">
        <v>214</v>
      </c>
      <c r="C2479" s="29" t="s">
        <v>224</v>
      </c>
      <c r="D2479" s="29" t="s">
        <v>2858</v>
      </c>
      <c r="E2479" s="29" t="s">
        <v>1609</v>
      </c>
      <c r="F2479" s="30">
        <v>0.17</v>
      </c>
      <c r="G2479" s="31"/>
      <c r="H2479" s="31"/>
      <c r="I2479" s="31"/>
      <c r="J2479" s="31"/>
    </row>
    <row r="2480" spans="1:10" ht="14.4" x14ac:dyDescent="0.3">
      <c r="A2480" s="28" t="str">
        <f>B2480&amp;C2480&amp;D2480&amp;E2480</f>
        <v>АвтотоварыГараж и автосервисПодъемное оборудованиеПодъемное оборудование</v>
      </c>
      <c r="B2480" s="29" t="s">
        <v>12</v>
      </c>
      <c r="C2480" s="29" t="s">
        <v>310</v>
      </c>
      <c r="D2480" s="29" t="s">
        <v>2864</v>
      </c>
      <c r="E2480" s="29" t="s">
        <v>2864</v>
      </c>
      <c r="F2480" s="30">
        <v>0.17</v>
      </c>
      <c r="G2480" s="31"/>
      <c r="H2480" s="31"/>
      <c r="I2480" s="31"/>
      <c r="J2480" s="31"/>
    </row>
    <row r="2481" spans="1:10" ht="14.4" x14ac:dyDescent="0.3">
      <c r="A2481" s="28" t="str">
        <f>B2481&amp;C2481&amp;D2481&amp;E2481</f>
        <v>Бытовая техникаТовары для кухниПриготовление кофеКофеварки</v>
      </c>
      <c r="B2481" s="29" t="s">
        <v>160</v>
      </c>
      <c r="C2481" s="29" t="s">
        <v>60</v>
      </c>
      <c r="D2481" s="29" t="s">
        <v>358</v>
      </c>
      <c r="E2481" s="29" t="s">
        <v>2934</v>
      </c>
      <c r="F2481" s="30">
        <v>0.17</v>
      </c>
      <c r="G2481" s="31"/>
      <c r="H2481" s="31"/>
      <c r="I2481" s="31"/>
      <c r="J2481" s="31"/>
    </row>
    <row r="2482" spans="1:10" ht="14.4" x14ac:dyDescent="0.3">
      <c r="A2482" s="28" t="str">
        <f>B2482&amp;C2482&amp;D2482&amp;E2482</f>
        <v>ЗоотоварыДля птицКлетки и лестницыКлетки</v>
      </c>
      <c r="B2482" s="29" t="s">
        <v>214</v>
      </c>
      <c r="C2482" s="29" t="s">
        <v>224</v>
      </c>
      <c r="D2482" s="29" t="s">
        <v>1635</v>
      </c>
      <c r="E2482" s="29" t="s">
        <v>1166</v>
      </c>
      <c r="F2482" s="30">
        <v>0.17</v>
      </c>
      <c r="G2482" s="31"/>
      <c r="H2482" s="31"/>
      <c r="I2482" s="31"/>
      <c r="J2482" s="31"/>
    </row>
    <row r="2483" spans="1:10" ht="14.4" x14ac:dyDescent="0.3">
      <c r="A2483" s="28" t="str">
        <f>B2483&amp;C2483&amp;D2483&amp;E2483</f>
        <v>Продукты питанияЧай, кофе, горячие напиткиКофе в капсулахКофе в капсулах</v>
      </c>
      <c r="B2483" s="29" t="s">
        <v>248</v>
      </c>
      <c r="C2483" s="29" t="s">
        <v>395</v>
      </c>
      <c r="D2483" s="29" t="s">
        <v>3018</v>
      </c>
      <c r="E2483" s="29" t="s">
        <v>3018</v>
      </c>
      <c r="F2483" s="30">
        <v>0.17</v>
      </c>
      <c r="G2483" s="31"/>
      <c r="H2483" s="31"/>
      <c r="I2483" s="31"/>
      <c r="J2483" s="31"/>
    </row>
    <row r="2484" spans="1:10" ht="14.4" x14ac:dyDescent="0.3">
      <c r="A2484" s="28" t="str">
        <f>B2484&amp;C2484&amp;D2484&amp;E2484</f>
        <v>ЗоотоварыДля кошекЛотки и наполнителиЛотки</v>
      </c>
      <c r="B2484" s="29" t="s">
        <v>214</v>
      </c>
      <c r="C2484" s="29" t="s">
        <v>283</v>
      </c>
      <c r="D2484" s="29" t="s">
        <v>2746</v>
      </c>
      <c r="E2484" s="29" t="s">
        <v>3062</v>
      </c>
      <c r="F2484" s="30">
        <v>0.17</v>
      </c>
      <c r="G2484" s="31"/>
      <c r="H2484" s="31"/>
      <c r="I2484" s="31"/>
      <c r="J2484" s="31"/>
    </row>
    <row r="2485" spans="1:10" ht="14.4" x14ac:dyDescent="0.3">
      <c r="A2485" s="28" t="str">
        <f>B2485&amp;C2485&amp;D2485&amp;E2485</f>
        <v>Продукты питанияЧай, кофе, горячие напиткиЧай красныйЧай красный</v>
      </c>
      <c r="B2485" s="29" t="s">
        <v>248</v>
      </c>
      <c r="C2485" s="29" t="s">
        <v>395</v>
      </c>
      <c r="D2485" s="29" t="s">
        <v>3080</v>
      </c>
      <c r="E2485" s="29" t="s">
        <v>3080</v>
      </c>
      <c r="F2485" s="30">
        <v>0.17</v>
      </c>
      <c r="G2485" s="31"/>
      <c r="H2485" s="31"/>
      <c r="I2485" s="31"/>
      <c r="J2485" s="31"/>
    </row>
    <row r="2486" spans="1:10" ht="14.4" x14ac:dyDescent="0.3">
      <c r="A2486" s="28" t="str">
        <f>B2486&amp;C2486&amp;D2486&amp;E2486</f>
        <v>Строительство и ремонтИнструментыРасходные элементыБуры</v>
      </c>
      <c r="B2486" s="29" t="s">
        <v>77</v>
      </c>
      <c r="C2486" s="29" t="s">
        <v>78</v>
      </c>
      <c r="D2486" s="29" t="s">
        <v>615</v>
      </c>
      <c r="E2486" s="29" t="s">
        <v>3089</v>
      </c>
      <c r="F2486" s="30">
        <v>0.17</v>
      </c>
      <c r="G2486" s="31"/>
      <c r="H2486" s="31"/>
      <c r="I2486" s="31"/>
      <c r="J2486" s="31"/>
    </row>
    <row r="2487" spans="1:10" ht="14.4" x14ac:dyDescent="0.3">
      <c r="A2487" s="28" t="str">
        <f>B2487&amp;C2487&amp;D2487&amp;E2487</f>
        <v>Бытовая техникаТовары для кухниИзмельчение и смешиваниеИзмельчители</v>
      </c>
      <c r="B2487" s="29" t="s">
        <v>160</v>
      </c>
      <c r="C2487" s="29" t="s">
        <v>60</v>
      </c>
      <c r="D2487" s="29" t="s">
        <v>632</v>
      </c>
      <c r="E2487" s="29" t="s">
        <v>3137</v>
      </c>
      <c r="F2487" s="30">
        <v>0.17</v>
      </c>
      <c r="G2487" s="31"/>
      <c r="H2487" s="31"/>
      <c r="I2487" s="31"/>
      <c r="J2487" s="31"/>
    </row>
    <row r="2488" spans="1:10" ht="14.4" x14ac:dyDescent="0.3">
      <c r="A2488" s="28" t="str">
        <f>B2488&amp;C2488&amp;D2488&amp;E2488</f>
        <v>Строительство и ремонтИнструментыСварочное оборудованиеАппараты для сварки труб</v>
      </c>
      <c r="B2488" s="29" t="s">
        <v>77</v>
      </c>
      <c r="C2488" s="29" t="s">
        <v>78</v>
      </c>
      <c r="D2488" s="29" t="s">
        <v>79</v>
      </c>
      <c r="E2488" s="29" t="s">
        <v>179</v>
      </c>
      <c r="F2488" s="30">
        <v>0.15</v>
      </c>
      <c r="G2488" s="31"/>
      <c r="H2488" s="31"/>
      <c r="I2488" s="31"/>
      <c r="J2488" s="31"/>
    </row>
    <row r="2489" spans="1:10" ht="14.4" x14ac:dyDescent="0.3">
      <c r="A2489" s="28" t="str">
        <f>B2489&amp;C2489&amp;D2489&amp;E2489</f>
        <v>ЭлектроникаКомпьютерная техникаАксессуары для компьютеровВеб-камеры</v>
      </c>
      <c r="B2489" s="29" t="s">
        <v>67</v>
      </c>
      <c r="C2489" s="29" t="s">
        <v>234</v>
      </c>
      <c r="D2489" s="29" t="s">
        <v>235</v>
      </c>
      <c r="E2489" s="29" t="s">
        <v>237</v>
      </c>
      <c r="F2489" s="30">
        <v>0.15</v>
      </c>
      <c r="G2489" s="31"/>
      <c r="H2489" s="31"/>
      <c r="I2489" s="31"/>
      <c r="J2489" s="31"/>
    </row>
    <row r="2490" spans="1:10" ht="14.4" x14ac:dyDescent="0.3">
      <c r="A2490" s="28" t="str">
        <f>B2490&amp;C2490&amp;D2490&amp;E2490</f>
        <v>Продукты питанияМасла и соусыСоусыМайонез</v>
      </c>
      <c r="B2490" s="29" t="s">
        <v>248</v>
      </c>
      <c r="C2490" s="29" t="s">
        <v>318</v>
      </c>
      <c r="D2490" s="29" t="s">
        <v>319</v>
      </c>
      <c r="E2490" s="29" t="s">
        <v>320</v>
      </c>
      <c r="F2490" s="30">
        <v>0.15</v>
      </c>
      <c r="G2490" s="31"/>
      <c r="H2490" s="31"/>
      <c r="I2490" s="31"/>
      <c r="J2490" s="31"/>
    </row>
    <row r="2491" spans="1:10" ht="14.4" x14ac:dyDescent="0.3">
      <c r="A2491" s="28" t="str">
        <f>B2491&amp;C2491&amp;D2491&amp;E2491</f>
        <v>Строительство и ремонтИнструментыЭлектроинструментыПрочие электроинструменты</v>
      </c>
      <c r="B2491" s="29" t="s">
        <v>77</v>
      </c>
      <c r="C2491" s="29" t="s">
        <v>78</v>
      </c>
      <c r="D2491" s="29" t="s">
        <v>342</v>
      </c>
      <c r="E2491" s="29" t="s">
        <v>343</v>
      </c>
      <c r="F2491" s="30">
        <v>0.15</v>
      </c>
      <c r="G2491" s="31"/>
      <c r="H2491" s="31"/>
      <c r="I2491" s="31"/>
      <c r="J2491" s="31"/>
    </row>
    <row r="2492" spans="1:10" ht="14.4" x14ac:dyDescent="0.3">
      <c r="A2492" s="28" t="str">
        <f>B2492&amp;C2492&amp;D2492&amp;E2492</f>
        <v>Спорт и отдыхСпортивное питаниеВитамины и минеральные комплексыПослетренировочные комплексы</v>
      </c>
      <c r="B2492" s="29" t="s">
        <v>101</v>
      </c>
      <c r="C2492" s="29" t="s">
        <v>364</v>
      </c>
      <c r="D2492" s="29" t="s">
        <v>365</v>
      </c>
      <c r="E2492" s="29" t="s">
        <v>366</v>
      </c>
      <c r="F2492" s="30">
        <v>0.15</v>
      </c>
      <c r="G2492" s="31"/>
      <c r="H2492" s="31"/>
      <c r="I2492" s="31"/>
      <c r="J2492" s="31"/>
    </row>
    <row r="2493" spans="1:10" ht="14.4" x14ac:dyDescent="0.3">
      <c r="A2493" s="28" t="str">
        <f>B2493&amp;C2493&amp;D2493&amp;E2493</f>
        <v>Продукты питанияМасла и соусыСоусыГорчица и хрен</v>
      </c>
      <c r="B2493" s="29" t="s">
        <v>248</v>
      </c>
      <c r="C2493" s="29" t="s">
        <v>318</v>
      </c>
      <c r="D2493" s="29" t="s">
        <v>319</v>
      </c>
      <c r="E2493" s="29" t="s">
        <v>367</v>
      </c>
      <c r="F2493" s="30">
        <v>0.15</v>
      </c>
      <c r="G2493" s="31"/>
      <c r="H2493" s="31"/>
      <c r="I2493" s="31"/>
      <c r="J2493" s="31"/>
    </row>
    <row r="2494" spans="1:10" ht="14.4" x14ac:dyDescent="0.3">
      <c r="A2494" s="28" t="str">
        <f>B2494&amp;C2494&amp;D2494&amp;E2494</f>
        <v>Продукты питанияМасла и соусыМаслаХлопковое масло</v>
      </c>
      <c r="B2494" s="29" t="s">
        <v>248</v>
      </c>
      <c r="C2494" s="29" t="s">
        <v>318</v>
      </c>
      <c r="D2494" s="29" t="s">
        <v>368</v>
      </c>
      <c r="E2494" s="29" t="s">
        <v>369</v>
      </c>
      <c r="F2494" s="30">
        <v>0.15</v>
      </c>
      <c r="G2494" s="31"/>
      <c r="H2494" s="31"/>
      <c r="I2494" s="31"/>
      <c r="J2494" s="31"/>
    </row>
    <row r="2495" spans="1:10" ht="14.4" x14ac:dyDescent="0.3">
      <c r="A2495" s="28" t="str">
        <f>B2495&amp;C2495&amp;D2495&amp;E2495</f>
        <v>Строительство и ремонтИнструментыЭлектроинструментыШлифмашины</v>
      </c>
      <c r="B2495" s="29" t="s">
        <v>77</v>
      </c>
      <c r="C2495" s="29" t="s">
        <v>78</v>
      </c>
      <c r="D2495" s="29" t="s">
        <v>342</v>
      </c>
      <c r="E2495" s="29" t="s">
        <v>371</v>
      </c>
      <c r="F2495" s="30">
        <v>0.15</v>
      </c>
      <c r="G2495" s="31"/>
      <c r="H2495" s="31"/>
      <c r="I2495" s="31"/>
      <c r="J2495" s="31"/>
    </row>
    <row r="2496" spans="1:10" ht="14.4" x14ac:dyDescent="0.3">
      <c r="A2496" s="28" t="str">
        <f>B2496&amp;C2496&amp;D2496&amp;E2496</f>
        <v>ЗдоровьеМедицинские приборыГлюкометры и аксессуарыГлюкометры</v>
      </c>
      <c r="B2496" s="29" t="s">
        <v>116</v>
      </c>
      <c r="C2496" s="29" t="s">
        <v>381</v>
      </c>
      <c r="D2496" s="29" t="s">
        <v>382</v>
      </c>
      <c r="E2496" s="29" t="s">
        <v>383</v>
      </c>
      <c r="F2496" s="30">
        <v>0.15</v>
      </c>
      <c r="G2496" s="31"/>
      <c r="H2496" s="31"/>
      <c r="I2496" s="31"/>
      <c r="J2496" s="31"/>
    </row>
    <row r="2497" spans="1:10" ht="14.4" x14ac:dyDescent="0.3">
      <c r="A2497" s="28" t="str">
        <f>B2497&amp;C2497&amp;D2497&amp;E2497</f>
        <v>ЭлектроникаНаушники и аудиотехникаАудиотехникаПортативная акустика</v>
      </c>
      <c r="B2497" s="29" t="s">
        <v>67</v>
      </c>
      <c r="C2497" s="29" t="s">
        <v>74</v>
      </c>
      <c r="D2497" s="29" t="s">
        <v>409</v>
      </c>
      <c r="E2497" s="29" t="s">
        <v>410</v>
      </c>
      <c r="F2497" s="30">
        <v>0.15</v>
      </c>
      <c r="G2497" s="31"/>
      <c r="H2497" s="31"/>
      <c r="I2497" s="31"/>
      <c r="J2497" s="31"/>
    </row>
    <row r="2498" spans="1:10" ht="14.4" x14ac:dyDescent="0.3">
      <c r="A2498" s="28" t="str">
        <f>B2498&amp;C2498&amp;D2498&amp;E2498</f>
        <v>Продукты питанияВода, соки, напиткиСоки, нектары, смузиСоки, нектары, смузи</v>
      </c>
      <c r="B2498" s="29" t="s">
        <v>248</v>
      </c>
      <c r="C2498" s="29" t="s">
        <v>434</v>
      </c>
      <c r="D2498" s="29" t="s">
        <v>435</v>
      </c>
      <c r="E2498" s="29" t="s">
        <v>435</v>
      </c>
      <c r="F2498" s="30">
        <v>0.15</v>
      </c>
      <c r="G2498" s="31"/>
      <c r="H2498" s="31"/>
      <c r="I2498" s="31"/>
      <c r="J2498" s="31"/>
    </row>
    <row r="2499" spans="1:10" ht="14.4" x14ac:dyDescent="0.3">
      <c r="A2499" s="28" t="str">
        <f>B2499&amp;C2499&amp;D2499&amp;E2499</f>
        <v>Строительство и ремонтИнструментыЭлектроинструментыСабельные пилы</v>
      </c>
      <c r="B2499" s="29" t="s">
        <v>77</v>
      </c>
      <c r="C2499" s="29" t="s">
        <v>78</v>
      </c>
      <c r="D2499" s="29" t="s">
        <v>342</v>
      </c>
      <c r="E2499" s="29" t="s">
        <v>459</v>
      </c>
      <c r="F2499" s="30">
        <v>0.15</v>
      </c>
      <c r="G2499" s="31"/>
      <c r="H2499" s="31"/>
      <c r="I2499" s="31"/>
      <c r="J2499" s="31"/>
    </row>
    <row r="2500" spans="1:10" ht="14.4" x14ac:dyDescent="0.3">
      <c r="A2500" s="28" t="str">
        <f>B2500&amp;C2500&amp;D2500&amp;E2500</f>
        <v>Продукты питанияМасла и соусыСоусыСоевый соус</v>
      </c>
      <c r="B2500" s="29" t="s">
        <v>248</v>
      </c>
      <c r="C2500" s="29" t="s">
        <v>318</v>
      </c>
      <c r="D2500" s="29" t="s">
        <v>319</v>
      </c>
      <c r="E2500" s="29" t="s">
        <v>491</v>
      </c>
      <c r="F2500" s="30">
        <v>0.15</v>
      </c>
      <c r="G2500" s="31"/>
      <c r="H2500" s="31"/>
      <c r="I2500" s="31"/>
      <c r="J2500" s="31"/>
    </row>
    <row r="2501" spans="1:10" ht="14.4" x14ac:dyDescent="0.3">
      <c r="A2501" s="28" t="str">
        <f>B2501&amp;C2501&amp;D2501&amp;E2501</f>
        <v>Продукты питанияПродукты для выпечки и десертовПищевые добавкиПищевые красители и ароматизаторы</v>
      </c>
      <c r="B2501" s="29" t="s">
        <v>248</v>
      </c>
      <c r="C2501" s="29" t="s">
        <v>497</v>
      </c>
      <c r="D2501" s="29" t="s">
        <v>498</v>
      </c>
      <c r="E2501" s="29" t="s">
        <v>499</v>
      </c>
      <c r="F2501" s="30">
        <v>0.15</v>
      </c>
      <c r="G2501" s="31"/>
      <c r="H2501" s="31"/>
      <c r="I2501" s="31"/>
      <c r="J2501" s="31"/>
    </row>
    <row r="2502" spans="1:10" ht="14.4" x14ac:dyDescent="0.3">
      <c r="A2502" s="28" t="str">
        <f>B2502&amp;C2502&amp;D2502&amp;E2502</f>
        <v>Строительство и ремонтИнструментыЭлектроинструментыСтроительные миксеры и венчики</v>
      </c>
      <c r="B2502" s="29" t="s">
        <v>77</v>
      </c>
      <c r="C2502" s="29" t="s">
        <v>78</v>
      </c>
      <c r="D2502" s="29" t="s">
        <v>342</v>
      </c>
      <c r="E2502" s="29" t="s">
        <v>537</v>
      </c>
      <c r="F2502" s="30">
        <v>0.15</v>
      </c>
      <c r="G2502" s="31"/>
      <c r="H2502" s="31"/>
      <c r="I2502" s="31"/>
      <c r="J2502" s="31"/>
    </row>
    <row r="2503" spans="1:10" ht="14.4" x14ac:dyDescent="0.3">
      <c r="A2503" s="28" t="str">
        <f>B2503&amp;C2503&amp;D2503&amp;E2503</f>
        <v>Строительство и ремонтИнструментыЭлектроинструментыФрезерные машины</v>
      </c>
      <c r="B2503" s="29" t="s">
        <v>77</v>
      </c>
      <c r="C2503" s="29" t="s">
        <v>78</v>
      </c>
      <c r="D2503" s="29" t="s">
        <v>342</v>
      </c>
      <c r="E2503" s="29" t="s">
        <v>540</v>
      </c>
      <c r="F2503" s="30">
        <v>0.15</v>
      </c>
      <c r="G2503" s="31"/>
      <c r="H2503" s="31"/>
      <c r="I2503" s="31"/>
      <c r="J2503" s="31"/>
    </row>
    <row r="2504" spans="1:10" ht="14.4" x14ac:dyDescent="0.3">
      <c r="A2504" s="28" t="str">
        <f>B2504&amp;C2504&amp;D2504&amp;E2504</f>
        <v>Продукты питанияМасла и соусыМаслаКунжутное масло</v>
      </c>
      <c r="B2504" s="29" t="s">
        <v>248</v>
      </c>
      <c r="C2504" s="29" t="s">
        <v>318</v>
      </c>
      <c r="D2504" s="29" t="s">
        <v>368</v>
      </c>
      <c r="E2504" s="29" t="s">
        <v>555</v>
      </c>
      <c r="F2504" s="30">
        <v>0.15</v>
      </c>
      <c r="G2504" s="31"/>
      <c r="H2504" s="31"/>
      <c r="I2504" s="31"/>
      <c r="J2504" s="31"/>
    </row>
    <row r="2505" spans="1:10" ht="14.4" x14ac:dyDescent="0.3">
      <c r="A2505" s="28" t="str">
        <f>B2505&amp;C2505&amp;D2505&amp;E2505</f>
        <v>Строительство и ремонтЭлектрикаБатарейкиБатарейки</v>
      </c>
      <c r="B2505" s="29" t="s">
        <v>77</v>
      </c>
      <c r="C2505" s="29" t="s">
        <v>600</v>
      </c>
      <c r="D2505" s="29" t="s">
        <v>601</v>
      </c>
      <c r="E2505" s="29" t="s">
        <v>601</v>
      </c>
      <c r="F2505" s="30">
        <v>0.15</v>
      </c>
      <c r="G2505" s="31"/>
      <c r="H2505" s="31"/>
      <c r="I2505" s="31"/>
      <c r="J2505" s="31"/>
    </row>
    <row r="2506" spans="1:10" ht="14.4" x14ac:dyDescent="0.3">
      <c r="A2506" s="28" t="str">
        <f>B2506&amp;C2506&amp;D2506&amp;E2506</f>
        <v>Продукты питанияКонсервацияОвощная икра и закускиОвощная икра и закуски</v>
      </c>
      <c r="B2506" s="29" t="s">
        <v>248</v>
      </c>
      <c r="C2506" s="29" t="s">
        <v>605</v>
      </c>
      <c r="D2506" s="29" t="s">
        <v>606</v>
      </c>
      <c r="E2506" s="29" t="s">
        <v>606</v>
      </c>
      <c r="F2506" s="30">
        <v>0.15</v>
      </c>
      <c r="G2506" s="31"/>
      <c r="H2506" s="31"/>
      <c r="I2506" s="31"/>
      <c r="J2506" s="31"/>
    </row>
    <row r="2507" spans="1:10" ht="14.4" x14ac:dyDescent="0.3">
      <c r="A2507" s="28" t="str">
        <f>B2507&amp;C2507&amp;D2507&amp;E2507</f>
        <v>ЭлектроникаИгровые приставкиАксессуары и запчасти для игровых приставокАккумуляторы и зарядки</v>
      </c>
      <c r="B2507" s="29" t="s">
        <v>67</v>
      </c>
      <c r="C2507" s="29" t="s">
        <v>81</v>
      </c>
      <c r="D2507" s="29" t="s">
        <v>645</v>
      </c>
      <c r="E2507" s="29" t="s">
        <v>646</v>
      </c>
      <c r="F2507" s="30">
        <v>0.15</v>
      </c>
      <c r="G2507" s="31"/>
      <c r="H2507" s="31"/>
      <c r="I2507" s="31"/>
      <c r="J2507" s="31"/>
    </row>
    <row r="2508" spans="1:10" ht="14.4" x14ac:dyDescent="0.3">
      <c r="A2508" s="28" t="str">
        <f>B2508&amp;C2508&amp;D2508&amp;E2508</f>
        <v>Детские товарыТовары для мамНаборы в роддомНаборы в роддом</v>
      </c>
      <c r="B2508" s="29" t="s">
        <v>105</v>
      </c>
      <c r="C2508" s="29" t="s">
        <v>655</v>
      </c>
      <c r="D2508" s="29" t="s">
        <v>656</v>
      </c>
      <c r="E2508" s="29" t="s">
        <v>656</v>
      </c>
      <c r="F2508" s="30">
        <v>0.15</v>
      </c>
      <c r="G2508" s="31"/>
      <c r="H2508" s="31"/>
      <c r="I2508" s="31"/>
      <c r="J2508" s="31"/>
    </row>
    <row r="2509" spans="1:10" ht="14.4" x14ac:dyDescent="0.3">
      <c r="A2509" s="28" t="str">
        <f>B2509&amp;C2509&amp;D2509&amp;E2509</f>
        <v>Спорт и отдыхСпортивное питаниеBCAA и аминокислотыGABA</v>
      </c>
      <c r="B2509" s="29" t="s">
        <v>101</v>
      </c>
      <c r="C2509" s="29" t="s">
        <v>364</v>
      </c>
      <c r="D2509" s="29" t="s">
        <v>667</v>
      </c>
      <c r="E2509" s="29" t="s">
        <v>668</v>
      </c>
      <c r="F2509" s="30">
        <v>0.15</v>
      </c>
      <c r="G2509" s="31"/>
      <c r="H2509" s="31"/>
      <c r="I2509" s="31"/>
      <c r="J2509" s="31"/>
    </row>
    <row r="2510" spans="1:10" ht="14.4" x14ac:dyDescent="0.3">
      <c r="A2510" s="28" t="str">
        <f>B2510&amp;C2510&amp;D2510&amp;E2510</f>
        <v>Строительство и ремонтВодоснабжение для дома и садаДля откачивания из резервуаровДля откачивания из резервуаров</v>
      </c>
      <c r="B2510" s="29" t="s">
        <v>77</v>
      </c>
      <c r="C2510" s="29" t="s">
        <v>676</v>
      </c>
      <c r="D2510" s="29" t="s">
        <v>677</v>
      </c>
      <c r="E2510" s="29" t="s">
        <v>677</v>
      </c>
      <c r="F2510" s="30">
        <v>0.15</v>
      </c>
      <c r="G2510" s="31"/>
      <c r="H2510" s="31"/>
      <c r="I2510" s="31"/>
      <c r="J2510" s="31"/>
    </row>
    <row r="2511" spans="1:10" ht="14.4" x14ac:dyDescent="0.3">
      <c r="A2511" s="28" t="str">
        <f>B2511&amp;C2511&amp;D2511&amp;E2511</f>
        <v>Детские товарыКоляски и автокреслаВелокресла для малышейВелокресла для малышей</v>
      </c>
      <c r="B2511" s="29" t="s">
        <v>105</v>
      </c>
      <c r="C2511" s="29" t="s">
        <v>678</v>
      </c>
      <c r="D2511" s="29" t="s">
        <v>679</v>
      </c>
      <c r="E2511" s="29" t="s">
        <v>679</v>
      </c>
      <c r="F2511" s="30">
        <v>0.15</v>
      </c>
      <c r="G2511" s="31"/>
      <c r="H2511" s="31"/>
      <c r="I2511" s="31"/>
      <c r="J2511" s="31"/>
    </row>
    <row r="2512" spans="1:10" ht="14.4" x14ac:dyDescent="0.3">
      <c r="A2512" s="28" t="str">
        <f>B2512&amp;C2512&amp;D2512&amp;E2512</f>
        <v>Спорт и отдыхСпортивное питаниеСпециальные препаратыПрепараты для связок и суставов</v>
      </c>
      <c r="B2512" s="29" t="s">
        <v>101</v>
      </c>
      <c r="C2512" s="29" t="s">
        <v>364</v>
      </c>
      <c r="D2512" s="29" t="s">
        <v>712</v>
      </c>
      <c r="E2512" s="29" t="s">
        <v>713</v>
      </c>
      <c r="F2512" s="30">
        <v>0.15</v>
      </c>
      <c r="G2512" s="31"/>
      <c r="H2512" s="31"/>
      <c r="I2512" s="31"/>
      <c r="J2512" s="31"/>
    </row>
    <row r="2513" spans="1:10" ht="14.4" x14ac:dyDescent="0.3">
      <c r="A2513" s="28" t="str">
        <f>B2513&amp;C2513&amp;D2513&amp;E2513</f>
        <v>Строительство и ремонтИнструментыЭлектроинструментыШуруповерты</v>
      </c>
      <c r="B2513" s="29" t="s">
        <v>77</v>
      </c>
      <c r="C2513" s="29" t="s">
        <v>78</v>
      </c>
      <c r="D2513" s="29" t="s">
        <v>342</v>
      </c>
      <c r="E2513" s="29" t="s">
        <v>719</v>
      </c>
      <c r="F2513" s="30">
        <v>0.15</v>
      </c>
      <c r="G2513" s="31"/>
      <c r="H2513" s="31"/>
      <c r="I2513" s="31"/>
      <c r="J2513" s="31"/>
    </row>
    <row r="2514" spans="1:10" ht="14.4" x14ac:dyDescent="0.3">
      <c r="A2514" s="28" t="str">
        <f>B2514&amp;C2514&amp;D2514&amp;E2514</f>
        <v>Спорт и отдыхСпортивное питаниеЭнергетики и изотоникиЭнергетики и изотоники</v>
      </c>
      <c r="B2514" s="29" t="s">
        <v>101</v>
      </c>
      <c r="C2514" s="29" t="s">
        <v>364</v>
      </c>
      <c r="D2514" s="29" t="s">
        <v>730</v>
      </c>
      <c r="E2514" s="29" t="s">
        <v>730</v>
      </c>
      <c r="F2514" s="30">
        <v>0.15</v>
      </c>
      <c r="G2514" s="31"/>
      <c r="H2514" s="31"/>
      <c r="I2514" s="31"/>
      <c r="J2514" s="31"/>
    </row>
    <row r="2515" spans="1:10" ht="14.4" x14ac:dyDescent="0.3">
      <c r="A2515" s="28" t="str">
        <f>B2515&amp;C2515&amp;D2515&amp;E2515</f>
        <v>Продукты питанияМакароны, крупы и сухие завтракиСухие завтракиСухие завтраки</v>
      </c>
      <c r="B2515" s="29" t="s">
        <v>248</v>
      </c>
      <c r="C2515" s="29" t="s">
        <v>756</v>
      </c>
      <c r="D2515" s="29" t="s">
        <v>757</v>
      </c>
      <c r="E2515" s="29" t="s">
        <v>757</v>
      </c>
      <c r="F2515" s="30">
        <v>0.15</v>
      </c>
      <c r="G2515" s="31"/>
      <c r="H2515" s="31"/>
      <c r="I2515" s="31"/>
      <c r="J2515" s="31"/>
    </row>
    <row r="2516" spans="1:10" ht="14.4" x14ac:dyDescent="0.3">
      <c r="A2516" s="28" t="str">
        <f>B2516&amp;C2516&amp;D2516&amp;E2516</f>
        <v>Продукты питанияМасла и соусыМаслаПодсолнечное масло</v>
      </c>
      <c r="B2516" s="29" t="s">
        <v>248</v>
      </c>
      <c r="C2516" s="29" t="s">
        <v>318</v>
      </c>
      <c r="D2516" s="29" t="s">
        <v>368</v>
      </c>
      <c r="E2516" s="29" t="s">
        <v>787</v>
      </c>
      <c r="F2516" s="30">
        <v>0.15</v>
      </c>
      <c r="G2516" s="31"/>
      <c r="H2516" s="31"/>
      <c r="I2516" s="31"/>
      <c r="J2516" s="31"/>
    </row>
    <row r="2517" spans="1:10" ht="14.4" x14ac:dyDescent="0.3">
      <c r="A2517" s="28" t="str">
        <f>B2517&amp;C2517&amp;D2517&amp;E2517</f>
        <v>Строительство и ремонтИнструментыЭлектроинструментыЭлектродрели</v>
      </c>
      <c r="B2517" s="29" t="s">
        <v>77</v>
      </c>
      <c r="C2517" s="29" t="s">
        <v>78</v>
      </c>
      <c r="D2517" s="29" t="s">
        <v>342</v>
      </c>
      <c r="E2517" s="29" t="s">
        <v>788</v>
      </c>
      <c r="F2517" s="30">
        <v>0.15</v>
      </c>
      <c r="G2517" s="31"/>
      <c r="H2517" s="31"/>
      <c r="I2517" s="31"/>
      <c r="J2517" s="31"/>
    </row>
    <row r="2518" spans="1:10" ht="14.4" x14ac:dyDescent="0.3">
      <c r="A2518" s="28" t="str">
        <f>B2518&amp;C2518&amp;D2518&amp;E2518</f>
        <v>Спорт и отдыхСпортивное питаниеСредства для снижения весаСредства для снижения веса</v>
      </c>
      <c r="B2518" s="29" t="s">
        <v>101</v>
      </c>
      <c r="C2518" s="29" t="s">
        <v>364</v>
      </c>
      <c r="D2518" s="29" t="s">
        <v>800</v>
      </c>
      <c r="E2518" s="29" t="s">
        <v>800</v>
      </c>
      <c r="F2518" s="30">
        <v>0.15</v>
      </c>
      <c r="G2518" s="31"/>
      <c r="H2518" s="31"/>
      <c r="I2518" s="31"/>
      <c r="J2518" s="31"/>
    </row>
    <row r="2519" spans="1:10" ht="14.4" x14ac:dyDescent="0.3">
      <c r="A2519" s="28" t="str">
        <f>B2519&amp;C2519&amp;D2519&amp;E2519</f>
        <v>ЭлектроникаКомпьютерная техникаКомпьютерная периферияКоммутаторы</v>
      </c>
      <c r="B2519" s="29" t="s">
        <v>67</v>
      </c>
      <c r="C2519" s="29" t="s">
        <v>234</v>
      </c>
      <c r="D2519" s="29" t="s">
        <v>794</v>
      </c>
      <c r="E2519" s="29" t="s">
        <v>826</v>
      </c>
      <c r="F2519" s="30">
        <v>0.15</v>
      </c>
      <c r="G2519" s="31"/>
      <c r="H2519" s="31"/>
      <c r="I2519" s="31"/>
      <c r="J2519" s="31"/>
    </row>
    <row r="2520" spans="1:10" ht="14.4" x14ac:dyDescent="0.3">
      <c r="A2520" s="28" t="str">
        <f>B2520&amp;C2520&amp;D2520&amp;E2520</f>
        <v>Детские товарыТовары для мамПластыри и вкладыши для грудиПластыри и вкладыши для груди</v>
      </c>
      <c r="B2520" s="29" t="s">
        <v>105</v>
      </c>
      <c r="C2520" s="29" t="s">
        <v>655</v>
      </c>
      <c r="D2520" s="29" t="s">
        <v>834</v>
      </c>
      <c r="E2520" s="29" t="s">
        <v>834</v>
      </c>
      <c r="F2520" s="30">
        <v>0.15</v>
      </c>
      <c r="G2520" s="31"/>
      <c r="H2520" s="31"/>
      <c r="I2520" s="31"/>
      <c r="J2520" s="31"/>
    </row>
    <row r="2521" spans="1:10" ht="14.4" x14ac:dyDescent="0.3">
      <c r="A2521" s="28" t="str">
        <f>B2521&amp;C2521&amp;D2521&amp;E2521</f>
        <v>Спорт и отдыхСпортивное питаниеТренировочные комплексыТренировочные комплексы</v>
      </c>
      <c r="B2521" s="29" t="s">
        <v>101</v>
      </c>
      <c r="C2521" s="29" t="s">
        <v>364</v>
      </c>
      <c r="D2521" s="29" t="s">
        <v>887</v>
      </c>
      <c r="E2521" s="29" t="s">
        <v>887</v>
      </c>
      <c r="F2521" s="30">
        <v>0.15</v>
      </c>
      <c r="G2521" s="31"/>
      <c r="H2521" s="31"/>
      <c r="I2521" s="31"/>
      <c r="J2521" s="31"/>
    </row>
    <row r="2522" spans="1:10" ht="14.4" x14ac:dyDescent="0.3">
      <c r="A2522" s="28" t="str">
        <f>B2522&amp;C2522&amp;D2522&amp;E2522</f>
        <v>КанцтоварыБумажная продукцияТетрадиТетрадь нотная</v>
      </c>
      <c r="B2522" s="29" t="s">
        <v>163</v>
      </c>
      <c r="C2522" s="29" t="s">
        <v>261</v>
      </c>
      <c r="D2522" s="29" t="s">
        <v>930</v>
      </c>
      <c r="E2522" s="29" t="s">
        <v>931</v>
      </c>
      <c r="F2522" s="30">
        <v>0.15</v>
      </c>
      <c r="G2522" s="31"/>
      <c r="H2522" s="31"/>
      <c r="I2522" s="31"/>
      <c r="J2522" s="31"/>
    </row>
    <row r="2523" spans="1:10" ht="14.4" x14ac:dyDescent="0.3">
      <c r="A2523" s="28" t="str">
        <f>B2523&amp;C2523&amp;D2523&amp;E2523</f>
        <v>Продукты питанияМакароны, крупы и сухие завтракиПродукты быстрого приготовленияСупы и бульоны</v>
      </c>
      <c r="B2523" s="29" t="s">
        <v>248</v>
      </c>
      <c r="C2523" s="29" t="s">
        <v>756</v>
      </c>
      <c r="D2523" s="29" t="s">
        <v>963</v>
      </c>
      <c r="E2523" s="29" t="s">
        <v>964</v>
      </c>
      <c r="F2523" s="30">
        <v>0.15</v>
      </c>
      <c r="G2523" s="31"/>
      <c r="H2523" s="31"/>
      <c r="I2523" s="31"/>
      <c r="J2523" s="31"/>
    </row>
    <row r="2524" spans="1:10" ht="14.4" x14ac:dyDescent="0.3">
      <c r="A2524" s="28" t="str">
        <f>B2524&amp;C2524&amp;D2524&amp;E2524</f>
        <v>Бытовая техникаТехника для красотыЭпиляторы и аксессуарыЭпиляторы и аксессуары</v>
      </c>
      <c r="B2524" s="29" t="s">
        <v>160</v>
      </c>
      <c r="C2524" s="29" t="s">
        <v>694</v>
      </c>
      <c r="D2524" s="29" t="s">
        <v>977</v>
      </c>
      <c r="E2524" s="29" t="s">
        <v>977</v>
      </c>
      <c r="F2524" s="30">
        <v>0.15</v>
      </c>
      <c r="G2524" s="31"/>
      <c r="H2524" s="31"/>
      <c r="I2524" s="31"/>
      <c r="J2524" s="31"/>
    </row>
    <row r="2525" spans="1:10" ht="14.4" x14ac:dyDescent="0.3">
      <c r="A2525" s="28" t="str">
        <f>B2525&amp;C2525&amp;D2525&amp;E2525</f>
        <v>Продукты питанияМасла и соусыСоусыСырный соус</v>
      </c>
      <c r="B2525" s="29" t="s">
        <v>248</v>
      </c>
      <c r="C2525" s="29" t="s">
        <v>318</v>
      </c>
      <c r="D2525" s="29" t="s">
        <v>319</v>
      </c>
      <c r="E2525" s="29" t="s">
        <v>999</v>
      </c>
      <c r="F2525" s="30">
        <v>0.15</v>
      </c>
      <c r="G2525" s="31"/>
      <c r="H2525" s="31"/>
      <c r="I2525" s="31"/>
      <c r="J2525" s="31"/>
    </row>
    <row r="2526" spans="1:10" ht="14.4" x14ac:dyDescent="0.3">
      <c r="A2526" s="28" t="str">
        <f>B2526&amp;C2526&amp;D2526&amp;E2526</f>
        <v>АвтотоварыЭлектроника для автоКамеры заднего видаКамеры заднего вида</v>
      </c>
      <c r="B2526" s="29" t="s">
        <v>12</v>
      </c>
      <c r="C2526" s="29" t="s">
        <v>360</v>
      </c>
      <c r="D2526" s="29" t="s">
        <v>1046</v>
      </c>
      <c r="E2526" s="29" t="s">
        <v>1046</v>
      </c>
      <c r="F2526" s="30">
        <v>0.15</v>
      </c>
      <c r="G2526" s="31"/>
      <c r="H2526" s="31"/>
      <c r="I2526" s="31"/>
      <c r="J2526" s="31"/>
    </row>
    <row r="2527" spans="1:10" ht="14.4" x14ac:dyDescent="0.3">
      <c r="A2527" s="28" t="str">
        <f>B2527&amp;C2527&amp;D2527&amp;E2527</f>
        <v>Строительство и ремонтОтоплениеРадиаторыРадиаторы</v>
      </c>
      <c r="B2527" s="29" t="s">
        <v>77</v>
      </c>
      <c r="C2527" s="29" t="s">
        <v>1022</v>
      </c>
      <c r="D2527" s="29" t="s">
        <v>1089</v>
      </c>
      <c r="E2527" s="29" t="s">
        <v>1089</v>
      </c>
      <c r="F2527" s="30">
        <v>0.15</v>
      </c>
      <c r="G2527" s="31"/>
      <c r="H2527" s="31"/>
      <c r="I2527" s="31"/>
      <c r="J2527" s="31"/>
    </row>
    <row r="2528" spans="1:10" ht="14.4" x14ac:dyDescent="0.3">
      <c r="A2528" s="28" t="str">
        <f>B2528&amp;C2528&amp;D2528&amp;E2528</f>
        <v>Продукты питанияОрехи, сухофрукты, семечкиСушеные фрукты и овощиСушеные фрукты и овощи</v>
      </c>
      <c r="B2528" s="29" t="s">
        <v>248</v>
      </c>
      <c r="C2528" s="29" t="s">
        <v>1092</v>
      </c>
      <c r="D2528" s="29" t="s">
        <v>1093</v>
      </c>
      <c r="E2528" s="29" t="s">
        <v>1093</v>
      </c>
      <c r="F2528" s="30">
        <v>0.15</v>
      </c>
      <c r="G2528" s="31"/>
      <c r="H2528" s="31"/>
      <c r="I2528" s="31"/>
      <c r="J2528" s="31"/>
    </row>
    <row r="2529" spans="1:10" ht="14.4" x14ac:dyDescent="0.3">
      <c r="A2529" s="28" t="str">
        <f>B2529&amp;C2529&amp;D2529&amp;E2529</f>
        <v>Продукты питанияМасла и соусыСоусыТерияки соус</v>
      </c>
      <c r="B2529" s="29" t="s">
        <v>248</v>
      </c>
      <c r="C2529" s="29" t="s">
        <v>318</v>
      </c>
      <c r="D2529" s="29" t="s">
        <v>319</v>
      </c>
      <c r="E2529" s="29" t="s">
        <v>1104</v>
      </c>
      <c r="F2529" s="30">
        <v>0.15</v>
      </c>
      <c r="G2529" s="31"/>
      <c r="H2529" s="31"/>
      <c r="I2529" s="31"/>
      <c r="J2529" s="31"/>
    </row>
    <row r="2530" spans="1:10" ht="14.4" x14ac:dyDescent="0.3">
      <c r="A2530" s="28" t="str">
        <f>B2530&amp;C2530&amp;D2530&amp;E2530</f>
        <v>ЭлектроникаИгровые приставкиПриставкиРетро-приставки</v>
      </c>
      <c r="B2530" s="29" t="s">
        <v>67</v>
      </c>
      <c r="C2530" s="29" t="s">
        <v>81</v>
      </c>
      <c r="D2530" s="29" t="s">
        <v>82</v>
      </c>
      <c r="E2530" s="29" t="s">
        <v>1115</v>
      </c>
      <c r="F2530" s="30">
        <v>0.15</v>
      </c>
      <c r="G2530" s="31"/>
      <c r="H2530" s="31"/>
      <c r="I2530" s="31"/>
      <c r="J2530" s="31"/>
    </row>
    <row r="2531" spans="1:10" ht="14.4" x14ac:dyDescent="0.3">
      <c r="A2531" s="28" t="str">
        <f>B2531&amp;C2531&amp;D2531&amp;E2531</f>
        <v>Продукты питанияОрехи, сухофрукты, семечкиОрехиОрехи</v>
      </c>
      <c r="B2531" s="29" t="s">
        <v>248</v>
      </c>
      <c r="C2531" s="29" t="s">
        <v>1092</v>
      </c>
      <c r="D2531" s="29" t="s">
        <v>1120</v>
      </c>
      <c r="E2531" s="29" t="s">
        <v>1120</v>
      </c>
      <c r="F2531" s="30">
        <v>0.15</v>
      </c>
      <c r="G2531" s="31"/>
      <c r="H2531" s="31"/>
      <c r="I2531" s="31"/>
      <c r="J2531" s="31"/>
    </row>
    <row r="2532" spans="1:10" ht="14.4" x14ac:dyDescent="0.3">
      <c r="A2532" s="28" t="str">
        <f>B2532&amp;C2532&amp;D2532&amp;E2532</f>
        <v>ЗоотоварыДля грызуновКорма и лакомства для грызуновПодкормки</v>
      </c>
      <c r="B2532" s="29" t="s">
        <v>214</v>
      </c>
      <c r="C2532" s="29" t="s">
        <v>215</v>
      </c>
      <c r="D2532" s="29" t="s">
        <v>216</v>
      </c>
      <c r="E2532" s="29" t="s">
        <v>1131</v>
      </c>
      <c r="F2532" s="30">
        <v>0.15</v>
      </c>
      <c r="G2532" s="31"/>
      <c r="H2532" s="31"/>
      <c r="I2532" s="31"/>
      <c r="J2532" s="31"/>
    </row>
    <row r="2533" spans="1:10" ht="14.4" x14ac:dyDescent="0.3">
      <c r="A2533" s="28" t="str">
        <f>B2533&amp;C2533&amp;D2533&amp;E2533</f>
        <v>Продукты питанияМед, варенье, сладкая консервацияМед и продукты пчеловодстваВоск</v>
      </c>
      <c r="B2533" s="29" t="s">
        <v>248</v>
      </c>
      <c r="C2533" s="29" t="s">
        <v>1156</v>
      </c>
      <c r="D2533" s="29" t="s">
        <v>1157</v>
      </c>
      <c r="E2533" s="29" t="s">
        <v>847</v>
      </c>
      <c r="F2533" s="30">
        <v>0.15</v>
      </c>
      <c r="G2533" s="31"/>
      <c r="H2533" s="31"/>
      <c r="I2533" s="31"/>
      <c r="J2533" s="31"/>
    </row>
    <row r="2534" spans="1:10" ht="14.4" x14ac:dyDescent="0.3">
      <c r="A2534" s="28" t="str">
        <f>B2534&amp;C2534&amp;D2534&amp;E2534</f>
        <v>Детские товарыДетское питаниеДетские смесиДетские смеси</v>
      </c>
      <c r="B2534" s="29" t="s">
        <v>105</v>
      </c>
      <c r="C2534" s="29" t="s">
        <v>1160</v>
      </c>
      <c r="D2534" s="29" t="s">
        <v>1161</v>
      </c>
      <c r="E2534" s="29" t="s">
        <v>1161</v>
      </c>
      <c r="F2534" s="30">
        <v>0.15</v>
      </c>
      <c r="G2534" s="31"/>
      <c r="H2534" s="31"/>
      <c r="I2534" s="31"/>
      <c r="J2534" s="31"/>
    </row>
    <row r="2535" spans="1:10" ht="14.4" x14ac:dyDescent="0.3">
      <c r="A2535" s="28" t="str">
        <f>B2535&amp;C2535&amp;D2535&amp;E2535</f>
        <v>Продукты питанияСнекиСухарики, сухари, баранки, сушкиСухарики, сухари, баранки, сушки</v>
      </c>
      <c r="B2535" s="29" t="s">
        <v>248</v>
      </c>
      <c r="C2535" s="29" t="s">
        <v>1162</v>
      </c>
      <c r="D2535" s="29" t="s">
        <v>1163</v>
      </c>
      <c r="E2535" s="29" t="s">
        <v>1163</v>
      </c>
      <c r="F2535" s="30">
        <v>0.15</v>
      </c>
      <c r="G2535" s="31"/>
      <c r="H2535" s="31"/>
      <c r="I2535" s="31"/>
      <c r="J2535" s="31"/>
    </row>
    <row r="2536" spans="1:10" ht="14.4" x14ac:dyDescent="0.3">
      <c r="A2536" s="28" t="str">
        <f>B2536&amp;C2536&amp;D2536&amp;E2536</f>
        <v>ЭлектроникаИгровые приставкиАксессуары и запчасти для игровых приставокЧехлы для игровых приставок</v>
      </c>
      <c r="B2536" s="29" t="s">
        <v>67</v>
      </c>
      <c r="C2536" s="29" t="s">
        <v>81</v>
      </c>
      <c r="D2536" s="29" t="s">
        <v>645</v>
      </c>
      <c r="E2536" s="29" t="s">
        <v>1172</v>
      </c>
      <c r="F2536" s="30">
        <v>0.15</v>
      </c>
      <c r="G2536" s="31"/>
      <c r="H2536" s="31"/>
      <c r="I2536" s="31"/>
      <c r="J2536" s="31"/>
    </row>
    <row r="2537" spans="1:10" ht="14.4" x14ac:dyDescent="0.3">
      <c r="A2537" s="28" t="str">
        <f>B2537&amp;C2537&amp;D2537&amp;E2537</f>
        <v>Продукты питанияМакароны, крупы и сухие завтракиСухие завтракиГотовые завтраки</v>
      </c>
      <c r="B2537" s="29" t="s">
        <v>248</v>
      </c>
      <c r="C2537" s="29" t="s">
        <v>756</v>
      </c>
      <c r="D2537" s="29" t="s">
        <v>757</v>
      </c>
      <c r="E2537" s="29" t="s">
        <v>1181</v>
      </c>
      <c r="F2537" s="30">
        <v>0.15</v>
      </c>
      <c r="G2537" s="31"/>
      <c r="H2537" s="31"/>
      <c r="I2537" s="31"/>
      <c r="J2537" s="31"/>
    </row>
    <row r="2538" spans="1:10" ht="14.4" x14ac:dyDescent="0.3">
      <c r="A2538" s="28" t="str">
        <f>B2538&amp;C2538&amp;D2538&amp;E2538</f>
        <v>Бытовая техникаТехника для красотыУкладка волосФены-щетки и термощетки</v>
      </c>
      <c r="B2538" s="29" t="s">
        <v>160</v>
      </c>
      <c r="C2538" s="29" t="s">
        <v>694</v>
      </c>
      <c r="D2538" s="29" t="s">
        <v>695</v>
      </c>
      <c r="E2538" s="29" t="s">
        <v>1223</v>
      </c>
      <c r="F2538" s="30">
        <v>0.15</v>
      </c>
      <c r="G2538" s="31"/>
      <c r="H2538" s="31"/>
      <c r="I2538" s="31"/>
      <c r="J2538" s="31"/>
    </row>
    <row r="2539" spans="1:10" ht="14.4" x14ac:dyDescent="0.3">
      <c r="A2539" s="28" t="str">
        <f>B2539&amp;C2539&amp;D2539&amp;E2539</f>
        <v>Бытовая техникаТехника для красотыУкладка волосЩипцы для завивки</v>
      </c>
      <c r="B2539" s="29" t="s">
        <v>160</v>
      </c>
      <c r="C2539" s="29" t="s">
        <v>694</v>
      </c>
      <c r="D2539" s="29" t="s">
        <v>695</v>
      </c>
      <c r="E2539" s="29" t="s">
        <v>1248</v>
      </c>
      <c r="F2539" s="30">
        <v>0.15</v>
      </c>
      <c r="G2539" s="31"/>
      <c r="H2539" s="31"/>
      <c r="I2539" s="31"/>
      <c r="J2539" s="31"/>
    </row>
    <row r="2540" spans="1:10" ht="14.4" x14ac:dyDescent="0.3">
      <c r="A2540" s="28" t="str">
        <f>B2540&amp;C2540&amp;D2540&amp;E2540</f>
        <v>Бытовая техникаТехника для красотыУкладка волосЭлектробигуди</v>
      </c>
      <c r="B2540" s="29" t="s">
        <v>160</v>
      </c>
      <c r="C2540" s="29" t="s">
        <v>694</v>
      </c>
      <c r="D2540" s="29" t="s">
        <v>695</v>
      </c>
      <c r="E2540" s="29" t="s">
        <v>1269</v>
      </c>
      <c r="F2540" s="30">
        <v>0.15</v>
      </c>
      <c r="G2540" s="31"/>
      <c r="H2540" s="31"/>
      <c r="I2540" s="31"/>
      <c r="J2540" s="31"/>
    </row>
    <row r="2541" spans="1:10" ht="14.4" x14ac:dyDescent="0.3">
      <c r="A2541" s="28" t="str">
        <f>B2541&amp;C2541&amp;D2541&amp;E2541</f>
        <v>Продукты питанияПродукты для выпечки и десертовСмеси для приготовления десертов и выпечкиСмеси для приготовления десертов и выпечки</v>
      </c>
      <c r="B2541" s="29" t="s">
        <v>248</v>
      </c>
      <c r="C2541" s="29" t="s">
        <v>497</v>
      </c>
      <c r="D2541" s="29" t="s">
        <v>1282</v>
      </c>
      <c r="E2541" s="29" t="s">
        <v>1282</v>
      </c>
      <c r="F2541" s="30">
        <v>0.15</v>
      </c>
      <c r="G2541" s="31"/>
      <c r="H2541" s="31"/>
      <c r="I2541" s="31"/>
      <c r="J2541" s="31"/>
    </row>
    <row r="2542" spans="1:10" ht="14.4" x14ac:dyDescent="0.3">
      <c r="A2542" s="28" t="str">
        <f>B2542&amp;C2542&amp;D2542&amp;E2542</f>
        <v>Продукты питанияМасла и соусыСоусыПапричи соус</v>
      </c>
      <c r="B2542" s="29" t="s">
        <v>248</v>
      </c>
      <c r="C2542" s="29" t="s">
        <v>318</v>
      </c>
      <c r="D2542" s="29" t="s">
        <v>319</v>
      </c>
      <c r="E2542" s="29" t="s">
        <v>1287</v>
      </c>
      <c r="F2542" s="30">
        <v>0.15</v>
      </c>
      <c r="G2542" s="31"/>
      <c r="H2542" s="31"/>
      <c r="I2542" s="31"/>
      <c r="J2542" s="31"/>
    </row>
    <row r="2543" spans="1:10" ht="14.4" x14ac:dyDescent="0.3">
      <c r="A2543" s="28" t="str">
        <f>B2543&amp;C2543&amp;D2543&amp;E2543</f>
        <v>Спорт и отдыхСпортивное питаниеСредства для снижения весаЖиросжигатели</v>
      </c>
      <c r="B2543" s="29" t="s">
        <v>101</v>
      </c>
      <c r="C2543" s="29" t="s">
        <v>364</v>
      </c>
      <c r="D2543" s="29" t="s">
        <v>800</v>
      </c>
      <c r="E2543" s="29" t="s">
        <v>1295</v>
      </c>
      <c r="F2543" s="30">
        <v>0.15</v>
      </c>
      <c r="G2543" s="31"/>
      <c r="H2543" s="31"/>
      <c r="I2543" s="31"/>
      <c r="J2543" s="31"/>
    </row>
    <row r="2544" spans="1:10" ht="14.4" x14ac:dyDescent="0.3">
      <c r="A2544" s="28" t="str">
        <f>B2544&amp;C2544&amp;D2544&amp;E2544</f>
        <v>Строительство и ремонтИнструментыЭлектроинструментыСтроительные фены</v>
      </c>
      <c r="B2544" s="29" t="s">
        <v>77</v>
      </c>
      <c r="C2544" s="29" t="s">
        <v>78</v>
      </c>
      <c r="D2544" s="29" t="s">
        <v>342</v>
      </c>
      <c r="E2544" s="29" t="s">
        <v>1317</v>
      </c>
      <c r="F2544" s="30">
        <v>0.15</v>
      </c>
      <c r="G2544" s="31"/>
      <c r="H2544" s="31"/>
      <c r="I2544" s="31"/>
      <c r="J2544" s="31"/>
    </row>
    <row r="2545" spans="1:10" ht="14.4" x14ac:dyDescent="0.3">
      <c r="A2545" s="28" t="str">
        <f>B2545&amp;C2545&amp;D2545&amp;E2545</f>
        <v>Строительство и ремонтИнструментыЭлектроинструментыАккумуляторные отвертки</v>
      </c>
      <c r="B2545" s="29" t="s">
        <v>77</v>
      </c>
      <c r="C2545" s="29" t="s">
        <v>78</v>
      </c>
      <c r="D2545" s="29" t="s">
        <v>342</v>
      </c>
      <c r="E2545" s="29" t="s">
        <v>1323</v>
      </c>
      <c r="F2545" s="30">
        <v>0.15</v>
      </c>
      <c r="G2545" s="31"/>
      <c r="H2545" s="31"/>
      <c r="I2545" s="31"/>
      <c r="J2545" s="31"/>
    </row>
    <row r="2546" spans="1:10" ht="14.4" x14ac:dyDescent="0.3">
      <c r="A2546" s="28" t="str">
        <f>B2546&amp;C2546&amp;D2546&amp;E2546</f>
        <v>Детские товарыТовары для мамБандажи для беременныхБандажи для беременных</v>
      </c>
      <c r="B2546" s="29" t="s">
        <v>105</v>
      </c>
      <c r="C2546" s="29" t="s">
        <v>655</v>
      </c>
      <c r="D2546" s="29" t="s">
        <v>1327</v>
      </c>
      <c r="E2546" s="29" t="s">
        <v>1327</v>
      </c>
      <c r="F2546" s="30">
        <v>0.15</v>
      </c>
      <c r="G2546" s="31"/>
      <c r="H2546" s="31"/>
      <c r="I2546" s="31"/>
      <c r="J2546" s="31"/>
    </row>
    <row r="2547" spans="1:10" ht="14.4" x14ac:dyDescent="0.3">
      <c r="A2547" s="28" t="str">
        <f>B2547&amp;C2547&amp;D2547&amp;E2547</f>
        <v>Продукты питанияШоколад, конфеты, сладостиКрафтовый шоколадКрафтовый шоколад</v>
      </c>
      <c r="B2547" s="29" t="s">
        <v>248</v>
      </c>
      <c r="C2547" s="29" t="s">
        <v>249</v>
      </c>
      <c r="D2547" s="29" t="s">
        <v>1350</v>
      </c>
      <c r="E2547" s="29" t="s">
        <v>1350</v>
      </c>
      <c r="F2547" s="30">
        <v>0.15</v>
      </c>
      <c r="G2547" s="31"/>
      <c r="H2547" s="31"/>
      <c r="I2547" s="31"/>
      <c r="J2547" s="31"/>
    </row>
    <row r="2548" spans="1:10" ht="14.4" x14ac:dyDescent="0.3">
      <c r="A2548" s="28" t="str">
        <f>B2548&amp;C2548&amp;D2548&amp;E2548</f>
        <v>Спорт и отдыхАктивные виды отдыхаБильярдБильярдные шары</v>
      </c>
      <c r="B2548" s="29" t="s">
        <v>101</v>
      </c>
      <c r="C2548" s="29" t="s">
        <v>941</v>
      </c>
      <c r="D2548" s="29" t="s">
        <v>1030</v>
      </c>
      <c r="E2548" s="29" t="s">
        <v>1364</v>
      </c>
      <c r="F2548" s="30">
        <v>0.15</v>
      </c>
      <c r="G2548" s="31"/>
      <c r="H2548" s="31"/>
      <c r="I2548" s="31"/>
      <c r="J2548" s="31"/>
    </row>
    <row r="2549" spans="1:10" ht="14.4" x14ac:dyDescent="0.3">
      <c r="A2549" s="28" t="str">
        <f>B2549&amp;C2549&amp;D2549&amp;E2549</f>
        <v>Спорт и отдыхСпортивное питаниеСредства для снижения весаМочегонные средства</v>
      </c>
      <c r="B2549" s="29" t="s">
        <v>101</v>
      </c>
      <c r="C2549" s="29" t="s">
        <v>364</v>
      </c>
      <c r="D2549" s="29" t="s">
        <v>800</v>
      </c>
      <c r="E2549" s="29" t="s">
        <v>1376</v>
      </c>
      <c r="F2549" s="30">
        <v>0.15</v>
      </c>
      <c r="G2549" s="31"/>
      <c r="H2549" s="31"/>
      <c r="I2549" s="31"/>
      <c r="J2549" s="31"/>
    </row>
    <row r="2550" spans="1:10" ht="14.4" x14ac:dyDescent="0.3">
      <c r="A2550" s="28" t="str">
        <f>B2550&amp;C2550&amp;D2550&amp;E2550</f>
        <v>ЭлектроникаКомпьютерная техникаХранение данныхУстройства для хранения паролей</v>
      </c>
      <c r="B2550" s="29" t="s">
        <v>67</v>
      </c>
      <c r="C2550" s="29" t="s">
        <v>234</v>
      </c>
      <c r="D2550" s="29" t="s">
        <v>432</v>
      </c>
      <c r="E2550" s="29" t="s">
        <v>1386</v>
      </c>
      <c r="F2550" s="30">
        <v>0.15</v>
      </c>
      <c r="G2550" s="31"/>
      <c r="H2550" s="31"/>
      <c r="I2550" s="31"/>
      <c r="J2550" s="31"/>
    </row>
    <row r="2551" spans="1:10" ht="14.4" x14ac:dyDescent="0.3">
      <c r="A2551" s="28" t="str">
        <f>B2551&amp;C2551&amp;D2551&amp;E2551</f>
        <v>Продукты питанияМасла и соусыСоусыТоматная паста</v>
      </c>
      <c r="B2551" s="29" t="s">
        <v>248</v>
      </c>
      <c r="C2551" s="29" t="s">
        <v>318</v>
      </c>
      <c r="D2551" s="29" t="s">
        <v>319</v>
      </c>
      <c r="E2551" s="29" t="s">
        <v>1388</v>
      </c>
      <c r="F2551" s="30">
        <v>0.15</v>
      </c>
      <c r="G2551" s="31"/>
      <c r="H2551" s="31"/>
      <c r="I2551" s="31"/>
      <c r="J2551" s="31"/>
    </row>
    <row r="2552" spans="1:10" ht="14.4" x14ac:dyDescent="0.3">
      <c r="A2552" s="28" t="str">
        <f>B2552&amp;C2552&amp;D2552&amp;E2552</f>
        <v>Продукты питанияМука, сахар и сольМукаМука</v>
      </c>
      <c r="B2552" s="29" t="s">
        <v>248</v>
      </c>
      <c r="C2552" s="29" t="s">
        <v>1404</v>
      </c>
      <c r="D2552" s="29" t="s">
        <v>1405</v>
      </c>
      <c r="E2552" s="29" t="s">
        <v>1405</v>
      </c>
      <c r="F2552" s="30">
        <v>0.15</v>
      </c>
      <c r="G2552" s="31"/>
      <c r="H2552" s="31"/>
      <c r="I2552" s="31"/>
      <c r="J2552" s="31"/>
    </row>
    <row r="2553" spans="1:10" ht="14.4" x14ac:dyDescent="0.3">
      <c r="A2553" s="28" t="str">
        <f>B2553&amp;C2553&amp;D2553&amp;E2553</f>
        <v>Продукты питанияМед, варенье, сладкая консервацияСиропы и топпингиСиропы и топпинги</v>
      </c>
      <c r="B2553" s="29" t="s">
        <v>248</v>
      </c>
      <c r="C2553" s="29" t="s">
        <v>1156</v>
      </c>
      <c r="D2553" s="29" t="s">
        <v>1419</v>
      </c>
      <c r="E2553" s="29" t="s">
        <v>1419</v>
      </c>
      <c r="F2553" s="30">
        <v>0.15</v>
      </c>
      <c r="G2553" s="31"/>
      <c r="H2553" s="31"/>
      <c r="I2553" s="31"/>
      <c r="J2553" s="31"/>
    </row>
    <row r="2554" spans="1:10" ht="14.4" x14ac:dyDescent="0.3">
      <c r="A2554" s="28" t="str">
        <f>B2554&amp;C2554&amp;D2554&amp;E2554</f>
        <v>ЭлектроникаСмартфоны и телефоныСтационарные телефоныРадиотелефоны DECT</v>
      </c>
      <c r="B2554" s="29" t="s">
        <v>67</v>
      </c>
      <c r="C2554" s="29" t="s">
        <v>96</v>
      </c>
      <c r="D2554" s="29" t="s">
        <v>1271</v>
      </c>
      <c r="E2554" s="29" t="s">
        <v>1420</v>
      </c>
      <c r="F2554" s="30">
        <v>0.15</v>
      </c>
      <c r="G2554" s="31"/>
      <c r="H2554" s="31"/>
      <c r="I2554" s="31"/>
      <c r="J2554" s="31"/>
    </row>
    <row r="2555" spans="1:10" ht="14.4" x14ac:dyDescent="0.3">
      <c r="A2555" s="28" t="str">
        <f>B2555&amp;C2555&amp;D2555&amp;E2555</f>
        <v>Спорт и отдыхСпортивное питаниеФитнес-питаниеФитнес-питание</v>
      </c>
      <c r="B2555" s="29" t="s">
        <v>101</v>
      </c>
      <c r="C2555" s="29" t="s">
        <v>364</v>
      </c>
      <c r="D2555" s="29" t="s">
        <v>1456</v>
      </c>
      <c r="E2555" s="29" t="s">
        <v>1456</v>
      </c>
      <c r="F2555" s="30">
        <v>0.15</v>
      </c>
      <c r="G2555" s="31"/>
      <c r="H2555" s="31"/>
      <c r="I2555" s="31"/>
      <c r="J2555" s="31"/>
    </row>
    <row r="2556" spans="1:10" ht="14.4" x14ac:dyDescent="0.3">
      <c r="A2556" s="28" t="str">
        <f>B2556&amp;C2556&amp;D2556&amp;E2556</f>
        <v>Строительство и ремонтИнструментыРежущие и пильные инструментыЭлектро- и бензопилы цепные</v>
      </c>
      <c r="B2556" s="29" t="s">
        <v>77</v>
      </c>
      <c r="C2556" s="29" t="s">
        <v>78</v>
      </c>
      <c r="D2556" s="29" t="s">
        <v>628</v>
      </c>
      <c r="E2556" s="29" t="s">
        <v>1483</v>
      </c>
      <c r="F2556" s="30">
        <v>0.15</v>
      </c>
      <c r="G2556" s="31"/>
      <c r="H2556" s="31"/>
      <c r="I2556" s="31"/>
      <c r="J2556" s="31"/>
    </row>
    <row r="2557" spans="1:10" ht="14.4" x14ac:dyDescent="0.3">
      <c r="A2557" s="28" t="str">
        <f>B2557&amp;C2557&amp;D2557&amp;E2557</f>
        <v>Продукты питанияМасла и соусыМаслаКонопляное масло</v>
      </c>
      <c r="B2557" s="29" t="s">
        <v>248</v>
      </c>
      <c r="C2557" s="29" t="s">
        <v>318</v>
      </c>
      <c r="D2557" s="29" t="s">
        <v>368</v>
      </c>
      <c r="E2557" s="29" t="s">
        <v>1503</v>
      </c>
      <c r="F2557" s="30">
        <v>0.15</v>
      </c>
      <c r="G2557" s="31"/>
      <c r="H2557" s="31"/>
      <c r="I2557" s="31"/>
      <c r="J2557" s="31"/>
    </row>
    <row r="2558" spans="1:10" ht="14.4" x14ac:dyDescent="0.3">
      <c r="A2558" s="28" t="str">
        <f>B2558&amp;C2558&amp;D2558&amp;E2558</f>
        <v>Спорт и отдыхСпортивное питаниеБатончикиБатончики</v>
      </c>
      <c r="B2558" s="29" t="s">
        <v>101</v>
      </c>
      <c r="C2558" s="29" t="s">
        <v>364</v>
      </c>
      <c r="D2558" s="29" t="s">
        <v>877</v>
      </c>
      <c r="E2558" s="29" t="s">
        <v>877</v>
      </c>
      <c r="F2558" s="30">
        <v>0.15</v>
      </c>
      <c r="G2558" s="31"/>
      <c r="H2558" s="31"/>
      <c r="I2558" s="31"/>
      <c r="J2558" s="31"/>
    </row>
    <row r="2559" spans="1:10" ht="14.4" x14ac:dyDescent="0.3">
      <c r="A2559" s="28" t="str">
        <f>B2559&amp;C2559&amp;D2559&amp;E2559</f>
        <v>Детские товарыТовары для мамКосметика и уходКосметика и уход</v>
      </c>
      <c r="B2559" s="29" t="s">
        <v>105</v>
      </c>
      <c r="C2559" s="29" t="s">
        <v>655</v>
      </c>
      <c r="D2559" s="29" t="s">
        <v>1521</v>
      </c>
      <c r="E2559" s="29" t="s">
        <v>1521</v>
      </c>
      <c r="F2559" s="30">
        <v>0.15</v>
      </c>
      <c r="G2559" s="31"/>
      <c r="H2559" s="31"/>
      <c r="I2559" s="31"/>
      <c r="J2559" s="31"/>
    </row>
    <row r="2560" spans="1:10" ht="14.4" x14ac:dyDescent="0.3">
      <c r="A2560" s="28" t="str">
        <f>B2560&amp;C2560&amp;D2560&amp;E2560</f>
        <v>Детские товарыДетское питаниеВода, соки и чай для детейВода, соки и чай для детей</v>
      </c>
      <c r="B2560" s="29" t="s">
        <v>105</v>
      </c>
      <c r="C2560" s="29" t="s">
        <v>1160</v>
      </c>
      <c r="D2560" s="29" t="s">
        <v>1523</v>
      </c>
      <c r="E2560" s="29" t="s">
        <v>1523</v>
      </c>
      <c r="F2560" s="30">
        <v>0.15</v>
      </c>
      <c r="G2560" s="31"/>
      <c r="H2560" s="31"/>
      <c r="I2560" s="31"/>
      <c r="J2560" s="31"/>
    </row>
    <row r="2561" spans="1:10" ht="14.4" x14ac:dyDescent="0.3">
      <c r="A2561" s="28" t="str">
        <f>B2561&amp;C2561&amp;D2561&amp;E2561</f>
        <v>ЭлектроникаИгровые приставкиИгрыИгры</v>
      </c>
      <c r="B2561" s="29" t="s">
        <v>67</v>
      </c>
      <c r="C2561" s="29" t="s">
        <v>81</v>
      </c>
      <c r="D2561" s="29" t="s">
        <v>1533</v>
      </c>
      <c r="E2561" s="29" t="s">
        <v>1533</v>
      </c>
      <c r="F2561" s="30">
        <v>0.15</v>
      </c>
      <c r="G2561" s="31"/>
      <c r="H2561" s="31"/>
      <c r="I2561" s="31"/>
      <c r="J2561" s="31"/>
    </row>
    <row r="2562" spans="1:10" ht="14.4" x14ac:dyDescent="0.3">
      <c r="A2562" s="28" t="str">
        <f>B2562&amp;C2562&amp;D2562&amp;E2562</f>
        <v>Строительство и ремонтИнструментыЭлектроинструментыГраверы</v>
      </c>
      <c r="B2562" s="29" t="s">
        <v>77</v>
      </c>
      <c r="C2562" s="29" t="s">
        <v>78</v>
      </c>
      <c r="D2562" s="29" t="s">
        <v>342</v>
      </c>
      <c r="E2562" s="29" t="s">
        <v>1543</v>
      </c>
      <c r="F2562" s="30">
        <v>0.15</v>
      </c>
      <c r="G2562" s="31"/>
      <c r="H2562" s="31"/>
      <c r="I2562" s="31"/>
      <c r="J2562" s="31"/>
    </row>
    <row r="2563" spans="1:10" ht="14.4" x14ac:dyDescent="0.3">
      <c r="A2563" s="28" t="str">
        <f>B2563&amp;C2563&amp;D2563&amp;E2563</f>
        <v>Спорт и отдыхСпортивное питаниеАнаболики, тестостероны, бустерыАнаболический комплекс</v>
      </c>
      <c r="B2563" s="29" t="s">
        <v>101</v>
      </c>
      <c r="C2563" s="29" t="s">
        <v>364</v>
      </c>
      <c r="D2563" s="29" t="s">
        <v>1585</v>
      </c>
      <c r="E2563" s="29" t="s">
        <v>1586</v>
      </c>
      <c r="F2563" s="30">
        <v>0.15</v>
      </c>
      <c r="G2563" s="31"/>
      <c r="H2563" s="31"/>
      <c r="I2563" s="31"/>
      <c r="J2563" s="31"/>
    </row>
    <row r="2564" spans="1:10" ht="14.4" x14ac:dyDescent="0.3">
      <c r="A2564" s="28" t="str">
        <f>B2564&amp;C2564&amp;D2564&amp;E2564</f>
        <v>ЭлектроникаИгровые приставкиИгровые контроллерыИгровые наушники</v>
      </c>
      <c r="B2564" s="29" t="s">
        <v>67</v>
      </c>
      <c r="C2564" s="29" t="s">
        <v>81</v>
      </c>
      <c r="D2564" s="29" t="s">
        <v>1592</v>
      </c>
      <c r="E2564" s="29" t="s">
        <v>76</v>
      </c>
      <c r="F2564" s="30">
        <v>0.15</v>
      </c>
      <c r="G2564" s="31"/>
      <c r="H2564" s="31"/>
      <c r="I2564" s="31"/>
      <c r="J2564" s="31"/>
    </row>
    <row r="2565" spans="1:10" ht="14.4" x14ac:dyDescent="0.3">
      <c r="A2565" s="28" t="str">
        <f>B2565&amp;C2565&amp;D2565&amp;E2565</f>
        <v>Детские товарыДетское питаниеДетское пюреДетское пюре</v>
      </c>
      <c r="B2565" s="29" t="s">
        <v>105</v>
      </c>
      <c r="C2565" s="29" t="s">
        <v>1160</v>
      </c>
      <c r="D2565" s="29" t="s">
        <v>1593</v>
      </c>
      <c r="E2565" s="29" t="s">
        <v>1593</v>
      </c>
      <c r="F2565" s="30">
        <v>0.15</v>
      </c>
      <c r="G2565" s="31"/>
      <c r="H2565" s="31"/>
      <c r="I2565" s="31"/>
      <c r="J2565" s="31"/>
    </row>
    <row r="2566" spans="1:10" ht="14.4" x14ac:dyDescent="0.3">
      <c r="A2566" s="28" t="str">
        <f>B2566&amp;C2566&amp;D2566&amp;E2566</f>
        <v>ЭлектроникаНавигаторыАвтомобильные навигаторыАвтомобильные навигаторы</v>
      </c>
      <c r="B2566" s="29" t="s">
        <v>67</v>
      </c>
      <c r="C2566" s="29" t="s">
        <v>783</v>
      </c>
      <c r="D2566" s="29" t="s">
        <v>1594</v>
      </c>
      <c r="E2566" s="29" t="s">
        <v>1594</v>
      </c>
      <c r="F2566" s="30">
        <v>0.15</v>
      </c>
      <c r="G2566" s="31"/>
      <c r="H2566" s="31"/>
      <c r="I2566" s="31"/>
      <c r="J2566" s="31"/>
    </row>
    <row r="2567" spans="1:10" ht="14.4" x14ac:dyDescent="0.3">
      <c r="A2567" s="28" t="str">
        <f>B2567&amp;C2567&amp;D2567&amp;E2567</f>
        <v>ЭлектроникаИгровые приставкиАксессуары и запчасти для игровых приставокАксессуары для игровых контроллеров</v>
      </c>
      <c r="B2567" s="29" t="s">
        <v>67</v>
      </c>
      <c r="C2567" s="29" t="s">
        <v>81</v>
      </c>
      <c r="D2567" s="29" t="s">
        <v>645</v>
      </c>
      <c r="E2567" s="29" t="s">
        <v>1606</v>
      </c>
      <c r="F2567" s="30">
        <v>0.15</v>
      </c>
      <c r="G2567" s="31"/>
      <c r="H2567" s="31"/>
      <c r="I2567" s="31"/>
      <c r="J2567" s="31"/>
    </row>
    <row r="2568" spans="1:10" ht="14.4" x14ac:dyDescent="0.3">
      <c r="A2568" s="28" t="str">
        <f>B2568&amp;C2568&amp;D2568&amp;E2568</f>
        <v>Продукты питанияМед, варенье, сладкая консервацияМед и продукты пчеловодстваПыльца</v>
      </c>
      <c r="B2568" s="29" t="s">
        <v>248</v>
      </c>
      <c r="C2568" s="29" t="s">
        <v>1156</v>
      </c>
      <c r="D2568" s="29" t="s">
        <v>1157</v>
      </c>
      <c r="E2568" s="29" t="s">
        <v>1607</v>
      </c>
      <c r="F2568" s="30">
        <v>0.15</v>
      </c>
      <c r="G2568" s="31"/>
      <c r="H2568" s="31"/>
      <c r="I2568" s="31"/>
      <c r="J2568" s="31"/>
    </row>
    <row r="2569" spans="1:10" ht="14.4" x14ac:dyDescent="0.3">
      <c r="A2569" s="28" t="str">
        <f>B2569&amp;C2569&amp;D2569&amp;E2569</f>
        <v>Спорт и отдыхСпортивное питаниеСпециальные препаратыФерменты, релаксанты, антиоксиданты</v>
      </c>
      <c r="B2569" s="29" t="s">
        <v>101</v>
      </c>
      <c r="C2569" s="29" t="s">
        <v>364</v>
      </c>
      <c r="D2569" s="29" t="s">
        <v>712</v>
      </c>
      <c r="E2569" s="29" t="s">
        <v>1624</v>
      </c>
      <c r="F2569" s="30">
        <v>0.15</v>
      </c>
      <c r="G2569" s="31"/>
      <c r="H2569" s="31"/>
      <c r="I2569" s="31"/>
      <c r="J2569" s="31"/>
    </row>
    <row r="2570" spans="1:10" ht="14.4" x14ac:dyDescent="0.3">
      <c r="A2570" s="28" t="str">
        <f>B2570&amp;C2570&amp;D2570&amp;E2570</f>
        <v>ЭлектроникаИгровые приставкиИгровые контроллерыИгровые рули и педали</v>
      </c>
      <c r="B2570" s="29" t="s">
        <v>67</v>
      </c>
      <c r="C2570" s="29" t="s">
        <v>81</v>
      </c>
      <c r="D2570" s="29" t="s">
        <v>1592</v>
      </c>
      <c r="E2570" s="29" t="s">
        <v>1631</v>
      </c>
      <c r="F2570" s="30">
        <v>0.15</v>
      </c>
      <c r="G2570" s="31"/>
      <c r="H2570" s="31"/>
      <c r="I2570" s="31"/>
      <c r="J2570" s="31"/>
    </row>
    <row r="2571" spans="1:10" ht="14.4" x14ac:dyDescent="0.3">
      <c r="A2571" s="28" t="str">
        <f>B2571&amp;C2571&amp;D2571&amp;E2571</f>
        <v>Продукты питанияКонсервацияКонсервированные фруктыКонсервированные фрукты</v>
      </c>
      <c r="B2571" s="29" t="s">
        <v>248</v>
      </c>
      <c r="C2571" s="29" t="s">
        <v>605</v>
      </c>
      <c r="D2571" s="29" t="s">
        <v>1652</v>
      </c>
      <c r="E2571" s="29" t="s">
        <v>1652</v>
      </c>
      <c r="F2571" s="30">
        <v>0.15</v>
      </c>
      <c r="G2571" s="31"/>
      <c r="H2571" s="31"/>
      <c r="I2571" s="31"/>
      <c r="J2571" s="31"/>
    </row>
    <row r="2572" spans="1:10" ht="14.4" x14ac:dyDescent="0.3">
      <c r="A2572" s="28" t="str">
        <f>B2572&amp;C2572&amp;D2572&amp;E2572</f>
        <v>ЗоотоварыГигиенаСредства по уходу за животнымиМашинки для стрижки</v>
      </c>
      <c r="B2572" s="29" t="s">
        <v>214</v>
      </c>
      <c r="C2572" s="29" t="s">
        <v>911</v>
      </c>
      <c r="D2572" s="29" t="s">
        <v>1054</v>
      </c>
      <c r="E2572" s="29" t="s">
        <v>1658</v>
      </c>
      <c r="F2572" s="30">
        <v>0.15</v>
      </c>
      <c r="G2572" s="31"/>
      <c r="H2572" s="31"/>
      <c r="I2572" s="31"/>
      <c r="J2572" s="31"/>
    </row>
    <row r="2573" spans="1:10" ht="14.4" x14ac:dyDescent="0.3">
      <c r="A2573" s="28" t="str">
        <f>B2573&amp;C2573&amp;D2573&amp;E2573</f>
        <v>Детские товарыТовары для мамПодушки для беременныхПодушки для беременных</v>
      </c>
      <c r="B2573" s="29" t="s">
        <v>105</v>
      </c>
      <c r="C2573" s="29" t="s">
        <v>655</v>
      </c>
      <c r="D2573" s="29" t="s">
        <v>1659</v>
      </c>
      <c r="E2573" s="29" t="s">
        <v>1659</v>
      </c>
      <c r="F2573" s="30">
        <v>0.15</v>
      </c>
      <c r="G2573" s="31"/>
      <c r="H2573" s="31"/>
      <c r="I2573" s="31"/>
      <c r="J2573" s="31"/>
    </row>
    <row r="2574" spans="1:10" ht="14.4" x14ac:dyDescent="0.3">
      <c r="A2574" s="28" t="str">
        <f>B2574&amp;C2574&amp;D2574&amp;E2574</f>
        <v>Спорт и отдыхСпортивное питаниеСпециальные препаратыОксид азота, углеводы, кислоты</v>
      </c>
      <c r="B2574" s="29" t="s">
        <v>101</v>
      </c>
      <c r="C2574" s="29" t="s">
        <v>364</v>
      </c>
      <c r="D2574" s="29" t="s">
        <v>712</v>
      </c>
      <c r="E2574" s="29" t="s">
        <v>1673</v>
      </c>
      <c r="F2574" s="30">
        <v>0.15</v>
      </c>
      <c r="G2574" s="31"/>
      <c r="H2574" s="31"/>
      <c r="I2574" s="31"/>
      <c r="J2574" s="31"/>
    </row>
    <row r="2575" spans="1:10" ht="14.4" x14ac:dyDescent="0.3">
      <c r="A2575" s="28" t="str">
        <f>B2575&amp;C2575&amp;D2575&amp;E2575</f>
        <v>Продукты питанияЧай, кофе, горячие напиткиЧайные наборыЧайные наборы</v>
      </c>
      <c r="B2575" s="29" t="s">
        <v>248</v>
      </c>
      <c r="C2575" s="29" t="s">
        <v>395</v>
      </c>
      <c r="D2575" s="29" t="s">
        <v>1693</v>
      </c>
      <c r="E2575" s="29" t="s">
        <v>1693</v>
      </c>
      <c r="F2575" s="30">
        <v>0.15</v>
      </c>
      <c r="G2575" s="31"/>
      <c r="H2575" s="31"/>
      <c r="I2575" s="31"/>
      <c r="J2575" s="31"/>
    </row>
    <row r="2576" spans="1:10" ht="14.4" x14ac:dyDescent="0.3">
      <c r="A2576" s="28" t="str">
        <f>B2576&amp;C2576&amp;D2576&amp;E2576</f>
        <v>Продукты питанияМакароны, крупы и сухие завтракиПродукты быстрого приготовленияЛапша и пюре</v>
      </c>
      <c r="B2576" s="29" t="s">
        <v>248</v>
      </c>
      <c r="C2576" s="29" t="s">
        <v>756</v>
      </c>
      <c r="D2576" s="29" t="s">
        <v>963</v>
      </c>
      <c r="E2576" s="29" t="s">
        <v>1711</v>
      </c>
      <c r="F2576" s="30">
        <v>0.15</v>
      </c>
      <c r="G2576" s="31"/>
      <c r="H2576" s="31"/>
      <c r="I2576" s="31"/>
      <c r="J2576" s="31"/>
    </row>
    <row r="2577" spans="1:10" ht="14.4" x14ac:dyDescent="0.3">
      <c r="A2577" s="28" t="str">
        <f>B2577&amp;C2577&amp;D2577&amp;E2577</f>
        <v>Продукты питанияМасла и соусыСоусыКетчуп</v>
      </c>
      <c r="B2577" s="29" t="s">
        <v>248</v>
      </c>
      <c r="C2577" s="29" t="s">
        <v>318</v>
      </c>
      <c r="D2577" s="29" t="s">
        <v>319</v>
      </c>
      <c r="E2577" s="29" t="s">
        <v>1718</v>
      </c>
      <c r="F2577" s="30">
        <v>0.15</v>
      </c>
      <c r="G2577" s="31"/>
      <c r="H2577" s="31"/>
      <c r="I2577" s="31"/>
      <c r="J2577" s="31"/>
    </row>
    <row r="2578" spans="1:10" ht="14.4" x14ac:dyDescent="0.3">
      <c r="A2578" s="28" t="str">
        <f>B2578&amp;C2578&amp;D2578&amp;E2578</f>
        <v>Спорт и отдыхСпортивное питаниеBCAA и аминокислотыL-карнитины</v>
      </c>
      <c r="B2578" s="29" t="s">
        <v>101</v>
      </c>
      <c r="C2578" s="29" t="s">
        <v>364</v>
      </c>
      <c r="D2578" s="29" t="s">
        <v>667</v>
      </c>
      <c r="E2578" s="29" t="s">
        <v>1751</v>
      </c>
      <c r="F2578" s="30">
        <v>0.15</v>
      </c>
      <c r="G2578" s="31"/>
      <c r="H2578" s="31"/>
      <c r="I2578" s="31"/>
      <c r="J2578" s="31"/>
    </row>
    <row r="2579" spans="1:10" ht="14.4" x14ac:dyDescent="0.3">
      <c r="A2579" s="28" t="str">
        <f>B2579&amp;C2579&amp;D2579&amp;E2579</f>
        <v>Строительство и ремонтИнструментыЭлектроинструментыЭлектроточила</v>
      </c>
      <c r="B2579" s="29" t="s">
        <v>77</v>
      </c>
      <c r="C2579" s="29" t="s">
        <v>78</v>
      </c>
      <c r="D2579" s="29" t="s">
        <v>342</v>
      </c>
      <c r="E2579" s="29" t="s">
        <v>1752</v>
      </c>
      <c r="F2579" s="30">
        <v>0.15</v>
      </c>
      <c r="G2579" s="31"/>
      <c r="H2579" s="31"/>
      <c r="I2579" s="31"/>
      <c r="J2579" s="31"/>
    </row>
    <row r="2580" spans="1:10" ht="14.4" x14ac:dyDescent="0.3">
      <c r="A2580" s="28" t="str">
        <f>B2580&amp;C2580&amp;D2580&amp;E2580</f>
        <v>Продукты питанияВода, соки, напиткиКвас, холодный чай, комбучаКвас, холодный чай, комбуча</v>
      </c>
      <c r="B2580" s="29" t="s">
        <v>248</v>
      </c>
      <c r="C2580" s="29" t="s">
        <v>434</v>
      </c>
      <c r="D2580" s="29" t="s">
        <v>1766</v>
      </c>
      <c r="E2580" s="29" t="s">
        <v>1766</v>
      </c>
      <c r="F2580" s="30">
        <v>0.15</v>
      </c>
      <c r="G2580" s="31"/>
      <c r="H2580" s="31"/>
      <c r="I2580" s="31"/>
      <c r="J2580" s="31"/>
    </row>
    <row r="2581" spans="1:10" ht="14.4" x14ac:dyDescent="0.3">
      <c r="A2581" s="28" t="str">
        <f>B2581&amp;C2581&amp;D2581&amp;E2581</f>
        <v>ЭлектроникаКомпьютерная техникаКомпьютерная периферияИБП и аксессуары</v>
      </c>
      <c r="B2581" s="29" t="s">
        <v>67</v>
      </c>
      <c r="C2581" s="29" t="s">
        <v>234</v>
      </c>
      <c r="D2581" s="29" t="s">
        <v>794</v>
      </c>
      <c r="E2581" s="29" t="s">
        <v>1768</v>
      </c>
      <c r="F2581" s="30">
        <v>0.15</v>
      </c>
      <c r="G2581" s="31"/>
      <c r="H2581" s="31"/>
      <c r="I2581" s="31"/>
      <c r="J2581" s="31"/>
    </row>
    <row r="2582" spans="1:10" ht="14.4" x14ac:dyDescent="0.3">
      <c r="A2582" s="28" t="str">
        <f>B2582&amp;C2582&amp;D2582&amp;E2582</f>
        <v>Строительство и ремонтИнструментыАккумуляторы и зарядные устройстваАккумуляторы</v>
      </c>
      <c r="B2582" s="29" t="s">
        <v>77</v>
      </c>
      <c r="C2582" s="29" t="s">
        <v>78</v>
      </c>
      <c r="D2582" s="29" t="s">
        <v>1770</v>
      </c>
      <c r="E2582" s="29" t="s">
        <v>1186</v>
      </c>
      <c r="F2582" s="30">
        <v>0.15</v>
      </c>
      <c r="G2582" s="31"/>
      <c r="H2582" s="31"/>
      <c r="I2582" s="31"/>
      <c r="J2582" s="31"/>
    </row>
    <row r="2583" spans="1:10" ht="14.4" x14ac:dyDescent="0.3">
      <c r="A2583" s="28" t="str">
        <f>B2583&amp;C2583&amp;D2583&amp;E2583</f>
        <v>Спорт и отдыхСпортивное питаниеBCAA и аминокислоты5-HTP</v>
      </c>
      <c r="B2583" s="29" t="s">
        <v>101</v>
      </c>
      <c r="C2583" s="29" t="s">
        <v>364</v>
      </c>
      <c r="D2583" s="29" t="s">
        <v>667</v>
      </c>
      <c r="E2583" s="29" t="s">
        <v>1773</v>
      </c>
      <c r="F2583" s="30">
        <v>0.15</v>
      </c>
      <c r="G2583" s="31"/>
      <c r="H2583" s="31"/>
      <c r="I2583" s="31"/>
      <c r="J2583" s="31"/>
    </row>
    <row r="2584" spans="1:10" ht="14.4" x14ac:dyDescent="0.3">
      <c r="A2584" s="28" t="str">
        <f>B2584&amp;C2584&amp;D2584&amp;E2584</f>
        <v>Бытовая техникаТовары для кухниПрочая кухонная техникаВакуумные упаковщики</v>
      </c>
      <c r="B2584" s="29" t="s">
        <v>160</v>
      </c>
      <c r="C2584" s="29" t="s">
        <v>60</v>
      </c>
      <c r="D2584" s="29" t="s">
        <v>161</v>
      </c>
      <c r="E2584" s="29" t="s">
        <v>1774</v>
      </c>
      <c r="F2584" s="30">
        <v>0.15</v>
      </c>
      <c r="G2584" s="31"/>
      <c r="H2584" s="31"/>
      <c r="I2584" s="31"/>
      <c r="J2584" s="31"/>
    </row>
    <row r="2585" spans="1:10" ht="14.4" x14ac:dyDescent="0.3">
      <c r="A2585" s="28" t="str">
        <f>B2585&amp;C2585&amp;D2585&amp;E2585</f>
        <v>Товары для домаТовары для праздниковНовогодние товарыЁлки искусственные</v>
      </c>
      <c r="B2585" s="29" t="s">
        <v>59</v>
      </c>
      <c r="C2585" s="29" t="s">
        <v>85</v>
      </c>
      <c r="D2585" s="29" t="s">
        <v>1037</v>
      </c>
      <c r="E2585" s="29" t="s">
        <v>1775</v>
      </c>
      <c r="F2585" s="30">
        <v>0.15</v>
      </c>
      <c r="G2585" s="31"/>
      <c r="H2585" s="31"/>
      <c r="I2585" s="31"/>
      <c r="J2585" s="31"/>
    </row>
    <row r="2586" spans="1:10" ht="14.4" x14ac:dyDescent="0.3">
      <c r="A2586" s="28" t="str">
        <f>B2586&amp;C2586&amp;D2586&amp;E2586</f>
        <v>Продукты питанияМед, варенье, сладкая консервацияМед и продукты пчеловодстваМед</v>
      </c>
      <c r="B2586" s="29" t="s">
        <v>248</v>
      </c>
      <c r="C2586" s="29" t="s">
        <v>1156</v>
      </c>
      <c r="D2586" s="29" t="s">
        <v>1157</v>
      </c>
      <c r="E2586" s="29" t="s">
        <v>1781</v>
      </c>
      <c r="F2586" s="30">
        <v>0.15</v>
      </c>
      <c r="G2586" s="31"/>
      <c r="H2586" s="31"/>
      <c r="I2586" s="31"/>
      <c r="J2586" s="31"/>
    </row>
    <row r="2587" spans="1:10" ht="14.4" x14ac:dyDescent="0.3">
      <c r="A2587" s="28" t="str">
        <f>B2587&amp;C2587&amp;D2587&amp;E2587</f>
        <v>Продукты питанияВода, соки, напиткиЭнергетические напиткиЭнергетические напитки</v>
      </c>
      <c r="B2587" s="29" t="s">
        <v>248</v>
      </c>
      <c r="C2587" s="29" t="s">
        <v>434</v>
      </c>
      <c r="D2587" s="29" t="s">
        <v>1786</v>
      </c>
      <c r="E2587" s="29" t="s">
        <v>1786</v>
      </c>
      <c r="F2587" s="30">
        <v>0.15</v>
      </c>
      <c r="G2587" s="31"/>
      <c r="H2587" s="31"/>
      <c r="I2587" s="31"/>
      <c r="J2587" s="31"/>
    </row>
    <row r="2588" spans="1:10" ht="14.4" x14ac:dyDescent="0.3">
      <c r="A2588" s="28" t="str">
        <f>B2588&amp;C2588&amp;D2588&amp;E2588</f>
        <v>ЭлектроникаНаушники и аудиотехникаАудиотехникаСабвуферы</v>
      </c>
      <c r="B2588" s="29" t="s">
        <v>67</v>
      </c>
      <c r="C2588" s="29" t="s">
        <v>74</v>
      </c>
      <c r="D2588" s="29" t="s">
        <v>409</v>
      </c>
      <c r="E2588" s="29" t="s">
        <v>1789</v>
      </c>
      <c r="F2588" s="30">
        <v>0.15</v>
      </c>
      <c r="G2588" s="31"/>
      <c r="H2588" s="31"/>
      <c r="I2588" s="31"/>
      <c r="J2588" s="31"/>
    </row>
    <row r="2589" spans="1:10" ht="14.4" x14ac:dyDescent="0.3">
      <c r="A2589" s="28" t="str">
        <f>B2589&amp;C2589&amp;D2589&amp;E2589</f>
        <v>Продукты питанияПродукты для выпечки и десертовСухие сливки и молокоСухие сливки и молоко</v>
      </c>
      <c r="B2589" s="29" t="s">
        <v>248</v>
      </c>
      <c r="C2589" s="29" t="s">
        <v>497</v>
      </c>
      <c r="D2589" s="29" t="s">
        <v>1800</v>
      </c>
      <c r="E2589" s="29" t="s">
        <v>1800</v>
      </c>
      <c r="F2589" s="30">
        <v>0.15</v>
      </c>
      <c r="G2589" s="31"/>
      <c r="H2589" s="31"/>
      <c r="I2589" s="31"/>
      <c r="J2589" s="31"/>
    </row>
    <row r="2590" spans="1:10" ht="14.4" x14ac:dyDescent="0.3">
      <c r="A2590" s="28" t="str">
        <f>B2590&amp;C2590&amp;D2590&amp;E2590</f>
        <v>Продукты питанияВода, соки, напиткиГазированные напиткиГазированные напитки</v>
      </c>
      <c r="B2590" s="29" t="s">
        <v>248</v>
      </c>
      <c r="C2590" s="29" t="s">
        <v>434</v>
      </c>
      <c r="D2590" s="29" t="s">
        <v>1814</v>
      </c>
      <c r="E2590" s="29" t="s">
        <v>1814</v>
      </c>
      <c r="F2590" s="30">
        <v>0.15</v>
      </c>
      <c r="G2590" s="31"/>
      <c r="H2590" s="31"/>
      <c r="I2590" s="31"/>
      <c r="J2590" s="31"/>
    </row>
    <row r="2591" spans="1:10" ht="14.4" x14ac:dyDescent="0.3">
      <c r="A2591" s="28" t="str">
        <f>B2591&amp;C2591&amp;D2591&amp;E2591</f>
        <v>Продукты питанияКонсервацияКонсервированные блюдаКонсервированные блюда</v>
      </c>
      <c r="B2591" s="29" t="s">
        <v>248</v>
      </c>
      <c r="C2591" s="29" t="s">
        <v>605</v>
      </c>
      <c r="D2591" s="29" t="s">
        <v>1845</v>
      </c>
      <c r="E2591" s="29" t="s">
        <v>1845</v>
      </c>
      <c r="F2591" s="30">
        <v>0.15</v>
      </c>
      <c r="G2591" s="31"/>
      <c r="H2591" s="31"/>
      <c r="I2591" s="31"/>
      <c r="J2591" s="31"/>
    </row>
    <row r="2592" spans="1:10" ht="14.4" x14ac:dyDescent="0.3">
      <c r="A2592" s="28" t="str">
        <f>B2592&amp;C2592&amp;D2592&amp;E2592</f>
        <v>Спорт и отдыхБассейны и аксессуарыБассейныБассейны</v>
      </c>
      <c r="B2592" s="29" t="s">
        <v>101</v>
      </c>
      <c r="C2592" s="29" t="s">
        <v>102</v>
      </c>
      <c r="D2592" s="29" t="s">
        <v>1848</v>
      </c>
      <c r="E2592" s="29" t="s">
        <v>1848</v>
      </c>
      <c r="F2592" s="30">
        <v>0.15</v>
      </c>
      <c r="G2592" s="31"/>
      <c r="H2592" s="31"/>
      <c r="I2592" s="31"/>
      <c r="J2592" s="31"/>
    </row>
    <row r="2593" spans="1:10" ht="14.4" x14ac:dyDescent="0.3">
      <c r="A2593" s="28" t="str">
        <f>B2593&amp;C2593&amp;D2593&amp;E2593</f>
        <v>Спорт и отдыхСпортивное питаниеСпециальные препаратыСпециальные препараты</v>
      </c>
      <c r="B2593" s="29" t="s">
        <v>101</v>
      </c>
      <c r="C2593" s="29" t="s">
        <v>364</v>
      </c>
      <c r="D2593" s="29" t="s">
        <v>712</v>
      </c>
      <c r="E2593" s="29" t="s">
        <v>712</v>
      </c>
      <c r="F2593" s="30">
        <v>0.15</v>
      </c>
      <c r="G2593" s="31"/>
      <c r="H2593" s="31"/>
      <c r="I2593" s="31"/>
      <c r="J2593" s="31"/>
    </row>
    <row r="2594" spans="1:10" ht="14.4" x14ac:dyDescent="0.3">
      <c r="A2594" s="28" t="str">
        <f>B2594&amp;C2594&amp;D2594&amp;E2594</f>
        <v>Продукты питанияМука, сахар и сольСольСоль</v>
      </c>
      <c r="B2594" s="29" t="s">
        <v>248</v>
      </c>
      <c r="C2594" s="29" t="s">
        <v>1404</v>
      </c>
      <c r="D2594" s="29" t="s">
        <v>1869</v>
      </c>
      <c r="E2594" s="29" t="s">
        <v>1869</v>
      </c>
      <c r="F2594" s="30">
        <v>0.15</v>
      </c>
      <c r="G2594" s="31"/>
      <c r="H2594" s="31"/>
      <c r="I2594" s="31"/>
      <c r="J2594" s="31"/>
    </row>
    <row r="2595" spans="1:10" ht="14.4" x14ac:dyDescent="0.3">
      <c r="A2595" s="28" t="str">
        <f>B2595&amp;C2595&amp;D2595&amp;E2595</f>
        <v>ЭлектроникаКомпьютерная техникаКомпьютерная периферияУсилители беспроводного сигнала</v>
      </c>
      <c r="B2595" s="29" t="s">
        <v>67</v>
      </c>
      <c r="C2595" s="29" t="s">
        <v>234</v>
      </c>
      <c r="D2595" s="29" t="s">
        <v>794</v>
      </c>
      <c r="E2595" s="29" t="s">
        <v>1872</v>
      </c>
      <c r="F2595" s="30">
        <v>0.15</v>
      </c>
      <c r="G2595" s="31"/>
      <c r="H2595" s="31"/>
      <c r="I2595" s="31"/>
      <c r="J2595" s="31"/>
    </row>
    <row r="2596" spans="1:10" ht="14.4" x14ac:dyDescent="0.3">
      <c r="A2596" s="28" t="str">
        <f>B2596&amp;C2596&amp;D2596&amp;E2596</f>
        <v>Продукты питанияПродукты для выпечки и десертовПищевые добавкиСода пищевая</v>
      </c>
      <c r="B2596" s="29" t="s">
        <v>248</v>
      </c>
      <c r="C2596" s="29" t="s">
        <v>497</v>
      </c>
      <c r="D2596" s="29" t="s">
        <v>498</v>
      </c>
      <c r="E2596" s="29" t="s">
        <v>1889</v>
      </c>
      <c r="F2596" s="30">
        <v>0.15</v>
      </c>
      <c r="G2596" s="31"/>
      <c r="H2596" s="31"/>
      <c r="I2596" s="31"/>
      <c r="J2596" s="31"/>
    </row>
    <row r="2597" spans="1:10" ht="14.4" x14ac:dyDescent="0.3">
      <c r="A2597" s="28" t="str">
        <f>B2597&amp;C2597&amp;D2597&amp;E2597</f>
        <v>КанцтоварыБумажная продукцияТетрадиНабор тетрадей</v>
      </c>
      <c r="B2597" s="29" t="s">
        <v>163</v>
      </c>
      <c r="C2597" s="29" t="s">
        <v>261</v>
      </c>
      <c r="D2597" s="29" t="s">
        <v>930</v>
      </c>
      <c r="E2597" s="29" t="s">
        <v>1891</v>
      </c>
      <c r="F2597" s="30">
        <v>0.15</v>
      </c>
      <c r="G2597" s="31"/>
      <c r="H2597" s="31"/>
      <c r="I2597" s="31"/>
      <c r="J2597" s="31"/>
    </row>
    <row r="2598" spans="1:10" ht="14.4" x14ac:dyDescent="0.3">
      <c r="A2598" s="28" t="str">
        <f>B2598&amp;C2598&amp;D2598&amp;E2598</f>
        <v>Детские товарыТовары для кормленияСтульчики для кормленияСтульчики для кормления</v>
      </c>
      <c r="B2598" s="29" t="s">
        <v>105</v>
      </c>
      <c r="C2598" s="29" t="s">
        <v>639</v>
      </c>
      <c r="D2598" s="29" t="s">
        <v>1919</v>
      </c>
      <c r="E2598" s="29" t="s">
        <v>1919</v>
      </c>
      <c r="F2598" s="30">
        <v>0.15</v>
      </c>
      <c r="G2598" s="31"/>
      <c r="H2598" s="31"/>
      <c r="I2598" s="31"/>
      <c r="J2598" s="31"/>
    </row>
    <row r="2599" spans="1:10" ht="14.4" x14ac:dyDescent="0.3">
      <c r="A2599" s="28" t="str">
        <f>B2599&amp;C2599&amp;D2599&amp;E2599</f>
        <v>Продукты питанияМасла и соусыСоусыБальзамический соус</v>
      </c>
      <c r="B2599" s="29" t="s">
        <v>248</v>
      </c>
      <c r="C2599" s="29" t="s">
        <v>318</v>
      </c>
      <c r="D2599" s="29" t="s">
        <v>319</v>
      </c>
      <c r="E2599" s="29" t="s">
        <v>1964</v>
      </c>
      <c r="F2599" s="30">
        <v>0.15</v>
      </c>
      <c r="G2599" s="31"/>
      <c r="H2599" s="31"/>
      <c r="I2599" s="31"/>
      <c r="J2599" s="31"/>
    </row>
    <row r="2600" spans="1:10" ht="14.4" x14ac:dyDescent="0.3">
      <c r="A2600" s="28" t="str">
        <f>B2600&amp;C2600&amp;D2600&amp;E2600</f>
        <v>Продукты питанияКонсервацияМясные консервыМясные консервы</v>
      </c>
      <c r="B2600" s="29" t="s">
        <v>248</v>
      </c>
      <c r="C2600" s="29" t="s">
        <v>605</v>
      </c>
      <c r="D2600" s="29" t="s">
        <v>1976</v>
      </c>
      <c r="E2600" s="29" t="s">
        <v>1976</v>
      </c>
      <c r="F2600" s="30">
        <v>0.15</v>
      </c>
      <c r="G2600" s="31"/>
      <c r="H2600" s="31"/>
      <c r="I2600" s="31"/>
      <c r="J2600" s="31"/>
    </row>
    <row r="2601" spans="1:10" ht="14.4" x14ac:dyDescent="0.3">
      <c r="A2601" s="28" t="str">
        <f>B2601&amp;C2601&amp;D2601&amp;E2601</f>
        <v>Спорт и отдыхСпортивное питаниеАнаболики, тестостероны, бустерыБустеры</v>
      </c>
      <c r="B2601" s="29" t="s">
        <v>101</v>
      </c>
      <c r="C2601" s="29" t="s">
        <v>364</v>
      </c>
      <c r="D2601" s="29" t="s">
        <v>1585</v>
      </c>
      <c r="E2601" s="29" t="s">
        <v>1986</v>
      </c>
      <c r="F2601" s="30">
        <v>0.15</v>
      </c>
      <c r="G2601" s="31"/>
      <c r="H2601" s="31"/>
      <c r="I2601" s="31"/>
      <c r="J2601" s="31"/>
    </row>
    <row r="2602" spans="1:10" ht="14.4" x14ac:dyDescent="0.3">
      <c r="A2602" s="28" t="str">
        <f>B2602&amp;C2602&amp;D2602&amp;E2602</f>
        <v>ЭлектроникаИгровые приставкиПриставкиПрочие приставки</v>
      </c>
      <c r="B2602" s="29" t="s">
        <v>67</v>
      </c>
      <c r="C2602" s="29" t="s">
        <v>81</v>
      </c>
      <c r="D2602" s="29" t="s">
        <v>82</v>
      </c>
      <c r="E2602" s="29" t="s">
        <v>2031</v>
      </c>
      <c r="F2602" s="30">
        <v>0.15</v>
      </c>
      <c r="G2602" s="31"/>
      <c r="H2602" s="31"/>
      <c r="I2602" s="31"/>
      <c r="J2602" s="31"/>
    </row>
    <row r="2603" spans="1:10" ht="14.4" x14ac:dyDescent="0.3">
      <c r="A2603" s="28" t="str">
        <f>B2603&amp;C2603&amp;D2603&amp;E2603</f>
        <v>Продукты питанияПродукты для выпечки и десертовПищевые добавкиДрожжи</v>
      </c>
      <c r="B2603" s="29" t="s">
        <v>248</v>
      </c>
      <c r="C2603" s="29" t="s">
        <v>497</v>
      </c>
      <c r="D2603" s="29" t="s">
        <v>498</v>
      </c>
      <c r="E2603" s="29" t="s">
        <v>2032</v>
      </c>
      <c r="F2603" s="30">
        <v>0.15</v>
      </c>
      <c r="G2603" s="31"/>
      <c r="H2603" s="31"/>
      <c r="I2603" s="31"/>
      <c r="J2603" s="31"/>
    </row>
    <row r="2604" spans="1:10" ht="14.4" x14ac:dyDescent="0.3">
      <c r="A2604" s="28" t="str">
        <f>B2604&amp;C2604&amp;D2604&amp;E2604</f>
        <v>Спорт и отдыхСпортивное питаниеBCAA и аминокислотыГлютамины</v>
      </c>
      <c r="B2604" s="29" t="s">
        <v>101</v>
      </c>
      <c r="C2604" s="29" t="s">
        <v>364</v>
      </c>
      <c r="D2604" s="29" t="s">
        <v>667</v>
      </c>
      <c r="E2604" s="29" t="s">
        <v>2036</v>
      </c>
      <c r="F2604" s="30">
        <v>0.15</v>
      </c>
      <c r="G2604" s="31"/>
      <c r="H2604" s="31"/>
      <c r="I2604" s="31"/>
      <c r="J2604" s="31"/>
    </row>
    <row r="2605" spans="1:10" ht="14.4" x14ac:dyDescent="0.3">
      <c r="A2605" s="28" t="str">
        <f>B2605&amp;C2605&amp;D2605&amp;E2605</f>
        <v>Спорт и отдыхСпортивное питаниеBCAA и аминокислотыТриптофан</v>
      </c>
      <c r="B2605" s="29" t="s">
        <v>101</v>
      </c>
      <c r="C2605" s="29" t="s">
        <v>364</v>
      </c>
      <c r="D2605" s="29" t="s">
        <v>667</v>
      </c>
      <c r="E2605" s="29" t="s">
        <v>2037</v>
      </c>
      <c r="F2605" s="30">
        <v>0.15</v>
      </c>
      <c r="G2605" s="31"/>
      <c r="H2605" s="31"/>
      <c r="I2605" s="31"/>
      <c r="J2605" s="31"/>
    </row>
    <row r="2606" spans="1:10" ht="14.4" x14ac:dyDescent="0.3">
      <c r="A2606" s="28" t="str">
        <f>B2606&amp;C2606&amp;D2606&amp;E2606</f>
        <v>Спорт и отдыхСпортивное питаниеBCAA и аминокислотыBCAA</v>
      </c>
      <c r="B2606" s="29" t="s">
        <v>101</v>
      </c>
      <c r="C2606" s="29" t="s">
        <v>364</v>
      </c>
      <c r="D2606" s="29" t="s">
        <v>667</v>
      </c>
      <c r="E2606" s="29" t="s">
        <v>2062</v>
      </c>
      <c r="F2606" s="30">
        <v>0.15</v>
      </c>
      <c r="G2606" s="31"/>
      <c r="H2606" s="31"/>
      <c r="I2606" s="31"/>
      <c r="J2606" s="31"/>
    </row>
    <row r="2607" spans="1:10" ht="14.4" x14ac:dyDescent="0.3">
      <c r="A2607" s="28" t="str">
        <f>B2607&amp;C2607&amp;D2607&amp;E2607</f>
        <v>ЭлектроникаНаушники и аудиотехникаАудиотехникаСаундбары</v>
      </c>
      <c r="B2607" s="29" t="s">
        <v>67</v>
      </c>
      <c r="C2607" s="29" t="s">
        <v>74</v>
      </c>
      <c r="D2607" s="29" t="s">
        <v>409</v>
      </c>
      <c r="E2607" s="29" t="s">
        <v>2071</v>
      </c>
      <c r="F2607" s="30">
        <v>0.15</v>
      </c>
      <c r="G2607" s="31"/>
      <c r="H2607" s="31"/>
      <c r="I2607" s="31"/>
      <c r="J2607" s="31"/>
    </row>
    <row r="2608" spans="1:10" ht="14.4" x14ac:dyDescent="0.3">
      <c r="A2608" s="28" t="str">
        <f>B2608&amp;C2608&amp;D2608&amp;E2608</f>
        <v>ЭлектроникаИгровые приставкиИгровые контроллерыИгровые мыши</v>
      </c>
      <c r="B2608" s="29" t="s">
        <v>67</v>
      </c>
      <c r="C2608" s="29" t="s">
        <v>81</v>
      </c>
      <c r="D2608" s="29" t="s">
        <v>1592</v>
      </c>
      <c r="E2608" s="29" t="s">
        <v>2074</v>
      </c>
      <c r="F2608" s="30">
        <v>0.15</v>
      </c>
      <c r="G2608" s="31"/>
      <c r="H2608" s="31"/>
      <c r="I2608" s="31"/>
      <c r="J2608" s="31"/>
    </row>
    <row r="2609" spans="1:10" ht="14.4" x14ac:dyDescent="0.3">
      <c r="A2609" s="28" t="str">
        <f>B2609&amp;C2609&amp;D2609&amp;E2609</f>
        <v>ЗдоровьеМедицинские приборыГлюкометры и аксессуарыГлюкометры и аксессуары</v>
      </c>
      <c r="B2609" s="29" t="s">
        <v>116</v>
      </c>
      <c r="C2609" s="29" t="s">
        <v>381</v>
      </c>
      <c r="D2609" s="29" t="s">
        <v>382</v>
      </c>
      <c r="E2609" s="29" t="s">
        <v>382</v>
      </c>
      <c r="F2609" s="30">
        <v>0.15</v>
      </c>
      <c r="G2609" s="31"/>
      <c r="H2609" s="31"/>
      <c r="I2609" s="31"/>
      <c r="J2609" s="31"/>
    </row>
    <row r="2610" spans="1:10" ht="14.4" x14ac:dyDescent="0.3">
      <c r="A2610" s="28" t="str">
        <f>B2610&amp;C2610&amp;D2610&amp;E2610</f>
        <v>ЭлектроникаКомпьютерная техникаКомпьютерная периферияDSL модемы и трансиверы</v>
      </c>
      <c r="B2610" s="29" t="s">
        <v>67</v>
      </c>
      <c r="C2610" s="29" t="s">
        <v>234</v>
      </c>
      <c r="D2610" s="29" t="s">
        <v>794</v>
      </c>
      <c r="E2610" s="29" t="s">
        <v>2100</v>
      </c>
      <c r="F2610" s="30">
        <v>0.15</v>
      </c>
      <c r="G2610" s="31"/>
      <c r="H2610" s="31"/>
      <c r="I2610" s="31"/>
      <c r="J2610" s="31"/>
    </row>
    <row r="2611" spans="1:10" ht="14.4" x14ac:dyDescent="0.3">
      <c r="A2611" s="28" t="str">
        <f>B2611&amp;C2611&amp;D2611&amp;E2611</f>
        <v>Спорт и отдыхСпортивное питаниеСредства для снижения весаФитококтейли</v>
      </c>
      <c r="B2611" s="29" t="s">
        <v>101</v>
      </c>
      <c r="C2611" s="29" t="s">
        <v>364</v>
      </c>
      <c r="D2611" s="29" t="s">
        <v>800</v>
      </c>
      <c r="E2611" s="29" t="s">
        <v>2105</v>
      </c>
      <c r="F2611" s="30">
        <v>0.15</v>
      </c>
      <c r="G2611" s="31"/>
      <c r="H2611" s="31"/>
      <c r="I2611" s="31"/>
      <c r="J2611" s="31"/>
    </row>
    <row r="2612" spans="1:10" ht="14.4" x14ac:dyDescent="0.3">
      <c r="A2612" s="28" t="str">
        <f>B2612&amp;C2612&amp;D2612&amp;E2612</f>
        <v>Продукты питанияПриправы и специиПриправыПриправы</v>
      </c>
      <c r="B2612" s="29" t="s">
        <v>248</v>
      </c>
      <c r="C2612" s="29" t="s">
        <v>2107</v>
      </c>
      <c r="D2612" s="29" t="s">
        <v>2108</v>
      </c>
      <c r="E2612" s="29" t="s">
        <v>2108</v>
      </c>
      <c r="F2612" s="30">
        <v>0.15</v>
      </c>
      <c r="G2612" s="31"/>
      <c r="H2612" s="31"/>
      <c r="I2612" s="31"/>
      <c r="J2612" s="31"/>
    </row>
    <row r="2613" spans="1:10" ht="14.4" x14ac:dyDescent="0.3">
      <c r="A2613" s="28" t="str">
        <f>B2613&amp;C2613&amp;D2613&amp;E2613</f>
        <v>Продукты питанияМасла и соусыСоусыЛимонный сок</v>
      </c>
      <c r="B2613" s="29" t="s">
        <v>248</v>
      </c>
      <c r="C2613" s="29" t="s">
        <v>318</v>
      </c>
      <c r="D2613" s="29" t="s">
        <v>319</v>
      </c>
      <c r="E2613" s="29" t="s">
        <v>2116</v>
      </c>
      <c r="F2613" s="30">
        <v>0.15</v>
      </c>
      <c r="G2613" s="31"/>
      <c r="H2613" s="31"/>
      <c r="I2613" s="31"/>
      <c r="J2613" s="31"/>
    </row>
    <row r="2614" spans="1:10" ht="14.4" x14ac:dyDescent="0.3">
      <c r="A2614" s="28" t="str">
        <f>B2614&amp;C2614&amp;D2614&amp;E2614</f>
        <v>ЗдоровьеМедицинские приборыТонометры и аксессуарыТонометры и аксессуары</v>
      </c>
      <c r="B2614" s="29" t="s">
        <v>116</v>
      </c>
      <c r="C2614" s="29" t="s">
        <v>381</v>
      </c>
      <c r="D2614" s="29" t="s">
        <v>2130</v>
      </c>
      <c r="E2614" s="29" t="s">
        <v>2130</v>
      </c>
      <c r="F2614" s="30">
        <v>0.15</v>
      </c>
      <c r="G2614" s="31"/>
      <c r="H2614" s="31"/>
      <c r="I2614" s="31"/>
      <c r="J2614" s="31"/>
    </row>
    <row r="2615" spans="1:10" ht="14.4" x14ac:dyDescent="0.3">
      <c r="A2615" s="28" t="str">
        <f>B2615&amp;C2615&amp;D2615&amp;E2615</f>
        <v>Продукты питанияПродукты для выпечки и десертовСъедобный декор для выпечкиСъедобный декор для выпечки</v>
      </c>
      <c r="B2615" s="29" t="s">
        <v>248</v>
      </c>
      <c r="C2615" s="29" t="s">
        <v>497</v>
      </c>
      <c r="D2615" s="29" t="s">
        <v>2140</v>
      </c>
      <c r="E2615" s="29" t="s">
        <v>2140</v>
      </c>
      <c r="F2615" s="30">
        <v>0.15</v>
      </c>
      <c r="G2615" s="31"/>
      <c r="H2615" s="31"/>
      <c r="I2615" s="31"/>
      <c r="J2615" s="31"/>
    </row>
    <row r="2616" spans="1:10" ht="14.4" x14ac:dyDescent="0.3">
      <c r="A2616" s="28" t="str">
        <f>B2616&amp;C2616&amp;D2616&amp;E2616</f>
        <v>ЭлектроникаИгровые приставкиАксессуары и запчасти для игровых приставокИгровые картриджи</v>
      </c>
      <c r="B2616" s="29" t="s">
        <v>67</v>
      </c>
      <c r="C2616" s="29" t="s">
        <v>81</v>
      </c>
      <c r="D2616" s="29" t="s">
        <v>645</v>
      </c>
      <c r="E2616" s="29" t="s">
        <v>2146</v>
      </c>
      <c r="F2616" s="30">
        <v>0.15</v>
      </c>
      <c r="G2616" s="31"/>
      <c r="H2616" s="31"/>
      <c r="I2616" s="31"/>
      <c r="J2616" s="31"/>
    </row>
    <row r="2617" spans="1:10" ht="14.4" x14ac:dyDescent="0.3">
      <c r="A2617" s="28" t="str">
        <f>B2617&amp;C2617&amp;D2617&amp;E2617</f>
        <v>Продукты питанияМасла и соусыСоусыУксус</v>
      </c>
      <c r="B2617" s="29" t="s">
        <v>248</v>
      </c>
      <c r="C2617" s="29" t="s">
        <v>318</v>
      </c>
      <c r="D2617" s="29" t="s">
        <v>319</v>
      </c>
      <c r="E2617" s="29" t="s">
        <v>2157</v>
      </c>
      <c r="F2617" s="30">
        <v>0.15</v>
      </c>
      <c r="G2617" s="31"/>
      <c r="H2617" s="31"/>
      <c r="I2617" s="31"/>
      <c r="J2617" s="31"/>
    </row>
    <row r="2618" spans="1:10" ht="14.4" x14ac:dyDescent="0.3">
      <c r="A2618" s="28" t="str">
        <f>B2618&amp;C2618&amp;D2618&amp;E2618</f>
        <v>Спорт и отдыхСпортивное питаниеСредства для снижения весаЛинолевая кислота CLA</v>
      </c>
      <c r="B2618" s="29" t="s">
        <v>101</v>
      </c>
      <c r="C2618" s="29" t="s">
        <v>364</v>
      </c>
      <c r="D2618" s="29" t="s">
        <v>800</v>
      </c>
      <c r="E2618" s="29" t="s">
        <v>2184</v>
      </c>
      <c r="F2618" s="30">
        <v>0.15</v>
      </c>
      <c r="G2618" s="31"/>
      <c r="H2618" s="31"/>
      <c r="I2618" s="31"/>
      <c r="J2618" s="31"/>
    </row>
    <row r="2619" spans="1:10" ht="14.4" x14ac:dyDescent="0.3">
      <c r="A2619" s="28" t="str">
        <f>B2619&amp;C2619&amp;D2619&amp;E2619</f>
        <v>Спорт и отдыхСпортивное питаниеГейнеры и протеиныГейнеры</v>
      </c>
      <c r="B2619" s="29" t="s">
        <v>101</v>
      </c>
      <c r="C2619" s="29" t="s">
        <v>364</v>
      </c>
      <c r="D2619" s="29" t="s">
        <v>2206</v>
      </c>
      <c r="E2619" s="29" t="s">
        <v>2207</v>
      </c>
      <c r="F2619" s="30">
        <v>0.15</v>
      </c>
      <c r="G2619" s="31"/>
      <c r="H2619" s="31"/>
      <c r="I2619" s="31"/>
      <c r="J2619" s="31"/>
    </row>
    <row r="2620" spans="1:10" ht="14.4" x14ac:dyDescent="0.3">
      <c r="A2620" s="28" t="str">
        <f>B2620&amp;C2620&amp;D2620&amp;E2620</f>
        <v>Спорт и отдыхВелоспортВелосипедыВелосипеды</v>
      </c>
      <c r="B2620" s="29" t="s">
        <v>101</v>
      </c>
      <c r="C2620" s="29" t="s">
        <v>743</v>
      </c>
      <c r="D2620" s="29" t="s">
        <v>2211</v>
      </c>
      <c r="E2620" s="29" t="s">
        <v>2211</v>
      </c>
      <c r="F2620" s="30">
        <v>0.15</v>
      </c>
      <c r="G2620" s="31"/>
      <c r="H2620" s="31"/>
      <c r="I2620" s="31"/>
      <c r="J2620" s="31"/>
    </row>
    <row r="2621" spans="1:10" ht="14.4" x14ac:dyDescent="0.3">
      <c r="A2621" s="28" t="str">
        <f>B2621&amp;C2621&amp;D2621&amp;E2621</f>
        <v>Продукты питанияПриправы и специиСпецииСпеции</v>
      </c>
      <c r="B2621" s="29" t="s">
        <v>248</v>
      </c>
      <c r="C2621" s="29" t="s">
        <v>2107</v>
      </c>
      <c r="D2621" s="29" t="s">
        <v>2239</v>
      </c>
      <c r="E2621" s="29" t="s">
        <v>2239</v>
      </c>
      <c r="F2621" s="30">
        <v>0.15</v>
      </c>
      <c r="G2621" s="31"/>
      <c r="H2621" s="31"/>
      <c r="I2621" s="31"/>
      <c r="J2621" s="31"/>
    </row>
    <row r="2622" spans="1:10" ht="14.4" x14ac:dyDescent="0.3">
      <c r="A2622" s="28" t="str">
        <f>B2622&amp;C2622&amp;D2622&amp;E2622</f>
        <v>Продукты питанияМасла и соусыСоусыМаринады</v>
      </c>
      <c r="B2622" s="29" t="s">
        <v>248</v>
      </c>
      <c r="C2622" s="29" t="s">
        <v>318</v>
      </c>
      <c r="D2622" s="29" t="s">
        <v>319</v>
      </c>
      <c r="E2622" s="29" t="s">
        <v>2242</v>
      </c>
      <c r="F2622" s="30">
        <v>0.15</v>
      </c>
      <c r="G2622" s="31"/>
      <c r="H2622" s="31"/>
      <c r="I2622" s="31"/>
      <c r="J2622" s="31"/>
    </row>
    <row r="2623" spans="1:10" ht="14.4" x14ac:dyDescent="0.3">
      <c r="A2623" s="28" t="str">
        <f>B2623&amp;C2623&amp;D2623&amp;E2623</f>
        <v>Продукты питанияПродукты для выпечки и десертовПищевые добавкиСахарная пудра</v>
      </c>
      <c r="B2623" s="29" t="s">
        <v>248</v>
      </c>
      <c r="C2623" s="29" t="s">
        <v>497</v>
      </c>
      <c r="D2623" s="29" t="s">
        <v>498</v>
      </c>
      <c r="E2623" s="29" t="s">
        <v>2245</v>
      </c>
      <c r="F2623" s="30">
        <v>0.15</v>
      </c>
      <c r="G2623" s="31"/>
      <c r="H2623" s="31"/>
      <c r="I2623" s="31"/>
      <c r="J2623" s="31"/>
    </row>
    <row r="2624" spans="1:10" ht="14.4" x14ac:dyDescent="0.3">
      <c r="A2624" s="28" t="str">
        <f>B2624&amp;C2624&amp;D2624&amp;E2624</f>
        <v>Спорт и отдыхБассейны и аксессуарыБассейныНадувные бассейны</v>
      </c>
      <c r="B2624" s="29" t="s">
        <v>101</v>
      </c>
      <c r="C2624" s="29" t="s">
        <v>102</v>
      </c>
      <c r="D2624" s="29" t="s">
        <v>1848</v>
      </c>
      <c r="E2624" s="29" t="s">
        <v>2251</v>
      </c>
      <c r="F2624" s="30">
        <v>0.15</v>
      </c>
      <c r="G2624" s="31"/>
      <c r="H2624" s="31"/>
      <c r="I2624" s="31"/>
      <c r="J2624" s="31"/>
    </row>
    <row r="2625" spans="1:10" ht="14.4" x14ac:dyDescent="0.3">
      <c r="A2625" s="28" t="str">
        <f>B2625&amp;C2625&amp;D2625&amp;E2625</f>
        <v>Продукты питанияМасла и соусыСоусыСоусы</v>
      </c>
      <c r="B2625" s="29" t="s">
        <v>248</v>
      </c>
      <c r="C2625" s="29" t="s">
        <v>318</v>
      </c>
      <c r="D2625" s="29" t="s">
        <v>319</v>
      </c>
      <c r="E2625" s="29" t="s">
        <v>319</v>
      </c>
      <c r="F2625" s="30">
        <v>0.15</v>
      </c>
      <c r="G2625" s="31"/>
      <c r="H2625" s="31"/>
      <c r="I2625" s="31"/>
      <c r="J2625" s="31"/>
    </row>
    <row r="2626" spans="1:10" ht="14.4" x14ac:dyDescent="0.3">
      <c r="A2626" s="28" t="str">
        <f>B2626&amp;C2626&amp;D2626&amp;E2626</f>
        <v>ЭлектроникаИгровые приставкиАксессуары и запчасти для игровых приставокНапальчники и накладки</v>
      </c>
      <c r="B2626" s="29" t="s">
        <v>67</v>
      </c>
      <c r="C2626" s="29" t="s">
        <v>81</v>
      </c>
      <c r="D2626" s="29" t="s">
        <v>645</v>
      </c>
      <c r="E2626" s="29" t="s">
        <v>2259</v>
      </c>
      <c r="F2626" s="30">
        <v>0.15</v>
      </c>
      <c r="G2626" s="31"/>
      <c r="H2626" s="31"/>
      <c r="I2626" s="31"/>
      <c r="J2626" s="31"/>
    </row>
    <row r="2627" spans="1:10" ht="14.4" x14ac:dyDescent="0.3">
      <c r="A2627" s="28" t="str">
        <f>B2627&amp;C2627&amp;D2627&amp;E2627</f>
        <v>Продукты питанияОрехи, сухофрукты, семечкиСемечкиСемечки</v>
      </c>
      <c r="B2627" s="29" t="s">
        <v>248</v>
      </c>
      <c r="C2627" s="29" t="s">
        <v>1092</v>
      </c>
      <c r="D2627" s="29" t="s">
        <v>2260</v>
      </c>
      <c r="E2627" s="29" t="s">
        <v>2260</v>
      </c>
      <c r="F2627" s="30">
        <v>0.15</v>
      </c>
      <c r="G2627" s="31"/>
      <c r="H2627" s="31"/>
      <c r="I2627" s="31"/>
      <c r="J2627" s="31"/>
    </row>
    <row r="2628" spans="1:10" ht="14.4" x14ac:dyDescent="0.3">
      <c r="A2628" s="28" t="str">
        <f>B2628&amp;C2628&amp;D2628&amp;E2628</f>
        <v>ЗдоровьеМедицинские приборыТонометры и аксессуарыТонометры</v>
      </c>
      <c r="B2628" s="29" t="s">
        <v>116</v>
      </c>
      <c r="C2628" s="29" t="s">
        <v>381</v>
      </c>
      <c r="D2628" s="29" t="s">
        <v>2130</v>
      </c>
      <c r="E2628" s="29" t="s">
        <v>2261</v>
      </c>
      <c r="F2628" s="30">
        <v>0.15</v>
      </c>
      <c r="G2628" s="31"/>
      <c r="H2628" s="31"/>
      <c r="I2628" s="31"/>
      <c r="J2628" s="31"/>
    </row>
    <row r="2629" spans="1:10" ht="14.4" x14ac:dyDescent="0.3">
      <c r="A2629" s="28" t="str">
        <f>B2629&amp;C2629&amp;D2629&amp;E2629</f>
        <v>Продукты питанияЗдоровое питаниеХлебцыХлебцы</v>
      </c>
      <c r="B2629" s="29" t="s">
        <v>248</v>
      </c>
      <c r="C2629" s="29" t="s">
        <v>2268</v>
      </c>
      <c r="D2629" s="29" t="s">
        <v>2269</v>
      </c>
      <c r="E2629" s="29" t="s">
        <v>2269</v>
      </c>
      <c r="F2629" s="30">
        <v>0.15</v>
      </c>
      <c r="G2629" s="31"/>
      <c r="H2629" s="31"/>
      <c r="I2629" s="31"/>
      <c r="J2629" s="31"/>
    </row>
    <row r="2630" spans="1:10" ht="14.4" x14ac:dyDescent="0.3">
      <c r="A2630" s="28" t="str">
        <f>B2630&amp;C2630&amp;D2630&amp;E2630</f>
        <v>Строительство и ремонтИнструментыАккумуляторы и зарядные устройстваЗарядные устройства</v>
      </c>
      <c r="B2630" s="29" t="s">
        <v>77</v>
      </c>
      <c r="C2630" s="29" t="s">
        <v>78</v>
      </c>
      <c r="D2630" s="29" t="s">
        <v>1770</v>
      </c>
      <c r="E2630" s="29" t="s">
        <v>478</v>
      </c>
      <c r="F2630" s="30">
        <v>0.15</v>
      </c>
      <c r="G2630" s="31"/>
      <c r="H2630" s="31"/>
      <c r="I2630" s="31"/>
      <c r="J2630" s="31"/>
    </row>
    <row r="2631" spans="1:10" ht="14.4" x14ac:dyDescent="0.3">
      <c r="A2631" s="28" t="str">
        <f>B2631&amp;C2631&amp;D2631&amp;E2631</f>
        <v>Строительство и ремонтЭлектрикаИзделия для электромонтажаИзделия для электромонтажа</v>
      </c>
      <c r="B2631" s="29" t="s">
        <v>77</v>
      </c>
      <c r="C2631" s="29" t="s">
        <v>600</v>
      </c>
      <c r="D2631" s="29" t="s">
        <v>2273</v>
      </c>
      <c r="E2631" s="29" t="s">
        <v>2273</v>
      </c>
      <c r="F2631" s="30">
        <v>0.15</v>
      </c>
      <c r="G2631" s="31"/>
      <c r="H2631" s="31"/>
      <c r="I2631" s="31"/>
      <c r="J2631" s="31"/>
    </row>
    <row r="2632" spans="1:10" ht="14.4" x14ac:dyDescent="0.3">
      <c r="A2632" s="28" t="str">
        <f>B2632&amp;C2632&amp;D2632&amp;E2632</f>
        <v>Продукты питанияМасла и соусыМаслаЛьняное масло</v>
      </c>
      <c r="B2632" s="29" t="s">
        <v>248</v>
      </c>
      <c r="C2632" s="29" t="s">
        <v>318</v>
      </c>
      <c r="D2632" s="29" t="s">
        <v>368</v>
      </c>
      <c r="E2632" s="29" t="s">
        <v>2277</v>
      </c>
      <c r="F2632" s="30">
        <v>0.15</v>
      </c>
      <c r="G2632" s="31"/>
      <c r="H2632" s="31"/>
      <c r="I2632" s="31"/>
      <c r="J2632" s="31"/>
    </row>
    <row r="2633" spans="1:10" ht="14.4" x14ac:dyDescent="0.3">
      <c r="A2633" s="28" t="str">
        <f>B2633&amp;C2633&amp;D2633&amp;E2633</f>
        <v>Спорт и отдыхСпортивное питаниеКреатиныКреатины</v>
      </c>
      <c r="B2633" s="29" t="s">
        <v>101</v>
      </c>
      <c r="C2633" s="29" t="s">
        <v>364</v>
      </c>
      <c r="D2633" s="29" t="s">
        <v>2309</v>
      </c>
      <c r="E2633" s="29" t="s">
        <v>2309</v>
      </c>
      <c r="F2633" s="30">
        <v>0.15</v>
      </c>
      <c r="G2633" s="31"/>
      <c r="H2633" s="31"/>
      <c r="I2633" s="31"/>
      <c r="J2633" s="31"/>
    </row>
    <row r="2634" spans="1:10" ht="14.4" x14ac:dyDescent="0.3">
      <c r="A2634" s="28" t="str">
        <f>B2634&amp;C2634&amp;D2634&amp;E2634</f>
        <v>Продукты питанияСнекиКрекерыКрекеры</v>
      </c>
      <c r="B2634" s="29" t="s">
        <v>248</v>
      </c>
      <c r="C2634" s="29" t="s">
        <v>1162</v>
      </c>
      <c r="D2634" s="29" t="s">
        <v>2315</v>
      </c>
      <c r="E2634" s="29" t="s">
        <v>2315</v>
      </c>
      <c r="F2634" s="30">
        <v>0.15</v>
      </c>
      <c r="G2634" s="31"/>
      <c r="H2634" s="31"/>
      <c r="I2634" s="31"/>
      <c r="J2634" s="31"/>
    </row>
    <row r="2635" spans="1:10" ht="14.4" x14ac:dyDescent="0.3">
      <c r="A2635" s="28" t="str">
        <f>B2635&amp;C2635&amp;D2635&amp;E2635</f>
        <v>ЭлектроникаИгровые приставкиИгровые контроллерыИгровые клавиатуры</v>
      </c>
      <c r="B2635" s="29" t="s">
        <v>67</v>
      </c>
      <c r="C2635" s="29" t="s">
        <v>81</v>
      </c>
      <c r="D2635" s="29" t="s">
        <v>1592</v>
      </c>
      <c r="E2635" s="29" t="s">
        <v>2319</v>
      </c>
      <c r="F2635" s="30">
        <v>0.15</v>
      </c>
      <c r="G2635" s="31"/>
      <c r="H2635" s="31"/>
      <c r="I2635" s="31"/>
      <c r="J2635" s="31"/>
    </row>
    <row r="2636" spans="1:10" ht="14.4" x14ac:dyDescent="0.3">
      <c r="A2636" s="28" t="str">
        <f>B2636&amp;C2636&amp;D2636&amp;E2636</f>
        <v>Детские товарыТовары для кормленияТовары для грудного вскармливанияТовары для грудного вскармливания</v>
      </c>
      <c r="B2636" s="29" t="s">
        <v>105</v>
      </c>
      <c r="C2636" s="29" t="s">
        <v>639</v>
      </c>
      <c r="D2636" s="29" t="s">
        <v>2339</v>
      </c>
      <c r="E2636" s="29" t="s">
        <v>2339</v>
      </c>
      <c r="F2636" s="30">
        <v>0.15</v>
      </c>
      <c r="G2636" s="31"/>
      <c r="H2636" s="31"/>
      <c r="I2636" s="31"/>
      <c r="J2636" s="31"/>
    </row>
    <row r="2637" spans="1:10" ht="14.4" x14ac:dyDescent="0.3">
      <c r="A2637" s="28" t="str">
        <f>B2637&amp;C2637&amp;D2637&amp;E2637</f>
        <v>Продукты питанияМакароны, крупы и сухие завтракиСухие завтракиГранола</v>
      </c>
      <c r="B2637" s="29" t="s">
        <v>248</v>
      </c>
      <c r="C2637" s="29" t="s">
        <v>756</v>
      </c>
      <c r="D2637" s="29" t="s">
        <v>757</v>
      </c>
      <c r="E2637" s="29" t="s">
        <v>2340</v>
      </c>
      <c r="F2637" s="30">
        <v>0.15</v>
      </c>
      <c r="G2637" s="31"/>
      <c r="H2637" s="31"/>
      <c r="I2637" s="31"/>
      <c r="J2637" s="31"/>
    </row>
    <row r="2638" spans="1:10" ht="14.4" x14ac:dyDescent="0.3">
      <c r="A2638" s="28" t="str">
        <f>B2638&amp;C2638&amp;D2638&amp;E2638</f>
        <v>Продукты питанияСнекиЧипсы, попкорнЧипсы, попкорн</v>
      </c>
      <c r="B2638" s="29" t="s">
        <v>248</v>
      </c>
      <c r="C2638" s="29" t="s">
        <v>1162</v>
      </c>
      <c r="D2638" s="29" t="s">
        <v>2370</v>
      </c>
      <c r="E2638" s="29" t="s">
        <v>2370</v>
      </c>
      <c r="F2638" s="30">
        <v>0.15</v>
      </c>
      <c r="G2638" s="31"/>
      <c r="H2638" s="31"/>
      <c r="I2638" s="31"/>
      <c r="J2638" s="31"/>
    </row>
    <row r="2639" spans="1:10" ht="14.4" x14ac:dyDescent="0.3">
      <c r="A2639" s="28" t="str">
        <f>B2639&amp;C2639&amp;D2639&amp;E2639</f>
        <v>Красота и уходУход за лицомМаскиМаски тканевые</v>
      </c>
      <c r="B2639" s="29" t="s">
        <v>56</v>
      </c>
      <c r="C2639" s="29" t="s">
        <v>238</v>
      </c>
      <c r="D2639" s="29" t="s">
        <v>239</v>
      </c>
      <c r="E2639" s="29" t="s">
        <v>2378</v>
      </c>
      <c r="F2639" s="30">
        <v>0.15</v>
      </c>
      <c r="G2639" s="31"/>
      <c r="H2639" s="31"/>
      <c r="I2639" s="31"/>
      <c r="J2639" s="31"/>
    </row>
    <row r="2640" spans="1:10" ht="14.4" x14ac:dyDescent="0.3">
      <c r="A2640" s="28" t="str">
        <f>B2640&amp;C2640&amp;D2640&amp;E2640</f>
        <v>Спорт и отдыхСпортивное питаниеВитамины и минеральные комплексыПредтренировочные комплексы</v>
      </c>
      <c r="B2640" s="29" t="s">
        <v>101</v>
      </c>
      <c r="C2640" s="29" t="s">
        <v>364</v>
      </c>
      <c r="D2640" s="29" t="s">
        <v>365</v>
      </c>
      <c r="E2640" s="29" t="s">
        <v>2387</v>
      </c>
      <c r="F2640" s="30">
        <v>0.15</v>
      </c>
      <c r="G2640" s="31"/>
      <c r="H2640" s="31"/>
      <c r="I2640" s="31"/>
      <c r="J2640" s="31"/>
    </row>
    <row r="2641" spans="1:10" ht="14.4" x14ac:dyDescent="0.3">
      <c r="A2641" s="28" t="str">
        <f>B2641&amp;C2641&amp;D2641&amp;E2641</f>
        <v>Строительство и ремонтЭлектрикаЭлектрический теплый пол и регуляторыЭлектрический теплый пол и регуляторы</v>
      </c>
      <c r="B2641" s="29" t="s">
        <v>77</v>
      </c>
      <c r="C2641" s="29" t="s">
        <v>600</v>
      </c>
      <c r="D2641" s="29" t="s">
        <v>2411</v>
      </c>
      <c r="E2641" s="29" t="s">
        <v>2411</v>
      </c>
      <c r="F2641" s="30">
        <v>0.15</v>
      </c>
      <c r="G2641" s="31"/>
      <c r="H2641" s="31"/>
      <c r="I2641" s="31"/>
      <c r="J2641" s="31"/>
    </row>
    <row r="2642" spans="1:10" ht="14.4" x14ac:dyDescent="0.3">
      <c r="A2642" s="28" t="str">
        <f>B2642&amp;C2642&amp;D2642&amp;E2642</f>
        <v>Продукты питанияЗдоровое питаниеМолоко растительноеМолоко растительное</v>
      </c>
      <c r="B2642" s="29" t="s">
        <v>248</v>
      </c>
      <c r="C2642" s="29" t="s">
        <v>2268</v>
      </c>
      <c r="D2642" s="29" t="s">
        <v>2415</v>
      </c>
      <c r="E2642" s="29" t="s">
        <v>2415</v>
      </c>
      <c r="F2642" s="30">
        <v>0.15</v>
      </c>
      <c r="G2642" s="31"/>
      <c r="H2642" s="31"/>
      <c r="I2642" s="31"/>
      <c r="J2642" s="31"/>
    </row>
    <row r="2643" spans="1:10" ht="14.4" x14ac:dyDescent="0.3">
      <c r="A2643" s="28" t="str">
        <f>B2643&amp;C2643&amp;D2643&amp;E2643</f>
        <v>Спорт и отдыхБассейны и аксессуарыБассейныКаркасные бассейны</v>
      </c>
      <c r="B2643" s="29" t="s">
        <v>101</v>
      </c>
      <c r="C2643" s="29" t="s">
        <v>102</v>
      </c>
      <c r="D2643" s="29" t="s">
        <v>1848</v>
      </c>
      <c r="E2643" s="29" t="s">
        <v>2423</v>
      </c>
      <c r="F2643" s="30">
        <v>0.15</v>
      </c>
      <c r="G2643" s="31"/>
      <c r="H2643" s="31"/>
      <c r="I2643" s="31"/>
      <c r="J2643" s="31"/>
    </row>
    <row r="2644" spans="1:10" ht="14.4" x14ac:dyDescent="0.3">
      <c r="A2644" s="28" t="str">
        <f>B2644&amp;C2644&amp;D2644&amp;E2644</f>
        <v>Продукты питанияВода, соки, напиткиВодаВода</v>
      </c>
      <c r="B2644" s="29" t="s">
        <v>248</v>
      </c>
      <c r="C2644" s="29" t="s">
        <v>434</v>
      </c>
      <c r="D2644" s="29" t="s">
        <v>2427</v>
      </c>
      <c r="E2644" s="29" t="s">
        <v>2427</v>
      </c>
      <c r="F2644" s="30">
        <v>0.15</v>
      </c>
      <c r="G2644" s="31"/>
      <c r="H2644" s="31"/>
      <c r="I2644" s="31"/>
      <c r="J2644" s="31"/>
    </row>
    <row r="2645" spans="1:10" ht="14.4" x14ac:dyDescent="0.3">
      <c r="A2645" s="28" t="str">
        <f>B2645&amp;C2645&amp;D2645&amp;E2645</f>
        <v>Продукты питанияКонсервацияКонсервированные овощиКонсервированные овощи</v>
      </c>
      <c r="B2645" s="29" t="s">
        <v>248</v>
      </c>
      <c r="C2645" s="29" t="s">
        <v>605</v>
      </c>
      <c r="D2645" s="29" t="s">
        <v>2429</v>
      </c>
      <c r="E2645" s="29" t="s">
        <v>2429</v>
      </c>
      <c r="F2645" s="30">
        <v>0.15</v>
      </c>
      <c r="G2645" s="31"/>
      <c r="H2645" s="31"/>
      <c r="I2645" s="31"/>
      <c r="J2645" s="31"/>
    </row>
    <row r="2646" spans="1:10" ht="14.4" x14ac:dyDescent="0.3">
      <c r="A2646" s="28" t="str">
        <f>B2646&amp;C2646&amp;D2646&amp;E2646</f>
        <v>Строительство и ремонтВодоснабжение для дома и садаДля полива участкаДля полива участка</v>
      </c>
      <c r="B2646" s="29" t="s">
        <v>77</v>
      </c>
      <c r="C2646" s="29" t="s">
        <v>676</v>
      </c>
      <c r="D2646" s="29" t="s">
        <v>2432</v>
      </c>
      <c r="E2646" s="29" t="s">
        <v>2432</v>
      </c>
      <c r="F2646" s="30">
        <v>0.15</v>
      </c>
      <c r="G2646" s="31"/>
      <c r="H2646" s="31"/>
      <c r="I2646" s="31"/>
      <c r="J2646" s="31"/>
    </row>
    <row r="2647" spans="1:10" ht="14.4" x14ac:dyDescent="0.3">
      <c r="A2647" s="28" t="str">
        <f>B2647&amp;C2647&amp;D2647&amp;E2647</f>
        <v>Спорт и отдыхСпортивное питаниеВитамины и минеральные комплексыВитамины</v>
      </c>
      <c r="B2647" s="29" t="s">
        <v>101</v>
      </c>
      <c r="C2647" s="29" t="s">
        <v>364</v>
      </c>
      <c r="D2647" s="29" t="s">
        <v>365</v>
      </c>
      <c r="E2647" s="29" t="s">
        <v>1251</v>
      </c>
      <c r="F2647" s="30">
        <v>0.15</v>
      </c>
      <c r="G2647" s="31"/>
      <c r="H2647" s="31"/>
      <c r="I2647" s="31"/>
      <c r="J2647" s="31"/>
    </row>
    <row r="2648" spans="1:10" ht="14.4" x14ac:dyDescent="0.3">
      <c r="A2648" s="28" t="str">
        <f>B2648&amp;C2648&amp;D2648&amp;E2648</f>
        <v>ЭлектроникаИгровые приставкиАксессуары и запчасти для игровых приставокЗащитные пленки</v>
      </c>
      <c r="B2648" s="29" t="s">
        <v>67</v>
      </c>
      <c r="C2648" s="29" t="s">
        <v>81</v>
      </c>
      <c r="D2648" s="29" t="s">
        <v>645</v>
      </c>
      <c r="E2648" s="29" t="s">
        <v>2508</v>
      </c>
      <c r="F2648" s="30">
        <v>0.15</v>
      </c>
      <c r="G2648" s="31"/>
      <c r="H2648" s="31"/>
      <c r="I2648" s="31"/>
      <c r="J2648" s="31"/>
    </row>
    <row r="2649" spans="1:10" ht="14.4" x14ac:dyDescent="0.3">
      <c r="A2649" s="28" t="str">
        <f>B2649&amp;C2649&amp;D2649&amp;E2649</f>
        <v>АвтотоварыЭлектроника для автоВидеорегистраторыВидеорегистраторы</v>
      </c>
      <c r="B2649" s="29" t="s">
        <v>12</v>
      </c>
      <c r="C2649" s="29" t="s">
        <v>360</v>
      </c>
      <c r="D2649" s="29" t="s">
        <v>2509</v>
      </c>
      <c r="E2649" s="29" t="s">
        <v>2509</v>
      </c>
      <c r="F2649" s="30">
        <v>0.15</v>
      </c>
      <c r="G2649" s="31"/>
      <c r="H2649" s="31"/>
      <c r="I2649" s="31"/>
      <c r="J2649" s="31"/>
    </row>
    <row r="2650" spans="1:10" ht="14.4" x14ac:dyDescent="0.3">
      <c r="A2650" s="28" t="str">
        <f>B2650&amp;C2650&amp;D2650&amp;E2650</f>
        <v>ЭлектроникаКомпьютерная техникаКомпьютерная периферияРоутеры</v>
      </c>
      <c r="B2650" s="29" t="s">
        <v>67</v>
      </c>
      <c r="C2650" s="29" t="s">
        <v>234</v>
      </c>
      <c r="D2650" s="29" t="s">
        <v>794</v>
      </c>
      <c r="E2650" s="29" t="s">
        <v>2524</v>
      </c>
      <c r="F2650" s="30">
        <v>0.15</v>
      </c>
      <c r="G2650" s="31"/>
      <c r="H2650" s="31"/>
      <c r="I2650" s="31"/>
      <c r="J2650" s="31"/>
    </row>
    <row r="2651" spans="1:10" ht="14.4" x14ac:dyDescent="0.3">
      <c r="A2651" s="28" t="str">
        <f>B2651&amp;C2651&amp;D2651&amp;E2651</f>
        <v>Продукты питанияМед, варенье, сладкая консервацияСгущенное молокоСгущенное молоко</v>
      </c>
      <c r="B2651" s="29" t="s">
        <v>248</v>
      </c>
      <c r="C2651" s="29" t="s">
        <v>1156</v>
      </c>
      <c r="D2651" s="29" t="s">
        <v>2527</v>
      </c>
      <c r="E2651" s="29" t="s">
        <v>2527</v>
      </c>
      <c r="F2651" s="30">
        <v>0.15</v>
      </c>
      <c r="G2651" s="31"/>
      <c r="H2651" s="31"/>
      <c r="I2651" s="31"/>
      <c r="J2651" s="31"/>
    </row>
    <row r="2652" spans="1:10" ht="14.4" x14ac:dyDescent="0.3">
      <c r="A2652" s="28" t="str">
        <f>B2652&amp;C2652&amp;D2652&amp;E2652</f>
        <v>Бытовая техникаКлиматическая техникаОбогревателиОбогреватели</v>
      </c>
      <c r="B2652" s="29" t="s">
        <v>160</v>
      </c>
      <c r="C2652" s="29" t="s">
        <v>621</v>
      </c>
      <c r="D2652" s="29" t="s">
        <v>770</v>
      </c>
      <c r="E2652" s="29" t="s">
        <v>770</v>
      </c>
      <c r="F2652" s="30">
        <v>0.15</v>
      </c>
      <c r="G2652" s="31"/>
      <c r="H2652" s="31"/>
      <c r="I2652" s="31"/>
      <c r="J2652" s="31"/>
    </row>
    <row r="2653" spans="1:10" ht="14.4" x14ac:dyDescent="0.3">
      <c r="A2653" s="28" t="str">
        <f>B2653&amp;C2653&amp;D2653&amp;E2653</f>
        <v>Продукты питанияМакароны, крупы и сухие завтракиПродукты быстрого приготовленияКаши</v>
      </c>
      <c r="B2653" s="29" t="s">
        <v>248</v>
      </c>
      <c r="C2653" s="29" t="s">
        <v>756</v>
      </c>
      <c r="D2653" s="29" t="s">
        <v>963</v>
      </c>
      <c r="E2653" s="29" t="s">
        <v>2548</v>
      </c>
      <c r="F2653" s="30">
        <v>0.15</v>
      </c>
      <c r="G2653" s="31"/>
      <c r="H2653" s="31"/>
      <c r="I2653" s="31"/>
      <c r="J2653" s="31"/>
    </row>
    <row r="2654" spans="1:10" ht="14.4" x14ac:dyDescent="0.3">
      <c r="A2654" s="28" t="str">
        <f>B2654&amp;C2654&amp;D2654&amp;E2654</f>
        <v>ЭлектроникаУмные часы и фитнес браслетыФитнес браслетыФитнес браслеты</v>
      </c>
      <c r="B2654" s="29" t="s">
        <v>67</v>
      </c>
      <c r="C2654" s="29" t="s">
        <v>356</v>
      </c>
      <c r="D2654" s="29" t="s">
        <v>2558</v>
      </c>
      <c r="E2654" s="29" t="s">
        <v>2558</v>
      </c>
      <c r="F2654" s="30">
        <v>0.15</v>
      </c>
      <c r="G2654" s="31"/>
      <c r="H2654" s="31"/>
      <c r="I2654" s="31"/>
      <c r="J2654" s="31"/>
    </row>
    <row r="2655" spans="1:10" ht="14.4" x14ac:dyDescent="0.3">
      <c r="A2655" s="28" t="str">
        <f>B2655&amp;C2655&amp;D2655&amp;E2655</f>
        <v>ЭлектроникаФото и видеотехникаФото- и видеокамерыФотоаппараты мгновенной печати</v>
      </c>
      <c r="B2655" s="29" t="s">
        <v>67</v>
      </c>
      <c r="C2655" s="29" t="s">
        <v>174</v>
      </c>
      <c r="D2655" s="29" t="s">
        <v>648</v>
      </c>
      <c r="E2655" s="29" t="s">
        <v>2568</v>
      </c>
      <c r="F2655" s="30">
        <v>0.15</v>
      </c>
      <c r="G2655" s="31"/>
      <c r="H2655" s="31"/>
      <c r="I2655" s="31"/>
      <c r="J2655" s="31"/>
    </row>
    <row r="2656" spans="1:10" ht="14.4" x14ac:dyDescent="0.3">
      <c r="A2656" s="28" t="str">
        <f>B2656&amp;C2656&amp;D2656&amp;E2656</f>
        <v>Детские товарыДетское питаниеДесерты для детейДетское печенье</v>
      </c>
      <c r="B2656" s="29" t="s">
        <v>105</v>
      </c>
      <c r="C2656" s="29" t="s">
        <v>1160</v>
      </c>
      <c r="D2656" s="29" t="s">
        <v>2574</v>
      </c>
      <c r="E2656" s="29" t="s">
        <v>2575</v>
      </c>
      <c r="F2656" s="30">
        <v>0.15</v>
      </c>
      <c r="G2656" s="31"/>
      <c r="H2656" s="31"/>
      <c r="I2656" s="31"/>
      <c r="J2656" s="31"/>
    </row>
    <row r="2657" spans="1:10" ht="14.4" x14ac:dyDescent="0.3">
      <c r="A2657" s="28" t="str">
        <f>B2657&amp;C2657&amp;D2657&amp;E2657</f>
        <v>Строительство и ремонтИнструментыЭлектроинструментыПерфораторы</v>
      </c>
      <c r="B2657" s="29" t="s">
        <v>77</v>
      </c>
      <c r="C2657" s="29" t="s">
        <v>78</v>
      </c>
      <c r="D2657" s="29" t="s">
        <v>342</v>
      </c>
      <c r="E2657" s="29" t="s">
        <v>2592</v>
      </c>
      <c r="F2657" s="30">
        <v>0.15</v>
      </c>
      <c r="G2657" s="31"/>
      <c r="H2657" s="31"/>
      <c r="I2657" s="31"/>
      <c r="J2657" s="31"/>
    </row>
    <row r="2658" spans="1:10" ht="14.4" x14ac:dyDescent="0.3">
      <c r="A2658" s="28" t="str">
        <f>B2658&amp;C2658&amp;D2658&amp;E2658</f>
        <v>Продукты питанияЗдоровое питаниеСахарозаменителиСахарозаменители</v>
      </c>
      <c r="B2658" s="29" t="s">
        <v>248</v>
      </c>
      <c r="C2658" s="29" t="s">
        <v>2268</v>
      </c>
      <c r="D2658" s="29" t="s">
        <v>2602</v>
      </c>
      <c r="E2658" s="29" t="s">
        <v>2602</v>
      </c>
      <c r="F2658" s="30">
        <v>0.15</v>
      </c>
      <c r="G2658" s="31"/>
      <c r="H2658" s="31"/>
      <c r="I2658" s="31"/>
      <c r="J2658" s="31"/>
    </row>
    <row r="2659" spans="1:10" ht="14.4" x14ac:dyDescent="0.3">
      <c r="A2659" s="28" t="str">
        <f>B2659&amp;C2659&amp;D2659&amp;E2659</f>
        <v>Продукты питанияОрехи, сухофрукты, семечкиФруктовые чипсыФруктовые чипсы</v>
      </c>
      <c r="B2659" s="29" t="s">
        <v>248</v>
      </c>
      <c r="C2659" s="29" t="s">
        <v>1092</v>
      </c>
      <c r="D2659" s="29" t="s">
        <v>2610</v>
      </c>
      <c r="E2659" s="29" t="s">
        <v>2610</v>
      </c>
      <c r="F2659" s="30">
        <v>0.15</v>
      </c>
      <c r="G2659" s="31"/>
      <c r="H2659" s="31"/>
      <c r="I2659" s="31"/>
      <c r="J2659" s="31"/>
    </row>
    <row r="2660" spans="1:10" ht="14.4" x14ac:dyDescent="0.3">
      <c r="A2660" s="28" t="str">
        <f>B2660&amp;C2660&amp;D2660&amp;E2660</f>
        <v>АвтотоварыАккумуляторы и аксессуарыЗарядные станции для электромобилейЗарядные станции для электромобилей</v>
      </c>
      <c r="B2660" s="29" t="s">
        <v>12</v>
      </c>
      <c r="C2660" s="29" t="s">
        <v>177</v>
      </c>
      <c r="D2660" s="29" t="s">
        <v>2615</v>
      </c>
      <c r="E2660" s="29" t="s">
        <v>2615</v>
      </c>
      <c r="F2660" s="30">
        <v>0.15</v>
      </c>
      <c r="G2660" s="31"/>
      <c r="H2660" s="31"/>
      <c r="I2660" s="31"/>
      <c r="J2660" s="31"/>
    </row>
    <row r="2661" spans="1:10" ht="14.4" x14ac:dyDescent="0.3">
      <c r="A2661" s="28" t="str">
        <f>B2661&amp;C2661&amp;D2661&amp;E2661</f>
        <v>ЭлектроникаКомпьютерная техникаКомпьютерная периферияТочки доступа</v>
      </c>
      <c r="B2661" s="29" t="s">
        <v>67</v>
      </c>
      <c r="C2661" s="29" t="s">
        <v>234</v>
      </c>
      <c r="D2661" s="29" t="s">
        <v>794</v>
      </c>
      <c r="E2661" s="29" t="s">
        <v>2624</v>
      </c>
      <c r="F2661" s="30">
        <v>0.15</v>
      </c>
      <c r="G2661" s="31"/>
      <c r="H2661" s="31"/>
      <c r="I2661" s="31"/>
      <c r="J2661" s="31"/>
    </row>
    <row r="2662" spans="1:10" ht="14.4" x14ac:dyDescent="0.3">
      <c r="A2662" s="28" t="str">
        <f>B2662&amp;C2662&amp;D2662&amp;E2662</f>
        <v>ЭлектроникаФото и видеотехникаФото- и видеокамерыЭкшн-камеры</v>
      </c>
      <c r="B2662" s="29" t="s">
        <v>67</v>
      </c>
      <c r="C2662" s="29" t="s">
        <v>174</v>
      </c>
      <c r="D2662" s="29" t="s">
        <v>648</v>
      </c>
      <c r="E2662" s="29" t="s">
        <v>2633</v>
      </c>
      <c r="F2662" s="30">
        <v>0.15</v>
      </c>
      <c r="G2662" s="31"/>
      <c r="H2662" s="31"/>
      <c r="I2662" s="31"/>
      <c r="J2662" s="31"/>
    </row>
    <row r="2663" spans="1:10" ht="14.4" x14ac:dyDescent="0.3">
      <c r="A2663" s="28" t="str">
        <f>B2663&amp;C2663&amp;D2663&amp;E2663</f>
        <v>Бытовая техникаКлиматическая техникаОчищение и увлажнение воздухаУвлажнители воздуха</v>
      </c>
      <c r="B2663" s="29" t="s">
        <v>160</v>
      </c>
      <c r="C2663" s="29" t="s">
        <v>621</v>
      </c>
      <c r="D2663" s="29" t="s">
        <v>863</v>
      </c>
      <c r="E2663" s="29" t="s">
        <v>2658</v>
      </c>
      <c r="F2663" s="30">
        <v>0.15</v>
      </c>
      <c r="G2663" s="31"/>
      <c r="H2663" s="31"/>
      <c r="I2663" s="31"/>
      <c r="J2663" s="31"/>
    </row>
    <row r="2664" spans="1:10" ht="14.4" x14ac:dyDescent="0.3">
      <c r="A2664" s="28" t="str">
        <f>B2664&amp;C2664&amp;D2664&amp;E2664</f>
        <v>Строительство и ремонтВодоснабжение для дома и садаДля повышения давленияДля повышения давления</v>
      </c>
      <c r="B2664" s="29" t="s">
        <v>77</v>
      </c>
      <c r="C2664" s="29" t="s">
        <v>676</v>
      </c>
      <c r="D2664" s="29" t="s">
        <v>2672</v>
      </c>
      <c r="E2664" s="29" t="s">
        <v>2672</v>
      </c>
      <c r="F2664" s="30">
        <v>0.15</v>
      </c>
      <c r="G2664" s="31"/>
      <c r="H2664" s="31"/>
      <c r="I2664" s="31"/>
      <c r="J2664" s="31"/>
    </row>
    <row r="2665" spans="1:10" ht="14.4" x14ac:dyDescent="0.3">
      <c r="A2665" s="28" t="str">
        <f>B2665&amp;C2665&amp;D2665&amp;E2665</f>
        <v>Строительство и ремонтИнструментыЭлектроинструментыГайковерты</v>
      </c>
      <c r="B2665" s="29" t="s">
        <v>77</v>
      </c>
      <c r="C2665" s="29" t="s">
        <v>78</v>
      </c>
      <c r="D2665" s="29" t="s">
        <v>342</v>
      </c>
      <c r="E2665" s="29" t="s">
        <v>2692</v>
      </c>
      <c r="F2665" s="30">
        <v>0.15</v>
      </c>
      <c r="G2665" s="31"/>
      <c r="H2665" s="31"/>
      <c r="I2665" s="31"/>
      <c r="J2665" s="31"/>
    </row>
    <row r="2666" spans="1:10" ht="14.4" x14ac:dyDescent="0.3">
      <c r="A2666" s="28" t="str">
        <f>B2666&amp;C2666&amp;D2666&amp;E2666</f>
        <v>ЭлектроникаИгровые приставкиАксессуары и запчасти для игровых приставокБеспроводные адаптеры</v>
      </c>
      <c r="B2666" s="29" t="s">
        <v>67</v>
      </c>
      <c r="C2666" s="29" t="s">
        <v>81</v>
      </c>
      <c r="D2666" s="29" t="s">
        <v>645</v>
      </c>
      <c r="E2666" s="29" t="s">
        <v>2709</v>
      </c>
      <c r="F2666" s="30">
        <v>0.15</v>
      </c>
      <c r="G2666" s="31"/>
      <c r="H2666" s="31"/>
      <c r="I2666" s="31"/>
      <c r="J2666" s="31"/>
    </row>
    <row r="2667" spans="1:10" ht="14.4" x14ac:dyDescent="0.3">
      <c r="A2667" s="28" t="str">
        <f>B2667&amp;C2667&amp;D2667&amp;E2667</f>
        <v>Строительство и ремонтИнструментыЭлектроинструментыНаборы электроинструментов</v>
      </c>
      <c r="B2667" s="29" t="s">
        <v>77</v>
      </c>
      <c r="C2667" s="29" t="s">
        <v>78</v>
      </c>
      <c r="D2667" s="29" t="s">
        <v>342</v>
      </c>
      <c r="E2667" s="29" t="s">
        <v>2713</v>
      </c>
      <c r="F2667" s="30">
        <v>0.15</v>
      </c>
      <c r="G2667" s="31"/>
      <c r="H2667" s="31"/>
      <c r="I2667" s="31"/>
      <c r="J2667" s="31"/>
    </row>
    <row r="2668" spans="1:10" ht="14.4" x14ac:dyDescent="0.3">
      <c r="A2668" s="28" t="str">
        <f>B2668&amp;C2668&amp;D2668&amp;E2668</f>
        <v>Детские товарыДетское питаниеДетские кашиДетские каши</v>
      </c>
      <c r="B2668" s="29" t="s">
        <v>105</v>
      </c>
      <c r="C2668" s="29" t="s">
        <v>1160</v>
      </c>
      <c r="D2668" s="29" t="s">
        <v>2723</v>
      </c>
      <c r="E2668" s="29" t="s">
        <v>2723</v>
      </c>
      <c r="F2668" s="30">
        <v>0.15</v>
      </c>
      <c r="G2668" s="31"/>
      <c r="H2668" s="31"/>
      <c r="I2668" s="31"/>
      <c r="J2668" s="31"/>
    </row>
    <row r="2669" spans="1:10" ht="14.4" x14ac:dyDescent="0.3">
      <c r="A2669" s="28" t="str">
        <f>B2669&amp;C2669&amp;D2669&amp;E2669</f>
        <v>Спорт и отдыхСпортивное питаниеСпециальные препаратыOmega 3, жирные кислоты, коэнзимы</v>
      </c>
      <c r="B2669" s="29" t="s">
        <v>101</v>
      </c>
      <c r="C2669" s="29" t="s">
        <v>364</v>
      </c>
      <c r="D2669" s="29" t="s">
        <v>712</v>
      </c>
      <c r="E2669" s="29" t="s">
        <v>2727</v>
      </c>
      <c r="F2669" s="30">
        <v>0.15</v>
      </c>
      <c r="G2669" s="31"/>
      <c r="H2669" s="31"/>
      <c r="I2669" s="31"/>
      <c r="J2669" s="31"/>
    </row>
    <row r="2670" spans="1:10" ht="14.4" x14ac:dyDescent="0.3">
      <c r="A2670" s="28" t="str">
        <f>B2670&amp;C2670&amp;D2670&amp;E2670</f>
        <v>Строительство и ремонтВодоснабжение для дома и садаДля канализацииДля канализации</v>
      </c>
      <c r="B2670" s="29" t="s">
        <v>77</v>
      </c>
      <c r="C2670" s="29" t="s">
        <v>676</v>
      </c>
      <c r="D2670" s="29" t="s">
        <v>2735</v>
      </c>
      <c r="E2670" s="29" t="s">
        <v>2735</v>
      </c>
      <c r="F2670" s="30">
        <v>0.15</v>
      </c>
      <c r="G2670" s="31"/>
      <c r="H2670" s="31"/>
      <c r="I2670" s="31"/>
      <c r="J2670" s="31"/>
    </row>
    <row r="2671" spans="1:10" ht="14.4" x14ac:dyDescent="0.3">
      <c r="A2671" s="28" t="str">
        <f>B2671&amp;C2671&amp;D2671&amp;E2671</f>
        <v>ЭлектроникаИгровые приставкиАксессуары и запчасти для игровых приставокНаборы аксессуаров</v>
      </c>
      <c r="B2671" s="29" t="s">
        <v>67</v>
      </c>
      <c r="C2671" s="29" t="s">
        <v>81</v>
      </c>
      <c r="D2671" s="29" t="s">
        <v>645</v>
      </c>
      <c r="E2671" s="29" t="s">
        <v>2590</v>
      </c>
      <c r="F2671" s="30">
        <v>0.15</v>
      </c>
      <c r="G2671" s="31"/>
      <c r="H2671" s="31"/>
      <c r="I2671" s="31"/>
      <c r="J2671" s="31"/>
    </row>
    <row r="2672" spans="1:10" ht="14.4" x14ac:dyDescent="0.3">
      <c r="A2672" s="28" t="str">
        <f>B2672&amp;C2672&amp;D2672&amp;E2672</f>
        <v>ЗоотоварыДля кошекЛотки и наполнителиНаполнители</v>
      </c>
      <c r="B2672" s="29" t="s">
        <v>214</v>
      </c>
      <c r="C2672" s="29" t="s">
        <v>283</v>
      </c>
      <c r="D2672" s="29" t="s">
        <v>2746</v>
      </c>
      <c r="E2672" s="29" t="s">
        <v>2747</v>
      </c>
      <c r="F2672" s="30">
        <v>0.15</v>
      </c>
      <c r="G2672" s="31"/>
      <c r="H2672" s="31"/>
      <c r="I2672" s="31"/>
      <c r="J2672" s="31"/>
    </row>
    <row r="2673" spans="1:10" ht="14.4" x14ac:dyDescent="0.3">
      <c r="A2673" s="28" t="str">
        <f>B2673&amp;C2673&amp;D2673&amp;E2673</f>
        <v>Продукты питанияПродукты для выпечки и десертовПищевые добавкиКрахмал</v>
      </c>
      <c r="B2673" s="29" t="s">
        <v>248</v>
      </c>
      <c r="C2673" s="29" t="s">
        <v>497</v>
      </c>
      <c r="D2673" s="29" t="s">
        <v>498</v>
      </c>
      <c r="E2673" s="29" t="s">
        <v>2752</v>
      </c>
      <c r="F2673" s="30">
        <v>0.15</v>
      </c>
      <c r="G2673" s="31"/>
      <c r="H2673" s="31"/>
      <c r="I2673" s="31"/>
      <c r="J2673" s="31"/>
    </row>
    <row r="2674" spans="1:10" ht="14.4" x14ac:dyDescent="0.3">
      <c r="A2674" s="28" t="str">
        <f>B2674&amp;C2674&amp;D2674&amp;E2674</f>
        <v>Спорт и отдыхСпортивное питаниеВитамины и минеральные комплексыВитаминно-минеральные комплексы</v>
      </c>
      <c r="B2674" s="29" t="s">
        <v>101</v>
      </c>
      <c r="C2674" s="29" t="s">
        <v>364</v>
      </c>
      <c r="D2674" s="29" t="s">
        <v>365</v>
      </c>
      <c r="E2674" s="29" t="s">
        <v>1874</v>
      </c>
      <c r="F2674" s="30">
        <v>0.15</v>
      </c>
      <c r="G2674" s="31"/>
      <c r="H2674" s="31"/>
      <c r="I2674" s="31"/>
      <c r="J2674" s="31"/>
    </row>
    <row r="2675" spans="1:10" ht="14.4" x14ac:dyDescent="0.3">
      <c r="A2675" s="28" t="str">
        <f>B2675&amp;C2675&amp;D2675&amp;E2675</f>
        <v>ЭлектроникаНаушники и аудиотехникаАудиотехникаУмные колонки</v>
      </c>
      <c r="B2675" s="29" t="s">
        <v>67</v>
      </c>
      <c r="C2675" s="29" t="s">
        <v>74</v>
      </c>
      <c r="D2675" s="29" t="s">
        <v>409</v>
      </c>
      <c r="E2675" s="29" t="s">
        <v>2771</v>
      </c>
      <c r="F2675" s="30">
        <v>0.15</v>
      </c>
      <c r="G2675" s="31"/>
      <c r="H2675" s="31"/>
      <c r="I2675" s="31"/>
      <c r="J2675" s="31"/>
    </row>
    <row r="2676" spans="1:10" ht="14.4" x14ac:dyDescent="0.3">
      <c r="A2676" s="28" t="str">
        <f>B2676&amp;C2676&amp;D2676&amp;E2676</f>
        <v>ЭлектроникаИгровые приставкиИгровые контроллерыГеймпады, джойстики и триггеры</v>
      </c>
      <c r="B2676" s="29" t="s">
        <v>67</v>
      </c>
      <c r="C2676" s="29" t="s">
        <v>81</v>
      </c>
      <c r="D2676" s="29" t="s">
        <v>1592</v>
      </c>
      <c r="E2676" s="29" t="s">
        <v>23</v>
      </c>
      <c r="F2676" s="30">
        <v>0.15</v>
      </c>
      <c r="G2676" s="31"/>
      <c r="H2676" s="31"/>
      <c r="I2676" s="31"/>
      <c r="J2676" s="31"/>
    </row>
    <row r="2677" spans="1:10" ht="14.4" x14ac:dyDescent="0.3">
      <c r="A2677" s="28" t="str">
        <f>B2677&amp;C2677&amp;D2677&amp;E2677</f>
        <v>Строительство и ремонтИнструментыЭлектроинструментыЭлектрорубанки</v>
      </c>
      <c r="B2677" s="29" t="s">
        <v>77</v>
      </c>
      <c r="C2677" s="29" t="s">
        <v>78</v>
      </c>
      <c r="D2677" s="29" t="s">
        <v>342</v>
      </c>
      <c r="E2677" s="29" t="s">
        <v>2783</v>
      </c>
      <c r="F2677" s="30">
        <v>0.15</v>
      </c>
      <c r="G2677" s="31"/>
      <c r="H2677" s="31"/>
      <c r="I2677" s="31"/>
      <c r="J2677" s="31"/>
    </row>
    <row r="2678" spans="1:10" ht="14.4" x14ac:dyDescent="0.3">
      <c r="A2678" s="28" t="str">
        <f>B2678&amp;C2678&amp;D2678&amp;E2678</f>
        <v>ЭлектроникаНаушники и аудиотехникаАудиотехникаАкустические системы</v>
      </c>
      <c r="B2678" s="29" t="s">
        <v>67</v>
      </c>
      <c r="C2678" s="29" t="s">
        <v>74</v>
      </c>
      <c r="D2678" s="29" t="s">
        <v>409</v>
      </c>
      <c r="E2678" s="29" t="s">
        <v>2785</v>
      </c>
      <c r="F2678" s="30">
        <v>0.15</v>
      </c>
      <c r="G2678" s="31"/>
      <c r="H2678" s="31"/>
      <c r="I2678" s="31"/>
      <c r="J2678" s="31"/>
    </row>
    <row r="2679" spans="1:10" ht="14.4" x14ac:dyDescent="0.3">
      <c r="A2679" s="28" t="str">
        <f>B2679&amp;C2679&amp;D2679&amp;E2679</f>
        <v>Спорт и отдыхСпортивное питаниеBCAA и аминокислотыАргинины</v>
      </c>
      <c r="B2679" s="29" t="s">
        <v>101</v>
      </c>
      <c r="C2679" s="29" t="s">
        <v>364</v>
      </c>
      <c r="D2679" s="29" t="s">
        <v>667</v>
      </c>
      <c r="E2679" s="29" t="s">
        <v>2792</v>
      </c>
      <c r="F2679" s="30">
        <v>0.15</v>
      </c>
      <c r="G2679" s="31"/>
      <c r="H2679" s="31"/>
      <c r="I2679" s="31"/>
      <c r="J2679" s="31"/>
    </row>
    <row r="2680" spans="1:10" ht="14.4" x14ac:dyDescent="0.3">
      <c r="A2680" s="28" t="str">
        <f>B2680&amp;C2680&amp;D2680&amp;E2680</f>
        <v>Спорт и отдыхСпортивное питаниеГейнеры и протеиныПротеины</v>
      </c>
      <c r="B2680" s="29" t="s">
        <v>101</v>
      </c>
      <c r="C2680" s="29" t="s">
        <v>364</v>
      </c>
      <c r="D2680" s="29" t="s">
        <v>2206</v>
      </c>
      <c r="E2680" s="29" t="s">
        <v>2821</v>
      </c>
      <c r="F2680" s="30">
        <v>0.15</v>
      </c>
      <c r="G2680" s="31"/>
      <c r="H2680" s="31"/>
      <c r="I2680" s="31"/>
      <c r="J2680" s="31"/>
    </row>
    <row r="2681" spans="1:10" ht="14.4" x14ac:dyDescent="0.3">
      <c r="A2681" s="28" t="str">
        <f>B2681&amp;C2681&amp;D2681&amp;E2681</f>
        <v>Спорт и отдыхБассейны и аксессуарыБассейныВодные игровые центры</v>
      </c>
      <c r="B2681" s="29" t="s">
        <v>101</v>
      </c>
      <c r="C2681" s="29" t="s">
        <v>102</v>
      </c>
      <c r="D2681" s="29" t="s">
        <v>1848</v>
      </c>
      <c r="E2681" s="29" t="s">
        <v>2839</v>
      </c>
      <c r="F2681" s="30">
        <v>0.15</v>
      </c>
      <c r="G2681" s="31"/>
      <c r="H2681" s="31"/>
      <c r="I2681" s="31"/>
      <c r="J2681" s="31"/>
    </row>
    <row r="2682" spans="1:10" ht="14.4" x14ac:dyDescent="0.3">
      <c r="A2682" s="28" t="str">
        <f>B2682&amp;C2682&amp;D2682&amp;E2682</f>
        <v>Продукты питанияВода, соки, напиткиМорсы, кисели, компотыМорсы, кисели, компоты</v>
      </c>
      <c r="B2682" s="29" t="s">
        <v>248</v>
      </c>
      <c r="C2682" s="29" t="s">
        <v>434</v>
      </c>
      <c r="D2682" s="29" t="s">
        <v>2853</v>
      </c>
      <c r="E2682" s="29" t="s">
        <v>2853</v>
      </c>
      <c r="F2682" s="30">
        <v>0.15</v>
      </c>
      <c r="G2682" s="31"/>
      <c r="H2682" s="31"/>
      <c r="I2682" s="31"/>
      <c r="J2682" s="31"/>
    </row>
    <row r="2683" spans="1:10" ht="14.4" x14ac:dyDescent="0.3">
      <c r="A2683" s="28" t="str">
        <f>B2683&amp;C2683&amp;D2683&amp;E2683</f>
        <v>Строительство и ремонтЭлектрикаРозетки и выключателиРозетки и выключатели</v>
      </c>
      <c r="B2683" s="29" t="s">
        <v>77</v>
      </c>
      <c r="C2683" s="29" t="s">
        <v>600</v>
      </c>
      <c r="D2683" s="29" t="s">
        <v>2855</v>
      </c>
      <c r="E2683" s="29" t="s">
        <v>2855</v>
      </c>
      <c r="F2683" s="30">
        <v>0.15</v>
      </c>
      <c r="G2683" s="31"/>
      <c r="H2683" s="31"/>
      <c r="I2683" s="31"/>
      <c r="J2683" s="31"/>
    </row>
    <row r="2684" spans="1:10" ht="14.4" x14ac:dyDescent="0.3">
      <c r="A2684" s="28" t="str">
        <f>B2684&amp;C2684&amp;D2684&amp;E2684</f>
        <v>Детские товарыТовары для мамТрусы дородовые и послеродовыеТрусы дородовые и послеродовые</v>
      </c>
      <c r="B2684" s="29" t="s">
        <v>105</v>
      </c>
      <c r="C2684" s="29" t="s">
        <v>655</v>
      </c>
      <c r="D2684" s="29" t="s">
        <v>2857</v>
      </c>
      <c r="E2684" s="29" t="s">
        <v>2857</v>
      </c>
      <c r="F2684" s="30">
        <v>0.15</v>
      </c>
      <c r="G2684" s="31"/>
      <c r="H2684" s="31"/>
      <c r="I2684" s="31"/>
      <c r="J2684" s="31"/>
    </row>
    <row r="2685" spans="1:10" ht="14.4" x14ac:dyDescent="0.3">
      <c r="A2685" s="28" t="str">
        <f>B2685&amp;C2685&amp;D2685&amp;E2685</f>
        <v>Продукты питанияМасла и соусыСоусыСоус песто</v>
      </c>
      <c r="B2685" s="29" t="s">
        <v>248</v>
      </c>
      <c r="C2685" s="29" t="s">
        <v>318</v>
      </c>
      <c r="D2685" s="29" t="s">
        <v>319</v>
      </c>
      <c r="E2685" s="29" t="s">
        <v>2874</v>
      </c>
      <c r="F2685" s="30">
        <v>0.15</v>
      </c>
      <c r="G2685" s="31"/>
      <c r="H2685" s="31"/>
      <c r="I2685" s="31"/>
      <c r="J2685" s="31"/>
    </row>
    <row r="2686" spans="1:10" ht="14.4" x14ac:dyDescent="0.3">
      <c r="A2686" s="28" t="str">
        <f>B2686&amp;C2686&amp;D2686&amp;E2686</f>
        <v>Продукты питанияЧай, кофе, горячие напиткиКофейные и молочные напиткиКофейные и молочные напитки</v>
      </c>
      <c r="B2686" s="29" t="s">
        <v>248</v>
      </c>
      <c r="C2686" s="29" t="s">
        <v>395</v>
      </c>
      <c r="D2686" s="29" t="s">
        <v>2875</v>
      </c>
      <c r="E2686" s="29" t="s">
        <v>2875</v>
      </c>
      <c r="F2686" s="30">
        <v>0.15</v>
      </c>
      <c r="G2686" s="31"/>
      <c r="H2686" s="31"/>
      <c r="I2686" s="31"/>
      <c r="J2686" s="31"/>
    </row>
    <row r="2687" spans="1:10" ht="14.4" x14ac:dyDescent="0.3">
      <c r="A2687" s="28" t="str">
        <f>B2687&amp;C2687&amp;D2687&amp;E2687</f>
        <v>Строительство и ремонтЭлектрикаКомплектующие и расходные материалыКомплектующие и расходные материалы</v>
      </c>
      <c r="B2687" s="29" t="s">
        <v>77</v>
      </c>
      <c r="C2687" s="29" t="s">
        <v>600</v>
      </c>
      <c r="D2687" s="29" t="s">
        <v>2896</v>
      </c>
      <c r="E2687" s="29" t="s">
        <v>2896</v>
      </c>
      <c r="F2687" s="30">
        <v>0.15</v>
      </c>
      <c r="G2687" s="31"/>
      <c r="H2687" s="31"/>
      <c r="I2687" s="31"/>
      <c r="J2687" s="31"/>
    </row>
    <row r="2688" spans="1:10" ht="14.4" x14ac:dyDescent="0.3">
      <c r="A2688" s="28" t="str">
        <f>B2688&amp;C2688&amp;D2688&amp;E2688</f>
        <v>Детские товарыКоляски и автокреслаАвтокреслаАвтокресла</v>
      </c>
      <c r="B2688" s="29" t="s">
        <v>105</v>
      </c>
      <c r="C2688" s="29" t="s">
        <v>678</v>
      </c>
      <c r="D2688" s="29" t="s">
        <v>2922</v>
      </c>
      <c r="E2688" s="29" t="s">
        <v>2922</v>
      </c>
      <c r="F2688" s="30">
        <v>0.15</v>
      </c>
      <c r="G2688" s="31"/>
      <c r="H2688" s="31"/>
      <c r="I2688" s="31"/>
      <c r="J2688" s="31"/>
    </row>
    <row r="2689" spans="1:10" ht="14.4" x14ac:dyDescent="0.3">
      <c r="A2689" s="28" t="str">
        <f>B2689&amp;C2689&amp;D2689&amp;E2689</f>
        <v>ЭлектроникаКомпьютерная техникаКомпьютерная периферия3G/4G роутеры</v>
      </c>
      <c r="B2689" s="29" t="s">
        <v>67</v>
      </c>
      <c r="C2689" s="29" t="s">
        <v>234</v>
      </c>
      <c r="D2689" s="29" t="s">
        <v>794</v>
      </c>
      <c r="E2689" s="29" t="s">
        <v>2932</v>
      </c>
      <c r="F2689" s="30">
        <v>0.15</v>
      </c>
      <c r="G2689" s="31"/>
      <c r="H2689" s="31"/>
      <c r="I2689" s="31"/>
      <c r="J2689" s="31"/>
    </row>
    <row r="2690" spans="1:10" ht="14.4" x14ac:dyDescent="0.3">
      <c r="A2690" s="28" t="str">
        <f>B2690&amp;C2690&amp;D2690&amp;E2690</f>
        <v>КанцтоварыБумажная продукцияТетрадиТетрадь</v>
      </c>
      <c r="B2690" s="29" t="s">
        <v>163</v>
      </c>
      <c r="C2690" s="29" t="s">
        <v>261</v>
      </c>
      <c r="D2690" s="29" t="s">
        <v>930</v>
      </c>
      <c r="E2690" s="29" t="s">
        <v>2950</v>
      </c>
      <c r="F2690" s="30">
        <v>0.15</v>
      </c>
      <c r="G2690" s="31"/>
      <c r="H2690" s="31"/>
      <c r="I2690" s="31"/>
      <c r="J2690" s="31"/>
    </row>
    <row r="2691" spans="1:10" ht="14.4" x14ac:dyDescent="0.3">
      <c r="A2691" s="28" t="str">
        <f>B2691&amp;C2691&amp;D2691&amp;E2691</f>
        <v>Продукты питанияМасла и соусыСоусыСоус чили</v>
      </c>
      <c r="B2691" s="29" t="s">
        <v>248</v>
      </c>
      <c r="C2691" s="29" t="s">
        <v>318</v>
      </c>
      <c r="D2691" s="29" t="s">
        <v>319</v>
      </c>
      <c r="E2691" s="29" t="s">
        <v>2965</v>
      </c>
      <c r="F2691" s="30">
        <v>0.15</v>
      </c>
      <c r="G2691" s="31"/>
      <c r="H2691" s="31"/>
      <c r="I2691" s="32"/>
      <c r="J2691" s="31"/>
    </row>
    <row r="2692" spans="1:10" ht="14.4" x14ac:dyDescent="0.3">
      <c r="A2692" s="28" t="str">
        <f>B2692&amp;C2692&amp;D2692&amp;E2692</f>
        <v>Спорт и отдыхСпортивное питаниеBCAA и аминокислотыКомплекс аминокислот</v>
      </c>
      <c r="B2692" s="29" t="s">
        <v>101</v>
      </c>
      <c r="C2692" s="29" t="s">
        <v>364</v>
      </c>
      <c r="D2692" s="29" t="s">
        <v>667</v>
      </c>
      <c r="E2692" s="29" t="s">
        <v>2979</v>
      </c>
      <c r="F2692" s="30">
        <v>0.15</v>
      </c>
      <c r="G2692" s="31"/>
      <c r="H2692" s="31"/>
      <c r="I2692" s="31"/>
      <c r="J2692" s="31"/>
    </row>
    <row r="2693" spans="1:10" ht="14.4" x14ac:dyDescent="0.3">
      <c r="A2693" s="28" t="str">
        <f>B2693&amp;C2693&amp;D2693&amp;E2693</f>
        <v>Строительство и ремонтИнструментыЭлектроинструментыЭлектролобзики</v>
      </c>
      <c r="B2693" s="29" t="s">
        <v>77</v>
      </c>
      <c r="C2693" s="29" t="s">
        <v>78</v>
      </c>
      <c r="D2693" s="29" t="s">
        <v>342</v>
      </c>
      <c r="E2693" s="29" t="s">
        <v>2990</v>
      </c>
      <c r="F2693" s="30">
        <v>0.15</v>
      </c>
      <c r="G2693" s="31"/>
      <c r="H2693" s="31"/>
      <c r="I2693" s="31"/>
      <c r="J2693" s="31"/>
    </row>
    <row r="2694" spans="1:10" ht="14.4" x14ac:dyDescent="0.3">
      <c r="A2694" s="28" t="str">
        <f>B2694&amp;C2694&amp;D2694&amp;E2694</f>
        <v>КанцтоварыБумажная продукцияТетрадиТетрадь для записи иностранных слов</v>
      </c>
      <c r="B2694" s="29" t="s">
        <v>163</v>
      </c>
      <c r="C2694" s="29" t="s">
        <v>261</v>
      </c>
      <c r="D2694" s="29" t="s">
        <v>930</v>
      </c>
      <c r="E2694" s="29" t="s">
        <v>3009</v>
      </c>
      <c r="F2694" s="30">
        <v>0.15</v>
      </c>
      <c r="G2694" s="31"/>
      <c r="H2694" s="31"/>
      <c r="I2694" s="31"/>
      <c r="J2694" s="31"/>
    </row>
    <row r="2695" spans="1:10" ht="14.4" x14ac:dyDescent="0.3">
      <c r="A2695" s="28" t="str">
        <f>B2695&amp;C2695&amp;D2695&amp;E2695</f>
        <v>Бытовая техникаТехника для красотыУкладка волосФены и насадки</v>
      </c>
      <c r="B2695" s="29" t="s">
        <v>160</v>
      </c>
      <c r="C2695" s="29" t="s">
        <v>694</v>
      </c>
      <c r="D2695" s="29" t="s">
        <v>695</v>
      </c>
      <c r="E2695" s="29" t="s">
        <v>3030</v>
      </c>
      <c r="F2695" s="30">
        <v>0.15</v>
      </c>
      <c r="G2695" s="31"/>
      <c r="H2695" s="31"/>
      <c r="I2695" s="31"/>
      <c r="J2695" s="31"/>
    </row>
    <row r="2696" spans="1:10" ht="14.4" x14ac:dyDescent="0.3">
      <c r="A2696" s="28" t="str">
        <f>B2696&amp;C2696&amp;D2696&amp;E2696</f>
        <v>Детские товарыКоляски и автокреслаКоляскиКоляски</v>
      </c>
      <c r="B2696" s="29" t="s">
        <v>105</v>
      </c>
      <c r="C2696" s="29" t="s">
        <v>678</v>
      </c>
      <c r="D2696" s="29" t="s">
        <v>3031</v>
      </c>
      <c r="E2696" s="29" t="s">
        <v>3031</v>
      </c>
      <c r="F2696" s="30">
        <v>0.15</v>
      </c>
      <c r="G2696" s="31"/>
      <c r="H2696" s="31"/>
      <c r="I2696" s="31"/>
      <c r="J2696" s="31"/>
    </row>
    <row r="2697" spans="1:10" ht="14.4" x14ac:dyDescent="0.3">
      <c r="A2697" s="28" t="str">
        <f>B2697&amp;C2697&amp;D2697&amp;E2697</f>
        <v>Спорт и отдыхСпортивное питаниеАнаболики, тестостероны, бустерыТестостероны</v>
      </c>
      <c r="B2697" s="29" t="s">
        <v>101</v>
      </c>
      <c r="C2697" s="29" t="s">
        <v>364</v>
      </c>
      <c r="D2697" s="29" t="s">
        <v>1585</v>
      </c>
      <c r="E2697" s="29" t="s">
        <v>3037</v>
      </c>
      <c r="F2697" s="30">
        <v>0.15</v>
      </c>
      <c r="G2697" s="31"/>
      <c r="H2697" s="31"/>
      <c r="I2697" s="31"/>
      <c r="J2697" s="31"/>
    </row>
    <row r="2698" spans="1:10" ht="14.4" x14ac:dyDescent="0.3">
      <c r="A2698" s="28" t="str">
        <f>B2698&amp;C2698&amp;D2698&amp;E2698</f>
        <v>Продукты питанияЗдоровое питаниеСуперфудыСуперфуды</v>
      </c>
      <c r="B2698" s="29" t="s">
        <v>248</v>
      </c>
      <c r="C2698" s="29" t="s">
        <v>2268</v>
      </c>
      <c r="D2698" s="29" t="s">
        <v>3046</v>
      </c>
      <c r="E2698" s="29" t="s">
        <v>3046</v>
      </c>
      <c r="F2698" s="30">
        <v>0.15</v>
      </c>
      <c r="G2698" s="31"/>
      <c r="H2698" s="31"/>
      <c r="I2698" s="31"/>
      <c r="J2698" s="31"/>
    </row>
    <row r="2699" spans="1:10" ht="14.4" x14ac:dyDescent="0.3">
      <c r="A2699" s="28" t="str">
        <f>B2699&amp;C2699&amp;D2699&amp;E2699</f>
        <v>Продукты питанияКонсервацияРыбные консервыРыбные консервы</v>
      </c>
      <c r="B2699" s="29" t="s">
        <v>248</v>
      </c>
      <c r="C2699" s="29" t="s">
        <v>605</v>
      </c>
      <c r="D2699" s="29" t="s">
        <v>3064</v>
      </c>
      <c r="E2699" s="29" t="s">
        <v>3064</v>
      </c>
      <c r="F2699" s="30">
        <v>0.15</v>
      </c>
      <c r="G2699" s="31"/>
      <c r="H2699" s="31"/>
      <c r="I2699" s="31"/>
      <c r="J2699" s="31"/>
    </row>
    <row r="2700" spans="1:10" ht="14.4" x14ac:dyDescent="0.3">
      <c r="A2700" s="28" t="str">
        <f>B2700&amp;C2700&amp;D2700&amp;E2700</f>
        <v>Продукты питанияМасла и соусыМаслаМасла</v>
      </c>
      <c r="B2700" s="29" t="s">
        <v>248</v>
      </c>
      <c r="C2700" s="29" t="s">
        <v>318</v>
      </c>
      <c r="D2700" s="29" t="s">
        <v>368</v>
      </c>
      <c r="E2700" s="29" t="s">
        <v>368</v>
      </c>
      <c r="F2700" s="30">
        <v>0.15</v>
      </c>
      <c r="G2700" s="31"/>
      <c r="H2700" s="31"/>
      <c r="I2700" s="31"/>
      <c r="J2700" s="31"/>
    </row>
    <row r="2701" spans="1:10" ht="14.4" x14ac:dyDescent="0.3">
      <c r="A2701" s="28" t="str">
        <f>B2701&amp;C2701&amp;D2701&amp;E2701</f>
        <v>Продукты питанияПродукты для выпечки и десертовПищевые добавкиЛимонная кислота</v>
      </c>
      <c r="B2701" s="29" t="s">
        <v>248</v>
      </c>
      <c r="C2701" s="29" t="s">
        <v>497</v>
      </c>
      <c r="D2701" s="29" t="s">
        <v>498</v>
      </c>
      <c r="E2701" s="29" t="s">
        <v>3079</v>
      </c>
      <c r="F2701" s="30">
        <v>0.15</v>
      </c>
      <c r="G2701" s="31"/>
      <c r="H2701" s="31"/>
      <c r="I2701" s="31"/>
      <c r="J2701" s="31"/>
    </row>
    <row r="2702" spans="1:10" ht="14.4" x14ac:dyDescent="0.3">
      <c r="A2702" s="28" t="str">
        <f>B2702&amp;C2702&amp;D2702&amp;E2702</f>
        <v>КанцтоварыБумажная продукцияТетрадиТетрадь предметная</v>
      </c>
      <c r="B2702" s="29" t="s">
        <v>163</v>
      </c>
      <c r="C2702" s="29" t="s">
        <v>261</v>
      </c>
      <c r="D2702" s="29" t="s">
        <v>930</v>
      </c>
      <c r="E2702" s="29" t="s">
        <v>3084</v>
      </c>
      <c r="F2702" s="30">
        <v>0.15</v>
      </c>
      <c r="G2702" s="31"/>
      <c r="H2702" s="31"/>
      <c r="I2702" s="31"/>
      <c r="J2702" s="31"/>
    </row>
    <row r="2703" spans="1:10" ht="14.4" x14ac:dyDescent="0.3">
      <c r="A2703" s="28" t="str">
        <f>B2703&amp;C2703&amp;D2703&amp;E2703</f>
        <v>Продукты питанияМед, варенье, сладкая консервацияВаренье, джемы и протертые ягодыВаренье, джемы и протертые ягоды</v>
      </c>
      <c r="B2703" s="29" t="s">
        <v>248</v>
      </c>
      <c r="C2703" s="29" t="s">
        <v>1156</v>
      </c>
      <c r="D2703" s="29" t="s">
        <v>3090</v>
      </c>
      <c r="E2703" s="29" t="s">
        <v>3090</v>
      </c>
      <c r="F2703" s="30">
        <v>0.15</v>
      </c>
      <c r="G2703" s="31"/>
      <c r="H2703" s="31"/>
      <c r="I2703" s="31"/>
      <c r="J2703" s="31"/>
    </row>
    <row r="2704" spans="1:10" ht="14.4" x14ac:dyDescent="0.3">
      <c r="A2704" s="28" t="str">
        <f>B2704&amp;C2704&amp;D2704&amp;E2704</f>
        <v>Строительство и ремонтВодоснабжение для дома и садаАвтоматика и комплектующиеАвтоматика и комплектующие</v>
      </c>
      <c r="B2704" s="29" t="s">
        <v>77</v>
      </c>
      <c r="C2704" s="29" t="s">
        <v>676</v>
      </c>
      <c r="D2704" s="29" t="s">
        <v>3099</v>
      </c>
      <c r="E2704" s="29" t="s">
        <v>3099</v>
      </c>
      <c r="F2704" s="30">
        <v>0.15</v>
      </c>
      <c r="G2704" s="31"/>
      <c r="H2704" s="31"/>
      <c r="I2704" s="31"/>
      <c r="J2704" s="31"/>
    </row>
    <row r="2705" spans="1:10" ht="14.4" x14ac:dyDescent="0.3">
      <c r="A2705" s="28" t="str">
        <f>B2705&amp;C2705&amp;D2705&amp;E2705</f>
        <v>Бытовая техникаТовары для кухниИзмельчение и смешиваниеКухонные машины и комбайны</v>
      </c>
      <c r="B2705" s="29" t="s">
        <v>160</v>
      </c>
      <c r="C2705" s="29" t="s">
        <v>60</v>
      </c>
      <c r="D2705" s="29" t="s">
        <v>632</v>
      </c>
      <c r="E2705" s="29" t="s">
        <v>3103</v>
      </c>
      <c r="F2705" s="30">
        <v>0.15</v>
      </c>
      <c r="G2705" s="31"/>
      <c r="H2705" s="31"/>
      <c r="I2705" s="31"/>
      <c r="J2705" s="31"/>
    </row>
    <row r="2706" spans="1:10" ht="14.4" x14ac:dyDescent="0.3">
      <c r="A2706" s="28" t="str">
        <f>B2706&amp;C2706&amp;D2706&amp;E2706</f>
        <v>Строительство и ремонтИнструментыЭлектроинструментыУШМ (болгарки)</v>
      </c>
      <c r="B2706" s="29" t="s">
        <v>77</v>
      </c>
      <c r="C2706" s="29" t="s">
        <v>78</v>
      </c>
      <c r="D2706" s="29" t="s">
        <v>342</v>
      </c>
      <c r="E2706" s="29" t="s">
        <v>3106</v>
      </c>
      <c r="F2706" s="30">
        <v>0.15</v>
      </c>
      <c r="G2706" s="31"/>
      <c r="H2706" s="31"/>
      <c r="I2706" s="31"/>
      <c r="J2706" s="31"/>
    </row>
    <row r="2707" spans="1:10" ht="14.4" x14ac:dyDescent="0.3">
      <c r="A2707" s="28" t="str">
        <f>B2707&amp;C2707&amp;D2707&amp;E2707</f>
        <v>Строительство и ремонтИнструментыЭлектроинструментыЦиркулярные пилы</v>
      </c>
      <c r="B2707" s="29" t="s">
        <v>77</v>
      </c>
      <c r="C2707" s="29" t="s">
        <v>78</v>
      </c>
      <c r="D2707" s="29" t="s">
        <v>342</v>
      </c>
      <c r="E2707" s="29" t="s">
        <v>3110</v>
      </c>
      <c r="F2707" s="30">
        <v>0.15</v>
      </c>
      <c r="G2707" s="31"/>
      <c r="H2707" s="31"/>
      <c r="I2707" s="31"/>
      <c r="J2707" s="31"/>
    </row>
    <row r="2708" spans="1:10" ht="14.4" x14ac:dyDescent="0.3">
      <c r="A2708" s="28" t="str">
        <f>B2708&amp;C2708&amp;D2708&amp;E2708</f>
        <v>Продукты питанияЗдоровое питаниеБальзамы, тоники, эликсирыБальзамы, тоники, эликсиры</v>
      </c>
      <c r="B2708" s="29" t="s">
        <v>248</v>
      </c>
      <c r="C2708" s="29" t="s">
        <v>2268</v>
      </c>
      <c r="D2708" s="29" t="s">
        <v>3122</v>
      </c>
      <c r="E2708" s="29" t="s">
        <v>3122</v>
      </c>
      <c r="F2708" s="30">
        <v>0.15</v>
      </c>
      <c r="G2708" s="31"/>
      <c r="H2708" s="31"/>
      <c r="I2708" s="31"/>
      <c r="J2708" s="31"/>
    </row>
    <row r="2709" spans="1:10" ht="14.4" x14ac:dyDescent="0.3">
      <c r="A2709" s="28" t="str">
        <f>B2709&amp;C2709&amp;D2709&amp;E2709</f>
        <v>Спорт и отдыхСпортивное питаниеBCAA и аминокислотыБета-аланин</v>
      </c>
      <c r="B2709" s="29" t="s">
        <v>101</v>
      </c>
      <c r="C2709" s="29" t="s">
        <v>364</v>
      </c>
      <c r="D2709" s="29" t="s">
        <v>667</v>
      </c>
      <c r="E2709" s="29" t="s">
        <v>3124</v>
      </c>
      <c r="F2709" s="30">
        <v>0.15</v>
      </c>
      <c r="G2709" s="31"/>
      <c r="H2709" s="31"/>
      <c r="I2709" s="31"/>
      <c r="J2709" s="31"/>
    </row>
    <row r="2710" spans="1:10" ht="14.4" x14ac:dyDescent="0.3">
      <c r="A2710" s="28" t="str">
        <f>B2710&amp;C2710&amp;D2710&amp;E2710</f>
        <v>Продукты питанияМасла и соусыМаслаОливковое масло</v>
      </c>
      <c r="B2710" s="29" t="s">
        <v>248</v>
      </c>
      <c r="C2710" s="29" t="s">
        <v>318</v>
      </c>
      <c r="D2710" s="29" t="s">
        <v>368</v>
      </c>
      <c r="E2710" s="29" t="s">
        <v>3140</v>
      </c>
      <c r="F2710" s="30">
        <v>0.15</v>
      </c>
      <c r="G2710" s="31"/>
      <c r="H2710" s="31"/>
      <c r="I2710" s="31"/>
      <c r="J2710" s="31"/>
    </row>
    <row r="2711" spans="1:10" ht="14.4" x14ac:dyDescent="0.3">
      <c r="A2711" s="28" t="str">
        <f>B2711&amp;C2711&amp;D2711&amp;E2711</f>
        <v>ЗоотоварыДля грызуновКорма и лакомства для грызуновКорма</v>
      </c>
      <c r="B2711" s="29" t="s">
        <v>214</v>
      </c>
      <c r="C2711" s="29" t="s">
        <v>215</v>
      </c>
      <c r="D2711" s="29" t="s">
        <v>216</v>
      </c>
      <c r="E2711" s="29" t="s">
        <v>217</v>
      </c>
      <c r="F2711" s="30">
        <v>0.12</v>
      </c>
      <c r="G2711" s="31"/>
      <c r="H2711" s="31"/>
      <c r="I2711" s="31"/>
      <c r="J2711" s="31"/>
    </row>
    <row r="2712" spans="1:10" ht="14.4" x14ac:dyDescent="0.3">
      <c r="A2712" s="28" t="str">
        <f>B2712&amp;C2712&amp;D2712&amp;E2712</f>
        <v>ЗоотоварыДля птицПоилки, кормушкиПоилки, кормушки</v>
      </c>
      <c r="B2712" s="29" t="s">
        <v>214</v>
      </c>
      <c r="C2712" s="29" t="s">
        <v>224</v>
      </c>
      <c r="D2712" s="29" t="s">
        <v>225</v>
      </c>
      <c r="E2712" s="29" t="s">
        <v>225</v>
      </c>
      <c r="F2712" s="30">
        <v>0.12</v>
      </c>
      <c r="G2712" s="31"/>
      <c r="H2712" s="31"/>
      <c r="I2712" s="31"/>
      <c r="J2712" s="31"/>
    </row>
    <row r="2713" spans="1:10" ht="14.4" x14ac:dyDescent="0.3">
      <c r="A2713" s="28" t="str">
        <f>B2713&amp;C2713&amp;D2713&amp;E2713</f>
        <v>ЗоотоварыДля рыб и рептилийТеррариумы и аксессуарыТеррариумы и аксессуары</v>
      </c>
      <c r="B2713" s="29" t="s">
        <v>214</v>
      </c>
      <c r="C2713" s="29" t="s">
        <v>265</v>
      </c>
      <c r="D2713" s="29" t="s">
        <v>266</v>
      </c>
      <c r="E2713" s="29" t="s">
        <v>266</v>
      </c>
      <c r="F2713" s="30">
        <v>0.12</v>
      </c>
      <c r="G2713" s="31"/>
      <c r="H2713" s="31"/>
      <c r="I2713" s="31"/>
      <c r="J2713" s="31"/>
    </row>
    <row r="2714" spans="1:10" ht="14.4" x14ac:dyDescent="0.3">
      <c r="A2714" s="28" t="str">
        <f>B2714&amp;C2714&amp;D2714&amp;E2714</f>
        <v>Бытовая техникаТовары для кухниПриготовление кофеКофемашины автоматические</v>
      </c>
      <c r="B2714" s="29" t="s">
        <v>160</v>
      </c>
      <c r="C2714" s="29" t="s">
        <v>60</v>
      </c>
      <c r="D2714" s="29" t="s">
        <v>358</v>
      </c>
      <c r="E2714" s="29" t="s">
        <v>359</v>
      </c>
      <c r="F2714" s="30">
        <v>0.12</v>
      </c>
      <c r="G2714" s="31"/>
      <c r="H2714" s="31"/>
      <c r="I2714" s="31"/>
      <c r="J2714" s="31"/>
    </row>
    <row r="2715" spans="1:10" ht="14.4" x14ac:dyDescent="0.3">
      <c r="A2715" s="28" t="str">
        <f>B2715&amp;C2715&amp;D2715&amp;E2715</f>
        <v>ЗоотоварыДля собакКорма и ЛакомстваСухие корма</v>
      </c>
      <c r="B2715" s="29" t="s">
        <v>214</v>
      </c>
      <c r="C2715" s="29" t="s">
        <v>509</v>
      </c>
      <c r="D2715" s="29" t="s">
        <v>658</v>
      </c>
      <c r="E2715" s="29" t="s">
        <v>659</v>
      </c>
      <c r="F2715" s="30">
        <v>0.12</v>
      </c>
      <c r="G2715" s="31"/>
      <c r="H2715" s="31"/>
      <c r="I2715" s="31"/>
      <c r="J2715" s="31"/>
    </row>
    <row r="2716" spans="1:10" ht="14.4" x14ac:dyDescent="0.3">
      <c r="A2716" s="28" t="str">
        <f>B2716&amp;C2716&amp;D2716&amp;E2716</f>
        <v>ЭлектроникаТелевизоры и видеотехникаПроекторы и аксессуарыПроекторы</v>
      </c>
      <c r="B2716" s="29" t="s">
        <v>67</v>
      </c>
      <c r="C2716" s="29" t="s">
        <v>136</v>
      </c>
      <c r="D2716" s="29" t="s">
        <v>137</v>
      </c>
      <c r="E2716" s="29" t="s">
        <v>660</v>
      </c>
      <c r="F2716" s="30">
        <v>0.12</v>
      </c>
      <c r="G2716" s="31"/>
      <c r="H2716" s="31"/>
      <c r="I2716" s="31"/>
      <c r="J2716" s="31"/>
    </row>
    <row r="2717" spans="1:10" ht="14.4" x14ac:dyDescent="0.3">
      <c r="A2717" s="28" t="str">
        <f>B2717&amp;C2717&amp;D2717&amp;E2717</f>
        <v>ЗоотоварыДля сельскохозяйственных животныхДля коз и овецДля коз и овец</v>
      </c>
      <c r="B2717" s="29" t="s">
        <v>214</v>
      </c>
      <c r="C2717" s="29" t="s">
        <v>316</v>
      </c>
      <c r="D2717" s="29" t="s">
        <v>675</v>
      </c>
      <c r="E2717" s="29" t="s">
        <v>675</v>
      </c>
      <c r="F2717" s="30">
        <v>0.12</v>
      </c>
      <c r="G2717" s="31"/>
      <c r="H2717" s="31"/>
      <c r="I2717" s="31"/>
      <c r="J2717" s="31"/>
    </row>
    <row r="2718" spans="1:10" ht="14.4" x14ac:dyDescent="0.3">
      <c r="A2718" s="28" t="str">
        <f>B2718&amp;C2718&amp;D2718&amp;E2718</f>
        <v>Детские товарыДетский спорт и активный отдыхДетский транспортЭлектрокары</v>
      </c>
      <c r="B2718" s="29" t="s">
        <v>105</v>
      </c>
      <c r="C2718" s="29" t="s">
        <v>427</v>
      </c>
      <c r="D2718" s="29" t="s">
        <v>428</v>
      </c>
      <c r="E2718" s="29" t="s">
        <v>702</v>
      </c>
      <c r="F2718" s="30">
        <v>0.12</v>
      </c>
      <c r="G2718" s="31"/>
      <c r="H2718" s="31"/>
      <c r="I2718" s="31"/>
      <c r="J2718" s="31"/>
    </row>
    <row r="2719" spans="1:10" ht="14.4" x14ac:dyDescent="0.3">
      <c r="A2719" s="28" t="str">
        <f>B2719&amp;C2719&amp;D2719&amp;E2719</f>
        <v>Детские товарыДетская комнатаЗащита и безопасностьРадионяня</v>
      </c>
      <c r="B2719" s="29" t="s">
        <v>105</v>
      </c>
      <c r="C2719" s="29" t="s">
        <v>397</v>
      </c>
      <c r="D2719" s="29" t="s">
        <v>398</v>
      </c>
      <c r="E2719" s="29" t="s">
        <v>755</v>
      </c>
      <c r="F2719" s="30">
        <v>0.12</v>
      </c>
      <c r="G2719" s="31"/>
      <c r="H2719" s="31"/>
      <c r="I2719" s="31"/>
      <c r="J2719" s="31"/>
    </row>
    <row r="2720" spans="1:10" ht="14.4" x14ac:dyDescent="0.3">
      <c r="A2720" s="28" t="str">
        <f>B2720&amp;C2720&amp;D2720&amp;E2720</f>
        <v>ЭлектроникаКомпьютерная техникаКомплектующие для компьютерной техникиЖесткие диски, SSD и сетевые накопители</v>
      </c>
      <c r="B2720" s="29" t="s">
        <v>67</v>
      </c>
      <c r="C2720" s="29" t="s">
        <v>234</v>
      </c>
      <c r="D2720" s="29" t="s">
        <v>898</v>
      </c>
      <c r="E2720" s="29" t="s">
        <v>1078</v>
      </c>
      <c r="F2720" s="30">
        <v>0.12</v>
      </c>
      <c r="G2720" s="31"/>
      <c r="H2720" s="31"/>
      <c r="I2720" s="31"/>
      <c r="J2720" s="31"/>
    </row>
    <row r="2721" spans="1:10" ht="14.4" x14ac:dyDescent="0.3">
      <c r="A2721" s="28" t="str">
        <f>B2721&amp;C2721&amp;D2721&amp;E2721</f>
        <v>ЗоотоварыДля рыб и рептилийКормушкиКормушки</v>
      </c>
      <c r="B2721" s="29" t="s">
        <v>214</v>
      </c>
      <c r="C2721" s="29" t="s">
        <v>265</v>
      </c>
      <c r="D2721" s="29" t="s">
        <v>585</v>
      </c>
      <c r="E2721" s="29" t="s">
        <v>585</v>
      </c>
      <c r="F2721" s="30">
        <v>0.12</v>
      </c>
      <c r="G2721" s="31"/>
      <c r="H2721" s="31"/>
      <c r="I2721" s="31"/>
      <c r="J2721" s="31"/>
    </row>
    <row r="2722" spans="1:10" ht="14.4" x14ac:dyDescent="0.3">
      <c r="A2722" s="28" t="str">
        <f>B2722&amp;C2722&amp;D2722&amp;E2722</f>
        <v>Продукты питанияМакароны, крупы и сухие завтракиКрупы и бобовыеГречка</v>
      </c>
      <c r="B2722" s="29" t="s">
        <v>248</v>
      </c>
      <c r="C2722" s="29" t="s">
        <v>756</v>
      </c>
      <c r="D2722" s="29" t="s">
        <v>1154</v>
      </c>
      <c r="E2722" s="29" t="s">
        <v>1155</v>
      </c>
      <c r="F2722" s="30">
        <v>0.12</v>
      </c>
      <c r="G2722" s="31"/>
      <c r="H2722" s="31"/>
      <c r="I2722" s="31"/>
      <c r="J2722" s="31"/>
    </row>
    <row r="2723" spans="1:10" ht="14.4" x14ac:dyDescent="0.3">
      <c r="A2723" s="28" t="str">
        <f>B2723&amp;C2723&amp;D2723&amp;E2723</f>
        <v>ЗоотоварыДля птицКорма и лакомства для птицЛакомства</v>
      </c>
      <c r="B2723" s="29" t="s">
        <v>214</v>
      </c>
      <c r="C2723" s="29" t="s">
        <v>224</v>
      </c>
      <c r="D2723" s="29" t="s">
        <v>1171</v>
      </c>
      <c r="E2723" s="29" t="s">
        <v>962</v>
      </c>
      <c r="F2723" s="30">
        <v>0.12</v>
      </c>
      <c r="G2723" s="31"/>
      <c r="H2723" s="31"/>
      <c r="I2723" s="31"/>
      <c r="J2723" s="31"/>
    </row>
    <row r="2724" spans="1:10" ht="14.4" x14ac:dyDescent="0.3">
      <c r="A2724" s="28" t="str">
        <f>B2724&amp;C2724&amp;D2724&amp;E2724</f>
        <v>Продукты питанияМакароны, крупы и сухие завтракиКрупы и бобовыеПерловка</v>
      </c>
      <c r="B2724" s="29" t="s">
        <v>248</v>
      </c>
      <c r="C2724" s="29" t="s">
        <v>756</v>
      </c>
      <c r="D2724" s="29" t="s">
        <v>1154</v>
      </c>
      <c r="E2724" s="29" t="s">
        <v>1177</v>
      </c>
      <c r="F2724" s="30">
        <v>0.12</v>
      </c>
      <c r="G2724" s="31"/>
      <c r="H2724" s="31"/>
      <c r="I2724" s="31"/>
      <c r="J2724" s="31"/>
    </row>
    <row r="2725" spans="1:10" ht="14.4" x14ac:dyDescent="0.3">
      <c r="A2725" s="28" t="str">
        <f>B2725&amp;C2725&amp;D2725&amp;E2725</f>
        <v>ЗоотоварыВетаптекаВитамины и добавки для животныхВитамины</v>
      </c>
      <c r="B2725" s="29" t="s">
        <v>214</v>
      </c>
      <c r="C2725" s="29" t="s">
        <v>1249</v>
      </c>
      <c r="D2725" s="29" t="s">
        <v>1250</v>
      </c>
      <c r="E2725" s="29" t="s">
        <v>1251</v>
      </c>
      <c r="F2725" s="30">
        <v>0.12</v>
      </c>
      <c r="G2725" s="31"/>
      <c r="H2725" s="31"/>
      <c r="I2725" s="31"/>
      <c r="J2725" s="31"/>
    </row>
    <row r="2726" spans="1:10" ht="14.4" x14ac:dyDescent="0.3">
      <c r="A2726" s="28" t="str">
        <f>B2726&amp;C2726&amp;D2726&amp;E2726</f>
        <v>ЗоотоварыДля сельскохозяйственных животныхИнкубаторы для яицИнкубаторы для яиц</v>
      </c>
      <c r="B2726" s="29" t="s">
        <v>214</v>
      </c>
      <c r="C2726" s="29" t="s">
        <v>316</v>
      </c>
      <c r="D2726" s="29" t="s">
        <v>1411</v>
      </c>
      <c r="E2726" s="29" t="s">
        <v>1411</v>
      </c>
      <c r="F2726" s="30">
        <v>0.12</v>
      </c>
      <c r="G2726" s="31"/>
      <c r="H2726" s="31"/>
      <c r="I2726" s="31"/>
      <c r="J2726" s="31"/>
    </row>
    <row r="2727" spans="1:10" ht="14.4" x14ac:dyDescent="0.3">
      <c r="A2727" s="28" t="str">
        <f>B2727&amp;C2727&amp;D2727&amp;E2727</f>
        <v>ЗоотоварыДля рыб и рептилийКормаКорма</v>
      </c>
      <c r="B2727" s="29" t="s">
        <v>214</v>
      </c>
      <c r="C2727" s="29" t="s">
        <v>265</v>
      </c>
      <c r="D2727" s="29" t="s">
        <v>217</v>
      </c>
      <c r="E2727" s="29" t="s">
        <v>217</v>
      </c>
      <c r="F2727" s="30">
        <v>0.12</v>
      </c>
      <c r="G2727" s="31"/>
      <c r="H2727" s="31"/>
      <c r="I2727" s="31"/>
      <c r="J2727" s="31"/>
    </row>
    <row r="2728" spans="1:10" ht="14.4" x14ac:dyDescent="0.3">
      <c r="A2728" s="28" t="str">
        <f>B2728&amp;C2728&amp;D2728&amp;E2728</f>
        <v>Строительство и ремонтИнструментыСварочное оборудованиеСварочные аппараты</v>
      </c>
      <c r="B2728" s="29" t="s">
        <v>77</v>
      </c>
      <c r="C2728" s="29" t="s">
        <v>78</v>
      </c>
      <c r="D2728" s="29" t="s">
        <v>79</v>
      </c>
      <c r="E2728" s="29" t="s">
        <v>1458</v>
      </c>
      <c r="F2728" s="30">
        <v>0.12</v>
      </c>
      <c r="G2728" s="31"/>
      <c r="H2728" s="31"/>
      <c r="I2728" s="31"/>
      <c r="J2728" s="31"/>
    </row>
    <row r="2729" spans="1:10" ht="14.4" x14ac:dyDescent="0.3">
      <c r="A2729" s="28" t="str">
        <f>B2729&amp;C2729&amp;D2729&amp;E2729</f>
        <v>ЗоотоварыДля грызуновКорма и лакомства для грызуновЛакомства</v>
      </c>
      <c r="B2729" s="29" t="s">
        <v>214</v>
      </c>
      <c r="C2729" s="29" t="s">
        <v>215</v>
      </c>
      <c r="D2729" s="29" t="s">
        <v>216</v>
      </c>
      <c r="E2729" s="29" t="s">
        <v>962</v>
      </c>
      <c r="F2729" s="30">
        <v>0.12</v>
      </c>
      <c r="G2729" s="31"/>
      <c r="H2729" s="31"/>
      <c r="I2729" s="31"/>
      <c r="J2729" s="31"/>
    </row>
    <row r="2730" spans="1:10" ht="14.4" x14ac:dyDescent="0.3">
      <c r="A2730" s="28" t="str">
        <f>B2730&amp;C2730&amp;D2730&amp;E2730</f>
        <v>ЗоотоварыДля грызуновМиски, поилки и кормушки для грызуновМиски, поилки</v>
      </c>
      <c r="B2730" s="29" t="s">
        <v>214</v>
      </c>
      <c r="C2730" s="29" t="s">
        <v>215</v>
      </c>
      <c r="D2730" s="29" t="s">
        <v>584</v>
      </c>
      <c r="E2730" s="29" t="s">
        <v>1536</v>
      </c>
      <c r="F2730" s="30">
        <v>0.12</v>
      </c>
      <c r="G2730" s="31"/>
      <c r="H2730" s="31"/>
      <c r="I2730" s="31"/>
      <c r="J2730" s="31"/>
    </row>
    <row r="2731" spans="1:10" ht="14.4" x14ac:dyDescent="0.3">
      <c r="A2731" s="28" t="str">
        <f>B2731&amp;C2731&amp;D2731&amp;E2731</f>
        <v>АвтотоварыАвтозапчастиСистема питанияСистема питания</v>
      </c>
      <c r="B2731" s="29" t="s">
        <v>12</v>
      </c>
      <c r="C2731" s="29" t="s">
        <v>978</v>
      </c>
      <c r="D2731" s="29" t="s">
        <v>1544</v>
      </c>
      <c r="E2731" s="29" t="s">
        <v>1544</v>
      </c>
      <c r="F2731" s="30">
        <v>0.12</v>
      </c>
      <c r="G2731" s="31"/>
      <c r="H2731" s="31"/>
      <c r="I2731" s="31"/>
      <c r="J2731" s="31"/>
    </row>
    <row r="2732" spans="1:10" ht="14.4" x14ac:dyDescent="0.3">
      <c r="A2732" s="28" t="str">
        <f>B2732&amp;C2732&amp;D2732&amp;E2732</f>
        <v>Бытовая техникаТехника для домаПылесосы и аксессуарыЭлектровеники</v>
      </c>
      <c r="B2732" s="29" t="s">
        <v>160</v>
      </c>
      <c r="C2732" s="29" t="s">
        <v>229</v>
      </c>
      <c r="D2732" s="29" t="s">
        <v>230</v>
      </c>
      <c r="E2732" s="29" t="s">
        <v>1645</v>
      </c>
      <c r="F2732" s="30">
        <v>0.12</v>
      </c>
      <c r="G2732" s="31"/>
      <c r="H2732" s="31"/>
      <c r="I2732" s="31"/>
      <c r="J2732" s="31"/>
    </row>
    <row r="2733" spans="1:10" ht="14.4" x14ac:dyDescent="0.3">
      <c r="A2733" s="28" t="str">
        <f>B2733&amp;C2733&amp;D2733&amp;E2733</f>
        <v>Бытовая техникаТехника для домаПылесосы и аксессуарыРучные пылесосы</v>
      </c>
      <c r="B2733" s="29" t="s">
        <v>160</v>
      </c>
      <c r="C2733" s="29" t="s">
        <v>229</v>
      </c>
      <c r="D2733" s="29" t="s">
        <v>230</v>
      </c>
      <c r="E2733" s="29" t="s">
        <v>1671</v>
      </c>
      <c r="F2733" s="30">
        <v>0.12</v>
      </c>
      <c r="G2733" s="31"/>
      <c r="H2733" s="31"/>
      <c r="I2733" s="31"/>
      <c r="J2733" s="31"/>
    </row>
    <row r="2734" spans="1:10" ht="14.4" x14ac:dyDescent="0.3">
      <c r="A2734" s="28" t="str">
        <f>B2734&amp;C2734&amp;D2734&amp;E2734</f>
        <v>ЗоотоварыВетаптекаСпреиСпреи</v>
      </c>
      <c r="B2734" s="29" t="s">
        <v>214</v>
      </c>
      <c r="C2734" s="29" t="s">
        <v>1249</v>
      </c>
      <c r="D2734" s="29" t="s">
        <v>569</v>
      </c>
      <c r="E2734" s="29" t="s">
        <v>569</v>
      </c>
      <c r="F2734" s="30">
        <v>0.12</v>
      </c>
      <c r="G2734" s="31"/>
      <c r="H2734" s="31"/>
      <c r="I2734" s="31"/>
      <c r="J2734" s="31"/>
    </row>
    <row r="2735" spans="1:10" ht="14.4" x14ac:dyDescent="0.3">
      <c r="A2735" s="28" t="str">
        <f>B2735&amp;C2735&amp;D2735&amp;E2735</f>
        <v>Продукты питанияМакароны, крупы и сухие завтракиКрупы и бобовыеРис</v>
      </c>
      <c r="B2735" s="29" t="s">
        <v>248</v>
      </c>
      <c r="C2735" s="29" t="s">
        <v>756</v>
      </c>
      <c r="D2735" s="29" t="s">
        <v>1154</v>
      </c>
      <c r="E2735" s="29" t="s">
        <v>1713</v>
      </c>
      <c r="F2735" s="30">
        <v>0.12</v>
      </c>
      <c r="G2735" s="31"/>
      <c r="H2735" s="31"/>
      <c r="I2735" s="31"/>
      <c r="J2735" s="31"/>
    </row>
    <row r="2736" spans="1:10" ht="14.4" x14ac:dyDescent="0.3">
      <c r="A2736" s="28" t="str">
        <f>B2736&amp;C2736&amp;D2736&amp;E2736</f>
        <v>ЗоотоварыВетаптекаСредства от блох и клещейСредства от блох и клещей</v>
      </c>
      <c r="B2736" s="29" t="s">
        <v>214</v>
      </c>
      <c r="C2736" s="29" t="s">
        <v>1249</v>
      </c>
      <c r="D2736" s="29" t="s">
        <v>1755</v>
      </c>
      <c r="E2736" s="29" t="s">
        <v>1755</v>
      </c>
      <c r="F2736" s="30">
        <v>0.12</v>
      </c>
      <c r="G2736" s="31"/>
      <c r="H2736" s="31"/>
      <c r="I2736" s="31"/>
      <c r="J2736" s="31"/>
    </row>
    <row r="2737" spans="1:10" ht="14.4" x14ac:dyDescent="0.3">
      <c r="A2737" s="28" t="str">
        <f>B2737&amp;C2737&amp;D2737&amp;E2737</f>
        <v>ЗоотоварыДля грызуновКлетки и домикиДомики</v>
      </c>
      <c r="B2737" s="29" t="s">
        <v>214</v>
      </c>
      <c r="C2737" s="29" t="s">
        <v>215</v>
      </c>
      <c r="D2737" s="29" t="s">
        <v>1165</v>
      </c>
      <c r="E2737" s="29" t="s">
        <v>722</v>
      </c>
      <c r="F2737" s="30">
        <v>0.12</v>
      </c>
      <c r="G2737" s="31"/>
      <c r="H2737" s="31"/>
      <c r="I2737" s="31"/>
      <c r="J2737" s="31"/>
    </row>
    <row r="2738" spans="1:10" ht="14.4" x14ac:dyDescent="0.3">
      <c r="A2738" s="28" t="str">
        <f>B2738&amp;C2738&amp;D2738&amp;E2738</f>
        <v>Бытовая техникаТехника для домаПылесосы и аксессуарыВертикальные пылесосы</v>
      </c>
      <c r="B2738" s="29" t="s">
        <v>160</v>
      </c>
      <c r="C2738" s="29" t="s">
        <v>229</v>
      </c>
      <c r="D2738" s="29" t="s">
        <v>230</v>
      </c>
      <c r="E2738" s="29" t="s">
        <v>1778</v>
      </c>
      <c r="F2738" s="30">
        <v>0.12</v>
      </c>
      <c r="G2738" s="31"/>
      <c r="H2738" s="31"/>
      <c r="I2738" s="31"/>
      <c r="J2738" s="31"/>
    </row>
    <row r="2739" spans="1:10" ht="14.4" x14ac:dyDescent="0.3">
      <c r="A2739" s="28" t="str">
        <f>B2739&amp;C2739&amp;D2739&amp;E2739</f>
        <v>ЗоотоварыДля собакКорма и ЛакомстваВлажные корма</v>
      </c>
      <c r="B2739" s="29" t="s">
        <v>214</v>
      </c>
      <c r="C2739" s="29" t="s">
        <v>509</v>
      </c>
      <c r="D2739" s="29" t="s">
        <v>658</v>
      </c>
      <c r="E2739" s="29" t="s">
        <v>285</v>
      </c>
      <c r="F2739" s="30">
        <v>0.12</v>
      </c>
      <c r="G2739" s="31"/>
      <c r="H2739" s="31"/>
      <c r="I2739" s="31"/>
      <c r="J2739" s="31"/>
    </row>
    <row r="2740" spans="1:10" ht="14.4" x14ac:dyDescent="0.3">
      <c r="A2740" s="28" t="str">
        <f>B2740&amp;C2740&amp;D2740&amp;E2740</f>
        <v>АвтотоварыАвтозапчастиКузовные запчастиКузовные запчасти</v>
      </c>
      <c r="B2740" s="29" t="s">
        <v>12</v>
      </c>
      <c r="C2740" s="29" t="s">
        <v>978</v>
      </c>
      <c r="D2740" s="29" t="s">
        <v>1866</v>
      </c>
      <c r="E2740" s="29" t="s">
        <v>1866</v>
      </c>
      <c r="F2740" s="30">
        <v>0.12</v>
      </c>
      <c r="G2740" s="31"/>
      <c r="H2740" s="31"/>
      <c r="I2740" s="31"/>
      <c r="J2740" s="31"/>
    </row>
    <row r="2741" spans="1:10" ht="14.4" x14ac:dyDescent="0.3">
      <c r="A2741" s="28" t="str">
        <f>B2741&amp;C2741&amp;D2741&amp;E2741</f>
        <v>АвтотоварыАвтозапчастиПодшипникиПодшипники</v>
      </c>
      <c r="B2741" s="29" t="s">
        <v>12</v>
      </c>
      <c r="C2741" s="29" t="s">
        <v>978</v>
      </c>
      <c r="D2741" s="29" t="s">
        <v>1885</v>
      </c>
      <c r="E2741" s="29" t="s">
        <v>1885</v>
      </c>
      <c r="F2741" s="30">
        <v>0.12</v>
      </c>
      <c r="G2741" s="31"/>
      <c r="H2741" s="31"/>
      <c r="I2741" s="31"/>
      <c r="J2741" s="31"/>
    </row>
    <row r="2742" spans="1:10" ht="14.4" x14ac:dyDescent="0.3">
      <c r="A2742" s="28" t="str">
        <f>B2742&amp;C2742&amp;D2742&amp;E2742</f>
        <v>Продукты питанияМакароны, крупы и сухие завтракиКрупы и бобовыеБобовые</v>
      </c>
      <c r="B2742" s="29" t="s">
        <v>248</v>
      </c>
      <c r="C2742" s="29" t="s">
        <v>756</v>
      </c>
      <c r="D2742" s="29" t="s">
        <v>1154</v>
      </c>
      <c r="E2742" s="29" t="s">
        <v>1901</v>
      </c>
      <c r="F2742" s="30">
        <v>0.12</v>
      </c>
      <c r="G2742" s="31"/>
      <c r="H2742" s="31"/>
      <c r="I2742" s="31"/>
      <c r="J2742" s="31"/>
    </row>
    <row r="2743" spans="1:10" ht="14.4" x14ac:dyDescent="0.3">
      <c r="A2743" s="28" t="str">
        <f>B2743&amp;C2743&amp;D2743&amp;E2743</f>
        <v>ЗоотоварыВетаптекаПасты и гелиПасты и гели</v>
      </c>
      <c r="B2743" s="29" t="s">
        <v>214</v>
      </c>
      <c r="C2743" s="29" t="s">
        <v>1249</v>
      </c>
      <c r="D2743" s="29" t="s">
        <v>1990</v>
      </c>
      <c r="E2743" s="29" t="s">
        <v>1990</v>
      </c>
      <c r="F2743" s="30">
        <v>0.12</v>
      </c>
      <c r="G2743" s="31"/>
      <c r="H2743" s="31"/>
      <c r="I2743" s="31"/>
      <c r="J2743" s="31"/>
    </row>
    <row r="2744" spans="1:10" ht="14.4" x14ac:dyDescent="0.3">
      <c r="A2744" s="28" t="str">
        <f>B2744&amp;C2744&amp;D2744&amp;E2744</f>
        <v>Продукты питанияМакароны, крупы и сухие завтракиКрупы и бобовыеБулгур, киноа, кускус</v>
      </c>
      <c r="B2744" s="29" t="s">
        <v>248</v>
      </c>
      <c r="C2744" s="29" t="s">
        <v>756</v>
      </c>
      <c r="D2744" s="29" t="s">
        <v>1154</v>
      </c>
      <c r="E2744" s="29" t="s">
        <v>2081</v>
      </c>
      <c r="F2744" s="30">
        <v>0.12</v>
      </c>
      <c r="G2744" s="31"/>
      <c r="H2744" s="31"/>
      <c r="I2744" s="31"/>
      <c r="J2744" s="31"/>
    </row>
    <row r="2745" spans="1:10" ht="14.4" x14ac:dyDescent="0.3">
      <c r="A2745" s="28" t="str">
        <f>B2745&amp;C2745&amp;D2745&amp;E2745</f>
        <v>ЗоотоварыДля грызуновИгрушкиИгрушки</v>
      </c>
      <c r="B2745" s="29" t="s">
        <v>214</v>
      </c>
      <c r="C2745" s="29" t="s">
        <v>215</v>
      </c>
      <c r="D2745" s="29" t="s">
        <v>1609</v>
      </c>
      <c r="E2745" s="29" t="s">
        <v>1609</v>
      </c>
      <c r="F2745" s="30">
        <v>0.12</v>
      </c>
      <c r="G2745" s="31"/>
      <c r="H2745" s="31"/>
      <c r="I2745" s="31"/>
      <c r="J2745" s="31"/>
    </row>
    <row r="2746" spans="1:10" ht="14.4" x14ac:dyDescent="0.3">
      <c r="A2746" s="28" t="str">
        <f>B2746&amp;C2746&amp;D2746&amp;E2746</f>
        <v>АвтотоварыАвтозапчастиЗапчасти для ТОЗапчасти для ТО</v>
      </c>
      <c r="B2746" s="29" t="s">
        <v>12</v>
      </c>
      <c r="C2746" s="29" t="s">
        <v>978</v>
      </c>
      <c r="D2746" s="29" t="s">
        <v>2145</v>
      </c>
      <c r="E2746" s="29" t="s">
        <v>2145</v>
      </c>
      <c r="F2746" s="30">
        <v>0.12</v>
      </c>
      <c r="G2746" s="31"/>
      <c r="H2746" s="31"/>
      <c r="I2746" s="31"/>
      <c r="J2746" s="31"/>
    </row>
    <row r="2747" spans="1:10" ht="14.4" x14ac:dyDescent="0.3">
      <c r="A2747" s="28" t="str">
        <f>B2747&amp;C2747&amp;D2747&amp;E2747</f>
        <v>Продукты питанияМакароны, крупы и сухие завтракиКрупы и бобовыеОвсяная</v>
      </c>
      <c r="B2747" s="29" t="s">
        <v>248</v>
      </c>
      <c r="C2747" s="29" t="s">
        <v>756</v>
      </c>
      <c r="D2747" s="29" t="s">
        <v>1154</v>
      </c>
      <c r="E2747" s="29" t="s">
        <v>2181</v>
      </c>
      <c r="F2747" s="30">
        <v>0.12</v>
      </c>
      <c r="G2747" s="31"/>
      <c r="H2747" s="31"/>
      <c r="I2747" s="31"/>
      <c r="J2747" s="31"/>
    </row>
    <row r="2748" spans="1:10" ht="14.4" x14ac:dyDescent="0.3">
      <c r="A2748" s="28" t="str">
        <f>B2748&amp;C2748&amp;D2748&amp;E2748</f>
        <v>Продукты питанияМакароны, крупы и сухие завтракиКрупы и бобовыеПшено</v>
      </c>
      <c r="B2748" s="29" t="s">
        <v>248</v>
      </c>
      <c r="C2748" s="29" t="s">
        <v>756</v>
      </c>
      <c r="D2748" s="29" t="s">
        <v>1154</v>
      </c>
      <c r="E2748" s="29" t="s">
        <v>2187</v>
      </c>
      <c r="F2748" s="30">
        <v>0.12</v>
      </c>
      <c r="G2748" s="31"/>
      <c r="H2748" s="31"/>
      <c r="I2748" s="31"/>
      <c r="J2748" s="31"/>
    </row>
    <row r="2749" spans="1:10" ht="14.4" x14ac:dyDescent="0.3">
      <c r="A2749" s="28" t="str">
        <f>B2749&amp;C2749&amp;D2749&amp;E2749</f>
        <v>ЗоотоварыДля птицСкворечники и гнездаСкворечники и гнезда</v>
      </c>
      <c r="B2749" s="29" t="s">
        <v>214</v>
      </c>
      <c r="C2749" s="29" t="s">
        <v>224</v>
      </c>
      <c r="D2749" s="29" t="s">
        <v>2225</v>
      </c>
      <c r="E2749" s="29" t="s">
        <v>2225</v>
      </c>
      <c r="F2749" s="30">
        <v>0.12</v>
      </c>
      <c r="G2749" s="31"/>
      <c r="H2749" s="31"/>
      <c r="I2749" s="31"/>
      <c r="J2749" s="31"/>
    </row>
    <row r="2750" spans="1:10" ht="14.4" x14ac:dyDescent="0.3">
      <c r="A2750" s="28" t="str">
        <f>B2750&amp;C2750&amp;D2750&amp;E2750</f>
        <v>ЗоотоварыВетаптекаСуспензииСуспензии</v>
      </c>
      <c r="B2750" s="29" t="s">
        <v>214</v>
      </c>
      <c r="C2750" s="29" t="s">
        <v>1249</v>
      </c>
      <c r="D2750" s="29" t="s">
        <v>2249</v>
      </c>
      <c r="E2750" s="29" t="s">
        <v>2249</v>
      </c>
      <c r="F2750" s="30">
        <v>0.12</v>
      </c>
      <c r="G2750" s="31"/>
      <c r="H2750" s="31"/>
      <c r="I2750" s="31"/>
      <c r="J2750" s="31"/>
    </row>
    <row r="2751" spans="1:10" ht="14.4" x14ac:dyDescent="0.3">
      <c r="A2751" s="28" t="str">
        <f>B2751&amp;C2751&amp;D2751&amp;E2751</f>
        <v>АвтотоварыАвтозапчастиОтопитель и кондиционированиеОтопитель и кондиционирование</v>
      </c>
      <c r="B2751" s="29" t="s">
        <v>12</v>
      </c>
      <c r="C2751" s="29" t="s">
        <v>978</v>
      </c>
      <c r="D2751" s="29" t="s">
        <v>2274</v>
      </c>
      <c r="E2751" s="29" t="s">
        <v>2274</v>
      </c>
      <c r="F2751" s="30">
        <v>0.12</v>
      </c>
      <c r="G2751" s="31"/>
      <c r="H2751" s="31"/>
      <c r="I2751" s="31"/>
      <c r="J2751" s="31"/>
    </row>
    <row r="2752" spans="1:10" ht="14.4" x14ac:dyDescent="0.3">
      <c r="A2752" s="28" t="str">
        <f>B2752&amp;C2752&amp;D2752&amp;E2752</f>
        <v>ЗоотоварыДля птицКорма и лакомства для птицМинеральные камни</v>
      </c>
      <c r="B2752" s="29" t="s">
        <v>214</v>
      </c>
      <c r="C2752" s="29" t="s">
        <v>224</v>
      </c>
      <c r="D2752" s="29" t="s">
        <v>1171</v>
      </c>
      <c r="E2752" s="29" t="s">
        <v>1194</v>
      </c>
      <c r="F2752" s="30">
        <v>0.12</v>
      </c>
      <c r="G2752" s="31"/>
      <c r="H2752" s="31"/>
      <c r="I2752" s="31"/>
      <c r="J2752" s="31"/>
    </row>
    <row r="2753" spans="1:10" ht="14.4" x14ac:dyDescent="0.3">
      <c r="A2753" s="28" t="str">
        <f>B2753&amp;C2753&amp;D2753&amp;E2753</f>
        <v>ЗоотоварыДля птицКорма и лакомства для птицКорма</v>
      </c>
      <c r="B2753" s="29" t="s">
        <v>214</v>
      </c>
      <c r="C2753" s="29" t="s">
        <v>224</v>
      </c>
      <c r="D2753" s="29" t="s">
        <v>1171</v>
      </c>
      <c r="E2753" s="29" t="s">
        <v>217</v>
      </c>
      <c r="F2753" s="30">
        <v>0.12</v>
      </c>
      <c r="G2753" s="31"/>
      <c r="H2753" s="31"/>
      <c r="I2753" s="31"/>
      <c r="J2753" s="31"/>
    </row>
    <row r="2754" spans="1:10" ht="14.4" x14ac:dyDescent="0.3">
      <c r="A2754" s="28" t="str">
        <f>B2754&amp;C2754&amp;D2754&amp;E2754</f>
        <v>ЗоотоварыВетаптекаВоротники и лечебные ошейникиВоротники</v>
      </c>
      <c r="B2754" s="29" t="s">
        <v>214</v>
      </c>
      <c r="C2754" s="29" t="s">
        <v>1249</v>
      </c>
      <c r="D2754" s="29" t="s">
        <v>2327</v>
      </c>
      <c r="E2754" s="29" t="s">
        <v>2328</v>
      </c>
      <c r="F2754" s="30">
        <v>0.12</v>
      </c>
      <c r="G2754" s="31"/>
      <c r="H2754" s="31"/>
      <c r="I2754" s="31"/>
      <c r="J2754" s="31"/>
    </row>
    <row r="2755" spans="1:10" ht="14.4" x14ac:dyDescent="0.3">
      <c r="A2755" s="28" t="str">
        <f>B2755&amp;C2755&amp;D2755&amp;E2755</f>
        <v>Продукты питанияМакароны, крупы и сухие завтракиМакароныМакароны</v>
      </c>
      <c r="B2755" s="29" t="s">
        <v>248</v>
      </c>
      <c r="C2755" s="29" t="s">
        <v>756</v>
      </c>
      <c r="D2755" s="29" t="s">
        <v>2333</v>
      </c>
      <c r="E2755" s="29" t="s">
        <v>2333</v>
      </c>
      <c r="F2755" s="30">
        <v>0.12</v>
      </c>
      <c r="G2755" s="31"/>
      <c r="H2755" s="31"/>
      <c r="I2755" s="31"/>
      <c r="J2755" s="31"/>
    </row>
    <row r="2756" spans="1:10" ht="14.4" x14ac:dyDescent="0.3">
      <c r="A2756" s="28" t="str">
        <f>B2756&amp;C2756&amp;D2756&amp;E2756</f>
        <v>ЗоотоварыДля рыб и рептилийАквариумы и аксессуарыАквариумы и аксессуары</v>
      </c>
      <c r="B2756" s="29" t="s">
        <v>214</v>
      </c>
      <c r="C2756" s="29" t="s">
        <v>265</v>
      </c>
      <c r="D2756" s="29" t="s">
        <v>2380</v>
      </c>
      <c r="E2756" s="29" t="s">
        <v>2380</v>
      </c>
      <c r="F2756" s="30">
        <v>0.12</v>
      </c>
      <c r="G2756" s="31"/>
      <c r="H2756" s="31"/>
      <c r="I2756" s="31"/>
      <c r="J2756" s="31"/>
    </row>
    <row r="2757" spans="1:10" ht="14.4" x14ac:dyDescent="0.3">
      <c r="A2757" s="28" t="str">
        <f>B2757&amp;C2757&amp;D2757&amp;E2757</f>
        <v>ЗоотоварыДля сельскохозяйственных животныхДля с/х птицДля с/х птиц</v>
      </c>
      <c r="B2757" s="29" t="s">
        <v>214</v>
      </c>
      <c r="C2757" s="29" t="s">
        <v>316</v>
      </c>
      <c r="D2757" s="29" t="s">
        <v>2440</v>
      </c>
      <c r="E2757" s="29" t="s">
        <v>2440</v>
      </c>
      <c r="F2757" s="30">
        <v>0.12</v>
      </c>
      <c r="G2757" s="31"/>
      <c r="H2757" s="31"/>
      <c r="I2757" s="31"/>
      <c r="J2757" s="31"/>
    </row>
    <row r="2758" spans="1:10" ht="14.4" x14ac:dyDescent="0.3">
      <c r="A2758" s="28" t="str">
        <f>B2758&amp;C2758&amp;D2758&amp;E2758</f>
        <v>Бытовая техникаТехника для домаПылесосы и аксессуарыПылесосы</v>
      </c>
      <c r="B2758" s="29" t="s">
        <v>160</v>
      </c>
      <c r="C2758" s="29" t="s">
        <v>229</v>
      </c>
      <c r="D2758" s="29" t="s">
        <v>230</v>
      </c>
      <c r="E2758" s="29" t="s">
        <v>2460</v>
      </c>
      <c r="F2758" s="30">
        <v>0.12</v>
      </c>
      <c r="G2758" s="31"/>
      <c r="H2758" s="31"/>
      <c r="I2758" s="31"/>
      <c r="J2758" s="31"/>
    </row>
    <row r="2759" spans="1:10" ht="14.4" x14ac:dyDescent="0.3">
      <c r="A2759" s="28" t="str">
        <f>B2759&amp;C2759&amp;D2759&amp;E2759</f>
        <v>ЗоотоварыДля грызуновТуалеты и наполнителиТуалеты и наполнители</v>
      </c>
      <c r="B2759" s="29" t="s">
        <v>214</v>
      </c>
      <c r="C2759" s="29" t="s">
        <v>215</v>
      </c>
      <c r="D2759" s="29" t="s">
        <v>2622</v>
      </c>
      <c r="E2759" s="29" t="s">
        <v>2622</v>
      </c>
      <c r="F2759" s="30">
        <v>0.12</v>
      </c>
      <c r="G2759" s="31"/>
      <c r="H2759" s="31"/>
      <c r="I2759" s="31"/>
      <c r="J2759" s="31"/>
    </row>
    <row r="2760" spans="1:10" ht="14.4" x14ac:dyDescent="0.3">
      <c r="A2760" s="28" t="str">
        <f>B2760&amp;C2760&amp;D2760&amp;E2760</f>
        <v>ЗоотоварыВетаптекаТаблетки для животныхТаблетки для животных</v>
      </c>
      <c r="B2760" s="29" t="s">
        <v>214</v>
      </c>
      <c r="C2760" s="29" t="s">
        <v>1249</v>
      </c>
      <c r="D2760" s="29" t="s">
        <v>2627</v>
      </c>
      <c r="E2760" s="29" t="s">
        <v>2627</v>
      </c>
      <c r="F2760" s="30">
        <v>0.12</v>
      </c>
      <c r="G2760" s="31"/>
      <c r="H2760" s="31"/>
      <c r="I2760" s="31"/>
      <c r="J2760" s="31"/>
    </row>
    <row r="2761" spans="1:10" ht="14.4" x14ac:dyDescent="0.3">
      <c r="A2761" s="28" t="str">
        <f>B2761&amp;C2761&amp;D2761&amp;E2761</f>
        <v>ЗоотоварыВетаптекаКапли для животныхКапли для животных</v>
      </c>
      <c r="B2761" s="29" t="s">
        <v>214</v>
      </c>
      <c r="C2761" s="29" t="s">
        <v>1249</v>
      </c>
      <c r="D2761" s="29" t="s">
        <v>2710</v>
      </c>
      <c r="E2761" s="29" t="s">
        <v>2710</v>
      </c>
      <c r="F2761" s="30">
        <v>0.12</v>
      </c>
      <c r="G2761" s="31"/>
      <c r="H2761" s="31"/>
      <c r="I2761" s="31"/>
      <c r="J2761" s="31"/>
    </row>
    <row r="2762" spans="1:10" ht="14.4" x14ac:dyDescent="0.3">
      <c r="A2762" s="28" t="str">
        <f>B2762&amp;C2762&amp;D2762&amp;E2762</f>
        <v>Бытовая техникаТовары для кухниПриготовление кофеКофемашины капсульные</v>
      </c>
      <c r="B2762" s="29" t="s">
        <v>160</v>
      </c>
      <c r="C2762" s="29" t="s">
        <v>60</v>
      </c>
      <c r="D2762" s="29" t="s">
        <v>358</v>
      </c>
      <c r="E2762" s="29" t="s">
        <v>2844</v>
      </c>
      <c r="F2762" s="30">
        <v>0.12</v>
      </c>
      <c r="G2762" s="31"/>
      <c r="H2762" s="31"/>
      <c r="I2762" s="31"/>
      <c r="J2762" s="31"/>
    </row>
    <row r="2763" spans="1:10" ht="14.4" x14ac:dyDescent="0.3">
      <c r="A2763" s="28" t="str">
        <f>B2763&amp;C2763&amp;D2763&amp;E2763</f>
        <v>ЗоотоварыДля кошекКорма и лакомстваАксессуары для кормления</v>
      </c>
      <c r="B2763" s="29" t="s">
        <v>214</v>
      </c>
      <c r="C2763" s="29" t="s">
        <v>283</v>
      </c>
      <c r="D2763" s="29" t="s">
        <v>284</v>
      </c>
      <c r="E2763" s="29" t="s">
        <v>2165</v>
      </c>
      <c r="F2763" s="30">
        <v>0.12</v>
      </c>
      <c r="G2763" s="31"/>
      <c r="H2763" s="31"/>
      <c r="I2763" s="31"/>
      <c r="J2763" s="31"/>
    </row>
    <row r="2764" spans="1:10" ht="14.4" x14ac:dyDescent="0.3">
      <c r="A2764" s="28" t="str">
        <f>B2764&amp;C2764&amp;D2764&amp;E2764</f>
        <v>Продукты питанияМакароны, крупы и сухие завтракиКрупы и бобовыеМанная</v>
      </c>
      <c r="B2764" s="29" t="s">
        <v>248</v>
      </c>
      <c r="C2764" s="29" t="s">
        <v>756</v>
      </c>
      <c r="D2764" s="29" t="s">
        <v>1154</v>
      </c>
      <c r="E2764" s="29" t="s">
        <v>2969</v>
      </c>
      <c r="F2764" s="30">
        <v>0.12</v>
      </c>
      <c r="G2764" s="31"/>
      <c r="H2764" s="31"/>
      <c r="I2764" s="31"/>
      <c r="J2764" s="31"/>
    </row>
    <row r="2765" spans="1:10" ht="14.4" x14ac:dyDescent="0.3">
      <c r="A2765" s="28" t="str">
        <f>B2765&amp;C2765&amp;D2765&amp;E2765</f>
        <v>ЗоотоварыВетаптекаВоротники и лечебные ошейникиЛечебные ошейники</v>
      </c>
      <c r="B2765" s="29" t="s">
        <v>214</v>
      </c>
      <c r="C2765" s="29" t="s">
        <v>1249</v>
      </c>
      <c r="D2765" s="29" t="s">
        <v>2327</v>
      </c>
      <c r="E2765" s="29" t="s">
        <v>3000</v>
      </c>
      <c r="F2765" s="30">
        <v>0.12</v>
      </c>
      <c r="G2765" s="31"/>
      <c r="H2765" s="31"/>
      <c r="I2765" s="31"/>
      <c r="J2765" s="31"/>
    </row>
    <row r="2766" spans="1:10" ht="14.4" x14ac:dyDescent="0.3">
      <c r="A2766" s="28" t="str">
        <f>B2766&amp;C2766&amp;D2766&amp;E2766</f>
        <v>Бытовая техникаТехника для домаПылесосы и аксессуарыМоющие пылесосы</v>
      </c>
      <c r="B2766" s="29" t="s">
        <v>160</v>
      </c>
      <c r="C2766" s="29" t="s">
        <v>229</v>
      </c>
      <c r="D2766" s="29" t="s">
        <v>230</v>
      </c>
      <c r="E2766" s="29" t="s">
        <v>3004</v>
      </c>
      <c r="F2766" s="30">
        <v>0.12</v>
      </c>
      <c r="G2766" s="31"/>
      <c r="H2766" s="31"/>
      <c r="I2766" s="31"/>
      <c r="J2766" s="31"/>
    </row>
    <row r="2767" spans="1:10" ht="14.4" x14ac:dyDescent="0.3">
      <c r="A2767" s="28" t="str">
        <f>B2767&amp;C2767&amp;D2767&amp;E2767</f>
        <v>ЗоотоварыВетаптекаБинты и бандажиБинты и бандажи</v>
      </c>
      <c r="B2767" s="29" t="s">
        <v>214</v>
      </c>
      <c r="C2767" s="29" t="s">
        <v>1249</v>
      </c>
      <c r="D2767" s="29" t="s">
        <v>3051</v>
      </c>
      <c r="E2767" s="29" t="s">
        <v>3051</v>
      </c>
      <c r="F2767" s="30">
        <v>0.12</v>
      </c>
      <c r="G2767" s="31"/>
      <c r="H2767" s="31"/>
      <c r="I2767" s="31"/>
      <c r="J2767" s="31"/>
    </row>
    <row r="2768" spans="1:10" ht="14.4" x14ac:dyDescent="0.3">
      <c r="A2768" s="28" t="str">
        <f>B2768&amp;C2768&amp;D2768&amp;E2768</f>
        <v>Бытовая техникаКрупная бытовая техникаХолодильники и морозильникиХолодильные шкафы</v>
      </c>
      <c r="B2768" s="29" t="s">
        <v>160</v>
      </c>
      <c r="C2768" s="29" t="s">
        <v>338</v>
      </c>
      <c r="D2768" s="29" t="s">
        <v>339</v>
      </c>
      <c r="E2768" s="29" t="s">
        <v>340</v>
      </c>
      <c r="F2768" s="30">
        <v>0.1</v>
      </c>
      <c r="G2768" s="31"/>
      <c r="H2768" s="31"/>
      <c r="I2768" s="31"/>
      <c r="J2768" s="31"/>
    </row>
    <row r="2769" spans="1:10" ht="14.4" x14ac:dyDescent="0.3">
      <c r="A2769" s="28" t="str">
        <f>B2769&amp;C2769&amp;D2769&amp;E2769</f>
        <v>Бытовая техникаТехника для домаШвейные машины и аксессуарыМешкозашивочные машины</v>
      </c>
      <c r="B2769" s="29" t="s">
        <v>160</v>
      </c>
      <c r="C2769" s="29" t="s">
        <v>229</v>
      </c>
      <c r="D2769" s="29" t="s">
        <v>377</v>
      </c>
      <c r="E2769" s="29" t="s">
        <v>378</v>
      </c>
      <c r="F2769" s="30">
        <v>0.1</v>
      </c>
      <c r="G2769" s="31"/>
      <c r="H2769" s="31"/>
      <c r="I2769" s="31"/>
      <c r="J2769" s="31"/>
    </row>
    <row r="2770" spans="1:10" ht="14.4" x14ac:dyDescent="0.3">
      <c r="A2770" s="28" t="str">
        <f>B2770&amp;C2770&amp;D2770&amp;E2770</f>
        <v>Бытовая техникаТехника для домаШвейные машины и аксессуарыОверлоки</v>
      </c>
      <c r="B2770" s="29" t="s">
        <v>160</v>
      </c>
      <c r="C2770" s="29" t="s">
        <v>229</v>
      </c>
      <c r="D2770" s="29" t="s">
        <v>377</v>
      </c>
      <c r="E2770" s="29" t="s">
        <v>421</v>
      </c>
      <c r="F2770" s="30">
        <v>0.1</v>
      </c>
      <c r="G2770" s="31"/>
      <c r="H2770" s="31"/>
      <c r="I2770" s="31"/>
      <c r="J2770" s="31"/>
    </row>
    <row r="2771" spans="1:10" ht="14.4" x14ac:dyDescent="0.3">
      <c r="A2771" s="28" t="str">
        <f>B2771&amp;C2771&amp;D2771&amp;E2771</f>
        <v>Детские товарыГигиена и подгузникиПодгузники и трусикиМногоразовые подгузники и вкладыши</v>
      </c>
      <c r="B2771" s="29" t="s">
        <v>105</v>
      </c>
      <c r="C2771" s="29" t="s">
        <v>106</v>
      </c>
      <c r="D2771" s="29" t="s">
        <v>443</v>
      </c>
      <c r="E2771" s="29" t="s">
        <v>444</v>
      </c>
      <c r="F2771" s="30">
        <v>0.1</v>
      </c>
      <c r="G2771" s="31"/>
      <c r="H2771" s="31"/>
      <c r="I2771" s="31"/>
      <c r="J2771" s="31"/>
    </row>
    <row r="2772" spans="1:10" ht="14.4" x14ac:dyDescent="0.3">
      <c r="A2772" s="28" t="str">
        <f>B2772&amp;C2772&amp;D2772&amp;E2772</f>
        <v>КанцтоварыБумажная продукцияБумага для печатиБумага для печати</v>
      </c>
      <c r="B2772" s="29" t="s">
        <v>163</v>
      </c>
      <c r="C2772" s="29" t="s">
        <v>261</v>
      </c>
      <c r="D2772" s="29" t="s">
        <v>449</v>
      </c>
      <c r="E2772" s="29" t="s">
        <v>449</v>
      </c>
      <c r="F2772" s="30">
        <v>0.1</v>
      </c>
      <c r="G2772" s="31"/>
      <c r="H2772" s="31"/>
      <c r="I2772" s="31"/>
      <c r="J2772" s="31"/>
    </row>
    <row r="2773" spans="1:10" ht="14.4" x14ac:dyDescent="0.3">
      <c r="A2773" s="28" t="str">
        <f>B2773&amp;C2773&amp;D2773&amp;E2773</f>
        <v>Детские товарыГигиена и подгузникиПодгузники и трусикиОдноразовые подгузники и трусики</v>
      </c>
      <c r="B2773" s="29" t="s">
        <v>105</v>
      </c>
      <c r="C2773" s="29" t="s">
        <v>106</v>
      </c>
      <c r="D2773" s="29" t="s">
        <v>443</v>
      </c>
      <c r="E2773" s="29" t="s">
        <v>562</v>
      </c>
      <c r="F2773" s="30">
        <v>0.1</v>
      </c>
      <c r="G2773" s="31"/>
      <c r="H2773" s="31"/>
      <c r="I2773" s="31"/>
      <c r="J2773" s="31"/>
    </row>
    <row r="2774" spans="1:10" ht="14.4" x14ac:dyDescent="0.3">
      <c r="A2774" s="28" t="str">
        <f>B2774&amp;C2774&amp;D2774&amp;E2774</f>
        <v>АвтотоварыАвтозвукКолонки для автоКолонки для авто</v>
      </c>
      <c r="B2774" s="29" t="s">
        <v>12</v>
      </c>
      <c r="C2774" s="29" t="s">
        <v>297</v>
      </c>
      <c r="D2774" s="29" t="s">
        <v>710</v>
      </c>
      <c r="E2774" s="29" t="s">
        <v>710</v>
      </c>
      <c r="F2774" s="30">
        <v>0.1</v>
      </c>
      <c r="G2774" s="31"/>
      <c r="H2774" s="31"/>
      <c r="I2774" s="31"/>
      <c r="J2774" s="31"/>
    </row>
    <row r="2775" spans="1:10" ht="14.4" x14ac:dyDescent="0.3">
      <c r="A2775" s="28" t="str">
        <f>B2775&amp;C2775&amp;D2775&amp;E2775</f>
        <v>ЭлектроникаКомпьютерная техникаКомпьютерная периферияМодемы и мосты</v>
      </c>
      <c r="B2775" s="29" t="s">
        <v>67</v>
      </c>
      <c r="C2775" s="29" t="s">
        <v>234</v>
      </c>
      <c r="D2775" s="29" t="s">
        <v>794</v>
      </c>
      <c r="E2775" s="29" t="s">
        <v>795</v>
      </c>
      <c r="F2775" s="30">
        <v>0.1</v>
      </c>
      <c r="G2775" s="31"/>
      <c r="H2775" s="31"/>
      <c r="I2775" s="31"/>
      <c r="J2775" s="31"/>
    </row>
    <row r="2776" spans="1:10" ht="14.4" x14ac:dyDescent="0.3">
      <c r="A2776" s="28" t="str">
        <f>B2776&amp;C2776&amp;D2776&amp;E2776</f>
        <v>Бытовая техникаТехника для домаАппараты для влажной уборкиПароочистители</v>
      </c>
      <c r="B2776" s="29" t="s">
        <v>160</v>
      </c>
      <c r="C2776" s="29" t="s">
        <v>229</v>
      </c>
      <c r="D2776" s="29" t="s">
        <v>804</v>
      </c>
      <c r="E2776" s="29" t="s">
        <v>805</v>
      </c>
      <c r="F2776" s="30">
        <v>0.1</v>
      </c>
      <c r="G2776" s="31"/>
      <c r="H2776" s="31"/>
      <c r="I2776" s="31"/>
      <c r="J2776" s="31"/>
    </row>
    <row r="2777" spans="1:10" ht="14.4" x14ac:dyDescent="0.3">
      <c r="A2777" s="28" t="str">
        <f>B2777&amp;C2777&amp;D2777&amp;E2777</f>
        <v>Спорт и отдыхЭлектротранспортГироскутеры и гиророликиГироскутеры и гироролики</v>
      </c>
      <c r="B2777" s="29" t="s">
        <v>101</v>
      </c>
      <c r="C2777" s="29" t="s">
        <v>822</v>
      </c>
      <c r="D2777" s="29" t="s">
        <v>823</v>
      </c>
      <c r="E2777" s="29" t="s">
        <v>823</v>
      </c>
      <c r="F2777" s="30">
        <v>0.1</v>
      </c>
      <c r="G2777" s="31"/>
      <c r="H2777" s="31"/>
      <c r="I2777" s="31"/>
      <c r="J2777" s="31"/>
    </row>
    <row r="2778" spans="1:10" ht="14.4" x14ac:dyDescent="0.3">
      <c r="A2778" s="28" t="str">
        <f>B2778&amp;C2778&amp;D2778&amp;E2778</f>
        <v>Дача, сад и огородСадовая техникаКультиваторы и мотоблокиМотоблоки</v>
      </c>
      <c r="B2778" s="29" t="s">
        <v>352</v>
      </c>
      <c r="C2778" s="29" t="s">
        <v>839</v>
      </c>
      <c r="D2778" s="29" t="s">
        <v>840</v>
      </c>
      <c r="E2778" s="29" t="s">
        <v>841</v>
      </c>
      <c r="F2778" s="30">
        <v>0.1</v>
      </c>
      <c r="G2778" s="31"/>
      <c r="H2778" s="31"/>
      <c r="I2778" s="31"/>
      <c r="J2778" s="31"/>
    </row>
    <row r="2779" spans="1:10" ht="14.4" x14ac:dyDescent="0.3">
      <c r="A2779" s="28" t="str">
        <f>B2779&amp;C2779&amp;D2779&amp;E2779</f>
        <v>Бытовая техникаКрупная бытовая техникаКухонные вытяжкиКухонные вытяжки</v>
      </c>
      <c r="B2779" s="29" t="s">
        <v>160</v>
      </c>
      <c r="C2779" s="29" t="s">
        <v>338</v>
      </c>
      <c r="D2779" s="29" t="s">
        <v>862</v>
      </c>
      <c r="E2779" s="29" t="s">
        <v>862</v>
      </c>
      <c r="F2779" s="30">
        <v>0.1</v>
      </c>
      <c r="G2779" s="31"/>
      <c r="H2779" s="31"/>
      <c r="I2779" s="31"/>
      <c r="J2779" s="31"/>
    </row>
    <row r="2780" spans="1:10" ht="14.4" x14ac:dyDescent="0.3">
      <c r="A2780" s="28" t="str">
        <f>B2780&amp;C2780&amp;D2780&amp;E2780</f>
        <v>Бытовая техникаКлиматическая техникаОчищение и увлажнение воздухаМойки воздуха</v>
      </c>
      <c r="B2780" s="29" t="s">
        <v>160</v>
      </c>
      <c r="C2780" s="29" t="s">
        <v>621</v>
      </c>
      <c r="D2780" s="29" t="s">
        <v>863</v>
      </c>
      <c r="E2780" s="29" t="s">
        <v>864</v>
      </c>
      <c r="F2780" s="30">
        <v>0.1</v>
      </c>
      <c r="G2780" s="31"/>
      <c r="H2780" s="31"/>
      <c r="I2780" s="31"/>
      <c r="J2780" s="31"/>
    </row>
    <row r="2781" spans="1:10" ht="14.4" x14ac:dyDescent="0.3">
      <c r="A2781" s="28" t="str">
        <f>B2781&amp;C2781&amp;D2781&amp;E2781</f>
        <v>ЭлектроникаКомпьютерная техникаКомплектующие для компьютерной техникиВидеокарты и карты видеозахвата</v>
      </c>
      <c r="B2781" s="29" t="s">
        <v>67</v>
      </c>
      <c r="C2781" s="29" t="s">
        <v>234</v>
      </c>
      <c r="D2781" s="29" t="s">
        <v>898</v>
      </c>
      <c r="E2781" s="29" t="s">
        <v>899</v>
      </c>
      <c r="F2781" s="30">
        <v>0.1</v>
      </c>
      <c r="G2781" s="31"/>
      <c r="H2781" s="31"/>
      <c r="I2781" s="31"/>
      <c r="J2781" s="31"/>
    </row>
    <row r="2782" spans="1:10" ht="14.4" x14ac:dyDescent="0.3">
      <c r="A2782" s="28" t="str">
        <f>B2782&amp;C2782&amp;D2782&amp;E2782</f>
        <v>Бытовая техникаТехника для домаАппараты для влажной уборкиПаровые швабры</v>
      </c>
      <c r="B2782" s="29" t="s">
        <v>160</v>
      </c>
      <c r="C2782" s="29" t="s">
        <v>229</v>
      </c>
      <c r="D2782" s="29" t="s">
        <v>804</v>
      </c>
      <c r="E2782" s="29" t="s">
        <v>954</v>
      </c>
      <c r="F2782" s="30">
        <v>0.1</v>
      </c>
      <c r="G2782" s="31"/>
      <c r="H2782" s="31"/>
      <c r="I2782" s="31"/>
      <c r="J2782" s="31"/>
    </row>
    <row r="2783" spans="1:10" ht="14.4" x14ac:dyDescent="0.3">
      <c r="A2783" s="28" t="str">
        <f>B2783&amp;C2783&amp;D2783&amp;E2783</f>
        <v>АвтотоварыАвтозапчастиТопливная системаТопливная система</v>
      </c>
      <c r="B2783" s="29" t="s">
        <v>12</v>
      </c>
      <c r="C2783" s="29" t="s">
        <v>978</v>
      </c>
      <c r="D2783" s="29" t="s">
        <v>979</v>
      </c>
      <c r="E2783" s="29" t="s">
        <v>979</v>
      </c>
      <c r="F2783" s="30">
        <v>0.1</v>
      </c>
      <c r="G2783" s="31"/>
      <c r="H2783" s="31"/>
      <c r="I2783" s="31"/>
      <c r="J2783" s="31"/>
    </row>
    <row r="2784" spans="1:10" ht="14.4" x14ac:dyDescent="0.3">
      <c r="A2784" s="28" t="str">
        <f>B2784&amp;C2784&amp;D2784&amp;E2784</f>
        <v>Бытовая техникаТехника для красотыАппаратная косметологияАппараты для маникюра и педикюра</v>
      </c>
      <c r="B2784" s="29" t="s">
        <v>160</v>
      </c>
      <c r="C2784" s="29" t="s">
        <v>694</v>
      </c>
      <c r="D2784" s="29" t="s">
        <v>987</v>
      </c>
      <c r="E2784" s="29" t="s">
        <v>988</v>
      </c>
      <c r="F2784" s="30">
        <v>0.1</v>
      </c>
      <c r="G2784" s="31"/>
      <c r="H2784" s="31"/>
      <c r="I2784" s="31"/>
      <c r="J2784" s="31"/>
    </row>
    <row r="2785" spans="1:10" ht="14.4" x14ac:dyDescent="0.3">
      <c r="A2785" s="28" t="str">
        <f>B2785&amp;C2785&amp;D2785&amp;E2785</f>
        <v>Спорт и отдыхЭлектротранспортЭлектросамокатыЭлектросамокаты</v>
      </c>
      <c r="B2785" s="29" t="s">
        <v>101</v>
      </c>
      <c r="C2785" s="29" t="s">
        <v>822</v>
      </c>
      <c r="D2785" s="29" t="s">
        <v>1103</v>
      </c>
      <c r="E2785" s="29" t="s">
        <v>1103</v>
      </c>
      <c r="F2785" s="30">
        <v>0.1</v>
      </c>
      <c r="G2785" s="31"/>
      <c r="H2785" s="31"/>
      <c r="I2785" s="31"/>
      <c r="J2785" s="31"/>
    </row>
    <row r="2786" spans="1:10" ht="14.4" x14ac:dyDescent="0.3">
      <c r="A2786" s="28" t="str">
        <f>B2786&amp;C2786&amp;D2786&amp;E2786</f>
        <v>ЭлектроникаНаушники и аудиотехникаАудиотехникаМузыкальные центры</v>
      </c>
      <c r="B2786" s="29" t="s">
        <v>67</v>
      </c>
      <c r="C2786" s="29" t="s">
        <v>74</v>
      </c>
      <c r="D2786" s="29" t="s">
        <v>409</v>
      </c>
      <c r="E2786" s="29" t="s">
        <v>1116</v>
      </c>
      <c r="F2786" s="30">
        <v>0.1</v>
      </c>
      <c r="G2786" s="31"/>
      <c r="H2786" s="31"/>
      <c r="I2786" s="31"/>
      <c r="J2786" s="31"/>
    </row>
    <row r="2787" spans="1:10" ht="14.4" x14ac:dyDescent="0.3">
      <c r="A2787" s="28" t="str">
        <f>B2787&amp;C2787&amp;D2787&amp;E2787</f>
        <v>ЭлектроникаИгровые приставкиПриставкиXbox</v>
      </c>
      <c r="B2787" s="29" t="s">
        <v>67</v>
      </c>
      <c r="C2787" s="29" t="s">
        <v>81</v>
      </c>
      <c r="D2787" s="29" t="s">
        <v>82</v>
      </c>
      <c r="E2787" s="29" t="s">
        <v>22</v>
      </c>
      <c r="F2787" s="30">
        <v>0.1</v>
      </c>
      <c r="G2787" s="31"/>
      <c r="H2787" s="31"/>
      <c r="I2787" s="31"/>
      <c r="J2787" s="31"/>
    </row>
    <row r="2788" spans="1:10" ht="14.4" x14ac:dyDescent="0.3">
      <c r="A2788" s="28" t="str">
        <f>B2788&amp;C2788&amp;D2788&amp;E2788</f>
        <v>Бытовая техникаТехника для домаПылесосы и аксессуарыРоботы-пылесосы</v>
      </c>
      <c r="B2788" s="29" t="s">
        <v>160</v>
      </c>
      <c r="C2788" s="29" t="s">
        <v>229</v>
      </c>
      <c r="D2788" s="29" t="s">
        <v>230</v>
      </c>
      <c r="E2788" s="29" t="s">
        <v>1270</v>
      </c>
      <c r="F2788" s="30">
        <v>0.1</v>
      </c>
      <c r="G2788" s="31"/>
      <c r="H2788" s="31"/>
      <c r="I2788" s="31"/>
      <c r="J2788" s="31"/>
    </row>
    <row r="2789" spans="1:10" ht="14.4" x14ac:dyDescent="0.3">
      <c r="A2789" s="28" t="str">
        <f>B2789&amp;C2789&amp;D2789&amp;E2789</f>
        <v>Бытовая техникаТехника для домаУтюги и отпаривателиПарогенераторы</v>
      </c>
      <c r="B2789" s="29" t="s">
        <v>160</v>
      </c>
      <c r="C2789" s="29" t="s">
        <v>229</v>
      </c>
      <c r="D2789" s="29" t="s">
        <v>473</v>
      </c>
      <c r="E2789" s="29" t="s">
        <v>1342</v>
      </c>
      <c r="F2789" s="30">
        <v>0.1</v>
      </c>
      <c r="G2789" s="31"/>
      <c r="H2789" s="31"/>
      <c r="I2789" s="31"/>
      <c r="J2789" s="31"/>
    </row>
    <row r="2790" spans="1:10" ht="14.4" x14ac:dyDescent="0.3">
      <c r="A2790" s="28" t="str">
        <f>B2790&amp;C2790&amp;D2790&amp;E2790</f>
        <v>АвтотоварыАвтозапчастиРулевое управлениеРулевое управление</v>
      </c>
      <c r="B2790" s="29" t="s">
        <v>12</v>
      </c>
      <c r="C2790" s="29" t="s">
        <v>978</v>
      </c>
      <c r="D2790" s="29" t="s">
        <v>1351</v>
      </c>
      <c r="E2790" s="29" t="s">
        <v>1351</v>
      </c>
      <c r="F2790" s="30">
        <v>0.1</v>
      </c>
      <c r="G2790" s="31"/>
      <c r="H2790" s="31"/>
      <c r="I2790" s="31"/>
      <c r="J2790" s="31"/>
    </row>
    <row r="2791" spans="1:10" ht="14.4" x14ac:dyDescent="0.3">
      <c r="A2791" s="28" t="str">
        <f>B2791&amp;C2791&amp;D2791&amp;E2791</f>
        <v>ЭлектроникаИгровые приставкиПриставкиNintendo</v>
      </c>
      <c r="B2791" s="29" t="s">
        <v>67</v>
      </c>
      <c r="C2791" s="29" t="s">
        <v>81</v>
      </c>
      <c r="D2791" s="29" t="s">
        <v>82</v>
      </c>
      <c r="E2791" s="29" t="s">
        <v>1387</v>
      </c>
      <c r="F2791" s="30">
        <v>0.1</v>
      </c>
      <c r="G2791" s="31"/>
      <c r="H2791" s="31"/>
      <c r="I2791" s="31"/>
      <c r="J2791" s="31"/>
    </row>
    <row r="2792" spans="1:10" ht="14.4" x14ac:dyDescent="0.3">
      <c r="A2792" s="28" t="str">
        <f>B2792&amp;C2792&amp;D2792&amp;E2792</f>
        <v>Спорт и отдыхАктивные виды отдыхаБатутыБатуты</v>
      </c>
      <c r="B2792" s="29" t="s">
        <v>101</v>
      </c>
      <c r="C2792" s="29" t="s">
        <v>941</v>
      </c>
      <c r="D2792" s="29" t="s">
        <v>1438</v>
      </c>
      <c r="E2792" s="29" t="s">
        <v>1438</v>
      </c>
      <c r="F2792" s="30">
        <v>0.1</v>
      </c>
      <c r="G2792" s="31"/>
      <c r="H2792" s="31"/>
      <c r="I2792" s="31"/>
      <c r="J2792" s="31"/>
    </row>
    <row r="2793" spans="1:10" ht="14.4" x14ac:dyDescent="0.3">
      <c r="A2793" s="28" t="str">
        <f>B2793&amp;C2793&amp;D2793&amp;E2793</f>
        <v>Бытовая техникаКрупная бытовая техникаХолодильники и морозильникиХолодильники</v>
      </c>
      <c r="B2793" s="29" t="s">
        <v>160</v>
      </c>
      <c r="C2793" s="29" t="s">
        <v>338</v>
      </c>
      <c r="D2793" s="29" t="s">
        <v>339</v>
      </c>
      <c r="E2793" s="29" t="s">
        <v>19</v>
      </c>
      <c r="F2793" s="30">
        <v>0.1</v>
      </c>
      <c r="G2793" s="31"/>
      <c r="H2793" s="31"/>
      <c r="I2793" s="31"/>
      <c r="J2793" s="31"/>
    </row>
    <row r="2794" spans="1:10" ht="14.4" x14ac:dyDescent="0.3">
      <c r="A2794" s="28" t="str">
        <f>B2794&amp;C2794&amp;D2794&amp;E2794</f>
        <v>АвтотоварыАвтозапчастиПодвескаПодвеска</v>
      </c>
      <c r="B2794" s="29" t="s">
        <v>12</v>
      </c>
      <c r="C2794" s="29" t="s">
        <v>978</v>
      </c>
      <c r="D2794" s="29" t="s">
        <v>1678</v>
      </c>
      <c r="E2794" s="29" t="s">
        <v>1678</v>
      </c>
      <c r="F2794" s="30">
        <v>0.1</v>
      </c>
      <c r="G2794" s="31"/>
      <c r="H2794" s="31"/>
      <c r="I2794" s="31"/>
      <c r="J2794" s="31"/>
    </row>
    <row r="2795" spans="1:10" ht="14.4" x14ac:dyDescent="0.3">
      <c r="A2795" s="28" t="str">
        <f>B2795&amp;C2795&amp;D2795&amp;E2795</f>
        <v>Бытовая техникаКлиматическая техникаКондиционеры и сплит-системыСплит-системы</v>
      </c>
      <c r="B2795" s="29" t="s">
        <v>160</v>
      </c>
      <c r="C2795" s="29" t="s">
        <v>621</v>
      </c>
      <c r="D2795" s="29" t="s">
        <v>1716</v>
      </c>
      <c r="E2795" s="29" t="s">
        <v>1750</v>
      </c>
      <c r="F2795" s="30">
        <v>0.1</v>
      </c>
      <c r="G2795" s="31"/>
      <c r="H2795" s="31"/>
      <c r="I2795" s="31"/>
      <c r="J2795" s="31"/>
    </row>
    <row r="2796" spans="1:10" ht="14.4" x14ac:dyDescent="0.3">
      <c r="A2796" s="28" t="str">
        <f>B2796&amp;C2796&amp;D2796&amp;E2796</f>
        <v>Бытовая техникаКрупная бытовая техникаСтиральные машиныАвтоматические стиральные машины</v>
      </c>
      <c r="B2796" s="29" t="s">
        <v>160</v>
      </c>
      <c r="C2796" s="29" t="s">
        <v>338</v>
      </c>
      <c r="D2796" s="29" t="s">
        <v>1760</v>
      </c>
      <c r="E2796" s="29" t="s">
        <v>1761</v>
      </c>
      <c r="F2796" s="30">
        <v>0.1</v>
      </c>
      <c r="G2796" s="31"/>
      <c r="H2796" s="31"/>
      <c r="I2796" s="31"/>
      <c r="J2796" s="31"/>
    </row>
    <row r="2797" spans="1:10" ht="14.4" x14ac:dyDescent="0.3">
      <c r="A2797" s="28" t="str">
        <f>B2797&amp;C2797&amp;D2797&amp;E2797</f>
        <v>ЭлектроникаНоутбуки, планшеты и электронные книгиПланшеты и электронные книгиПланшеты</v>
      </c>
      <c r="B2797" s="29" t="s">
        <v>67</v>
      </c>
      <c r="C2797" s="29" t="s">
        <v>276</v>
      </c>
      <c r="D2797" s="29" t="s">
        <v>291</v>
      </c>
      <c r="E2797" s="29" t="s">
        <v>1793</v>
      </c>
      <c r="F2797" s="30">
        <v>0.1</v>
      </c>
      <c r="G2797" s="31"/>
      <c r="H2797" s="31"/>
      <c r="I2797" s="31"/>
      <c r="J2797" s="31"/>
    </row>
    <row r="2798" spans="1:10" ht="14.4" x14ac:dyDescent="0.3">
      <c r="A2798" s="28" t="str">
        <f>B2798&amp;C2798&amp;D2798&amp;E2798</f>
        <v>Бытовая техникаТехника для домаШвейные машины и аксессуарыШвейные машины</v>
      </c>
      <c r="B2798" s="29" t="s">
        <v>160</v>
      </c>
      <c r="C2798" s="29" t="s">
        <v>229</v>
      </c>
      <c r="D2798" s="29" t="s">
        <v>377</v>
      </c>
      <c r="E2798" s="29" t="s">
        <v>1896</v>
      </c>
      <c r="F2798" s="30">
        <v>0.1</v>
      </c>
      <c r="G2798" s="31"/>
      <c r="H2798" s="31"/>
      <c r="I2798" s="31"/>
      <c r="J2798" s="31"/>
    </row>
    <row r="2799" spans="1:10" ht="14.4" x14ac:dyDescent="0.3">
      <c r="A2799" s="28" t="str">
        <f>B2799&amp;C2799&amp;D2799&amp;E2799</f>
        <v>АвтотоварыАвтозапчастиТормозная системаТормозная система</v>
      </c>
      <c r="B2799" s="29" t="s">
        <v>12</v>
      </c>
      <c r="C2799" s="29" t="s">
        <v>978</v>
      </c>
      <c r="D2799" s="29" t="s">
        <v>1909</v>
      </c>
      <c r="E2799" s="29" t="s">
        <v>1909</v>
      </c>
      <c r="F2799" s="30">
        <v>0.1</v>
      </c>
      <c r="G2799" s="31"/>
      <c r="H2799" s="31"/>
      <c r="I2799" s="31"/>
      <c r="J2799" s="31"/>
    </row>
    <row r="2800" spans="1:10" ht="14.4" x14ac:dyDescent="0.3">
      <c r="A2800" s="28" t="str">
        <f>B2800&amp;C2800&amp;D2800&amp;E2800</f>
        <v>ЭлектроникаКомпьютерная техникаКомплектующие для компьютерной техникиМатеринские платы</v>
      </c>
      <c r="B2800" s="29" t="s">
        <v>67</v>
      </c>
      <c r="C2800" s="29" t="s">
        <v>234</v>
      </c>
      <c r="D2800" s="29" t="s">
        <v>898</v>
      </c>
      <c r="E2800" s="29" t="s">
        <v>1934</v>
      </c>
      <c r="F2800" s="30">
        <v>0.1</v>
      </c>
      <c r="G2800" s="31"/>
      <c r="H2800" s="31"/>
      <c r="I2800" s="31"/>
      <c r="J2800" s="31"/>
    </row>
    <row r="2801" spans="1:10" ht="14.4" x14ac:dyDescent="0.3">
      <c r="A2801" s="28" t="str">
        <f>B2801&amp;C2801&amp;D2801&amp;E2801</f>
        <v>АвтотоварыАвтозапчастиТрансмиссияТрансмиссия</v>
      </c>
      <c r="B2801" s="29" t="s">
        <v>12</v>
      </c>
      <c r="C2801" s="29" t="s">
        <v>978</v>
      </c>
      <c r="D2801" s="29" t="s">
        <v>1938</v>
      </c>
      <c r="E2801" s="29" t="s">
        <v>1938</v>
      </c>
      <c r="F2801" s="30">
        <v>0.1</v>
      </c>
      <c r="G2801" s="31"/>
      <c r="H2801" s="31"/>
      <c r="I2801" s="31"/>
      <c r="J2801" s="31"/>
    </row>
    <row r="2802" spans="1:10" ht="14.4" x14ac:dyDescent="0.3">
      <c r="A2802" s="28" t="str">
        <f>B2802&amp;C2802&amp;D2802&amp;E2802</f>
        <v>Спорт и отдыхТренажерыСтепперыСтепперы</v>
      </c>
      <c r="B2802" s="29" t="s">
        <v>101</v>
      </c>
      <c r="C2802" s="29" t="s">
        <v>1995</v>
      </c>
      <c r="D2802" s="29" t="s">
        <v>1996</v>
      </c>
      <c r="E2802" s="29" t="s">
        <v>1996</v>
      </c>
      <c r="F2802" s="30">
        <v>0.1</v>
      </c>
      <c r="G2802" s="31"/>
      <c r="H2802" s="31"/>
      <c r="I2802" s="31"/>
      <c r="J2802" s="31"/>
    </row>
    <row r="2803" spans="1:10" ht="14.4" x14ac:dyDescent="0.3">
      <c r="A2803" s="28" t="str">
        <f>B2803&amp;C2803&amp;D2803&amp;E2803</f>
        <v>Бытовая техникаКрупная бытовая техникаСтиральные машиныПолуавтоматические cтиральные машины</v>
      </c>
      <c r="B2803" s="29" t="s">
        <v>160</v>
      </c>
      <c r="C2803" s="29" t="s">
        <v>338</v>
      </c>
      <c r="D2803" s="29" t="s">
        <v>1760</v>
      </c>
      <c r="E2803" s="29" t="s">
        <v>2011</v>
      </c>
      <c r="F2803" s="30">
        <v>0.1</v>
      </c>
      <c r="G2803" s="31"/>
      <c r="H2803" s="31"/>
      <c r="I2803" s="31"/>
      <c r="J2803" s="31"/>
    </row>
    <row r="2804" spans="1:10" ht="14.4" x14ac:dyDescent="0.3">
      <c r="A2804" s="28" t="str">
        <f>B2804&amp;C2804&amp;D2804&amp;E2804</f>
        <v>Бытовая техникаТехника для красотыАппаратная косметологияКосметологические аппараты</v>
      </c>
      <c r="B2804" s="29" t="s">
        <v>160</v>
      </c>
      <c r="C2804" s="29" t="s">
        <v>694</v>
      </c>
      <c r="D2804" s="29" t="s">
        <v>987</v>
      </c>
      <c r="E2804" s="29" t="s">
        <v>2046</v>
      </c>
      <c r="F2804" s="30">
        <v>0.1</v>
      </c>
      <c r="G2804" s="31"/>
      <c r="H2804" s="31"/>
      <c r="I2804" s="31"/>
      <c r="J2804" s="31"/>
    </row>
    <row r="2805" spans="1:10" ht="14.4" x14ac:dyDescent="0.3">
      <c r="A2805" s="28" t="str">
        <f>B2805&amp;C2805&amp;D2805&amp;E2805</f>
        <v>ЭлектроникаКомпьютерная техникаКомплектующие для компьютерной техникиОперативная память</v>
      </c>
      <c r="B2805" s="29" t="s">
        <v>67</v>
      </c>
      <c r="C2805" s="29" t="s">
        <v>234</v>
      </c>
      <c r="D2805" s="29" t="s">
        <v>898</v>
      </c>
      <c r="E2805" s="29" t="s">
        <v>2090</v>
      </c>
      <c r="F2805" s="30">
        <v>0.1</v>
      </c>
      <c r="G2805" s="31"/>
      <c r="H2805" s="31"/>
      <c r="I2805" s="31"/>
      <c r="J2805" s="31"/>
    </row>
    <row r="2806" spans="1:10" ht="14.4" x14ac:dyDescent="0.3">
      <c r="A2806" s="28" t="str">
        <f>B2806&amp;C2806&amp;D2806&amp;E2806</f>
        <v>Бытовая техникаКрупная бытовая техникаПлитыГазовые плиты</v>
      </c>
      <c r="B2806" s="29" t="s">
        <v>160</v>
      </c>
      <c r="C2806" s="29" t="s">
        <v>338</v>
      </c>
      <c r="D2806" s="29" t="s">
        <v>2109</v>
      </c>
      <c r="E2806" s="29" t="s">
        <v>2110</v>
      </c>
      <c r="F2806" s="30">
        <v>0.1</v>
      </c>
      <c r="G2806" s="31"/>
      <c r="H2806" s="31"/>
      <c r="I2806" s="31"/>
      <c r="J2806" s="31"/>
    </row>
    <row r="2807" spans="1:10" ht="14.4" x14ac:dyDescent="0.3">
      <c r="A2807" s="28" t="str">
        <f>B2807&amp;C2807&amp;D2807&amp;E2807</f>
        <v>АвтотоварыЭлектроника для автоРадар-детекторыРадар-детекторы</v>
      </c>
      <c r="B2807" s="29" t="s">
        <v>12</v>
      </c>
      <c r="C2807" s="29" t="s">
        <v>360</v>
      </c>
      <c r="D2807" s="29" t="s">
        <v>2126</v>
      </c>
      <c r="E2807" s="29" t="s">
        <v>2126</v>
      </c>
      <c r="F2807" s="30">
        <v>0.1</v>
      </c>
      <c r="G2807" s="31"/>
      <c r="H2807" s="31"/>
      <c r="I2807" s="31"/>
      <c r="J2807" s="31"/>
    </row>
    <row r="2808" spans="1:10" ht="14.4" x14ac:dyDescent="0.3">
      <c r="A2808" s="28" t="str">
        <f>B2808&amp;C2808&amp;D2808&amp;E2808</f>
        <v>Строительство и ремонтЭлектрикаСтабилизаторы напряженияСтабилизаторы напряжения</v>
      </c>
      <c r="B2808" s="29" t="s">
        <v>77</v>
      </c>
      <c r="C2808" s="29" t="s">
        <v>600</v>
      </c>
      <c r="D2808" s="29" t="s">
        <v>2128</v>
      </c>
      <c r="E2808" s="29" t="s">
        <v>2128</v>
      </c>
      <c r="F2808" s="30">
        <v>0.1</v>
      </c>
      <c r="G2808" s="31"/>
      <c r="H2808" s="31"/>
      <c r="I2808" s="31"/>
      <c r="J2808" s="31"/>
    </row>
    <row r="2809" spans="1:10" ht="14.4" x14ac:dyDescent="0.3">
      <c r="A2809" s="28" t="str">
        <f>B2809&amp;C2809&amp;D2809&amp;E2809</f>
        <v>АвтотоварыАвтозапчастиАвтозапчасти автомобильныеАвтозапчасти автомобильные</v>
      </c>
      <c r="B2809" s="29" t="s">
        <v>12</v>
      </c>
      <c r="C2809" s="29" t="s">
        <v>978</v>
      </c>
      <c r="D2809" s="29" t="s">
        <v>2139</v>
      </c>
      <c r="E2809" s="29" t="s">
        <v>2139</v>
      </c>
      <c r="F2809" s="30">
        <v>0.1</v>
      </c>
      <c r="G2809" s="31"/>
      <c r="H2809" s="31"/>
      <c r="I2809" s="31"/>
      <c r="J2809" s="31"/>
    </row>
    <row r="2810" spans="1:10" ht="14.4" x14ac:dyDescent="0.3">
      <c r="A2810" s="28" t="str">
        <f>B2810&amp;C2810&amp;D2810&amp;E2810</f>
        <v>АвтотоварыАвтозвукУсилители для автоУсилители для авто</v>
      </c>
      <c r="B2810" s="29" t="s">
        <v>12</v>
      </c>
      <c r="C2810" s="29" t="s">
        <v>297</v>
      </c>
      <c r="D2810" s="29" t="s">
        <v>2152</v>
      </c>
      <c r="E2810" s="29" t="s">
        <v>2152</v>
      </c>
      <c r="F2810" s="30">
        <v>0.1</v>
      </c>
      <c r="G2810" s="31"/>
      <c r="H2810" s="31"/>
      <c r="I2810" s="31"/>
      <c r="J2810" s="31"/>
    </row>
    <row r="2811" spans="1:10" ht="14.4" x14ac:dyDescent="0.3">
      <c r="A2811" s="28" t="str">
        <f>B2811&amp;C2811&amp;D2811&amp;E2811</f>
        <v>Спорт и отдыхТренажерыКардиотренажерыГребные тренажеры</v>
      </c>
      <c r="B2811" s="29" t="s">
        <v>101</v>
      </c>
      <c r="C2811" s="29" t="s">
        <v>1995</v>
      </c>
      <c r="D2811" s="29" t="s">
        <v>2168</v>
      </c>
      <c r="E2811" s="29" t="s">
        <v>2169</v>
      </c>
      <c r="F2811" s="30">
        <v>0.1</v>
      </c>
      <c r="G2811" s="31"/>
      <c r="H2811" s="31"/>
      <c r="I2811" s="31"/>
      <c r="J2811" s="31"/>
    </row>
    <row r="2812" spans="1:10" ht="14.4" x14ac:dyDescent="0.3">
      <c r="A2812" s="28" t="str">
        <f>B2812&amp;C2812&amp;D2812&amp;E2812</f>
        <v>АвтотоварыАвтозапчастиСистемы очистки стекол и фарСистемы очистки стекол и фар</v>
      </c>
      <c r="B2812" s="29" t="s">
        <v>12</v>
      </c>
      <c r="C2812" s="29" t="s">
        <v>978</v>
      </c>
      <c r="D2812" s="29" t="s">
        <v>2175</v>
      </c>
      <c r="E2812" s="29" t="s">
        <v>2175</v>
      </c>
      <c r="F2812" s="30">
        <v>0.1</v>
      </c>
      <c r="G2812" s="31"/>
      <c r="H2812" s="31"/>
      <c r="I2812" s="31"/>
      <c r="J2812" s="31"/>
    </row>
    <row r="2813" spans="1:10" ht="14.4" x14ac:dyDescent="0.3">
      <c r="A2813" s="28" t="str">
        <f>B2813&amp;C2813&amp;D2813&amp;E2813</f>
        <v>Бытовая техникаКрупная бытовая техникаСтиральные машиныСтиральные машины</v>
      </c>
      <c r="B2813" s="29" t="s">
        <v>160</v>
      </c>
      <c r="C2813" s="29" t="s">
        <v>338</v>
      </c>
      <c r="D2813" s="29" t="s">
        <v>1760</v>
      </c>
      <c r="E2813" s="29" t="s">
        <v>1760</v>
      </c>
      <c r="F2813" s="30">
        <v>0.1</v>
      </c>
      <c r="G2813" s="31"/>
      <c r="H2813" s="31"/>
      <c r="I2813" s="31"/>
      <c r="J2813" s="31"/>
    </row>
    <row r="2814" spans="1:10" ht="14.4" x14ac:dyDescent="0.3">
      <c r="A2814" s="28" t="str">
        <f>B2814&amp;C2814&amp;D2814&amp;E2814</f>
        <v>ЭлектроникаКомпьютерная техникаКомплектующие для компьютерной техникиПроцессоры</v>
      </c>
      <c r="B2814" s="29" t="s">
        <v>67</v>
      </c>
      <c r="C2814" s="29" t="s">
        <v>234</v>
      </c>
      <c r="D2814" s="29" t="s">
        <v>898</v>
      </c>
      <c r="E2814" s="29" t="s">
        <v>2202</v>
      </c>
      <c r="F2814" s="30">
        <v>0.1</v>
      </c>
      <c r="G2814" s="31"/>
      <c r="H2814" s="31"/>
      <c r="I2814" s="31"/>
      <c r="J2814" s="31"/>
    </row>
    <row r="2815" spans="1:10" ht="14.4" x14ac:dyDescent="0.3">
      <c r="A2815" s="28" t="str">
        <f>B2815&amp;C2815&amp;D2815&amp;E2815</f>
        <v>Бытовая техникаКлиматическая техникаВодонагреватели и котлы отопленияКотлы отопления</v>
      </c>
      <c r="B2815" s="29" t="s">
        <v>160</v>
      </c>
      <c r="C2815" s="29" t="s">
        <v>621</v>
      </c>
      <c r="D2815" s="29" t="s">
        <v>2218</v>
      </c>
      <c r="E2815" s="29" t="s">
        <v>2219</v>
      </c>
      <c r="F2815" s="30">
        <v>0.1</v>
      </c>
      <c r="G2815" s="31"/>
      <c r="H2815" s="31"/>
      <c r="I2815" s="31"/>
      <c r="J2815" s="31"/>
    </row>
    <row r="2816" spans="1:10" ht="14.4" x14ac:dyDescent="0.3">
      <c r="A2816" s="28" t="str">
        <f>B2816&amp;C2816&amp;D2816&amp;E2816</f>
        <v>АвтотоварыАвтозвукГоловные устройстваГоловные устройства</v>
      </c>
      <c r="B2816" s="29" t="s">
        <v>12</v>
      </c>
      <c r="C2816" s="29" t="s">
        <v>297</v>
      </c>
      <c r="D2816" s="29" t="s">
        <v>2229</v>
      </c>
      <c r="E2816" s="29" t="s">
        <v>2229</v>
      </c>
      <c r="F2816" s="30">
        <v>0.1</v>
      </c>
      <c r="G2816" s="31"/>
      <c r="H2816" s="31"/>
      <c r="I2816" s="31"/>
      <c r="J2816" s="31"/>
    </row>
    <row r="2817" spans="1:10" ht="14.4" x14ac:dyDescent="0.3">
      <c r="A2817" s="28" t="str">
        <f>B2817&amp;C2817&amp;D2817&amp;E2817</f>
        <v>Бытовая техникаКрупная бытовая техникаПосудомоечные машиныПосудомоечные машины</v>
      </c>
      <c r="B2817" s="29" t="s">
        <v>160</v>
      </c>
      <c r="C2817" s="29" t="s">
        <v>338</v>
      </c>
      <c r="D2817" s="29" t="s">
        <v>2241</v>
      </c>
      <c r="E2817" s="29" t="s">
        <v>2241</v>
      </c>
      <c r="F2817" s="30">
        <v>0.1</v>
      </c>
      <c r="G2817" s="31"/>
      <c r="H2817" s="31"/>
      <c r="I2817" s="31"/>
      <c r="J2817" s="31"/>
    </row>
    <row r="2818" spans="1:10" ht="14.4" x14ac:dyDescent="0.3">
      <c r="A2818" s="28" t="str">
        <f>B2818&amp;C2818&amp;D2818&amp;E2818</f>
        <v>Бытовая техникаКлиматическая техникаКондиционеры и сплит-системыМобильные кондиционеры</v>
      </c>
      <c r="B2818" s="29" t="s">
        <v>160</v>
      </c>
      <c r="C2818" s="29" t="s">
        <v>621</v>
      </c>
      <c r="D2818" s="29" t="s">
        <v>1716</v>
      </c>
      <c r="E2818" s="29" t="s">
        <v>2256</v>
      </c>
      <c r="F2818" s="30">
        <v>0.1</v>
      </c>
      <c r="G2818" s="31"/>
      <c r="H2818" s="31"/>
      <c r="I2818" s="31"/>
      <c r="J2818" s="31"/>
    </row>
    <row r="2819" spans="1:10" ht="14.4" x14ac:dyDescent="0.3">
      <c r="A2819" s="28" t="str">
        <f>B2819&amp;C2819&amp;D2819&amp;E2819</f>
        <v>ЭлектроникаОфисная техникаОфисное оборудованиеОнлайн кассы</v>
      </c>
      <c r="B2819" s="29" t="s">
        <v>67</v>
      </c>
      <c r="C2819" s="29" t="s">
        <v>68</v>
      </c>
      <c r="D2819" s="29" t="s">
        <v>703</v>
      </c>
      <c r="E2819" s="29" t="s">
        <v>2305</v>
      </c>
      <c r="F2819" s="30">
        <v>0.1</v>
      </c>
      <c r="G2819" s="31"/>
      <c r="H2819" s="31"/>
      <c r="I2819" s="31"/>
      <c r="J2819" s="31"/>
    </row>
    <row r="2820" spans="1:10" ht="14.4" x14ac:dyDescent="0.3">
      <c r="A2820" s="28" t="str">
        <f>B2820&amp;C2820&amp;D2820&amp;E2820</f>
        <v>Спорт и отдыхТренажерыКардиотренажерыЭллиптические тренажеры</v>
      </c>
      <c r="B2820" s="29" t="s">
        <v>101</v>
      </c>
      <c r="C2820" s="29" t="s">
        <v>1995</v>
      </c>
      <c r="D2820" s="29" t="s">
        <v>2168</v>
      </c>
      <c r="E2820" s="29" t="s">
        <v>2318</v>
      </c>
      <c r="F2820" s="30">
        <v>0.1</v>
      </c>
      <c r="G2820" s="31"/>
      <c r="H2820" s="31"/>
      <c r="I2820" s="31"/>
      <c r="J2820" s="31"/>
    </row>
    <row r="2821" spans="1:10" ht="14.4" x14ac:dyDescent="0.3">
      <c r="A2821" s="28" t="str">
        <f>B2821&amp;C2821&amp;D2821&amp;E2821</f>
        <v>АвтотоварыАвтозвукУстановка автозвукаУстановка автозвука</v>
      </c>
      <c r="B2821" s="29" t="s">
        <v>12</v>
      </c>
      <c r="C2821" s="29" t="s">
        <v>297</v>
      </c>
      <c r="D2821" s="29" t="s">
        <v>2363</v>
      </c>
      <c r="E2821" s="29" t="s">
        <v>2363</v>
      </c>
      <c r="F2821" s="30">
        <v>0.1</v>
      </c>
      <c r="G2821" s="31"/>
      <c r="H2821" s="31"/>
      <c r="I2821" s="31"/>
      <c r="J2821" s="31"/>
    </row>
    <row r="2822" spans="1:10" ht="14.4" x14ac:dyDescent="0.3">
      <c r="A2822" s="28" t="str">
        <f>B2822&amp;C2822&amp;D2822&amp;E2822</f>
        <v>АвтотоварыЭлектроника для автоGPS-навигаторыGPS-навигаторы</v>
      </c>
      <c r="B2822" s="29" t="s">
        <v>12</v>
      </c>
      <c r="C2822" s="29" t="s">
        <v>360</v>
      </c>
      <c r="D2822" s="29" t="s">
        <v>2369</v>
      </c>
      <c r="E2822" s="29" t="s">
        <v>2369</v>
      </c>
      <c r="F2822" s="30">
        <v>0.1</v>
      </c>
      <c r="G2822" s="31"/>
      <c r="H2822" s="31"/>
      <c r="I2822" s="31"/>
      <c r="J2822" s="31"/>
    </row>
    <row r="2823" spans="1:10" ht="14.4" x14ac:dyDescent="0.3">
      <c r="A2823" s="28" t="str">
        <f>B2823&amp;C2823&amp;D2823&amp;E2823</f>
        <v>Бытовая техникаКлиматическая техникаВодонагреватели и котлы отопленияВодонагреватели</v>
      </c>
      <c r="B2823" s="29" t="s">
        <v>160</v>
      </c>
      <c r="C2823" s="29" t="s">
        <v>621</v>
      </c>
      <c r="D2823" s="29" t="s">
        <v>2218</v>
      </c>
      <c r="E2823" s="29" t="s">
        <v>2410</v>
      </c>
      <c r="F2823" s="30">
        <v>0.1</v>
      </c>
      <c r="G2823" s="31"/>
      <c r="H2823" s="31"/>
      <c r="I2823" s="31"/>
      <c r="J2823" s="31"/>
    </row>
    <row r="2824" spans="1:10" ht="14.4" x14ac:dyDescent="0.3">
      <c r="A2824" s="28" t="str">
        <f>B2824&amp;C2824&amp;D2824&amp;E2824</f>
        <v>Строительство и ремонтСтроительное оборудованиеКомпрессорная станцияКомпрессорная станция</v>
      </c>
      <c r="B2824" s="29" t="s">
        <v>77</v>
      </c>
      <c r="C2824" s="29" t="s">
        <v>1072</v>
      </c>
      <c r="D2824" s="29" t="s">
        <v>2477</v>
      </c>
      <c r="E2824" s="29" t="s">
        <v>2477</v>
      </c>
      <c r="F2824" s="30">
        <v>0.1</v>
      </c>
      <c r="G2824" s="31"/>
      <c r="H2824" s="31"/>
      <c r="I2824" s="31"/>
      <c r="J2824" s="31"/>
    </row>
    <row r="2825" spans="1:10" ht="14.4" x14ac:dyDescent="0.3">
      <c r="A2825" s="28" t="str">
        <f>B2825&amp;C2825&amp;D2825&amp;E2825</f>
        <v>Бытовая техникаКрупная бытовая техникаДуховые шкафыДуховые шкафы</v>
      </c>
      <c r="B2825" s="29" t="s">
        <v>160</v>
      </c>
      <c r="C2825" s="29" t="s">
        <v>338</v>
      </c>
      <c r="D2825" s="29" t="s">
        <v>2515</v>
      </c>
      <c r="E2825" s="29" t="s">
        <v>2515</v>
      </c>
      <c r="F2825" s="30">
        <v>0.1</v>
      </c>
      <c r="G2825" s="31"/>
      <c r="H2825" s="31"/>
      <c r="I2825" s="31"/>
      <c r="J2825" s="31"/>
    </row>
    <row r="2826" spans="1:10" ht="14.4" x14ac:dyDescent="0.3">
      <c r="A2826" s="28" t="str">
        <f>B2826&amp;C2826&amp;D2826&amp;E2826</f>
        <v>ЭлектроникаКомпьютерная техникаКомплектующие для компьютерной техникиЗвуковые карты</v>
      </c>
      <c r="B2826" s="29" t="s">
        <v>67</v>
      </c>
      <c r="C2826" s="29" t="s">
        <v>234</v>
      </c>
      <c r="D2826" s="29" t="s">
        <v>898</v>
      </c>
      <c r="E2826" s="29" t="s">
        <v>2534</v>
      </c>
      <c r="F2826" s="30">
        <v>0.1</v>
      </c>
      <c r="G2826" s="31"/>
      <c r="H2826" s="31"/>
      <c r="I2826" s="31"/>
      <c r="J2826" s="31"/>
    </row>
    <row r="2827" spans="1:10" ht="14.4" x14ac:dyDescent="0.3">
      <c r="A2827" s="28" t="str">
        <f>B2827&amp;C2827&amp;D2827&amp;E2827</f>
        <v>Бытовая техникаКрупная бытовая техникаПлитыКомбинированные плиты</v>
      </c>
      <c r="B2827" s="29" t="s">
        <v>160</v>
      </c>
      <c r="C2827" s="29" t="s">
        <v>338</v>
      </c>
      <c r="D2827" s="29" t="s">
        <v>2109</v>
      </c>
      <c r="E2827" s="29" t="s">
        <v>2612</v>
      </c>
      <c r="F2827" s="30">
        <v>0.1</v>
      </c>
      <c r="G2827" s="31"/>
      <c r="H2827" s="31"/>
      <c r="I2827" s="31"/>
      <c r="J2827" s="31"/>
    </row>
    <row r="2828" spans="1:10" ht="14.4" x14ac:dyDescent="0.3">
      <c r="A2828" s="28" t="str">
        <f>B2828&amp;C2828&amp;D2828&amp;E2828</f>
        <v>ЭлектроникаОфисная техникаОфисное оборудование3D-принтеры</v>
      </c>
      <c r="B2828" s="29" t="s">
        <v>67</v>
      </c>
      <c r="C2828" s="29" t="s">
        <v>68</v>
      </c>
      <c r="D2828" s="29" t="s">
        <v>703</v>
      </c>
      <c r="E2828" s="29" t="s">
        <v>2643</v>
      </c>
      <c r="F2828" s="30">
        <v>0.1</v>
      </c>
      <c r="G2828" s="31"/>
      <c r="H2828" s="31"/>
      <c r="I2828" s="31"/>
      <c r="J2828" s="31"/>
    </row>
    <row r="2829" spans="1:10" ht="14.4" x14ac:dyDescent="0.3">
      <c r="A2829" s="28" t="str">
        <f>B2829&amp;C2829&amp;D2829&amp;E2829</f>
        <v>ЭлектроникаНоутбуки, планшеты и электронные книгиПланшеты и электронные книгиГрафические планшеты</v>
      </c>
      <c r="B2829" s="29" t="s">
        <v>67</v>
      </c>
      <c r="C2829" s="29" t="s">
        <v>276</v>
      </c>
      <c r="D2829" s="29" t="s">
        <v>291</v>
      </c>
      <c r="E2829" s="29" t="s">
        <v>2665</v>
      </c>
      <c r="F2829" s="30">
        <v>0.1</v>
      </c>
      <c r="G2829" s="31"/>
      <c r="H2829" s="31"/>
      <c r="I2829" s="31"/>
      <c r="J2829" s="31"/>
    </row>
    <row r="2830" spans="1:10" ht="14.4" x14ac:dyDescent="0.3">
      <c r="A2830" s="28" t="str">
        <f>B2830&amp;C2830&amp;D2830&amp;E2830</f>
        <v>Бытовая техникаТехника для домаАппараты для влажной уборкиСтеклоочистители</v>
      </c>
      <c r="B2830" s="29" t="s">
        <v>160</v>
      </c>
      <c r="C2830" s="29" t="s">
        <v>229</v>
      </c>
      <c r="D2830" s="29" t="s">
        <v>804</v>
      </c>
      <c r="E2830" s="29" t="s">
        <v>2352</v>
      </c>
      <c r="F2830" s="30">
        <v>0.1</v>
      </c>
      <c r="G2830" s="31"/>
      <c r="H2830" s="31"/>
      <c r="I2830" s="31"/>
      <c r="J2830" s="31"/>
    </row>
    <row r="2831" spans="1:10" ht="14.4" x14ac:dyDescent="0.3">
      <c r="A2831" s="28" t="str">
        <f>B2831&amp;C2831&amp;D2831&amp;E2831</f>
        <v>Бытовая техникаТехника для домаШвейные машины и аксессуарыВышивальные машины</v>
      </c>
      <c r="B2831" s="29" t="s">
        <v>160</v>
      </c>
      <c r="C2831" s="29" t="s">
        <v>229</v>
      </c>
      <c r="D2831" s="29" t="s">
        <v>377</v>
      </c>
      <c r="E2831" s="29" t="s">
        <v>2680</v>
      </c>
      <c r="F2831" s="30">
        <v>0.1</v>
      </c>
      <c r="G2831" s="31"/>
      <c r="H2831" s="31"/>
      <c r="I2831" s="31"/>
      <c r="J2831" s="31"/>
    </row>
    <row r="2832" spans="1:10" ht="14.4" x14ac:dyDescent="0.3">
      <c r="A2832" s="28" t="str">
        <f>B2832&amp;C2832&amp;D2832&amp;E2832</f>
        <v>Спорт и отдыхТренажерыКардиотренажерыВелотренажеры</v>
      </c>
      <c r="B2832" s="29" t="s">
        <v>101</v>
      </c>
      <c r="C2832" s="29" t="s">
        <v>1995</v>
      </c>
      <c r="D2832" s="29" t="s">
        <v>2168</v>
      </c>
      <c r="E2832" s="29" t="s">
        <v>2688</v>
      </c>
      <c r="F2832" s="30">
        <v>0.1</v>
      </c>
      <c r="G2832" s="31"/>
      <c r="H2832" s="31"/>
      <c r="I2832" s="31"/>
      <c r="J2832" s="31"/>
    </row>
    <row r="2833" spans="1:10" ht="17.25" customHeight="1" x14ac:dyDescent="0.3">
      <c r="A2833" s="28" t="str">
        <f>B2833&amp;C2833&amp;D2833&amp;E2833</f>
        <v>Спорт и отдыхЭлектротранспортЭлектровелосипедыЭлектровелосипеды</v>
      </c>
      <c r="B2833" s="29" t="s">
        <v>101</v>
      </c>
      <c r="C2833" s="29" t="s">
        <v>822</v>
      </c>
      <c r="D2833" s="29" t="s">
        <v>2707</v>
      </c>
      <c r="E2833" s="29" t="s">
        <v>2707</v>
      </c>
      <c r="F2833" s="30">
        <v>0.1</v>
      </c>
      <c r="G2833" s="31"/>
      <c r="H2833" s="31"/>
      <c r="I2833" s="31"/>
      <c r="J2833" s="31"/>
    </row>
    <row r="2834" spans="1:10" ht="14.4" x14ac:dyDescent="0.3">
      <c r="A2834" s="28" t="str">
        <f>B2834&amp;C2834&amp;D2834&amp;E2834</f>
        <v>Бытовая техникаКлиматическая техникаОчищение и увлажнение воздухаОчистители воздуха</v>
      </c>
      <c r="B2834" s="29" t="s">
        <v>160</v>
      </c>
      <c r="C2834" s="29" t="s">
        <v>621</v>
      </c>
      <c r="D2834" s="29" t="s">
        <v>863</v>
      </c>
      <c r="E2834" s="29" t="s">
        <v>2759</v>
      </c>
      <c r="F2834" s="30">
        <v>0.1</v>
      </c>
      <c r="G2834" s="31"/>
      <c r="H2834" s="31"/>
      <c r="I2834" s="31"/>
      <c r="J2834" s="31"/>
    </row>
    <row r="2835" spans="1:10" ht="14.4" x14ac:dyDescent="0.3">
      <c r="A2835" s="28" t="str">
        <f>B2835&amp;C2835&amp;D2835&amp;E2835</f>
        <v>АвтотоварыАвтозвукСабвуферы для автоСабвуферы для авто</v>
      </c>
      <c r="B2835" s="29" t="s">
        <v>12</v>
      </c>
      <c r="C2835" s="29" t="s">
        <v>297</v>
      </c>
      <c r="D2835" s="29" t="s">
        <v>2778</v>
      </c>
      <c r="E2835" s="29" t="s">
        <v>2778</v>
      </c>
      <c r="F2835" s="30">
        <v>0.1</v>
      </c>
      <c r="G2835" s="31"/>
      <c r="H2835" s="31"/>
      <c r="I2835" s="32"/>
      <c r="J2835" s="33"/>
    </row>
    <row r="2836" spans="1:10" ht="14.4" x14ac:dyDescent="0.3">
      <c r="A2836" s="28" t="str">
        <f>B2836&amp;C2836&amp;D2836&amp;E2836</f>
        <v>Спорт и отдыхТренажерыСкамьи и стойкиСкамьи и стойки</v>
      </c>
      <c r="B2836" s="29" t="s">
        <v>101</v>
      </c>
      <c r="C2836" s="29" t="s">
        <v>1995</v>
      </c>
      <c r="D2836" s="29" t="s">
        <v>2856</v>
      </c>
      <c r="E2836" s="29" t="s">
        <v>2856</v>
      </c>
      <c r="F2836" s="30">
        <v>0.1</v>
      </c>
      <c r="G2836" s="31"/>
      <c r="H2836" s="31"/>
      <c r="I2836" s="31"/>
      <c r="J2836" s="31"/>
    </row>
    <row r="2837" spans="1:10" ht="14.4" x14ac:dyDescent="0.3">
      <c r="A2837" s="28" t="str">
        <f>B2837&amp;C2837&amp;D2837&amp;E2837</f>
        <v>Бытовая техникаКрупная бытовая техникаВарочные панелиВарочные панели</v>
      </c>
      <c r="B2837" s="29" t="s">
        <v>160</v>
      </c>
      <c r="C2837" s="29" t="s">
        <v>338</v>
      </c>
      <c r="D2837" s="29" t="s">
        <v>2888</v>
      </c>
      <c r="E2837" s="29" t="s">
        <v>2888</v>
      </c>
      <c r="F2837" s="30">
        <v>0.1</v>
      </c>
      <c r="G2837" s="31"/>
      <c r="H2837" s="31"/>
      <c r="I2837" s="31"/>
      <c r="J2837" s="31"/>
    </row>
    <row r="2838" spans="1:10" ht="14.4" x14ac:dyDescent="0.3">
      <c r="A2838" s="28" t="str">
        <f>B2838&amp;C2838&amp;D2838&amp;E2838</f>
        <v>ЭлектроникаОфисная техникаОфисное оборудованиеШредеры</v>
      </c>
      <c r="B2838" s="29" t="s">
        <v>67</v>
      </c>
      <c r="C2838" s="29" t="s">
        <v>68</v>
      </c>
      <c r="D2838" s="29" t="s">
        <v>703</v>
      </c>
      <c r="E2838" s="29" t="s">
        <v>2905</v>
      </c>
      <c r="F2838" s="30">
        <v>0.1</v>
      </c>
      <c r="G2838" s="31"/>
      <c r="H2838" s="31"/>
      <c r="I2838" s="31"/>
      <c r="J2838" s="31"/>
    </row>
    <row r="2839" spans="1:10" ht="14.4" x14ac:dyDescent="0.3">
      <c r="A2839" s="28" t="str">
        <f>B2839&amp;C2839&amp;D2839&amp;E2839</f>
        <v>Бытовая техникаКрупная бытовая техникаПлитыЭлектрические плиты</v>
      </c>
      <c r="B2839" s="29" t="s">
        <v>160</v>
      </c>
      <c r="C2839" s="29" t="s">
        <v>338</v>
      </c>
      <c r="D2839" s="29" t="s">
        <v>2109</v>
      </c>
      <c r="E2839" s="29" t="s">
        <v>2909</v>
      </c>
      <c r="F2839" s="30">
        <v>0.1</v>
      </c>
      <c r="G2839" s="31"/>
      <c r="H2839" s="31"/>
      <c r="I2839" s="31"/>
      <c r="J2839" s="31"/>
    </row>
    <row r="2840" spans="1:10" ht="14.4" x14ac:dyDescent="0.3">
      <c r="A2840" s="28" t="str">
        <f>B2840&amp;C2840&amp;D2840&amp;E2840</f>
        <v>АвтотоварыАвтозвукАвтомагнитолыАвтомагнитолы</v>
      </c>
      <c r="B2840" s="29" t="s">
        <v>12</v>
      </c>
      <c r="C2840" s="29" t="s">
        <v>297</v>
      </c>
      <c r="D2840" s="29" t="s">
        <v>2928</v>
      </c>
      <c r="E2840" s="29" t="s">
        <v>2928</v>
      </c>
      <c r="F2840" s="30">
        <v>0.1</v>
      </c>
      <c r="G2840" s="31"/>
      <c r="H2840" s="31"/>
      <c r="I2840" s="31"/>
      <c r="J2840" s="31"/>
    </row>
    <row r="2841" spans="1:10" ht="14.4" x14ac:dyDescent="0.3">
      <c r="A2841" s="28" t="str">
        <f>B2841&amp;C2841&amp;D2841&amp;E2841</f>
        <v>ЭлектроникаОфисная техникаОфисное оборудованиеПринтеры</v>
      </c>
      <c r="B2841" s="29" t="s">
        <v>67</v>
      </c>
      <c r="C2841" s="29" t="s">
        <v>68</v>
      </c>
      <c r="D2841" s="29" t="s">
        <v>703</v>
      </c>
      <c r="E2841" s="29" t="s">
        <v>2944</v>
      </c>
      <c r="F2841" s="30">
        <v>0.1</v>
      </c>
      <c r="G2841" s="31"/>
      <c r="H2841" s="31"/>
      <c r="I2841" s="31"/>
      <c r="J2841" s="31"/>
    </row>
    <row r="2842" spans="1:10" ht="14.4" x14ac:dyDescent="0.3">
      <c r="A2842" s="28" t="str">
        <f>B2842&amp;C2842&amp;D2842&amp;E2842</f>
        <v>Строительство и ремонтСтроительное оборудованиеПромышленные и строительные пылесосыПромышленные и строительные пылесосы</v>
      </c>
      <c r="B2842" s="29" t="s">
        <v>77</v>
      </c>
      <c r="C2842" s="29" t="s">
        <v>1072</v>
      </c>
      <c r="D2842" s="29" t="s">
        <v>2945</v>
      </c>
      <c r="E2842" s="29" t="s">
        <v>2945</v>
      </c>
      <c r="F2842" s="30">
        <v>0.1</v>
      </c>
      <c r="G2842" s="31"/>
      <c r="H2842" s="31"/>
      <c r="I2842" s="31"/>
      <c r="J2842" s="31"/>
    </row>
    <row r="2843" spans="1:10" ht="18" customHeight="1" x14ac:dyDescent="0.3">
      <c r="A2843" s="28" t="str">
        <f>B2843&amp;C2843&amp;D2843&amp;E2843</f>
        <v>АвтотоварыАвтозапчастиДвигательДвигатель</v>
      </c>
      <c r="B2843" s="29" t="s">
        <v>12</v>
      </c>
      <c r="C2843" s="29" t="s">
        <v>978</v>
      </c>
      <c r="D2843" s="29" t="s">
        <v>2974</v>
      </c>
      <c r="E2843" s="29" t="s">
        <v>2974</v>
      </c>
      <c r="F2843" s="30">
        <v>0.1</v>
      </c>
      <c r="G2843" s="31"/>
      <c r="H2843" s="31"/>
      <c r="I2843" s="31"/>
      <c r="J2843" s="31"/>
    </row>
    <row r="2844" spans="1:10" ht="18" customHeight="1" x14ac:dyDescent="0.3">
      <c r="A2844" s="28" t="str">
        <f>B2844&amp;C2844&amp;D2844&amp;E2844</f>
        <v>Бытовая техникаТехника для домаСтерилизаторыСтерилизаторы</v>
      </c>
      <c r="B2844" s="29" t="s">
        <v>160</v>
      </c>
      <c r="C2844" s="29" t="s">
        <v>229</v>
      </c>
      <c r="D2844" s="29" t="s">
        <v>2975</v>
      </c>
      <c r="E2844" s="29" t="s">
        <v>2975</v>
      </c>
      <c r="F2844" s="30">
        <v>0.1</v>
      </c>
      <c r="G2844" s="31"/>
      <c r="H2844" s="31"/>
      <c r="I2844" s="31"/>
      <c r="J2844" s="31"/>
    </row>
    <row r="2845" spans="1:10" ht="18" customHeight="1" x14ac:dyDescent="0.3">
      <c r="A2845" s="28" t="str">
        <f>B2845&amp;C2845&amp;D2845&amp;E2845</f>
        <v>ЭлектроникаКомпьютерная техникаКомплектующие для компьютерной техникиКонтроллеры интерфейсов</v>
      </c>
      <c r="B2845" s="29" t="s">
        <v>67</v>
      </c>
      <c r="C2845" s="29" t="s">
        <v>234</v>
      </c>
      <c r="D2845" s="29" t="s">
        <v>898</v>
      </c>
      <c r="E2845" s="29" t="s">
        <v>2994</v>
      </c>
      <c r="F2845" s="30">
        <v>0.1</v>
      </c>
      <c r="G2845" s="31"/>
      <c r="H2845" s="31"/>
      <c r="I2845" s="31"/>
      <c r="J2845" s="31"/>
    </row>
    <row r="2846" spans="1:10" ht="14.4" x14ac:dyDescent="0.3">
      <c r="A2846" s="28" t="str">
        <f>B2846&amp;C2846&amp;D2846&amp;E2846</f>
        <v>АвтотоварыАвтозапчастиЭлектрооборудованиеЭлектрооборудование</v>
      </c>
      <c r="B2846" s="29" t="s">
        <v>12</v>
      </c>
      <c r="C2846" s="29" t="s">
        <v>978</v>
      </c>
      <c r="D2846" s="29" t="s">
        <v>3063</v>
      </c>
      <c r="E2846" s="29" t="s">
        <v>3063</v>
      </c>
      <c r="F2846" s="30">
        <v>0.1</v>
      </c>
      <c r="G2846" s="31"/>
      <c r="H2846" s="31"/>
      <c r="I2846" s="31"/>
      <c r="J2846" s="31"/>
    </row>
    <row r="2847" spans="1:10" ht="14.4" x14ac:dyDescent="0.3">
      <c r="A2847" s="28" t="str">
        <f>B2847&amp;C2847&amp;D2847&amp;E2847</f>
        <v>Спорт и отдыхТренажерыМини-тренажерыМини-тренажеры</v>
      </c>
      <c r="B2847" s="29" t="s">
        <v>101</v>
      </c>
      <c r="C2847" s="29" t="s">
        <v>1995</v>
      </c>
      <c r="D2847" s="29" t="s">
        <v>3074</v>
      </c>
      <c r="E2847" s="29" t="s">
        <v>3074</v>
      </c>
      <c r="F2847" s="30">
        <v>0.1</v>
      </c>
      <c r="G2847" s="31"/>
      <c r="H2847" s="31"/>
      <c r="I2847" s="31"/>
      <c r="J2847" s="31"/>
    </row>
    <row r="2848" spans="1:10" ht="14.4" x14ac:dyDescent="0.3">
      <c r="A2848" s="28" t="str">
        <f>B2848&amp;C2848&amp;D2848&amp;E2848</f>
        <v>ЭлектроникаНаушники и аудиотехникаАудиотехникаУсилители для сабвуфера</v>
      </c>
      <c r="B2848" s="29" t="s">
        <v>67</v>
      </c>
      <c r="C2848" s="29" t="s">
        <v>74</v>
      </c>
      <c r="D2848" s="29" t="s">
        <v>409</v>
      </c>
      <c r="E2848" s="29" t="s">
        <v>3104</v>
      </c>
      <c r="F2848" s="30">
        <v>0.1</v>
      </c>
      <c r="G2848" s="31"/>
      <c r="H2848" s="31"/>
      <c r="I2848" s="31"/>
      <c r="J2848" s="31"/>
    </row>
    <row r="2849" spans="1:10" ht="14.4" x14ac:dyDescent="0.3">
      <c r="A2849" s="28" t="str">
        <f>B2849&amp;C2849&amp;D2849&amp;E2849</f>
        <v>Бытовая техникаКрупная бытовая техникаХолодильники и морозильникиМорозильники</v>
      </c>
      <c r="B2849" s="29" t="s">
        <v>160</v>
      </c>
      <c r="C2849" s="29" t="s">
        <v>338</v>
      </c>
      <c r="D2849" s="29" t="s">
        <v>339</v>
      </c>
      <c r="E2849" s="29" t="s">
        <v>3113</v>
      </c>
      <c r="F2849" s="30">
        <v>0.1</v>
      </c>
      <c r="G2849" s="31"/>
      <c r="H2849" s="31"/>
      <c r="I2849" s="31"/>
      <c r="J2849" s="31"/>
    </row>
    <row r="2850" spans="1:10" ht="14.4" x14ac:dyDescent="0.3">
      <c r="A2850" s="28" t="str">
        <f>B2850&amp;C2850&amp;D2850&amp;E2850</f>
        <v>Спорт и отдыхТренажерыКардиотренажерыБеговые дорожки</v>
      </c>
      <c r="B2850" s="29" t="s">
        <v>101</v>
      </c>
      <c r="C2850" s="29" t="s">
        <v>1995</v>
      </c>
      <c r="D2850" s="29" t="s">
        <v>2168</v>
      </c>
      <c r="E2850" s="29" t="s">
        <v>3119</v>
      </c>
      <c r="F2850" s="30">
        <v>0.1</v>
      </c>
      <c r="G2850" s="31"/>
      <c r="H2850" s="31"/>
      <c r="I2850" s="31"/>
      <c r="J2850" s="31"/>
    </row>
    <row r="2851" spans="1:10" ht="14.4" x14ac:dyDescent="0.3">
      <c r="A2851" s="28" t="str">
        <f>B2851&amp;C2851&amp;D2851&amp;E2851</f>
        <v>Бытовая техникаКрупная бытовая техникаХолодильники и морозильникиХолодильники и морозильники</v>
      </c>
      <c r="B2851" s="29" t="s">
        <v>160</v>
      </c>
      <c r="C2851" s="29" t="s">
        <v>338</v>
      </c>
      <c r="D2851" s="29" t="s">
        <v>339</v>
      </c>
      <c r="E2851" s="29" t="s">
        <v>339</v>
      </c>
      <c r="F2851" s="30">
        <v>0.1</v>
      </c>
      <c r="G2851" s="31"/>
      <c r="H2851" s="31"/>
      <c r="I2851" s="31"/>
      <c r="J2851" s="31"/>
    </row>
    <row r="2852" spans="1:10" ht="14.4" x14ac:dyDescent="0.3">
      <c r="A2852" s="28" t="str">
        <f>B2852&amp;C2852&amp;D2852&amp;E2852</f>
        <v>АвтотоварыЭлектроника для автоАвтомобильные мониторыАвтомобильные мониторы</v>
      </c>
      <c r="B2852" s="29" t="s">
        <v>12</v>
      </c>
      <c r="C2852" s="29" t="s">
        <v>360</v>
      </c>
      <c r="D2852" s="29" t="s">
        <v>414</v>
      </c>
      <c r="E2852" s="29" t="s">
        <v>414</v>
      </c>
      <c r="F2852" s="30">
        <v>0.08</v>
      </c>
      <c r="G2852" s="31"/>
      <c r="H2852" s="31"/>
      <c r="I2852" s="31"/>
      <c r="J2852" s="31"/>
    </row>
    <row r="2853" spans="1:10" ht="14.4" x14ac:dyDescent="0.3">
      <c r="A2853" s="28" t="str">
        <f>B2853&amp;C2853&amp;D2853&amp;E2853</f>
        <v>АвтотоварыЭлектроника для автоАвтосигнализацииАвтосигнализации</v>
      </c>
      <c r="B2853" s="29" t="s">
        <v>12</v>
      </c>
      <c r="C2853" s="29" t="s">
        <v>360</v>
      </c>
      <c r="D2853" s="29" t="s">
        <v>2180</v>
      </c>
      <c r="E2853" s="29" t="s">
        <v>2180</v>
      </c>
      <c r="F2853" s="30">
        <v>0.08</v>
      </c>
      <c r="G2853" s="31"/>
      <c r="H2853" s="31"/>
      <c r="I2853" s="31"/>
      <c r="J2853" s="31"/>
    </row>
    <row r="2854" spans="1:10" ht="14.4" x14ac:dyDescent="0.3">
      <c r="A2854" s="28" t="str">
        <f>B2854&amp;C2854&amp;D2854&amp;E2854</f>
        <v>ЭлектроникаСмартфоны и телефоныСмартфоныСмартфоны Android</v>
      </c>
      <c r="B2854" s="29" t="s">
        <v>67</v>
      </c>
      <c r="C2854" s="29" t="s">
        <v>96</v>
      </c>
      <c r="D2854" s="29" t="s">
        <v>1723</v>
      </c>
      <c r="E2854" s="29" t="s">
        <v>2257</v>
      </c>
      <c r="F2854" s="30">
        <v>0.08</v>
      </c>
      <c r="G2854" s="31"/>
      <c r="H2854" s="31"/>
      <c r="I2854" s="31"/>
      <c r="J2854" s="31"/>
    </row>
    <row r="2855" spans="1:10" ht="14.4" x14ac:dyDescent="0.3">
      <c r="A2855" s="28" t="str">
        <f>B2855&amp;C2855&amp;D2855&amp;E2855</f>
        <v>ЭлектроникаТелевизоры и видеотехникаТелевизорыТелевизоры</v>
      </c>
      <c r="B2855" s="29" t="s">
        <v>67</v>
      </c>
      <c r="C2855" s="29" t="s">
        <v>136</v>
      </c>
      <c r="D2855" s="29" t="s">
        <v>2372</v>
      </c>
      <c r="E2855" s="29" t="s">
        <v>2372</v>
      </c>
      <c r="F2855" s="30">
        <v>0.08</v>
      </c>
      <c r="G2855" s="31"/>
      <c r="H2855" s="31"/>
      <c r="I2855" s="31"/>
      <c r="J2855" s="31"/>
    </row>
    <row r="2856" spans="1:10" ht="14.4" x14ac:dyDescent="0.3">
      <c r="A2856" s="28" t="str">
        <f>B2856&amp;C2856&amp;D2856&amp;E2856</f>
        <v>ЭлектроникаСмартфоны и телефоныСмартфоныСмартфоны на других ОС</v>
      </c>
      <c r="B2856" s="29" t="s">
        <v>67</v>
      </c>
      <c r="C2856" s="29" t="s">
        <v>96</v>
      </c>
      <c r="D2856" s="29" t="s">
        <v>1723</v>
      </c>
      <c r="E2856" s="29" t="s">
        <v>2799</v>
      </c>
      <c r="F2856" s="30">
        <v>0.06</v>
      </c>
      <c r="G2856" s="31"/>
      <c r="H2856" s="31"/>
      <c r="I2856" s="31"/>
      <c r="J2856" s="31"/>
    </row>
    <row r="2857" spans="1:10" ht="14.4" x14ac:dyDescent="0.3">
      <c r="A2857" s="28" t="str">
        <f>B2857&amp;C2857&amp;D2857&amp;E2857</f>
        <v>ЭлектроникаНоутбуки, планшеты и электронные книгиПланшеты и электронные книгиЭлектронные книги</v>
      </c>
      <c r="B2857" s="29" t="s">
        <v>67</v>
      </c>
      <c r="C2857" s="29" t="s">
        <v>276</v>
      </c>
      <c r="D2857" s="29" t="s">
        <v>291</v>
      </c>
      <c r="E2857" s="29" t="s">
        <v>701</v>
      </c>
      <c r="F2857" s="30">
        <v>0.05</v>
      </c>
      <c r="G2857" s="31"/>
      <c r="H2857" s="31"/>
      <c r="I2857" s="31"/>
      <c r="J2857" s="31"/>
    </row>
    <row r="2858" spans="1:10" ht="14.4" x14ac:dyDescent="0.3">
      <c r="A2858" s="28" t="str">
        <f>B2858&amp;C2858&amp;D2858&amp;E2858</f>
        <v>ЭлектроникаНоутбуки, планшеты и электронные книгиНоутбукиНоутбуки</v>
      </c>
      <c r="B2858" s="29" t="s">
        <v>67</v>
      </c>
      <c r="C2858" s="29" t="s">
        <v>276</v>
      </c>
      <c r="D2858" s="29" t="s">
        <v>873</v>
      </c>
      <c r="E2858" s="29" t="s">
        <v>873</v>
      </c>
      <c r="F2858" s="30">
        <v>0.05</v>
      </c>
      <c r="G2858" s="31"/>
      <c r="H2858" s="31"/>
      <c r="I2858" s="31"/>
      <c r="J2858" s="31"/>
    </row>
    <row r="2859" spans="1:10" ht="14.4" x14ac:dyDescent="0.3">
      <c r="A2859" s="28" t="str">
        <f>B2859&amp;C2859&amp;D2859&amp;E2859</f>
        <v>ЭлектроникаКомпьютерная техникаКомпьютерыНеттопы и Мини ПК</v>
      </c>
      <c r="B2859" s="29" t="s">
        <v>67</v>
      </c>
      <c r="C2859" s="29" t="s">
        <v>234</v>
      </c>
      <c r="D2859" s="29" t="s">
        <v>1229</v>
      </c>
      <c r="E2859" s="29" t="s">
        <v>1230</v>
      </c>
      <c r="F2859" s="30">
        <v>0.05</v>
      </c>
      <c r="G2859" s="31"/>
      <c r="H2859" s="31"/>
      <c r="I2859" s="31"/>
      <c r="J2859" s="31"/>
    </row>
    <row r="2860" spans="1:10" ht="14.4" x14ac:dyDescent="0.3">
      <c r="A2860" s="28" t="str">
        <f>B2860&amp;C2860&amp;D2860&amp;E2860</f>
        <v>ЭлектроникаКомпьютерная техникаКомпьютерыСистемные блоки</v>
      </c>
      <c r="B2860" s="29" t="s">
        <v>67</v>
      </c>
      <c r="C2860" s="29" t="s">
        <v>234</v>
      </c>
      <c r="D2860" s="29" t="s">
        <v>1229</v>
      </c>
      <c r="E2860" s="29" t="s">
        <v>1264</v>
      </c>
      <c r="F2860" s="30">
        <v>0.05</v>
      </c>
      <c r="G2860" s="31"/>
      <c r="H2860" s="31"/>
      <c r="I2860" s="31"/>
      <c r="J2860" s="31"/>
    </row>
    <row r="2861" spans="1:10" ht="14.4" x14ac:dyDescent="0.3">
      <c r="A2861" s="28" t="str">
        <f>B2861&amp;C2861&amp;D2861&amp;E2861</f>
        <v>Продукты питанияМука, сахар и сольСахарСахар</v>
      </c>
      <c r="B2861" s="29" t="s">
        <v>248</v>
      </c>
      <c r="C2861" s="29" t="s">
        <v>1404</v>
      </c>
      <c r="D2861" s="29" t="s">
        <v>1611</v>
      </c>
      <c r="E2861" s="29" t="s">
        <v>1611</v>
      </c>
      <c r="F2861" s="30">
        <v>0.05</v>
      </c>
      <c r="G2861" s="31"/>
      <c r="H2861" s="31"/>
      <c r="I2861" s="31"/>
      <c r="J2861" s="31"/>
    </row>
    <row r="2862" spans="1:10" ht="14.4" x14ac:dyDescent="0.3">
      <c r="A2862" s="28" t="str">
        <f>B2862&amp;C2862&amp;D2862&amp;E2862</f>
        <v>ЭлектроникаКомпьютерная техникаКомпьютерыМоноблоки</v>
      </c>
      <c r="B2862" s="29" t="s">
        <v>67</v>
      </c>
      <c r="C2862" s="29" t="s">
        <v>234</v>
      </c>
      <c r="D2862" s="29" t="s">
        <v>1229</v>
      </c>
      <c r="E2862" s="29" t="s">
        <v>1692</v>
      </c>
      <c r="F2862" s="30">
        <v>0.05</v>
      </c>
      <c r="G2862" s="31"/>
      <c r="H2862" s="31"/>
      <c r="I2862" s="31"/>
      <c r="J2862" s="31"/>
    </row>
    <row r="2863" spans="1:10" ht="14.4" x14ac:dyDescent="0.3">
      <c r="A2863" s="28" t="str">
        <f>B2863&amp;C2863&amp;D2863&amp;E2863</f>
        <v>ЭлектроникаКомпьютерная техникаКомпьютерыМониторы</v>
      </c>
      <c r="B2863" s="29" t="s">
        <v>67</v>
      </c>
      <c r="C2863" s="29" t="s">
        <v>234</v>
      </c>
      <c r="D2863" s="29" t="s">
        <v>1229</v>
      </c>
      <c r="E2863" s="29" t="s">
        <v>2054</v>
      </c>
      <c r="F2863" s="30">
        <v>0.05</v>
      </c>
      <c r="G2863" s="31"/>
      <c r="H2863" s="31"/>
      <c r="I2863" s="31"/>
      <c r="J2863" s="31"/>
    </row>
    <row r="2864" spans="1:10" ht="14.4" x14ac:dyDescent="0.3">
      <c r="A2864" s="28" t="str">
        <f>B2864&amp;C2864&amp;D2864&amp;E2864</f>
        <v>ЭлектроникаИгровые приставкиПриставкиPlaystation</v>
      </c>
      <c r="B2864" s="29" t="s">
        <v>67</v>
      </c>
      <c r="C2864" s="29" t="s">
        <v>81</v>
      </c>
      <c r="D2864" s="29" t="s">
        <v>82</v>
      </c>
      <c r="E2864" s="29" t="s">
        <v>83</v>
      </c>
      <c r="F2864" s="30">
        <v>0.03</v>
      </c>
      <c r="G2864" s="31"/>
      <c r="H2864" s="31"/>
      <c r="I2864" s="31"/>
      <c r="J2864" s="31"/>
    </row>
    <row r="2865" spans="1:10" ht="14.4" x14ac:dyDescent="0.3">
      <c r="A2865" s="28" t="str">
        <f>B2865&amp;C2865&amp;D2865&amp;E2865</f>
        <v>ЭлектроникаУмные часы и фитнес браслетыУмные часыУмные часы Apple Watch</v>
      </c>
      <c r="B2865" s="29" t="s">
        <v>67</v>
      </c>
      <c r="C2865" s="29" t="s">
        <v>356</v>
      </c>
      <c r="D2865" s="29" t="s">
        <v>16</v>
      </c>
      <c r="E2865" s="29" t="s">
        <v>357</v>
      </c>
      <c r="F2865" s="30">
        <v>0.03</v>
      </c>
      <c r="G2865" s="31"/>
      <c r="H2865" s="31"/>
      <c r="I2865" s="31"/>
      <c r="J2865" s="31"/>
    </row>
    <row r="2866" spans="1:10" ht="14.4" x14ac:dyDescent="0.3">
      <c r="A2866" s="28" t="str">
        <f>B2866&amp;C2866&amp;D2866&amp;E2866</f>
        <v>ЭлектроникаНаушники и аудиотехникаНаушникиНаушники Apple AirPods</v>
      </c>
      <c r="B2866" s="29" t="s">
        <v>67</v>
      </c>
      <c r="C2866" s="29" t="s">
        <v>74</v>
      </c>
      <c r="D2866" s="29" t="s">
        <v>75</v>
      </c>
      <c r="E2866" s="29" t="s">
        <v>1708</v>
      </c>
      <c r="F2866" s="30">
        <v>0.03</v>
      </c>
      <c r="G2866" s="31"/>
      <c r="H2866" s="31"/>
      <c r="I2866" s="31"/>
      <c r="J2866" s="31"/>
    </row>
    <row r="2867" spans="1:10" ht="14.4" x14ac:dyDescent="0.3">
      <c r="A2867" s="28" t="str">
        <f>B2867&amp;C2867&amp;D2867&amp;E2867</f>
        <v>ЭлектроникаСмартфоны и телефоныСмартфоныСмартфоны Apple iPhone(iOS)</v>
      </c>
      <c r="B2867" s="29" t="s">
        <v>67</v>
      </c>
      <c r="C2867" s="29" t="s">
        <v>96</v>
      </c>
      <c r="D2867" s="29" t="s">
        <v>1723</v>
      </c>
      <c r="E2867" s="29" t="s">
        <v>1724</v>
      </c>
      <c r="F2867" s="30">
        <v>0.03</v>
      </c>
      <c r="G2867" s="31"/>
      <c r="H2867" s="31"/>
      <c r="I2867" s="31"/>
      <c r="J2867" s="31"/>
    </row>
    <row r="2868" spans="1:10" ht="14.4" x14ac:dyDescent="0.3">
      <c r="A2868" s="28" t="str">
        <f>B2868&amp;C2868&amp;D2868&amp;E2868</f>
        <v>ЭлектроникаНоутбуки, планшеты и электронные книгиНоутбукиНоутбуки Apple MacBook</v>
      </c>
      <c r="B2868" s="29" t="s">
        <v>67</v>
      </c>
      <c r="C2868" s="29" t="s">
        <v>276</v>
      </c>
      <c r="D2868" s="29" t="s">
        <v>873</v>
      </c>
      <c r="E2868" s="29" t="s">
        <v>2540</v>
      </c>
      <c r="F2868" s="30">
        <v>0.03</v>
      </c>
      <c r="G2868" s="31"/>
      <c r="H2868" s="31"/>
      <c r="I2868" s="31"/>
      <c r="J2868" s="31"/>
    </row>
    <row r="2869" spans="1:10" ht="14.4" x14ac:dyDescent="0.3">
      <c r="A2869" s="28" t="str">
        <f>B2869&amp;C2869&amp;D2869&amp;E2869</f>
        <v>ЭлектроникаНоутбуки, планшеты и электронные книгиПланшеты и электронные книгиПланшеты Apple iPad</v>
      </c>
      <c r="B2869" s="29" t="s">
        <v>67</v>
      </c>
      <c r="C2869" s="29" t="s">
        <v>276</v>
      </c>
      <c r="D2869" s="29" t="s">
        <v>291</v>
      </c>
      <c r="E2869" s="29" t="s">
        <v>2695</v>
      </c>
      <c r="F2869" s="30">
        <v>0.03</v>
      </c>
      <c r="G2869" s="31"/>
      <c r="H2869" s="31"/>
      <c r="I2869" s="31"/>
      <c r="J2869" s="31"/>
    </row>
    <row r="2870" spans="1:10" ht="14.4" x14ac:dyDescent="0.3">
      <c r="A2870" s="28" t="str">
        <f>B2870&amp;C2870&amp;D2870&amp;E2870</f>
        <v>ЗдоровьеТовары для реабилитацииХодункиХодунки</v>
      </c>
      <c r="B2870" s="29" t="s">
        <v>116</v>
      </c>
      <c r="C2870" s="29" t="s">
        <v>132</v>
      </c>
      <c r="D2870" s="29" t="s">
        <v>133</v>
      </c>
      <c r="E2870" s="29" t="s">
        <v>133</v>
      </c>
      <c r="F2870" s="30">
        <v>0.01</v>
      </c>
      <c r="G2870" s="31"/>
      <c r="H2870" s="31"/>
      <c r="I2870" s="31"/>
      <c r="J2870" s="31"/>
    </row>
    <row r="2871" spans="1:10" ht="14.4" x14ac:dyDescent="0.3">
      <c r="A2871" s="28" t="str">
        <f>B2871&amp;C2871&amp;D2871&amp;E2871</f>
        <v>ЗдоровьеТовары для реабилитацииТрости и костылиТрости и костыли</v>
      </c>
      <c r="B2871" s="29" t="s">
        <v>116</v>
      </c>
      <c r="C2871" s="29" t="s">
        <v>132</v>
      </c>
      <c r="D2871" s="29" t="s">
        <v>380</v>
      </c>
      <c r="E2871" s="29" t="s">
        <v>380</v>
      </c>
      <c r="F2871" s="30">
        <v>0.01</v>
      </c>
      <c r="G2871" s="31"/>
      <c r="H2871" s="31"/>
      <c r="I2871" s="31"/>
      <c r="J2871" s="31"/>
    </row>
    <row r="2872" spans="1:10" ht="14.4" x14ac:dyDescent="0.3">
      <c r="A2872" s="28" t="str">
        <f>B2872&amp;C2872&amp;D2872&amp;E2872</f>
        <v>ЗдоровьеТовары для реабилитацииМочеприемникиМочеприемники</v>
      </c>
      <c r="B2872" s="29" t="s">
        <v>116</v>
      </c>
      <c r="C2872" s="29" t="s">
        <v>132</v>
      </c>
      <c r="D2872" s="29" t="s">
        <v>554</v>
      </c>
      <c r="E2872" s="29" t="s">
        <v>554</v>
      </c>
      <c r="F2872" s="30">
        <v>0.01</v>
      </c>
      <c r="G2872" s="31"/>
      <c r="H2872" s="31"/>
      <c r="I2872" s="31"/>
      <c r="J2872" s="31"/>
    </row>
    <row r="2873" spans="1:10" ht="14.4" x14ac:dyDescent="0.3">
      <c r="A2873" s="28" t="str">
        <f>B2873&amp;C2873&amp;D2873&amp;E2873</f>
        <v>ЗдоровьеТовары для реабилитацииСлуховые аппараты и усилители звукаСлуховые аппараты и усилители звука</v>
      </c>
      <c r="B2873" s="29" t="s">
        <v>116</v>
      </c>
      <c r="C2873" s="29" t="s">
        <v>132</v>
      </c>
      <c r="D2873" s="29" t="s">
        <v>2552</v>
      </c>
      <c r="E2873" s="29" t="s">
        <v>2552</v>
      </c>
      <c r="F2873" s="30">
        <v>0.01</v>
      </c>
      <c r="G2873" s="31"/>
      <c r="H2873" s="31"/>
      <c r="I2873" s="31"/>
      <c r="J2873" s="31"/>
    </row>
    <row r="2874" spans="1:10" ht="14.4" x14ac:dyDescent="0.3">
      <c r="A2874" s="28" t="str">
        <f>B2874&amp;C2874&amp;D2874&amp;E2874</f>
        <v>ЗдоровьеТовары для реабилитацииСредства ухода за лежачими больнымиСудна и утки</v>
      </c>
      <c r="B2874" s="29" t="s">
        <v>116</v>
      </c>
      <c r="C2874" s="29" t="s">
        <v>132</v>
      </c>
      <c r="D2874" s="29" t="s">
        <v>2822</v>
      </c>
      <c r="E2874" s="29" t="s">
        <v>2823</v>
      </c>
      <c r="F2874" s="30">
        <v>0.01</v>
      </c>
      <c r="G2874" s="31"/>
      <c r="H2874" s="31"/>
      <c r="I2874" s="31"/>
      <c r="J2874" s="31"/>
    </row>
    <row r="2875" spans="1:10" ht="14.4" x14ac:dyDescent="0.3">
      <c r="A2875" s="28" t="str">
        <f>B2875&amp;C2875&amp;D2875&amp;E2875</f>
        <v>ЗдоровьеТовары для реабилитацииИнвалидные коляскиИнвалидные коляски</v>
      </c>
      <c r="B2875" s="29" t="s">
        <v>116</v>
      </c>
      <c r="C2875" s="29" t="s">
        <v>132</v>
      </c>
      <c r="D2875" s="29" t="s">
        <v>2967</v>
      </c>
      <c r="E2875" s="29" t="s">
        <v>2967</v>
      </c>
      <c r="F2875" s="30">
        <v>0.01</v>
      </c>
      <c r="G2875" s="31"/>
      <c r="H2875" s="31"/>
      <c r="I2875" s="31"/>
      <c r="J2875" s="32"/>
    </row>
    <row r="2876" spans="1:10" ht="14.4" x14ac:dyDescent="0.3">
      <c r="A2876" s="20"/>
      <c r="B2876" s="20"/>
      <c r="C2876" s="20"/>
      <c r="D2876" s="20"/>
      <c r="E2876" s="20"/>
      <c r="F2876" s="20"/>
      <c r="G2876" s="20"/>
      <c r="H2876" s="20"/>
      <c r="I2876" s="20"/>
      <c r="J2876" s="20"/>
    </row>
    <row r="2877" spans="1:10" ht="14.4" x14ac:dyDescent="0.3">
      <c r="A2877" s="20"/>
      <c r="B2877" s="20"/>
      <c r="C2877" s="20"/>
      <c r="D2877" s="20"/>
      <c r="E2877" s="20"/>
      <c r="F2877" s="20"/>
      <c r="G2877" s="20"/>
      <c r="H2877" s="20"/>
      <c r="I2877" s="20"/>
      <c r="J2877" s="20"/>
    </row>
    <row r="2878" spans="1:10" ht="14.4" x14ac:dyDescent="0.3">
      <c r="A2878" s="20"/>
      <c r="B2878" s="20"/>
      <c r="C2878" s="20"/>
      <c r="D2878" s="20"/>
      <c r="E2878" s="20"/>
      <c r="F2878" s="20"/>
      <c r="G2878" s="20"/>
      <c r="H2878" s="20"/>
      <c r="I2878" s="20"/>
      <c r="J2878" s="20"/>
    </row>
    <row r="2879" spans="1:10" ht="14.4" x14ac:dyDescent="0.3">
      <c r="A2879" s="20"/>
      <c r="B2879" s="20"/>
      <c r="C2879" s="20"/>
      <c r="D2879" s="20"/>
      <c r="E2879" s="20"/>
      <c r="F2879" s="20"/>
      <c r="G2879" s="20"/>
      <c r="H2879" s="20"/>
      <c r="I2879" s="20"/>
      <c r="J2879" s="20"/>
    </row>
    <row r="2880" spans="1:10" ht="14.4" x14ac:dyDescent="0.3">
      <c r="A2880" s="20"/>
      <c r="B2880" s="20"/>
      <c r="C2880" s="20"/>
      <c r="D2880" s="20"/>
      <c r="E2880" s="20"/>
      <c r="F2880" s="20"/>
      <c r="G2880" s="20"/>
      <c r="H2880" s="20"/>
      <c r="I2880" s="20"/>
      <c r="J2880" s="20"/>
    </row>
    <row r="2881" spans="1:10" ht="14.4" x14ac:dyDescent="0.3">
      <c r="A2881" s="20"/>
      <c r="B2881" s="20"/>
      <c r="C2881" s="20"/>
      <c r="D2881" s="20"/>
      <c r="E2881" s="20"/>
      <c r="F2881" s="20"/>
      <c r="G2881" s="20"/>
      <c r="H2881" s="20"/>
      <c r="I2881" s="20"/>
      <c r="J2881" s="20"/>
    </row>
    <row r="2882" spans="1:10" ht="14.4" x14ac:dyDescent="0.3">
      <c r="A2882" s="20"/>
      <c r="B2882" s="20"/>
      <c r="C2882" s="20"/>
      <c r="D2882" s="20"/>
      <c r="E2882" s="20"/>
      <c r="F2882" s="20"/>
      <c r="G2882" s="20"/>
      <c r="H2882" s="20"/>
      <c r="I2882" s="20"/>
      <c r="J2882" s="20"/>
    </row>
    <row r="2883" spans="1:10" ht="14.4" x14ac:dyDescent="0.3">
      <c r="A2883" s="20"/>
      <c r="B2883" s="20"/>
      <c r="C2883" s="20"/>
      <c r="D2883" s="20"/>
      <c r="E2883" s="20"/>
      <c r="F2883" s="20"/>
      <c r="G2883" s="20"/>
      <c r="H2883" s="20"/>
      <c r="I2883" s="20"/>
      <c r="J2883" s="20"/>
    </row>
    <row r="2884" spans="1:10" ht="14.4" x14ac:dyDescent="0.3">
      <c r="A2884" s="20"/>
      <c r="B2884" s="20"/>
      <c r="C2884" s="20"/>
      <c r="D2884" s="20"/>
      <c r="E2884" s="20"/>
      <c r="F2884" s="20"/>
      <c r="G2884" s="20"/>
      <c r="H2884" s="20"/>
      <c r="I2884" s="20"/>
      <c r="J2884" s="20"/>
    </row>
    <row r="2885" spans="1:10" ht="14.4" x14ac:dyDescent="0.3">
      <c r="A2885" s="20"/>
      <c r="B2885" s="20"/>
      <c r="C2885" s="20"/>
      <c r="D2885" s="20"/>
      <c r="E2885" s="20"/>
      <c r="F2885" s="20"/>
      <c r="G2885" s="20"/>
      <c r="H2885" s="20"/>
      <c r="I2885" s="20"/>
      <c r="J2885" s="20"/>
    </row>
    <row r="2886" spans="1:10" ht="14.4" x14ac:dyDescent="0.3">
      <c r="A2886" s="20"/>
      <c r="B2886" s="20"/>
      <c r="C2886" s="20"/>
      <c r="D2886" s="20"/>
      <c r="E2886" s="20"/>
      <c r="F2886" s="20"/>
      <c r="G2886" s="20"/>
      <c r="H2886" s="20"/>
      <c r="I2886" s="20"/>
      <c r="J2886" s="20"/>
    </row>
    <row r="2887" spans="1:10" ht="14.4" x14ac:dyDescent="0.3">
      <c r="A2887" s="20"/>
      <c r="B2887" s="20"/>
      <c r="C2887" s="20"/>
      <c r="D2887" s="20"/>
      <c r="E2887" s="20"/>
      <c r="F2887" s="20"/>
      <c r="G2887" s="20"/>
      <c r="H2887" s="20"/>
      <c r="I2887" s="20"/>
      <c r="J2887" s="20"/>
    </row>
    <row r="2888" spans="1:10" ht="14.4" x14ac:dyDescent="0.3">
      <c r="A2888" s="20"/>
      <c r="B2888" s="20"/>
      <c r="C2888" s="20"/>
      <c r="D2888" s="20"/>
      <c r="E2888" s="20"/>
      <c r="F2888" s="20"/>
      <c r="G2888" s="20"/>
      <c r="H2888" s="20"/>
      <c r="I2888" s="20"/>
      <c r="J2888" s="20"/>
    </row>
    <row r="2889" spans="1:10" ht="14.4" x14ac:dyDescent="0.3">
      <c r="A2889" s="20"/>
      <c r="B2889" s="20"/>
      <c r="C2889" s="20"/>
      <c r="D2889" s="20"/>
      <c r="E2889" s="20"/>
      <c r="F2889" s="20"/>
      <c r="G2889" s="20"/>
      <c r="H2889" s="20"/>
      <c r="I2889" s="20"/>
      <c r="J2889" s="20"/>
    </row>
    <row r="2890" spans="1:10" ht="14.4" x14ac:dyDescent="0.3">
      <c r="A2890" s="20"/>
      <c r="B2890" s="20"/>
      <c r="C2890" s="20"/>
      <c r="D2890" s="20"/>
      <c r="E2890" s="20"/>
      <c r="F2890" s="20"/>
      <c r="G2890" s="20"/>
      <c r="H2890" s="20"/>
      <c r="I2890" s="20"/>
      <c r="J2890" s="20"/>
    </row>
    <row r="2891" spans="1:10" ht="14.4" x14ac:dyDescent="0.3">
      <c r="A2891" s="20"/>
      <c r="B2891" s="20"/>
      <c r="C2891" s="20"/>
      <c r="D2891" s="20"/>
      <c r="E2891" s="20"/>
      <c r="F2891" s="20"/>
      <c r="G2891" s="20"/>
      <c r="H2891" s="20"/>
      <c r="I2891" s="20"/>
      <c r="J2891" s="20"/>
    </row>
    <row r="2892" spans="1:10" ht="14.4" x14ac:dyDescent="0.3">
      <c r="A2892" s="20"/>
      <c r="B2892" s="20"/>
      <c r="C2892" s="20"/>
      <c r="D2892" s="20"/>
      <c r="E2892" s="20"/>
      <c r="F2892" s="20"/>
      <c r="G2892" s="20"/>
      <c r="H2892" s="20"/>
      <c r="I2892" s="20"/>
      <c r="J2892" s="20"/>
    </row>
    <row r="2893" spans="1:10" ht="14.4" x14ac:dyDescent="0.3">
      <c r="A2893" s="20"/>
      <c r="B2893" s="20"/>
      <c r="C2893" s="20"/>
      <c r="D2893" s="20"/>
      <c r="E2893" s="20"/>
      <c r="F2893" s="20"/>
      <c r="G2893" s="20"/>
      <c r="H2893" s="20"/>
      <c r="I2893" s="20"/>
      <c r="J2893" s="20"/>
    </row>
    <row r="2894" spans="1:10" ht="14.4" x14ac:dyDescent="0.3">
      <c r="A2894" s="20"/>
      <c r="B2894" s="20"/>
      <c r="C2894" s="20"/>
      <c r="D2894" s="20"/>
      <c r="E2894" s="20"/>
      <c r="F2894" s="20"/>
      <c r="G2894" s="20"/>
      <c r="H2894" s="20"/>
      <c r="I2894" s="20"/>
      <c r="J2894" s="20"/>
    </row>
    <row r="2895" spans="1:10" ht="14.4" x14ac:dyDescent="0.3">
      <c r="A2895" s="20"/>
      <c r="B2895" s="20"/>
      <c r="C2895" s="20"/>
      <c r="D2895" s="20"/>
      <c r="E2895" s="20"/>
      <c r="F2895" s="20"/>
      <c r="G2895" s="20"/>
      <c r="H2895" s="20"/>
      <c r="I2895" s="20"/>
      <c r="J2895" s="20"/>
    </row>
    <row r="2896" spans="1:10" ht="14.4" x14ac:dyDescent="0.3">
      <c r="A2896" s="20"/>
      <c r="B2896" s="20"/>
      <c r="C2896" s="20"/>
      <c r="D2896" s="20"/>
      <c r="E2896" s="20"/>
      <c r="F2896" s="20"/>
      <c r="G2896" s="20"/>
      <c r="H2896" s="20"/>
      <c r="I2896" s="20"/>
      <c r="J2896" s="20"/>
    </row>
    <row r="2897" spans="1:10" ht="14.4" x14ac:dyDescent="0.3">
      <c r="A2897" s="20"/>
      <c r="B2897" s="20"/>
      <c r="C2897" s="20"/>
      <c r="D2897" s="20"/>
      <c r="E2897" s="20"/>
      <c r="F2897" s="20"/>
      <c r="G2897" s="20"/>
      <c r="H2897" s="20"/>
      <c r="I2897" s="20"/>
      <c r="J2897" s="20"/>
    </row>
    <row r="2898" spans="1:10" ht="14.4" x14ac:dyDescent="0.3">
      <c r="A2898" s="20"/>
      <c r="B2898" s="20"/>
      <c r="C2898" s="20"/>
      <c r="D2898" s="20"/>
      <c r="E2898" s="20"/>
      <c r="F2898" s="20"/>
      <c r="G2898" s="20"/>
      <c r="H2898" s="20"/>
      <c r="I2898" s="20"/>
      <c r="J2898" s="20"/>
    </row>
    <row r="2899" spans="1:10" ht="14.4" x14ac:dyDescent="0.3">
      <c r="A2899" s="20"/>
      <c r="B2899" s="20"/>
      <c r="C2899" s="20"/>
      <c r="D2899" s="20"/>
      <c r="E2899" s="20"/>
      <c r="F2899" s="20"/>
      <c r="G2899" s="20"/>
      <c r="H2899" s="20"/>
      <c r="I2899" s="20"/>
      <c r="J2899" s="20"/>
    </row>
    <row r="2900" spans="1:10" ht="14.4" x14ac:dyDescent="0.3">
      <c r="A2900" s="20"/>
      <c r="B2900" s="20"/>
      <c r="C2900" s="20"/>
      <c r="D2900" s="20"/>
      <c r="E2900" s="20"/>
      <c r="F2900" s="20"/>
      <c r="G2900" s="20"/>
      <c r="H2900" s="20"/>
      <c r="I2900" s="20"/>
      <c r="J2900" s="20"/>
    </row>
    <row r="2901" spans="1:10" ht="14.4" x14ac:dyDescent="0.3">
      <c r="A2901" s="20"/>
      <c r="B2901" s="20"/>
      <c r="C2901" s="20"/>
      <c r="D2901" s="20"/>
      <c r="E2901" s="20"/>
      <c r="F2901" s="20"/>
      <c r="G2901" s="20"/>
      <c r="H2901" s="20"/>
      <c r="I2901" s="20"/>
      <c r="J2901" s="20"/>
    </row>
    <row r="2902" spans="1:10" ht="14.4" x14ac:dyDescent="0.3">
      <c r="A2902" s="20"/>
      <c r="B2902" s="20"/>
      <c r="C2902" s="20"/>
      <c r="D2902" s="20"/>
      <c r="E2902" s="20"/>
      <c r="F2902" s="20"/>
      <c r="G2902" s="20"/>
      <c r="H2902" s="20"/>
      <c r="I2902" s="20"/>
      <c r="J2902" s="20"/>
    </row>
    <row r="2903" spans="1:10" ht="14.4" x14ac:dyDescent="0.3">
      <c r="A2903" s="20"/>
      <c r="B2903" s="20"/>
      <c r="C2903" s="20"/>
      <c r="D2903" s="20"/>
      <c r="E2903" s="20"/>
      <c r="F2903" s="20"/>
      <c r="G2903" s="20"/>
      <c r="H2903" s="20"/>
      <c r="I2903" s="20"/>
      <c r="J2903" s="20"/>
    </row>
    <row r="2904" spans="1:10" ht="14.4" x14ac:dyDescent="0.3">
      <c r="A2904" s="20"/>
      <c r="B2904" s="20"/>
      <c r="C2904" s="20"/>
      <c r="D2904" s="20"/>
      <c r="E2904" s="20"/>
      <c r="F2904" s="20"/>
      <c r="G2904" s="20"/>
      <c r="H2904" s="20"/>
      <c r="I2904" s="20"/>
      <c r="J2904" s="20"/>
    </row>
    <row r="2905" spans="1:10" ht="14.4" x14ac:dyDescent="0.3">
      <c r="A2905" s="20"/>
      <c r="B2905" s="20"/>
      <c r="C2905" s="20"/>
      <c r="D2905" s="20"/>
      <c r="E2905" s="20"/>
      <c r="F2905" s="20"/>
      <c r="G2905" s="20"/>
      <c r="H2905" s="20"/>
      <c r="I2905" s="20"/>
      <c r="J2905" s="20"/>
    </row>
    <row r="2906" spans="1:10" ht="14.4" x14ac:dyDescent="0.3">
      <c r="A2906" s="20"/>
      <c r="B2906" s="20"/>
      <c r="C2906" s="20"/>
      <c r="D2906" s="20"/>
      <c r="E2906" s="20"/>
      <c r="F2906" s="20"/>
      <c r="G2906" s="20"/>
      <c r="H2906" s="20"/>
      <c r="I2906" s="20"/>
      <c r="J2906" s="20"/>
    </row>
    <row r="2907" spans="1:10" ht="14.4" x14ac:dyDescent="0.3">
      <c r="A2907" s="20"/>
      <c r="B2907" s="20"/>
      <c r="C2907" s="20"/>
      <c r="D2907" s="20"/>
      <c r="E2907" s="20"/>
      <c r="F2907" s="20"/>
      <c r="G2907" s="20"/>
      <c r="H2907" s="20"/>
      <c r="I2907" s="20"/>
      <c r="J2907" s="20"/>
    </row>
    <row r="2908" spans="1:10" ht="14.4" x14ac:dyDescent="0.3">
      <c r="A2908" s="20"/>
      <c r="B2908" s="20"/>
      <c r="C2908" s="20"/>
      <c r="D2908" s="20"/>
      <c r="E2908" s="20"/>
      <c r="F2908" s="20"/>
      <c r="G2908" s="20"/>
      <c r="H2908" s="20"/>
      <c r="I2908" s="20"/>
      <c r="J2908" s="20"/>
    </row>
    <row r="2909" spans="1:10" ht="14.4" x14ac:dyDescent="0.3">
      <c r="A2909" s="20"/>
      <c r="B2909" s="20"/>
      <c r="C2909" s="20"/>
      <c r="D2909" s="20"/>
      <c r="E2909" s="20"/>
      <c r="F2909" s="20"/>
      <c r="G2909" s="20"/>
      <c r="H2909" s="20"/>
      <c r="I2909" s="20"/>
      <c r="J2909" s="20"/>
    </row>
    <row r="2910" spans="1:10" ht="14.4" x14ac:dyDescent="0.3">
      <c r="A2910" s="20"/>
      <c r="B2910" s="20"/>
      <c r="C2910" s="20"/>
      <c r="D2910" s="20"/>
      <c r="E2910" s="20"/>
      <c r="F2910" s="20"/>
      <c r="G2910" s="20"/>
      <c r="H2910" s="20"/>
      <c r="I2910" s="20"/>
      <c r="J2910" s="20"/>
    </row>
    <row r="2911" spans="1:10" ht="14.4" x14ac:dyDescent="0.3">
      <c r="A2911" s="20"/>
      <c r="B2911" s="20"/>
      <c r="C2911" s="20"/>
      <c r="D2911" s="20"/>
      <c r="E2911" s="20"/>
      <c r="F2911" s="20"/>
      <c r="G2911" s="20"/>
      <c r="H2911" s="20"/>
      <c r="I2911" s="20"/>
      <c r="J2911" s="20"/>
    </row>
    <row r="2912" spans="1:10" ht="14.4" x14ac:dyDescent="0.3">
      <c r="A2912" s="20"/>
      <c r="B2912" s="20"/>
      <c r="C2912" s="20"/>
      <c r="D2912" s="20"/>
      <c r="E2912" s="20"/>
      <c r="F2912" s="20"/>
      <c r="G2912" s="20"/>
      <c r="H2912" s="20"/>
      <c r="I2912" s="20"/>
      <c r="J2912" s="20"/>
    </row>
    <row r="2913" spans="1:10" ht="14.4" x14ac:dyDescent="0.3">
      <c r="A2913" s="20"/>
      <c r="B2913" s="20"/>
      <c r="C2913" s="20"/>
      <c r="D2913" s="20"/>
      <c r="E2913" s="20"/>
      <c r="F2913" s="20"/>
      <c r="G2913" s="20"/>
      <c r="H2913" s="20"/>
      <c r="I2913" s="20"/>
      <c r="J2913" s="20"/>
    </row>
    <row r="2914" spans="1:10" ht="14.4" x14ac:dyDescent="0.3">
      <c r="A2914" s="20"/>
      <c r="B2914" s="20"/>
      <c r="C2914" s="20"/>
      <c r="D2914" s="20"/>
      <c r="E2914" s="20"/>
      <c r="F2914" s="20"/>
      <c r="G2914" s="20"/>
      <c r="H2914" s="20"/>
      <c r="I2914" s="20"/>
      <c r="J2914" s="20"/>
    </row>
    <row r="2915" spans="1:10" ht="14.4" x14ac:dyDescent="0.3">
      <c r="A2915" s="20"/>
      <c r="B2915" s="20"/>
      <c r="C2915" s="20"/>
      <c r="D2915" s="20"/>
      <c r="E2915" s="20"/>
      <c r="F2915" s="20"/>
      <c r="G2915" s="20"/>
      <c r="H2915" s="20"/>
      <c r="I2915" s="20"/>
      <c r="J2915" s="20"/>
    </row>
    <row r="2916" spans="1:10" ht="14.4" x14ac:dyDescent="0.3">
      <c r="A2916" s="20"/>
      <c r="B2916" s="20"/>
      <c r="C2916" s="20"/>
      <c r="D2916" s="20"/>
      <c r="E2916" s="20"/>
      <c r="F2916" s="20"/>
      <c r="G2916" s="20"/>
      <c r="H2916" s="20"/>
      <c r="I2916" s="20"/>
      <c r="J2916" s="20"/>
    </row>
    <row r="2917" spans="1:10" ht="14.4" x14ac:dyDescent="0.3">
      <c r="A2917" s="20"/>
      <c r="B2917" s="20"/>
      <c r="C2917" s="20"/>
      <c r="D2917" s="20"/>
      <c r="E2917" s="20"/>
      <c r="F2917" s="20"/>
      <c r="G2917" s="20"/>
      <c r="H2917" s="20"/>
      <c r="I2917" s="20"/>
      <c r="J2917" s="20"/>
    </row>
    <row r="2918" spans="1:10" ht="14.4" x14ac:dyDescent="0.3">
      <c r="A2918" s="20"/>
      <c r="B2918" s="20"/>
      <c r="C2918" s="20"/>
      <c r="D2918" s="20"/>
      <c r="E2918" s="20"/>
      <c r="F2918" s="20"/>
      <c r="G2918" s="20"/>
      <c r="H2918" s="20"/>
      <c r="I2918" s="20"/>
      <c r="J2918" s="20"/>
    </row>
    <row r="2919" spans="1:10" ht="14.4" x14ac:dyDescent="0.3">
      <c r="A2919" s="20"/>
      <c r="B2919" s="20"/>
      <c r="C2919" s="20"/>
      <c r="D2919" s="20"/>
      <c r="E2919" s="20"/>
      <c r="F2919" s="20"/>
      <c r="G2919" s="20"/>
      <c r="H2919" s="20"/>
      <c r="I2919" s="20"/>
      <c r="J2919" s="20"/>
    </row>
    <row r="2920" spans="1:10" ht="14.4" x14ac:dyDescent="0.3">
      <c r="A2920" s="20"/>
      <c r="B2920" s="20"/>
      <c r="C2920" s="20"/>
      <c r="D2920" s="20"/>
      <c r="E2920" s="20"/>
      <c r="F2920" s="20"/>
      <c r="G2920" s="20"/>
      <c r="H2920" s="20"/>
      <c r="I2920" s="20"/>
      <c r="J2920" s="20"/>
    </row>
    <row r="2921" spans="1:10" ht="14.4" x14ac:dyDescent="0.3">
      <c r="A2921" s="20"/>
      <c r="B2921" s="20"/>
      <c r="C2921" s="20"/>
      <c r="D2921" s="20"/>
      <c r="E2921" s="20"/>
      <c r="F2921" s="20"/>
      <c r="G2921" s="20"/>
      <c r="H2921" s="20"/>
      <c r="I2921" s="20"/>
      <c r="J2921" s="20"/>
    </row>
    <row r="2922" spans="1:10" ht="14.4" x14ac:dyDescent="0.3">
      <c r="A2922" s="20"/>
      <c r="B2922" s="20"/>
      <c r="C2922" s="20"/>
      <c r="D2922" s="20"/>
      <c r="E2922" s="20"/>
      <c r="F2922" s="20"/>
      <c r="G2922" s="20"/>
      <c r="H2922" s="20"/>
      <c r="I2922" s="20"/>
      <c r="J2922" s="20"/>
    </row>
    <row r="2923" spans="1:10" ht="14.4" x14ac:dyDescent="0.3">
      <c r="A2923" s="20"/>
      <c r="B2923" s="20"/>
      <c r="C2923" s="20"/>
      <c r="D2923" s="20"/>
      <c r="E2923" s="20"/>
      <c r="F2923" s="20"/>
      <c r="G2923" s="20"/>
      <c r="H2923" s="20"/>
      <c r="I2923" s="20"/>
      <c r="J2923" s="20"/>
    </row>
    <row r="2924" spans="1:10" ht="14.4" x14ac:dyDescent="0.3">
      <c r="A2924" s="20"/>
      <c r="B2924" s="20"/>
      <c r="C2924" s="20"/>
      <c r="D2924" s="20"/>
      <c r="E2924" s="20"/>
      <c r="F2924" s="20"/>
      <c r="G2924" s="20"/>
      <c r="H2924" s="20"/>
      <c r="I2924" s="20"/>
      <c r="J2924" s="20"/>
    </row>
    <row r="2925" spans="1:10" ht="14.4" x14ac:dyDescent="0.3">
      <c r="A2925" s="20"/>
      <c r="B2925" s="20"/>
      <c r="C2925" s="20"/>
      <c r="D2925" s="20"/>
      <c r="E2925" s="20"/>
      <c r="F2925" s="20"/>
      <c r="G2925" s="20"/>
      <c r="H2925" s="20"/>
      <c r="I2925" s="20"/>
      <c r="J2925" s="20"/>
    </row>
    <row r="2926" spans="1:10" ht="14.4" x14ac:dyDescent="0.3">
      <c r="A2926" s="20"/>
      <c r="B2926" s="20"/>
      <c r="C2926" s="20"/>
      <c r="D2926" s="20"/>
      <c r="E2926" s="20"/>
      <c r="F2926" s="20"/>
      <c r="G2926" s="20"/>
      <c r="H2926" s="20"/>
      <c r="I2926" s="20"/>
      <c r="J2926" s="20"/>
    </row>
    <row r="2927" spans="1:10" ht="14.4" x14ac:dyDescent="0.3">
      <c r="A2927" s="20"/>
      <c r="B2927" s="20"/>
      <c r="C2927" s="20"/>
      <c r="D2927" s="20"/>
      <c r="E2927" s="20"/>
      <c r="F2927" s="20"/>
      <c r="G2927" s="20"/>
      <c r="H2927" s="20"/>
      <c r="I2927" s="20"/>
      <c r="J2927" s="20"/>
    </row>
    <row r="2928" spans="1:10" ht="14.4" x14ac:dyDescent="0.3">
      <c r="A2928" s="20"/>
      <c r="B2928" s="20"/>
      <c r="C2928" s="20"/>
      <c r="D2928" s="20"/>
      <c r="E2928" s="20"/>
      <c r="F2928" s="20"/>
      <c r="G2928" s="20"/>
      <c r="H2928" s="20"/>
      <c r="I2928" s="20"/>
      <c r="J2928" s="20"/>
    </row>
    <row r="2929" spans="1:10" ht="14.4" x14ac:dyDescent="0.3">
      <c r="A2929" s="20"/>
      <c r="B2929" s="20"/>
      <c r="C2929" s="20"/>
      <c r="D2929" s="20"/>
      <c r="E2929" s="20"/>
      <c r="F2929" s="20"/>
      <c r="G2929" s="20"/>
      <c r="H2929" s="20"/>
      <c r="I2929" s="20"/>
      <c r="J2929" s="20"/>
    </row>
    <row r="2930" spans="1:10" ht="14.4" x14ac:dyDescent="0.3">
      <c r="A2930" s="20"/>
      <c r="B2930" s="20"/>
      <c r="C2930" s="20"/>
      <c r="D2930" s="20"/>
      <c r="E2930" s="20"/>
      <c r="F2930" s="20"/>
      <c r="G2930" s="20"/>
      <c r="H2930" s="20"/>
      <c r="I2930" s="20"/>
      <c r="J2930" s="20"/>
    </row>
    <row r="2931" spans="1:10" ht="14.4" x14ac:dyDescent="0.3">
      <c r="A2931" s="20"/>
      <c r="B2931" s="20"/>
      <c r="C2931" s="20"/>
      <c r="D2931" s="20"/>
      <c r="E2931" s="20"/>
      <c r="F2931" s="20"/>
      <c r="G2931" s="20"/>
      <c r="H2931" s="20"/>
      <c r="I2931" s="20"/>
      <c r="J2931" s="20"/>
    </row>
    <row r="2932" spans="1:10" ht="14.4" x14ac:dyDescent="0.3">
      <c r="A2932" s="20"/>
      <c r="B2932" s="20"/>
      <c r="C2932" s="20"/>
      <c r="D2932" s="20"/>
      <c r="E2932" s="20"/>
      <c r="F2932" s="20"/>
      <c r="G2932" s="20"/>
      <c r="H2932" s="20"/>
      <c r="I2932" s="20"/>
      <c r="J2932" s="20"/>
    </row>
    <row r="2933" spans="1:10" ht="14.4" x14ac:dyDescent="0.3">
      <c r="A2933" s="20"/>
      <c r="B2933" s="20"/>
      <c r="C2933" s="20"/>
      <c r="D2933" s="20"/>
      <c r="E2933" s="20"/>
      <c r="F2933" s="20"/>
      <c r="G2933" s="20"/>
      <c r="H2933" s="20"/>
      <c r="I2933" s="20"/>
      <c r="J2933" s="20"/>
    </row>
    <row r="2934" spans="1:10" ht="14.4" x14ac:dyDescent="0.3">
      <c r="A2934" s="20"/>
      <c r="B2934" s="20"/>
      <c r="C2934" s="20"/>
      <c r="D2934" s="20"/>
      <c r="E2934" s="20"/>
      <c r="F2934" s="20"/>
      <c r="G2934" s="20"/>
      <c r="H2934" s="20"/>
      <c r="I2934" s="20"/>
      <c r="J2934" s="20"/>
    </row>
    <row r="2935" spans="1:10" ht="14.4" x14ac:dyDescent="0.3">
      <c r="A2935" s="20"/>
      <c r="B2935" s="20"/>
      <c r="C2935" s="20"/>
      <c r="D2935" s="20"/>
      <c r="E2935" s="20"/>
      <c r="F2935" s="20"/>
      <c r="G2935" s="20"/>
      <c r="H2935" s="20"/>
      <c r="I2935" s="20"/>
      <c r="J2935" s="20"/>
    </row>
    <row r="2936" spans="1:10" ht="14.4" x14ac:dyDescent="0.3">
      <c r="A2936" s="20"/>
      <c r="B2936" s="20"/>
      <c r="C2936" s="20"/>
      <c r="D2936" s="20"/>
      <c r="E2936" s="20"/>
      <c r="F2936" s="20"/>
      <c r="G2936" s="20"/>
      <c r="H2936" s="20"/>
      <c r="I2936" s="20"/>
      <c r="J2936" s="20"/>
    </row>
    <row r="2937" spans="1:10" ht="14.4" x14ac:dyDescent="0.3">
      <c r="A2937" s="20"/>
      <c r="B2937" s="20"/>
      <c r="C2937" s="20"/>
      <c r="D2937" s="20"/>
      <c r="E2937" s="20"/>
      <c r="F2937" s="20"/>
      <c r="G2937" s="20"/>
      <c r="H2937" s="20"/>
      <c r="I2937" s="20"/>
      <c r="J2937" s="20"/>
    </row>
    <row r="2938" spans="1:10" ht="14.4" x14ac:dyDescent="0.3">
      <c r="A2938" s="20"/>
      <c r="B2938" s="20"/>
      <c r="C2938" s="20"/>
      <c r="D2938" s="20"/>
      <c r="E2938" s="20"/>
      <c r="F2938" s="20"/>
      <c r="G2938" s="20"/>
      <c r="H2938" s="20"/>
      <c r="I2938" s="20"/>
      <c r="J2938" s="20"/>
    </row>
    <row r="2939" spans="1:10" ht="14.4" x14ac:dyDescent="0.3">
      <c r="A2939" s="20"/>
      <c r="B2939" s="20"/>
      <c r="C2939" s="20"/>
      <c r="D2939" s="20"/>
      <c r="E2939" s="20"/>
      <c r="F2939" s="20"/>
      <c r="G2939" s="20"/>
      <c r="H2939" s="20"/>
      <c r="I2939" s="20"/>
      <c r="J2939" s="20"/>
    </row>
    <row r="2940" spans="1:10" ht="14.4" x14ac:dyDescent="0.3">
      <c r="A2940" s="20"/>
      <c r="B2940" s="20"/>
      <c r="C2940" s="20"/>
      <c r="D2940" s="20"/>
      <c r="E2940" s="20"/>
      <c r="F2940" s="20"/>
      <c r="G2940" s="20"/>
      <c r="H2940" s="20"/>
      <c r="I2940" s="20"/>
      <c r="J2940" s="20"/>
    </row>
    <row r="2941" spans="1:10" ht="14.4" x14ac:dyDescent="0.3">
      <c r="A2941" s="20"/>
      <c r="B2941" s="20"/>
      <c r="C2941" s="20"/>
      <c r="D2941" s="20"/>
      <c r="E2941" s="20"/>
      <c r="F2941" s="20"/>
      <c r="G2941" s="20"/>
      <c r="H2941" s="20"/>
      <c r="I2941" s="20"/>
      <c r="J2941" s="20"/>
    </row>
    <row r="2942" spans="1:10" ht="14.4" x14ac:dyDescent="0.3">
      <c r="A2942" s="20"/>
      <c r="B2942" s="20"/>
      <c r="C2942" s="20"/>
      <c r="D2942" s="20"/>
      <c r="E2942" s="20"/>
      <c r="F2942" s="20"/>
      <c r="G2942" s="20"/>
      <c r="H2942" s="20"/>
      <c r="I2942" s="20"/>
      <c r="J2942" s="20"/>
    </row>
    <row r="2943" spans="1:10" ht="14.4" x14ac:dyDescent="0.3">
      <c r="A2943" s="20"/>
      <c r="B2943" s="20"/>
      <c r="C2943" s="20"/>
      <c r="D2943" s="20"/>
      <c r="E2943" s="20"/>
      <c r="F2943" s="20"/>
      <c r="G2943" s="20"/>
      <c r="H2943" s="20"/>
      <c r="I2943" s="20"/>
      <c r="J2943" s="20"/>
    </row>
    <row r="2944" spans="1:10" ht="14.4" x14ac:dyDescent="0.3">
      <c r="A2944" s="20"/>
      <c r="B2944" s="20"/>
      <c r="C2944" s="20"/>
      <c r="D2944" s="20"/>
      <c r="E2944" s="20"/>
      <c r="F2944" s="20"/>
      <c r="G2944" s="20"/>
      <c r="H2944" s="20"/>
      <c r="I2944" s="20"/>
      <c r="J2944" s="20"/>
    </row>
    <row r="2945" spans="1:10" ht="14.4" x14ac:dyDescent="0.3">
      <c r="A2945" s="20"/>
      <c r="B2945" s="20"/>
      <c r="C2945" s="20"/>
      <c r="D2945" s="20"/>
      <c r="E2945" s="20"/>
      <c r="F2945" s="20"/>
      <c r="G2945" s="20"/>
      <c r="H2945" s="20"/>
      <c r="I2945" s="20"/>
      <c r="J2945" s="20"/>
    </row>
    <row r="2946" spans="1:10" ht="14.4" x14ac:dyDescent="0.3">
      <c r="A2946" s="20"/>
      <c r="B2946" s="20"/>
      <c r="C2946" s="20"/>
      <c r="D2946" s="20"/>
      <c r="E2946" s="20"/>
      <c r="F2946" s="20"/>
      <c r="G2946" s="20"/>
      <c r="H2946" s="20"/>
      <c r="I2946" s="20"/>
      <c r="J2946" s="20"/>
    </row>
    <row r="2947" spans="1:10" ht="14.4" x14ac:dyDescent="0.3">
      <c r="A2947" s="20"/>
      <c r="B2947" s="20"/>
      <c r="C2947" s="20"/>
      <c r="D2947" s="20"/>
      <c r="E2947" s="20"/>
      <c r="F2947" s="20"/>
      <c r="G2947" s="20"/>
      <c r="H2947" s="20"/>
      <c r="I2947" s="20"/>
      <c r="J2947" s="20"/>
    </row>
    <row r="2948" spans="1:10" ht="14.4" x14ac:dyDescent="0.3">
      <c r="A2948" s="20"/>
      <c r="B2948" s="20"/>
      <c r="C2948" s="20"/>
      <c r="D2948" s="20"/>
      <c r="E2948" s="20"/>
      <c r="F2948" s="20"/>
      <c r="G2948" s="20"/>
      <c r="H2948" s="20"/>
      <c r="I2948" s="20"/>
      <c r="J2948" s="20"/>
    </row>
    <row r="2949" spans="1:10" ht="14.4" x14ac:dyDescent="0.3">
      <c r="A2949" s="20"/>
      <c r="B2949" s="20"/>
      <c r="C2949" s="20"/>
      <c r="D2949" s="20"/>
      <c r="E2949" s="20"/>
      <c r="F2949" s="20"/>
      <c r="G2949" s="20"/>
      <c r="H2949" s="20"/>
      <c r="I2949" s="20"/>
      <c r="J2949" s="20"/>
    </row>
    <row r="2950" spans="1:10" ht="14.4" x14ac:dyDescent="0.3">
      <c r="A2950" s="20"/>
      <c r="B2950" s="20"/>
      <c r="C2950" s="20"/>
      <c r="D2950" s="20"/>
      <c r="E2950" s="20"/>
      <c r="F2950" s="20"/>
      <c r="G2950" s="20"/>
      <c r="H2950" s="20"/>
      <c r="I2950" s="20"/>
      <c r="J2950" s="20"/>
    </row>
    <row r="2951" spans="1:10" ht="14.4" x14ac:dyDescent="0.3">
      <c r="A2951" s="20"/>
      <c r="B2951" s="20"/>
      <c r="C2951" s="20"/>
      <c r="D2951" s="20"/>
      <c r="E2951" s="20"/>
      <c r="F2951" s="20"/>
      <c r="G2951" s="20"/>
      <c r="H2951" s="20"/>
      <c r="I2951" s="20"/>
      <c r="J2951" s="20"/>
    </row>
    <row r="2952" spans="1:10" ht="14.4" x14ac:dyDescent="0.3">
      <c r="A2952" s="20"/>
      <c r="B2952" s="20"/>
      <c r="C2952" s="20"/>
      <c r="D2952" s="20"/>
      <c r="E2952" s="20"/>
      <c r="F2952" s="20"/>
      <c r="G2952" s="20"/>
      <c r="H2952" s="20"/>
      <c r="I2952" s="20"/>
      <c r="J2952" s="20"/>
    </row>
    <row r="2953" spans="1:10" ht="14.4" x14ac:dyDescent="0.3">
      <c r="A2953" s="20"/>
      <c r="B2953" s="20"/>
      <c r="C2953" s="20"/>
      <c r="D2953" s="20"/>
      <c r="E2953" s="20"/>
      <c r="F2953" s="20"/>
      <c r="G2953" s="20"/>
      <c r="H2953" s="20"/>
      <c r="I2953" s="20"/>
      <c r="J2953" s="20"/>
    </row>
    <row r="2954" spans="1:10" ht="14.4" x14ac:dyDescent="0.3">
      <c r="A2954" s="20"/>
      <c r="B2954" s="20"/>
      <c r="C2954" s="20"/>
      <c r="D2954" s="20"/>
      <c r="E2954" s="20"/>
      <c r="F2954" s="20"/>
      <c r="G2954" s="20"/>
      <c r="H2954" s="20"/>
      <c r="I2954" s="20"/>
      <c r="J2954" s="20"/>
    </row>
    <row r="2955" spans="1:10" ht="14.4" x14ac:dyDescent="0.3">
      <c r="A2955" s="20"/>
      <c r="B2955" s="20"/>
      <c r="C2955" s="20"/>
      <c r="D2955" s="20"/>
      <c r="E2955" s="20"/>
      <c r="F2955" s="20"/>
      <c r="G2955" s="20"/>
      <c r="H2955" s="20"/>
      <c r="I2955" s="20"/>
      <c r="J2955" s="20"/>
    </row>
    <row r="2956" spans="1:10" ht="14.4" x14ac:dyDescent="0.3">
      <c r="A2956" s="20"/>
      <c r="B2956" s="20"/>
      <c r="C2956" s="20"/>
      <c r="D2956" s="20"/>
      <c r="E2956" s="20"/>
      <c r="F2956" s="20"/>
      <c r="G2956" s="20"/>
      <c r="H2956" s="20"/>
      <c r="I2956" s="20"/>
      <c r="J2956" s="20"/>
    </row>
    <row r="2957" spans="1:10" ht="14.4" x14ac:dyDescent="0.3">
      <c r="A2957" s="20"/>
      <c r="B2957" s="20"/>
      <c r="C2957" s="20"/>
      <c r="D2957" s="20"/>
      <c r="E2957" s="20"/>
      <c r="F2957" s="20"/>
      <c r="G2957" s="20"/>
      <c r="H2957" s="20"/>
      <c r="I2957" s="20"/>
      <c r="J2957" s="20"/>
    </row>
    <row r="2958" spans="1:10" ht="14.4" x14ac:dyDescent="0.3">
      <c r="A2958" s="20"/>
      <c r="B2958" s="20"/>
      <c r="C2958" s="20"/>
      <c r="D2958" s="20"/>
      <c r="E2958" s="20"/>
      <c r="F2958" s="20"/>
      <c r="G2958" s="20"/>
      <c r="H2958" s="20"/>
      <c r="I2958" s="20"/>
      <c r="J2958" s="20"/>
    </row>
    <row r="2959" spans="1:10" ht="14.4" x14ac:dyDescent="0.3">
      <c r="A2959" s="20"/>
      <c r="B2959" s="20"/>
      <c r="C2959" s="20"/>
      <c r="D2959" s="20"/>
      <c r="E2959" s="20"/>
      <c r="F2959" s="20"/>
      <c r="G2959" s="20"/>
      <c r="H2959" s="20"/>
      <c r="I2959" s="20"/>
      <c r="J2959" s="20"/>
    </row>
    <row r="2960" spans="1:10" ht="14.4" x14ac:dyDescent="0.3">
      <c r="A2960" s="20"/>
      <c r="B2960" s="20"/>
      <c r="C2960" s="20"/>
      <c r="D2960" s="20"/>
      <c r="E2960" s="20"/>
      <c r="F2960" s="20"/>
      <c r="G2960" s="20"/>
      <c r="H2960" s="20"/>
      <c r="I2960" s="20"/>
      <c r="J2960" s="20"/>
    </row>
    <row r="2961" spans="1:10" ht="14.4" x14ac:dyDescent="0.3">
      <c r="A2961" s="20"/>
      <c r="B2961" s="20"/>
      <c r="C2961" s="20"/>
      <c r="D2961" s="20"/>
      <c r="E2961" s="20"/>
      <c r="F2961" s="20"/>
      <c r="G2961" s="20"/>
      <c r="H2961" s="20"/>
      <c r="I2961" s="20"/>
      <c r="J2961" s="20"/>
    </row>
    <row r="2962" spans="1:10" ht="14.4" x14ac:dyDescent="0.3">
      <c r="A2962" s="20"/>
      <c r="B2962" s="20"/>
      <c r="C2962" s="20"/>
      <c r="D2962" s="20"/>
      <c r="E2962" s="20"/>
      <c r="F2962" s="20"/>
      <c r="G2962" s="20"/>
      <c r="H2962" s="20"/>
      <c r="I2962" s="20"/>
      <c r="J2962" s="20"/>
    </row>
    <row r="2963" spans="1:10" ht="14.4" x14ac:dyDescent="0.3">
      <c r="A2963" s="20"/>
      <c r="B2963" s="20"/>
      <c r="C2963" s="20"/>
      <c r="D2963" s="20"/>
      <c r="E2963" s="20"/>
      <c r="F2963" s="20"/>
      <c r="G2963" s="20"/>
      <c r="H2963" s="20"/>
      <c r="I2963" s="20"/>
      <c r="J2963" s="20"/>
    </row>
    <row r="2964" spans="1:10" ht="14.4" x14ac:dyDescent="0.3">
      <c r="A2964" s="20"/>
      <c r="B2964" s="20"/>
      <c r="C2964" s="20"/>
      <c r="D2964" s="20"/>
      <c r="E2964" s="20"/>
      <c r="F2964" s="20"/>
      <c r="G2964" s="20"/>
      <c r="H2964" s="20"/>
      <c r="I2964" s="20"/>
      <c r="J2964" s="20"/>
    </row>
    <row r="2965" spans="1:10" ht="14.4" x14ac:dyDescent="0.3">
      <c r="A2965" s="20"/>
      <c r="B2965" s="20"/>
      <c r="C2965" s="20"/>
      <c r="D2965" s="20"/>
      <c r="E2965" s="20"/>
      <c r="F2965" s="20"/>
      <c r="G2965" s="20"/>
      <c r="H2965" s="20"/>
      <c r="I2965" s="20"/>
      <c r="J2965" s="20"/>
    </row>
    <row r="2966" spans="1:10" ht="14.4" x14ac:dyDescent="0.3">
      <c r="A2966" s="20"/>
      <c r="B2966" s="20"/>
      <c r="C2966" s="20"/>
      <c r="D2966" s="20"/>
      <c r="E2966" s="20"/>
      <c r="F2966" s="20"/>
      <c r="G2966" s="20"/>
      <c r="H2966" s="20"/>
      <c r="I2966" s="20"/>
      <c r="J2966" s="20"/>
    </row>
    <row r="2967" spans="1:10" ht="14.4" x14ac:dyDescent="0.3">
      <c r="A2967" s="20"/>
      <c r="B2967" s="20"/>
      <c r="C2967" s="20"/>
      <c r="D2967" s="20"/>
      <c r="E2967" s="20"/>
      <c r="F2967" s="20"/>
      <c r="G2967" s="20"/>
      <c r="H2967" s="20"/>
      <c r="I2967" s="20"/>
      <c r="J2967" s="20"/>
    </row>
    <row r="2968" spans="1:10" ht="14.4" x14ac:dyDescent="0.3">
      <c r="A2968" s="20"/>
      <c r="B2968" s="20"/>
      <c r="C2968" s="20"/>
      <c r="D2968" s="20"/>
      <c r="E2968" s="20"/>
      <c r="F2968" s="20"/>
      <c r="G2968" s="20"/>
      <c r="H2968" s="20"/>
      <c r="I2968" s="20"/>
      <c r="J2968" s="20"/>
    </row>
    <row r="2969" spans="1:10" ht="14.4" x14ac:dyDescent="0.3">
      <c r="A2969" s="20"/>
      <c r="B2969" s="20"/>
      <c r="C2969" s="20"/>
      <c r="D2969" s="20"/>
      <c r="E2969" s="20"/>
      <c r="F2969" s="20"/>
      <c r="G2969" s="20"/>
      <c r="H2969" s="20"/>
      <c r="I2969" s="20"/>
      <c r="J2969" s="20"/>
    </row>
    <row r="2970" spans="1:10" ht="14.4" x14ac:dyDescent="0.3">
      <c r="A2970" s="20"/>
      <c r="B2970" s="20"/>
      <c r="C2970" s="20"/>
      <c r="D2970" s="20"/>
      <c r="E2970" s="20"/>
      <c r="F2970" s="20"/>
      <c r="G2970" s="20"/>
      <c r="H2970" s="20"/>
      <c r="I2970" s="20"/>
      <c r="J2970" s="20"/>
    </row>
    <row r="2971" spans="1:10" ht="14.4" x14ac:dyDescent="0.3">
      <c r="A2971" s="20"/>
      <c r="B2971" s="20"/>
      <c r="C2971" s="20"/>
      <c r="D2971" s="20"/>
      <c r="E2971" s="20"/>
      <c r="F2971" s="20"/>
      <c r="G2971" s="20"/>
      <c r="H2971" s="20"/>
      <c r="I2971" s="20"/>
      <c r="J2971" s="20"/>
    </row>
    <row r="2972" spans="1:10" ht="14.4" x14ac:dyDescent="0.3">
      <c r="A2972" s="20"/>
      <c r="B2972" s="20"/>
      <c r="C2972" s="20"/>
      <c r="D2972" s="20"/>
      <c r="E2972" s="20"/>
      <c r="F2972" s="20"/>
      <c r="G2972" s="20"/>
      <c r="H2972" s="20"/>
      <c r="I2972" s="20"/>
      <c r="J2972" s="20"/>
    </row>
    <row r="2973" spans="1:10" ht="14.4" x14ac:dyDescent="0.3">
      <c r="A2973" s="20"/>
      <c r="B2973" s="20"/>
      <c r="C2973" s="20"/>
      <c r="D2973" s="20"/>
      <c r="E2973" s="20"/>
      <c r="F2973" s="20"/>
      <c r="G2973" s="20"/>
      <c r="H2973" s="20"/>
      <c r="I2973" s="20"/>
      <c r="J2973" s="20"/>
    </row>
    <row r="2974" spans="1:10" ht="14.4" x14ac:dyDescent="0.3">
      <c r="A2974" s="20"/>
      <c r="B2974" s="20"/>
      <c r="C2974" s="20"/>
      <c r="D2974" s="20"/>
      <c r="E2974" s="20"/>
      <c r="F2974" s="20"/>
      <c r="G2974" s="20"/>
      <c r="H2974" s="20"/>
      <c r="I2974" s="20"/>
      <c r="J2974" s="20"/>
    </row>
    <row r="2975" spans="1:10" ht="14.4" x14ac:dyDescent="0.3">
      <c r="A2975" s="20"/>
      <c r="B2975" s="20"/>
      <c r="C2975" s="20"/>
      <c r="D2975" s="20"/>
      <c r="E2975" s="20"/>
      <c r="F2975" s="20"/>
      <c r="G2975" s="20"/>
      <c r="H2975" s="20"/>
      <c r="I2975" s="20"/>
      <c r="J2975" s="20"/>
    </row>
    <row r="2976" spans="1:10" ht="14.4" x14ac:dyDescent="0.3">
      <c r="A2976" s="20"/>
      <c r="B2976" s="20"/>
      <c r="C2976" s="20"/>
      <c r="D2976" s="20"/>
      <c r="E2976" s="20"/>
      <c r="F2976" s="20"/>
      <c r="G2976" s="20"/>
      <c r="H2976" s="20"/>
      <c r="I2976" s="20"/>
      <c r="J2976" s="20"/>
    </row>
    <row r="2977" spans="1:10" ht="14.4" x14ac:dyDescent="0.3">
      <c r="A2977" s="20"/>
      <c r="B2977" s="20"/>
      <c r="C2977" s="20"/>
      <c r="D2977" s="20"/>
      <c r="E2977" s="20"/>
      <c r="F2977" s="20"/>
      <c r="G2977" s="20"/>
      <c r="H2977" s="20"/>
      <c r="I2977" s="20"/>
      <c r="J2977" s="20"/>
    </row>
    <row r="2978" spans="1:10" ht="14.4" x14ac:dyDescent="0.3">
      <c r="A2978" s="20"/>
      <c r="B2978" s="20"/>
      <c r="C2978" s="20"/>
      <c r="D2978" s="20"/>
      <c r="E2978" s="20"/>
      <c r="F2978" s="20"/>
      <c r="G2978" s="20"/>
      <c r="H2978" s="20"/>
      <c r="I2978" s="20"/>
      <c r="J2978" s="20"/>
    </row>
    <row r="2979" spans="1:10" ht="14.4" x14ac:dyDescent="0.3">
      <c r="A2979" s="20"/>
      <c r="B2979" s="20"/>
      <c r="C2979" s="20"/>
      <c r="D2979" s="20"/>
      <c r="E2979" s="20"/>
      <c r="F2979" s="20"/>
      <c r="G2979" s="20"/>
      <c r="H2979" s="20"/>
      <c r="I2979" s="20"/>
      <c r="J2979" s="20"/>
    </row>
    <row r="2980" spans="1:10" ht="14.4" x14ac:dyDescent="0.3">
      <c r="A2980" s="20"/>
      <c r="B2980" s="20"/>
      <c r="C2980" s="20"/>
      <c r="D2980" s="20"/>
      <c r="E2980" s="20"/>
      <c r="F2980" s="20"/>
      <c r="G2980" s="20"/>
      <c r="H2980" s="20"/>
      <c r="I2980" s="20"/>
      <c r="J2980" s="20"/>
    </row>
    <row r="2981" spans="1:10" ht="14.4" x14ac:dyDescent="0.3">
      <c r="A2981" s="20"/>
      <c r="B2981" s="20"/>
      <c r="C2981" s="20"/>
      <c r="D2981" s="20"/>
      <c r="E2981" s="20"/>
      <c r="F2981" s="20"/>
      <c r="G2981" s="20"/>
      <c r="H2981" s="20"/>
      <c r="I2981" s="20"/>
      <c r="J2981" s="20"/>
    </row>
    <row r="2982" spans="1:10" ht="14.4" x14ac:dyDescent="0.3">
      <c r="A2982" s="20"/>
      <c r="B2982" s="20"/>
      <c r="C2982" s="20"/>
      <c r="D2982" s="20"/>
      <c r="E2982" s="20"/>
      <c r="F2982" s="20"/>
      <c r="G2982" s="20"/>
      <c r="H2982" s="20"/>
      <c r="I2982" s="20"/>
      <c r="J2982" s="20"/>
    </row>
    <row r="2983" spans="1:10" ht="14.4" x14ac:dyDescent="0.3">
      <c r="A2983" s="20"/>
      <c r="B2983" s="20"/>
      <c r="C2983" s="20"/>
      <c r="D2983" s="20"/>
      <c r="E2983" s="20"/>
      <c r="F2983" s="20"/>
      <c r="G2983" s="20"/>
      <c r="H2983" s="20"/>
      <c r="I2983" s="20"/>
      <c r="J2983" s="20"/>
    </row>
    <row r="2984" spans="1:10" ht="14.4" x14ac:dyDescent="0.3">
      <c r="A2984" s="20"/>
      <c r="B2984" s="20"/>
      <c r="C2984" s="20"/>
      <c r="D2984" s="20"/>
      <c r="E2984" s="20"/>
      <c r="F2984" s="20"/>
      <c r="G2984" s="20"/>
      <c r="H2984" s="20"/>
      <c r="I2984" s="20"/>
      <c r="J2984" s="20"/>
    </row>
    <row r="2985" spans="1:10" ht="14.4" x14ac:dyDescent="0.3">
      <c r="A2985" s="20"/>
      <c r="B2985" s="20"/>
      <c r="C2985" s="20"/>
      <c r="D2985" s="20"/>
      <c r="E2985" s="20"/>
      <c r="F2985" s="20"/>
      <c r="G2985" s="20"/>
      <c r="H2985" s="20"/>
      <c r="I2985" s="20"/>
      <c r="J2985" s="20"/>
    </row>
    <row r="2986" spans="1:10" ht="14.4" x14ac:dyDescent="0.3">
      <c r="A2986" s="20"/>
      <c r="B2986" s="20"/>
      <c r="C2986" s="20"/>
      <c r="D2986" s="20"/>
      <c r="E2986" s="20"/>
      <c r="F2986" s="20"/>
      <c r="G2986" s="20"/>
      <c r="H2986" s="20"/>
      <c r="I2986" s="20"/>
      <c r="J2986" s="20"/>
    </row>
    <row r="2987" spans="1:10" ht="14.4" x14ac:dyDescent="0.3">
      <c r="A2987" s="20"/>
      <c r="B2987" s="20"/>
      <c r="C2987" s="20"/>
      <c r="D2987" s="20"/>
      <c r="E2987" s="20"/>
      <c r="F2987" s="20"/>
      <c r="G2987" s="20"/>
      <c r="H2987" s="20"/>
      <c r="I2987" s="20"/>
      <c r="J2987" s="20"/>
    </row>
    <row r="2988" spans="1:10" ht="14.4" x14ac:dyDescent="0.3">
      <c r="A2988" s="20"/>
      <c r="B2988" s="20"/>
      <c r="C2988" s="20"/>
      <c r="D2988" s="20"/>
      <c r="E2988" s="20"/>
      <c r="F2988" s="20"/>
      <c r="G2988" s="20"/>
      <c r="H2988" s="20"/>
      <c r="I2988" s="20"/>
      <c r="J2988" s="20"/>
    </row>
    <row r="2989" spans="1:10" ht="14.4" x14ac:dyDescent="0.3">
      <c r="A2989" s="20"/>
      <c r="B2989" s="20"/>
      <c r="C2989" s="20"/>
      <c r="D2989" s="20"/>
      <c r="E2989" s="20"/>
      <c r="F2989" s="20"/>
      <c r="G2989" s="20"/>
      <c r="H2989" s="20"/>
      <c r="I2989" s="20"/>
      <c r="J2989" s="20"/>
    </row>
    <row r="2990" spans="1:10" ht="14.4" x14ac:dyDescent="0.3">
      <c r="A2990" s="20"/>
      <c r="B2990" s="20"/>
      <c r="C2990" s="20"/>
      <c r="D2990" s="20"/>
      <c r="E2990" s="20"/>
      <c r="F2990" s="20"/>
      <c r="G2990" s="20"/>
      <c r="H2990" s="20"/>
      <c r="I2990" s="20"/>
      <c r="J2990" s="20"/>
    </row>
    <row r="2991" spans="1:10" ht="14.4" x14ac:dyDescent="0.3">
      <c r="A2991" s="20"/>
      <c r="B2991" s="20"/>
      <c r="C2991" s="20"/>
      <c r="D2991" s="20"/>
      <c r="E2991" s="20"/>
      <c r="F2991" s="20"/>
      <c r="G2991" s="20"/>
      <c r="H2991" s="20"/>
      <c r="I2991" s="20"/>
      <c r="J2991" s="20"/>
    </row>
    <row r="2992" spans="1:10" ht="14.4" x14ac:dyDescent="0.3">
      <c r="A2992" s="20"/>
      <c r="B2992" s="20"/>
      <c r="C2992" s="20"/>
      <c r="D2992" s="20"/>
      <c r="E2992" s="20"/>
      <c r="F2992" s="20"/>
      <c r="G2992" s="20"/>
      <c r="H2992" s="20"/>
      <c r="I2992" s="20"/>
      <c r="J2992" s="20"/>
    </row>
    <row r="2993" spans="1:10" ht="14.4" x14ac:dyDescent="0.3">
      <c r="A2993" s="20"/>
      <c r="B2993" s="20"/>
      <c r="C2993" s="20"/>
      <c r="D2993" s="20"/>
      <c r="E2993" s="20"/>
      <c r="F2993" s="20"/>
      <c r="G2993" s="20"/>
      <c r="H2993" s="20"/>
      <c r="I2993" s="20"/>
      <c r="J2993" s="20"/>
    </row>
    <row r="2994" spans="1:10" ht="14.4" x14ac:dyDescent="0.3">
      <c r="A2994" s="20"/>
      <c r="B2994" s="20"/>
      <c r="C2994" s="20"/>
      <c r="D2994" s="20"/>
      <c r="E2994" s="20"/>
      <c r="F2994" s="20"/>
      <c r="G2994" s="20"/>
      <c r="H2994" s="20"/>
      <c r="I2994" s="20"/>
      <c r="J2994" s="20"/>
    </row>
    <row r="2995" spans="1:10" ht="14.4" x14ac:dyDescent="0.3">
      <c r="A2995" s="20"/>
      <c r="B2995" s="20"/>
      <c r="C2995" s="20"/>
      <c r="D2995" s="20"/>
      <c r="E2995" s="20"/>
      <c r="F2995" s="20"/>
      <c r="G2995" s="20"/>
      <c r="H2995" s="20"/>
      <c r="I2995" s="20"/>
      <c r="J2995" s="20"/>
    </row>
    <row r="2996" spans="1:10" ht="14.4" x14ac:dyDescent="0.3">
      <c r="A2996" s="20"/>
      <c r="B2996" s="20"/>
      <c r="C2996" s="20"/>
      <c r="D2996" s="20"/>
      <c r="E2996" s="20"/>
      <c r="F2996" s="20"/>
      <c r="G2996" s="20"/>
      <c r="H2996" s="20"/>
      <c r="I2996" s="20"/>
      <c r="J2996" s="20"/>
    </row>
    <row r="2997" spans="1:10" ht="14.4" x14ac:dyDescent="0.3">
      <c r="A2997" s="20"/>
      <c r="B2997" s="20"/>
      <c r="C2997" s="20"/>
      <c r="D2997" s="20"/>
      <c r="E2997" s="20"/>
      <c r="F2997" s="20"/>
      <c r="G2997" s="20"/>
      <c r="H2997" s="20"/>
      <c r="I2997" s="20"/>
      <c r="J2997" s="20"/>
    </row>
    <row r="2998" spans="1:10" ht="14.4" x14ac:dyDescent="0.3">
      <c r="A2998" s="20"/>
      <c r="B2998" s="20"/>
      <c r="C2998" s="20"/>
      <c r="D2998" s="20"/>
      <c r="E2998" s="20"/>
      <c r="F2998" s="20"/>
      <c r="G2998" s="20"/>
      <c r="H2998" s="20"/>
      <c r="I2998" s="20"/>
      <c r="J2998" s="20"/>
    </row>
    <row r="2999" spans="1:10" ht="14.4" x14ac:dyDescent="0.3">
      <c r="A2999" s="20"/>
      <c r="B2999" s="20"/>
      <c r="C2999" s="20"/>
      <c r="D2999" s="20"/>
      <c r="E2999" s="20"/>
      <c r="F2999" s="20"/>
      <c r="G2999" s="20"/>
      <c r="H2999" s="20"/>
      <c r="I2999" s="20"/>
      <c r="J2999" s="20"/>
    </row>
    <row r="3000" spans="1:10" ht="14.4" x14ac:dyDescent="0.3">
      <c r="A3000" s="20"/>
      <c r="B3000" s="20"/>
      <c r="C3000" s="20"/>
      <c r="D3000" s="20"/>
      <c r="E3000" s="20"/>
      <c r="F3000" s="20"/>
      <c r="G3000" s="20"/>
      <c r="H3000" s="20"/>
      <c r="I3000" s="20"/>
      <c r="J3000" s="20"/>
    </row>
    <row r="3001" spans="1:10" ht="14.4" x14ac:dyDescent="0.3">
      <c r="A3001" s="20"/>
      <c r="B3001" s="20"/>
      <c r="C3001" s="20"/>
      <c r="D3001" s="20"/>
      <c r="E3001" s="20"/>
      <c r="F3001" s="20"/>
      <c r="G3001" s="20"/>
      <c r="H3001" s="20"/>
      <c r="I3001" s="20"/>
      <c r="J3001" s="20"/>
    </row>
    <row r="3002" spans="1:10" ht="14.4" x14ac:dyDescent="0.3">
      <c r="A3002" s="20"/>
      <c r="B3002" s="20"/>
      <c r="C3002" s="20"/>
      <c r="D3002" s="20"/>
      <c r="E3002" s="20"/>
      <c r="F3002" s="20"/>
      <c r="G3002" s="20"/>
      <c r="H3002" s="20"/>
      <c r="I3002" s="20"/>
      <c r="J3002" s="20"/>
    </row>
    <row r="3003" spans="1:10" ht="14.4" x14ac:dyDescent="0.3">
      <c r="A3003" s="20"/>
      <c r="B3003" s="20"/>
      <c r="C3003" s="20"/>
      <c r="D3003" s="20"/>
      <c r="E3003" s="20"/>
      <c r="F3003" s="20"/>
      <c r="G3003" s="20"/>
      <c r="H3003" s="20"/>
      <c r="I3003" s="20"/>
      <c r="J3003" s="20"/>
    </row>
    <row r="3004" spans="1:10" ht="14.4" x14ac:dyDescent="0.3">
      <c r="A3004" s="20"/>
      <c r="B3004" s="20"/>
      <c r="C3004" s="20"/>
      <c r="D3004" s="20"/>
      <c r="E3004" s="20"/>
      <c r="F3004" s="20"/>
      <c r="G3004" s="20"/>
      <c r="H3004" s="20"/>
      <c r="I3004" s="20"/>
      <c r="J3004" s="20"/>
    </row>
    <row r="3005" spans="1:10" ht="14.4" x14ac:dyDescent="0.3">
      <c r="A3005" s="20"/>
      <c r="B3005" s="20"/>
      <c r="C3005" s="20"/>
      <c r="D3005" s="20"/>
      <c r="E3005" s="20"/>
      <c r="F3005" s="20"/>
      <c r="G3005" s="20"/>
      <c r="H3005" s="20"/>
      <c r="I3005" s="20"/>
      <c r="J3005" s="20"/>
    </row>
    <row r="3006" spans="1:10" ht="14.4" x14ac:dyDescent="0.3">
      <c r="A3006" s="20"/>
      <c r="B3006" s="20"/>
      <c r="C3006" s="20"/>
      <c r="D3006" s="20"/>
      <c r="E3006" s="20"/>
      <c r="F3006" s="20"/>
      <c r="G3006" s="20"/>
      <c r="H3006" s="20"/>
      <c r="I3006" s="20"/>
      <c r="J3006" s="20"/>
    </row>
    <row r="3007" spans="1:10" ht="14.4" x14ac:dyDescent="0.3">
      <c r="A3007" s="20"/>
      <c r="B3007" s="20"/>
      <c r="C3007" s="20"/>
      <c r="D3007" s="20"/>
      <c r="E3007" s="20"/>
      <c r="F3007" s="20"/>
      <c r="G3007" s="20"/>
      <c r="H3007" s="20"/>
      <c r="I3007" s="20"/>
      <c r="J3007" s="20"/>
    </row>
    <row r="3008" spans="1:10" ht="14.4" x14ac:dyDescent="0.3">
      <c r="A3008" s="20"/>
      <c r="B3008" s="20"/>
      <c r="C3008" s="20"/>
      <c r="D3008" s="20"/>
      <c r="E3008" s="20"/>
      <c r="F3008" s="20"/>
      <c r="G3008" s="20"/>
      <c r="H3008" s="20"/>
      <c r="I3008" s="20"/>
      <c r="J3008" s="20"/>
    </row>
    <row r="3009" spans="1:10" ht="14.4" x14ac:dyDescent="0.3">
      <c r="A3009" s="20"/>
      <c r="B3009" s="20"/>
      <c r="C3009" s="20"/>
      <c r="D3009" s="20"/>
      <c r="E3009" s="20"/>
      <c r="F3009" s="20"/>
      <c r="G3009" s="20"/>
      <c r="H3009" s="20"/>
      <c r="I3009" s="20"/>
      <c r="J3009" s="20"/>
    </row>
    <row r="3010" spans="1:10" ht="14.4" x14ac:dyDescent="0.3">
      <c r="A3010" s="20"/>
      <c r="B3010" s="20"/>
      <c r="C3010" s="20"/>
      <c r="D3010" s="20"/>
      <c r="E3010" s="20"/>
      <c r="F3010" s="20"/>
      <c r="G3010" s="20"/>
      <c r="H3010" s="20"/>
      <c r="I3010" s="20"/>
      <c r="J3010" s="20"/>
    </row>
    <row r="3011" spans="1:10" ht="14.4" x14ac:dyDescent="0.3">
      <c r="A3011" s="20"/>
      <c r="B3011" s="20"/>
      <c r="C3011" s="20"/>
      <c r="D3011" s="20"/>
      <c r="E3011" s="20"/>
      <c r="F3011" s="20"/>
      <c r="G3011" s="20"/>
      <c r="H3011" s="20"/>
      <c r="I3011" s="20"/>
      <c r="J3011" s="20"/>
    </row>
    <row r="3012" spans="1:10" ht="14.4" x14ac:dyDescent="0.3">
      <c r="A3012" s="20"/>
      <c r="B3012" s="20"/>
      <c r="C3012" s="20"/>
      <c r="D3012" s="20"/>
      <c r="E3012" s="20"/>
      <c r="F3012" s="20"/>
      <c r="G3012" s="20"/>
      <c r="H3012" s="20"/>
      <c r="I3012" s="20"/>
      <c r="J3012" s="20"/>
    </row>
    <row r="3013" spans="1:10" ht="14.4" x14ac:dyDescent="0.3">
      <c r="A3013" s="20"/>
      <c r="B3013" s="20"/>
      <c r="C3013" s="20"/>
      <c r="D3013" s="20"/>
      <c r="E3013" s="20"/>
      <c r="F3013" s="20"/>
      <c r="G3013" s="20"/>
      <c r="H3013" s="20"/>
      <c r="I3013" s="20"/>
      <c r="J3013" s="20"/>
    </row>
    <row r="3014" spans="1:10" ht="14.4" x14ac:dyDescent="0.3">
      <c r="A3014" s="20"/>
      <c r="B3014" s="20"/>
      <c r="C3014" s="20"/>
      <c r="D3014" s="20"/>
      <c r="E3014" s="20"/>
      <c r="F3014" s="20"/>
      <c r="G3014" s="20"/>
      <c r="H3014" s="20"/>
      <c r="I3014" s="20"/>
      <c r="J3014" s="20"/>
    </row>
    <row r="3015" spans="1:10" ht="14.4" x14ac:dyDescent="0.3">
      <c r="A3015" s="20"/>
      <c r="B3015" s="20"/>
      <c r="C3015" s="20"/>
      <c r="D3015" s="20"/>
      <c r="E3015" s="20"/>
      <c r="F3015" s="20"/>
      <c r="G3015" s="20"/>
      <c r="H3015" s="20"/>
      <c r="I3015" s="20"/>
      <c r="J3015" s="20"/>
    </row>
    <row r="3016" spans="1:10" ht="14.4" x14ac:dyDescent="0.3">
      <c r="A3016" s="20"/>
      <c r="B3016" s="20"/>
      <c r="C3016" s="20"/>
      <c r="D3016" s="20"/>
      <c r="E3016" s="20"/>
      <c r="F3016" s="20"/>
      <c r="G3016" s="20"/>
      <c r="H3016" s="20"/>
      <c r="I3016" s="20"/>
      <c r="J3016" s="20"/>
    </row>
    <row r="3017" spans="1:10" ht="14.4" x14ac:dyDescent="0.3">
      <c r="A3017" s="20"/>
      <c r="B3017" s="20"/>
      <c r="C3017" s="20"/>
      <c r="D3017" s="20"/>
      <c r="E3017" s="20"/>
      <c r="F3017" s="20"/>
      <c r="G3017" s="20"/>
      <c r="H3017" s="20"/>
      <c r="I3017" s="20"/>
      <c r="J3017" s="20"/>
    </row>
    <row r="3018" spans="1:10" ht="14.4" x14ac:dyDescent="0.3">
      <c r="A3018" s="20"/>
      <c r="B3018" s="20"/>
      <c r="C3018" s="20"/>
      <c r="D3018" s="20"/>
      <c r="E3018" s="20"/>
      <c r="F3018" s="20"/>
      <c r="G3018" s="20"/>
      <c r="H3018" s="20"/>
      <c r="I3018" s="20"/>
      <c r="J3018" s="20"/>
    </row>
    <row r="3019" spans="1:10" ht="14.4" x14ac:dyDescent="0.3">
      <c r="A3019" s="20"/>
      <c r="B3019" s="20"/>
      <c r="C3019" s="20"/>
      <c r="D3019" s="20"/>
      <c r="E3019" s="20"/>
      <c r="F3019" s="20"/>
      <c r="G3019" s="20"/>
      <c r="H3019" s="20"/>
      <c r="I3019" s="20"/>
      <c r="J3019" s="20"/>
    </row>
    <row r="3020" spans="1:10" ht="14.4" x14ac:dyDescent="0.3">
      <c r="A3020" s="20"/>
      <c r="B3020" s="20"/>
      <c r="C3020" s="20"/>
      <c r="D3020" s="20"/>
      <c r="E3020" s="20"/>
      <c r="F3020" s="20"/>
      <c r="G3020" s="20"/>
      <c r="H3020" s="20"/>
      <c r="I3020" s="20"/>
      <c r="J3020" s="20"/>
    </row>
    <row r="3021" spans="1:10" ht="14.4" x14ac:dyDescent="0.3">
      <c r="A3021" s="20"/>
      <c r="B3021" s="20"/>
      <c r="C3021" s="20"/>
      <c r="D3021" s="20"/>
      <c r="E3021" s="20"/>
      <c r="F3021" s="20"/>
      <c r="G3021" s="20"/>
      <c r="H3021" s="20"/>
      <c r="I3021" s="20"/>
      <c r="J3021" s="20"/>
    </row>
    <row r="3022" spans="1:10" ht="14.4" x14ac:dyDescent="0.3">
      <c r="A3022" s="20"/>
      <c r="B3022" s="20"/>
      <c r="C3022" s="20"/>
      <c r="D3022" s="20"/>
      <c r="E3022" s="20"/>
      <c r="F3022" s="20"/>
      <c r="G3022" s="20"/>
      <c r="H3022" s="20"/>
      <c r="I3022" s="20"/>
      <c r="J3022" s="20"/>
    </row>
    <row r="3023" spans="1:10" ht="14.4" x14ac:dyDescent="0.3">
      <c r="A3023" s="20"/>
      <c r="B3023" s="20"/>
      <c r="C3023" s="20"/>
      <c r="D3023" s="20"/>
      <c r="E3023" s="20"/>
      <c r="F3023" s="20"/>
      <c r="G3023" s="20"/>
      <c r="H3023" s="20"/>
      <c r="I3023" s="20"/>
      <c r="J3023" s="20"/>
    </row>
    <row r="3024" spans="1:10" ht="14.4" x14ac:dyDescent="0.3">
      <c r="A3024" s="20"/>
      <c r="B3024" s="20"/>
      <c r="C3024" s="20"/>
      <c r="D3024" s="20"/>
      <c r="E3024" s="20"/>
      <c r="F3024" s="20"/>
      <c r="G3024" s="20"/>
      <c r="H3024" s="20"/>
      <c r="I3024" s="20"/>
      <c r="J3024" s="20"/>
    </row>
    <row r="3025" spans="1:10" ht="14.4" x14ac:dyDescent="0.3">
      <c r="A3025" s="20"/>
      <c r="B3025" s="20"/>
      <c r="C3025" s="20"/>
      <c r="D3025" s="20"/>
      <c r="E3025" s="20"/>
      <c r="F3025" s="20"/>
      <c r="G3025" s="20"/>
      <c r="H3025" s="20"/>
      <c r="I3025" s="20"/>
      <c r="J3025" s="20"/>
    </row>
    <row r="3026" spans="1:10" ht="14.4" x14ac:dyDescent="0.3">
      <c r="A3026" s="20"/>
      <c r="B3026" s="20"/>
      <c r="C3026" s="20"/>
      <c r="D3026" s="20"/>
      <c r="E3026" s="20"/>
      <c r="F3026" s="20"/>
      <c r="G3026" s="20"/>
      <c r="H3026" s="20"/>
      <c r="I3026" s="20"/>
      <c r="J3026" s="20"/>
    </row>
    <row r="3027" spans="1:10" ht="14.4" x14ac:dyDescent="0.3">
      <c r="A3027" s="20"/>
      <c r="B3027" s="20"/>
      <c r="C3027" s="20"/>
      <c r="D3027" s="20"/>
      <c r="E3027" s="20"/>
      <c r="F3027" s="20"/>
      <c r="G3027" s="20"/>
      <c r="H3027" s="20"/>
      <c r="I3027" s="20"/>
      <c r="J3027" s="20"/>
    </row>
    <row r="3028" spans="1:10" ht="14.4" x14ac:dyDescent="0.3">
      <c r="A3028" s="20"/>
      <c r="B3028" s="20"/>
      <c r="C3028" s="20"/>
      <c r="D3028" s="20"/>
      <c r="E3028" s="20"/>
      <c r="F3028" s="20"/>
      <c r="G3028" s="20"/>
      <c r="H3028" s="20"/>
      <c r="I3028" s="20"/>
      <c r="J3028" s="20"/>
    </row>
    <row r="3029" spans="1:10" ht="14.4" x14ac:dyDescent="0.3">
      <c r="A3029" s="20"/>
      <c r="B3029" s="20"/>
      <c r="C3029" s="20"/>
      <c r="D3029" s="20"/>
      <c r="E3029" s="20"/>
      <c r="F3029" s="20"/>
      <c r="G3029" s="20"/>
      <c r="H3029" s="20"/>
      <c r="I3029" s="20"/>
      <c r="J3029" s="20"/>
    </row>
    <row r="3030" spans="1:10" ht="14.4" x14ac:dyDescent="0.3">
      <c r="A3030" s="20"/>
      <c r="B3030" s="20"/>
      <c r="C3030" s="20"/>
      <c r="D3030" s="20"/>
      <c r="E3030" s="20"/>
      <c r="F3030" s="20"/>
      <c r="G3030" s="20"/>
      <c r="H3030" s="20"/>
      <c r="I3030" s="20"/>
      <c r="J3030" s="20"/>
    </row>
    <row r="3031" spans="1:10" ht="14.4" x14ac:dyDescent="0.3">
      <c r="A3031" s="20"/>
      <c r="B3031" s="20"/>
      <c r="C3031" s="20"/>
      <c r="D3031" s="20"/>
      <c r="E3031" s="20"/>
      <c r="F3031" s="20"/>
      <c r="G3031" s="20"/>
      <c r="H3031" s="20"/>
      <c r="I3031" s="20"/>
      <c r="J3031" s="20"/>
    </row>
    <row r="3032" spans="1:10" ht="14.4" x14ac:dyDescent="0.3">
      <c r="A3032" s="20"/>
      <c r="B3032" s="20"/>
      <c r="C3032" s="20"/>
      <c r="D3032" s="20"/>
      <c r="E3032" s="20"/>
      <c r="F3032" s="20"/>
      <c r="G3032" s="20"/>
      <c r="H3032" s="20"/>
      <c r="I3032" s="20"/>
      <c r="J3032" s="20"/>
    </row>
  </sheetData>
  <autoFilter ref="A3:J2843" xr:uid="{00000000-0009-0000-0000-000002000000}">
    <sortState xmlns:xlrd2="http://schemas.microsoft.com/office/spreadsheetml/2017/richdata2" ref="A4:J2875">
      <sortCondition descending="1" ref="F3:F2843"/>
    </sortState>
  </autoFilter>
  <customSheetViews>
    <customSheetView guid="{E9F6B8E0-D161-42CD-AA58-02B17AB3CB56}" filter="1" showAutoFilter="1">
      <pageMargins left="0.7" right="0.7" top="0.75" bottom="0.75" header="0.3" footer="0.3"/>
      <autoFilter ref="A3:F2843" xr:uid="{00000000-0000-0000-0000-000000000000}">
        <filterColumn colId="1">
          <filters>
            <filter val="Бытовая техника"/>
          </filters>
        </filterColumn>
      </autoFilter>
    </customSheetView>
    <customSheetView guid="{A58195BC-0A24-48A1-B247-4337EE7EFEBD}" filter="1" showAutoFilter="1">
      <pageMargins left="0.7" right="0.7" top="0.75" bottom="0.75" header="0.3" footer="0.3"/>
      <autoFilter ref="A3:F365" xr:uid="{00000000-0000-0000-0000-000000000000}"/>
    </customSheetView>
  </customSheetViews>
  <dataValidations count="1">
    <dataValidation type="custom" allowBlank="1" showDropDown="1" showErrorMessage="1" sqref="C1:C3032" xr:uid="{00000000-0002-0000-0200-000000000000}">
      <formula1>NOT(ISERROR(SEARCH(("=впр(С2"),(C1))))</formula1>
    </dataValidation>
  </dataValidation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032"/>
  <sheetViews>
    <sheetView workbookViewId="0">
      <pane ySplit="3" topLeftCell="A4" activePane="bottomLeft" state="frozen"/>
      <selection pane="bottomLeft" activeCell="E2875" sqref="E2875"/>
    </sheetView>
  </sheetViews>
  <sheetFormatPr defaultColWidth="12.6640625" defaultRowHeight="15.75" customHeight="1" x14ac:dyDescent="0.25"/>
  <cols>
    <col min="1" max="1" width="21.77734375" customWidth="1"/>
    <col min="2" max="2" width="20" customWidth="1"/>
    <col min="3" max="3" width="27.6640625" customWidth="1"/>
    <col min="4" max="4" width="26.33203125" customWidth="1"/>
    <col min="5" max="5" width="41.6640625" customWidth="1"/>
    <col min="6" max="10" width="11.109375" customWidth="1"/>
    <col min="11" max="11" width="23" customWidth="1"/>
  </cols>
  <sheetData>
    <row r="1" spans="1:11" ht="14.4" x14ac:dyDescent="0.3">
      <c r="A1" s="20"/>
      <c r="B1" s="34" t="s">
        <v>3145</v>
      </c>
      <c r="C1" s="20"/>
      <c r="D1" s="20"/>
      <c r="E1" s="20"/>
      <c r="F1" s="21"/>
      <c r="G1" s="21"/>
      <c r="H1" s="21"/>
      <c r="I1" s="21"/>
      <c r="J1" s="21"/>
      <c r="K1" s="21"/>
    </row>
    <row r="2" spans="1:11" ht="14.4" x14ac:dyDescent="0.3">
      <c r="A2" s="20"/>
      <c r="B2" s="20"/>
      <c r="C2" s="20"/>
      <c r="D2" s="20"/>
      <c r="E2" s="20"/>
      <c r="F2" s="22"/>
      <c r="G2" s="23"/>
      <c r="H2" s="23"/>
      <c r="I2" s="23"/>
      <c r="J2" s="23"/>
      <c r="K2" s="23"/>
    </row>
    <row r="3" spans="1:11" ht="14.4" x14ac:dyDescent="0.3">
      <c r="A3" s="25" t="s">
        <v>50</v>
      </c>
      <c r="B3" s="25" t="s">
        <v>51</v>
      </c>
      <c r="C3" s="25" t="s">
        <v>52</v>
      </c>
      <c r="D3" s="25" t="s">
        <v>53</v>
      </c>
      <c r="E3" s="25" t="s">
        <v>54</v>
      </c>
      <c r="F3" s="26" t="s">
        <v>55</v>
      </c>
      <c r="G3" s="27"/>
      <c r="H3" s="27"/>
      <c r="I3" s="27"/>
      <c r="J3" s="27"/>
      <c r="K3" s="24" t="s">
        <v>3146</v>
      </c>
    </row>
    <row r="4" spans="1:11" ht="14.4" x14ac:dyDescent="0.3">
      <c r="A4" s="28" t="str">
        <f>B4&amp;C4&amp;D4&amp;E4</f>
        <v>SalomatlikOrtopedik buyumlarOrtopedik tagliklar va yarim tagliklar, oyoq tuzatuvchisiOrtopedik tagliklar va yarim tagliklar, oyoq tuzatuvchisi</v>
      </c>
      <c r="B4" s="35" t="s">
        <v>3147</v>
      </c>
      <c r="C4" s="35" t="s">
        <v>3148</v>
      </c>
      <c r="D4" s="35" t="s">
        <v>3149</v>
      </c>
      <c r="E4" s="35" t="s">
        <v>3149</v>
      </c>
      <c r="F4" s="36">
        <v>0.35</v>
      </c>
      <c r="G4" s="31"/>
      <c r="H4" s="31"/>
      <c r="I4" s="31"/>
      <c r="J4" s="31"/>
      <c r="K4" s="32" t="s">
        <v>35</v>
      </c>
    </row>
    <row r="5" spans="1:11" ht="14.4" x14ac:dyDescent="0.3">
      <c r="A5" s="28" t="str">
        <f>B5&amp;C5&amp;D5&amp;E5</f>
        <v>SalomatlikOptikaLinza uchun aksessuarlarLinza uchun aksessuarlar</v>
      </c>
      <c r="B5" s="35" t="s">
        <v>3147</v>
      </c>
      <c r="C5" s="35" t="s">
        <v>3150</v>
      </c>
      <c r="D5" s="35" t="s">
        <v>3151</v>
      </c>
      <c r="E5" s="35" t="s">
        <v>3151</v>
      </c>
      <c r="F5" s="36">
        <v>0.35</v>
      </c>
      <c r="G5" s="31"/>
      <c r="H5" s="31"/>
      <c r="I5" s="31"/>
      <c r="J5" s="31"/>
      <c r="K5" s="32" t="s">
        <v>39</v>
      </c>
    </row>
    <row r="6" spans="1:11" ht="14.4" x14ac:dyDescent="0.3">
      <c r="A6" s="28" t="str">
        <f>B6&amp;C6&amp;D6&amp;E6</f>
        <v>SalomatlikOptikaSalfetkalar, koʻzoynak uchun spreylarSalfetkalar, koʻzoynak uchun spreylar</v>
      </c>
      <c r="B6" s="35" t="s">
        <v>3147</v>
      </c>
      <c r="C6" s="35" t="s">
        <v>3150</v>
      </c>
      <c r="D6" s="35" t="s">
        <v>3152</v>
      </c>
      <c r="E6" s="35" t="s">
        <v>3152</v>
      </c>
      <c r="F6" s="36">
        <v>0.35</v>
      </c>
      <c r="G6" s="31"/>
      <c r="H6" s="31"/>
      <c r="I6" s="31"/>
      <c r="J6" s="31"/>
      <c r="K6" s="32" t="s">
        <v>3153</v>
      </c>
    </row>
    <row r="7" spans="1:11" ht="14.4" x14ac:dyDescent="0.3">
      <c r="A7" s="28" t="str">
        <f>B7&amp;C7&amp;D7&amp;E7</f>
        <v>AksessuarlarErkaklar aksessuarlariHamyonlar, kalit solgichlar va tashrif qogʻozi uchun karmonchalarPul uchun qistirgichlar</v>
      </c>
      <c r="B7" s="35" t="s">
        <v>35</v>
      </c>
      <c r="C7" s="35" t="s">
        <v>3154</v>
      </c>
      <c r="D7" s="35" t="s">
        <v>3155</v>
      </c>
      <c r="E7" s="35" t="s">
        <v>3156</v>
      </c>
      <c r="F7" s="36">
        <v>0.3</v>
      </c>
      <c r="G7" s="31"/>
      <c r="H7" s="31"/>
      <c r="I7" s="31"/>
      <c r="J7" s="31"/>
      <c r="K7" s="32" t="s">
        <v>3157</v>
      </c>
    </row>
    <row r="8" spans="1:11" ht="14.4" x14ac:dyDescent="0.3">
      <c r="A8" s="28" t="str">
        <f>B8&amp;C8&amp;D8&amp;E8</f>
        <v>AksessuarlarSayohat uchun aksessuarlarChamadonlar uchun aksessuarlarChamadon uchun qulflar</v>
      </c>
      <c r="B8" s="35" t="s">
        <v>35</v>
      </c>
      <c r="C8" s="35" t="s">
        <v>3158</v>
      </c>
      <c r="D8" s="35" t="s">
        <v>3159</v>
      </c>
      <c r="E8" s="35" t="s">
        <v>3160</v>
      </c>
      <c r="F8" s="36">
        <v>0.3</v>
      </c>
      <c r="G8" s="31"/>
      <c r="H8" s="32"/>
      <c r="I8" s="31"/>
      <c r="J8" s="31"/>
      <c r="K8" s="32" t="s">
        <v>3161</v>
      </c>
    </row>
    <row r="9" spans="1:11" ht="14.4" x14ac:dyDescent="0.3">
      <c r="A9" s="28" t="str">
        <f>B9&amp;C9&amp;D9&amp;E9</f>
        <v>AksessuarlarAyollar aksessuarlariBijuteriyalarBoʻyinga taqiladigan taqinchoqlar</v>
      </c>
      <c r="B9" s="35" t="s">
        <v>35</v>
      </c>
      <c r="C9" s="35" t="s">
        <v>3162</v>
      </c>
      <c r="D9" s="35" t="s">
        <v>3163</v>
      </c>
      <c r="E9" s="35" t="s">
        <v>3164</v>
      </c>
      <c r="F9" s="36">
        <v>0.3</v>
      </c>
      <c r="G9" s="31"/>
      <c r="H9" s="31"/>
      <c r="I9" s="31"/>
      <c r="J9" s="31"/>
      <c r="K9" s="32" t="s">
        <v>3165</v>
      </c>
    </row>
    <row r="10" spans="1:11" ht="14.4" x14ac:dyDescent="0.3">
      <c r="A10" s="28" t="str">
        <f>B10&amp;C10&amp;D10&amp;E10</f>
        <v>AksessuarlarErkaklar aksessuarlariZargarlik buyumlariZanjirlar</v>
      </c>
      <c r="B10" s="35" t="s">
        <v>35</v>
      </c>
      <c r="C10" s="35" t="s">
        <v>3154</v>
      </c>
      <c r="D10" s="35" t="s">
        <v>3166</v>
      </c>
      <c r="E10" s="35" t="s">
        <v>3167</v>
      </c>
      <c r="F10" s="36">
        <v>0.3</v>
      </c>
      <c r="G10" s="31"/>
      <c r="H10" s="31"/>
      <c r="I10" s="32"/>
      <c r="J10" s="33"/>
      <c r="K10" s="32" t="s">
        <v>3168</v>
      </c>
    </row>
    <row r="11" spans="1:11" ht="14.4" x14ac:dyDescent="0.3">
      <c r="A11" s="28" t="str">
        <f>B11&amp;C11&amp;D11&amp;E11</f>
        <v>AksessuarlarErkaklar aksessuarlariZargarlik buyumlariBilaguzuklar</v>
      </c>
      <c r="B11" s="35" t="s">
        <v>35</v>
      </c>
      <c r="C11" s="35" t="s">
        <v>3154</v>
      </c>
      <c r="D11" s="35" t="s">
        <v>3166</v>
      </c>
      <c r="E11" s="35" t="s">
        <v>3169</v>
      </c>
      <c r="F11" s="36">
        <v>0.3</v>
      </c>
      <c r="G11" s="31"/>
      <c r="H11" s="31"/>
      <c r="I11" s="31"/>
      <c r="J11" s="31"/>
      <c r="K11" s="32" t="s">
        <v>3170</v>
      </c>
    </row>
    <row r="12" spans="1:11" ht="14.4" x14ac:dyDescent="0.3">
      <c r="A12" s="28" t="str">
        <f>B12&amp;C12&amp;D12&amp;E12</f>
        <v>AksessuarlarSayohat uchun aksessuarlarChamadonlar uchun aksessuarlarChamadon uchun gʻiloflar</v>
      </c>
      <c r="B12" s="35" t="s">
        <v>35</v>
      </c>
      <c r="C12" s="35" t="s">
        <v>3158</v>
      </c>
      <c r="D12" s="35" t="s">
        <v>3159</v>
      </c>
      <c r="E12" s="35" t="s">
        <v>3171</v>
      </c>
      <c r="F12" s="36">
        <v>0.3</v>
      </c>
      <c r="G12" s="31"/>
      <c r="H12" s="31"/>
      <c r="I12" s="31"/>
      <c r="J12" s="31"/>
      <c r="K12" s="32" t="s">
        <v>3172</v>
      </c>
    </row>
    <row r="13" spans="1:11" ht="14.4" x14ac:dyDescent="0.3">
      <c r="A13" s="28" t="str">
        <f>B13&amp;C13&amp;D13&amp;E13</f>
        <v>AksessuarlarErkaklar aksessuarlariBoʻyinbogʻlar, kapalakchalar, roʻmolchalarKapalakcha boʻyinbogʻlar</v>
      </c>
      <c r="B13" s="35" t="s">
        <v>35</v>
      </c>
      <c r="C13" s="35" t="s">
        <v>3154</v>
      </c>
      <c r="D13" s="35" t="s">
        <v>3173</v>
      </c>
      <c r="E13" s="35" t="s">
        <v>3174</v>
      </c>
      <c r="F13" s="36">
        <v>0.3</v>
      </c>
      <c r="G13" s="31"/>
      <c r="H13" s="31"/>
      <c r="I13" s="31"/>
      <c r="J13" s="31"/>
      <c r="K13" s="32" t="s">
        <v>3175</v>
      </c>
    </row>
    <row r="14" spans="1:11" ht="14.4" x14ac:dyDescent="0.3">
      <c r="A14" s="28" t="str">
        <f>B14&amp;C14&amp;D14&amp;E14</f>
        <v>AksessuarlarErkaklar aksessuarlariBosh kiyimlarKepkalar va beysbol qalpoqlari</v>
      </c>
      <c r="B14" s="35" t="s">
        <v>35</v>
      </c>
      <c r="C14" s="35" t="s">
        <v>3154</v>
      </c>
      <c r="D14" s="35" t="s">
        <v>3176</v>
      </c>
      <c r="E14" s="35" t="s">
        <v>3177</v>
      </c>
      <c r="F14" s="36">
        <v>0.3</v>
      </c>
      <c r="G14" s="31"/>
      <c r="H14" s="31"/>
      <c r="I14" s="31"/>
      <c r="J14" s="31"/>
      <c r="K14" s="32" t="s">
        <v>3178</v>
      </c>
    </row>
    <row r="15" spans="1:11" ht="14.4" x14ac:dyDescent="0.3">
      <c r="A15" s="28" t="str">
        <f>B15&amp;C15&amp;D15&amp;E15</f>
        <v>AksessuarlarErkaklar aksessuarlariBijuteriyalarBilaguzuklar</v>
      </c>
      <c r="B15" s="35" t="s">
        <v>35</v>
      </c>
      <c r="C15" s="35" t="s">
        <v>3154</v>
      </c>
      <c r="D15" s="35" t="s">
        <v>3163</v>
      </c>
      <c r="E15" s="35" t="s">
        <v>3169</v>
      </c>
      <c r="F15" s="36">
        <v>0.3</v>
      </c>
      <c r="G15" s="31"/>
      <c r="H15" s="31"/>
      <c r="I15" s="31"/>
      <c r="J15" s="31"/>
      <c r="K15" s="32" t="s">
        <v>48</v>
      </c>
    </row>
    <row r="16" spans="1:11" ht="14.4" x14ac:dyDescent="0.3">
      <c r="A16" s="28" t="str">
        <f>B16&amp;C16&amp;D16&amp;E16</f>
        <v>AksessuarlarErkaklar aksessuarlariBosh kiyimlarBalaklavalar</v>
      </c>
      <c r="B16" s="35" t="s">
        <v>35</v>
      </c>
      <c r="C16" s="35" t="s">
        <v>3154</v>
      </c>
      <c r="D16" s="35" t="s">
        <v>3176</v>
      </c>
      <c r="E16" s="35" t="s">
        <v>3179</v>
      </c>
      <c r="F16" s="36">
        <v>0.3</v>
      </c>
      <c r="G16" s="31"/>
      <c r="H16" s="31"/>
      <c r="I16" s="31"/>
      <c r="J16" s="31"/>
      <c r="K16" s="32" t="s">
        <v>3180</v>
      </c>
    </row>
    <row r="17" spans="1:11" ht="14.4" x14ac:dyDescent="0.3">
      <c r="A17" s="28" t="str">
        <f>B17&amp;C17&amp;D17&amp;E17</f>
        <v>AksessuarlarAyollar aksessuarlariKoʻzoynakKoʻzoynak uchun aksessuarlar</v>
      </c>
      <c r="B17" s="35" t="s">
        <v>35</v>
      </c>
      <c r="C17" s="35" t="s">
        <v>3162</v>
      </c>
      <c r="D17" s="35" t="s">
        <v>3181</v>
      </c>
      <c r="E17" s="35" t="s">
        <v>3182</v>
      </c>
      <c r="F17" s="36">
        <v>0.3</v>
      </c>
      <c r="G17" s="31"/>
      <c r="H17" s="31"/>
      <c r="I17" s="31"/>
      <c r="J17" s="31"/>
      <c r="K17" s="32" t="s">
        <v>3183</v>
      </c>
    </row>
    <row r="18" spans="1:11" ht="14.4" x14ac:dyDescent="0.3">
      <c r="A18" s="28" t="str">
        <f>B18&amp;C18&amp;D18&amp;E18</f>
        <v>AksessuarlarErkaklar aksessuarlariZargarlik buyumlariUzuklar</v>
      </c>
      <c r="B18" s="35" t="s">
        <v>35</v>
      </c>
      <c r="C18" s="35" t="s">
        <v>3154</v>
      </c>
      <c r="D18" s="35" t="s">
        <v>3166</v>
      </c>
      <c r="E18" s="35" t="s">
        <v>36</v>
      </c>
      <c r="F18" s="36">
        <v>0.3</v>
      </c>
      <c r="G18" s="31"/>
      <c r="H18" s="31"/>
      <c r="I18" s="31"/>
      <c r="J18" s="31"/>
      <c r="K18" s="32" t="s">
        <v>3184</v>
      </c>
    </row>
    <row r="19" spans="1:11" ht="14.4" x14ac:dyDescent="0.3">
      <c r="A19" s="28" t="str">
        <f>B19&amp;C19&amp;D19&amp;E19</f>
        <v>AksessuarlarAyollar aksessuarlariRoʻmolar va sharflarRoʻmollar va palantinlar</v>
      </c>
      <c r="B19" s="35" t="s">
        <v>35</v>
      </c>
      <c r="C19" s="35" t="s">
        <v>3162</v>
      </c>
      <c r="D19" s="35" t="s">
        <v>3185</v>
      </c>
      <c r="E19" s="35" t="s">
        <v>3186</v>
      </c>
      <c r="F19" s="36">
        <v>0.3</v>
      </c>
      <c r="G19" s="31"/>
      <c r="H19" s="31"/>
      <c r="I19" s="31"/>
      <c r="J19" s="31"/>
      <c r="K19" s="32" t="s">
        <v>3187</v>
      </c>
    </row>
    <row r="20" spans="1:11" ht="14.4" x14ac:dyDescent="0.3">
      <c r="A20" s="28" t="str">
        <f>B20&amp;C20&amp;D20&amp;E20</f>
        <v>AksessuarlarAyollar aksessuarlariBijuteriyalarToʻgʻnogʻichlar</v>
      </c>
      <c r="B20" s="35" t="s">
        <v>35</v>
      </c>
      <c r="C20" s="35" t="s">
        <v>3162</v>
      </c>
      <c r="D20" s="35" t="s">
        <v>3163</v>
      </c>
      <c r="E20" s="35" t="s">
        <v>3188</v>
      </c>
      <c r="F20" s="36">
        <v>0.3</v>
      </c>
      <c r="G20" s="31"/>
      <c r="H20" s="31"/>
      <c r="I20" s="31"/>
      <c r="J20" s="31"/>
      <c r="K20" s="32" t="s">
        <v>3147</v>
      </c>
    </row>
    <row r="21" spans="1:11" ht="14.4" x14ac:dyDescent="0.3">
      <c r="A21" s="28" t="str">
        <f>B21&amp;C21&amp;D21&amp;E21</f>
        <v>AksessuarlarErkaklar aksessuarlariQayishlar va osma kamarlarKamarlar</v>
      </c>
      <c r="B21" s="35" t="s">
        <v>35</v>
      </c>
      <c r="C21" s="35" t="s">
        <v>3154</v>
      </c>
      <c r="D21" s="35" t="s">
        <v>3189</v>
      </c>
      <c r="E21" s="35" t="s">
        <v>3190</v>
      </c>
      <c r="F21" s="36">
        <v>0.3</v>
      </c>
      <c r="G21" s="31"/>
      <c r="H21" s="31"/>
      <c r="I21" s="31"/>
      <c r="J21" s="31"/>
      <c r="K21" s="32" t="s">
        <v>43</v>
      </c>
    </row>
    <row r="22" spans="1:11" ht="14.4" x14ac:dyDescent="0.3">
      <c r="A22" s="28" t="str">
        <f>B22&amp;C22&amp;D22&amp;E22</f>
        <v>AksessuarlarAyollar aksessuarlariSumkalar va ryukzaklarRyukzaklar</v>
      </c>
      <c r="B22" s="35" t="s">
        <v>35</v>
      </c>
      <c r="C22" s="35" t="s">
        <v>3162</v>
      </c>
      <c r="D22" s="35" t="s">
        <v>3191</v>
      </c>
      <c r="E22" s="35" t="s">
        <v>3192</v>
      </c>
      <c r="F22" s="36">
        <v>0.3</v>
      </c>
      <c r="G22" s="31"/>
      <c r="H22" s="31"/>
      <c r="I22" s="31"/>
      <c r="J22" s="31"/>
      <c r="K22" s="32" t="s">
        <v>3193</v>
      </c>
    </row>
    <row r="23" spans="1:11" ht="14.4" x14ac:dyDescent="0.3">
      <c r="A23" s="28" t="str">
        <f>B23&amp;C23&amp;D23&amp;E23</f>
        <v>AksessuarlarSayohat uchun aksessuarlarYoʻl sumkalariYoʻl sumkalari</v>
      </c>
      <c r="B23" s="35" t="s">
        <v>35</v>
      </c>
      <c r="C23" s="35" t="s">
        <v>3158</v>
      </c>
      <c r="D23" s="35" t="s">
        <v>3194</v>
      </c>
      <c r="E23" s="35" t="s">
        <v>3194</v>
      </c>
      <c r="F23" s="36">
        <v>0.3</v>
      </c>
      <c r="G23" s="31"/>
      <c r="H23" s="31"/>
      <c r="I23" s="31"/>
      <c r="J23" s="31"/>
      <c r="K23" s="32" t="s">
        <v>3195</v>
      </c>
    </row>
    <row r="24" spans="1:11" ht="14.4" x14ac:dyDescent="0.3">
      <c r="A24" s="28" t="str">
        <f>B24&amp;C24&amp;D24&amp;E24</f>
        <v>AksessuarlarAyollar aksessuarlariQoʻlqoplar va varejkalarYenglar</v>
      </c>
      <c r="B24" s="35" t="s">
        <v>35</v>
      </c>
      <c r="C24" s="35" t="s">
        <v>3162</v>
      </c>
      <c r="D24" s="35" t="s">
        <v>3196</v>
      </c>
      <c r="E24" s="35" t="s">
        <v>3197</v>
      </c>
      <c r="F24" s="36">
        <v>0.3</v>
      </c>
      <c r="G24" s="31"/>
      <c r="H24" s="31"/>
      <c r="I24" s="31"/>
      <c r="J24" s="31"/>
      <c r="K24" s="31"/>
    </row>
    <row r="25" spans="1:11" ht="14.4" x14ac:dyDescent="0.3">
      <c r="A25" s="28" t="str">
        <f>B25&amp;C25&amp;D25&amp;E25</f>
        <v>AksessuarlarAyollar aksessuarlariRoʻmolar va sharflarSharflar</v>
      </c>
      <c r="B25" s="35" t="s">
        <v>35</v>
      </c>
      <c r="C25" s="35" t="s">
        <v>3162</v>
      </c>
      <c r="D25" s="35" t="s">
        <v>3185</v>
      </c>
      <c r="E25" s="35" t="s">
        <v>3198</v>
      </c>
      <c r="F25" s="36">
        <v>0.3</v>
      </c>
      <c r="G25" s="31"/>
      <c r="H25" s="31"/>
      <c r="I25" s="31"/>
      <c r="J25" s="31"/>
      <c r="K25" s="31"/>
    </row>
    <row r="26" spans="1:11" ht="14.4" x14ac:dyDescent="0.3">
      <c r="A26" s="28" t="str">
        <f>B26&amp;C26&amp;D26&amp;E26</f>
        <v>AksessuarlarErkaklar aksessuarlariRoʻmolchalar va sharflarSharflar</v>
      </c>
      <c r="B26" s="35" t="s">
        <v>35</v>
      </c>
      <c r="C26" s="35" t="s">
        <v>3154</v>
      </c>
      <c r="D26" s="35" t="s">
        <v>3199</v>
      </c>
      <c r="E26" s="35" t="s">
        <v>3198</v>
      </c>
      <c r="F26" s="36">
        <v>0.3</v>
      </c>
      <c r="G26" s="31"/>
      <c r="H26" s="31"/>
      <c r="I26" s="31"/>
      <c r="J26" s="31"/>
      <c r="K26" s="31"/>
    </row>
    <row r="27" spans="1:11" ht="14.4" x14ac:dyDescent="0.3">
      <c r="A27" s="28" t="str">
        <f>B27&amp;C27&amp;D27&amp;E27</f>
        <v>AksessuarlarAyollar aksessuarlariKoʻzoynakKoʻzoynak uchun qutilar va gʻiloflar</v>
      </c>
      <c r="B27" s="35" t="s">
        <v>35</v>
      </c>
      <c r="C27" s="35" t="s">
        <v>3162</v>
      </c>
      <c r="D27" s="35" t="s">
        <v>3181</v>
      </c>
      <c r="E27" s="35" t="s">
        <v>3200</v>
      </c>
      <c r="F27" s="36">
        <v>0.3</v>
      </c>
      <c r="G27" s="31"/>
      <c r="H27" s="31"/>
      <c r="I27" s="31"/>
      <c r="J27" s="31"/>
      <c r="K27" s="31"/>
    </row>
    <row r="28" spans="1:11" ht="14.4" x14ac:dyDescent="0.3">
      <c r="A28" s="28" t="str">
        <f>B28&amp;C28&amp;D28&amp;E28</f>
        <v>AksessuarlarErkaklar aksessuarlariKoʻzoynakKompyuter uchun ko'zoynaklar</v>
      </c>
      <c r="B28" s="35" t="s">
        <v>35</v>
      </c>
      <c r="C28" s="35" t="s">
        <v>3154</v>
      </c>
      <c r="D28" s="35" t="s">
        <v>3181</v>
      </c>
      <c r="E28" s="35" t="s">
        <v>3201</v>
      </c>
      <c r="F28" s="36">
        <v>0.3</v>
      </c>
      <c r="G28" s="31"/>
      <c r="H28" s="31"/>
      <c r="I28" s="31"/>
      <c r="J28" s="31"/>
      <c r="K28" s="31"/>
    </row>
    <row r="29" spans="1:11" ht="14.4" x14ac:dyDescent="0.3">
      <c r="A29" s="28" t="str">
        <f>B29&amp;C29&amp;D29&amp;E29</f>
        <v>AksessuarlarErkaklar aksessuarlariQoʻlqoplar va varejkalarQoʻlqoplar</v>
      </c>
      <c r="B29" s="35" t="s">
        <v>35</v>
      </c>
      <c r="C29" s="35" t="s">
        <v>3154</v>
      </c>
      <c r="D29" s="35" t="s">
        <v>3196</v>
      </c>
      <c r="E29" s="35" t="s">
        <v>3202</v>
      </c>
      <c r="F29" s="36">
        <v>0.3</v>
      </c>
      <c r="G29" s="31"/>
      <c r="H29" s="31"/>
      <c r="I29" s="31"/>
      <c r="J29" s="31"/>
      <c r="K29" s="31"/>
    </row>
    <row r="30" spans="1:11" ht="14.4" x14ac:dyDescent="0.3">
      <c r="A30" s="28" t="str">
        <f>B30&amp;C30&amp;D30&amp;E30</f>
        <v>AksessuarlarAyollar aksessuarlariKlatchlar va kosmetika sumkalarKlatchlar</v>
      </c>
      <c r="B30" s="35" t="s">
        <v>35</v>
      </c>
      <c r="C30" s="35" t="s">
        <v>3162</v>
      </c>
      <c r="D30" s="35" t="s">
        <v>3203</v>
      </c>
      <c r="E30" s="35" t="s">
        <v>3204</v>
      </c>
      <c r="F30" s="36">
        <v>0.3</v>
      </c>
      <c r="G30" s="31"/>
      <c r="H30" s="31"/>
      <c r="I30" s="31"/>
      <c r="J30" s="31"/>
      <c r="K30" s="31"/>
    </row>
    <row r="31" spans="1:11" ht="14.4" x14ac:dyDescent="0.3">
      <c r="A31" s="28" t="str">
        <f>B31&amp;C31&amp;D31&amp;E31</f>
        <v>AksessuarlarAyollar aksessuarlariZargarlik buyumlariBoʻyinga taqiladigan taqinchoqlar</v>
      </c>
      <c r="B31" s="35" t="s">
        <v>35</v>
      </c>
      <c r="C31" s="35" t="s">
        <v>3162</v>
      </c>
      <c r="D31" s="35" t="s">
        <v>3166</v>
      </c>
      <c r="E31" s="35" t="s">
        <v>3164</v>
      </c>
      <c r="F31" s="36">
        <v>0.3</v>
      </c>
      <c r="G31" s="31"/>
      <c r="H31" s="31"/>
      <c r="I31" s="31"/>
      <c r="J31" s="31"/>
      <c r="K31" s="31"/>
    </row>
    <row r="32" spans="1:11" ht="14.4" x14ac:dyDescent="0.3">
      <c r="A32" s="28" t="str">
        <f>B32&amp;C32&amp;D32&amp;E32</f>
        <v>AksessuarlarAyollar aksessuarlariBosh kiyimlarShlyapalar</v>
      </c>
      <c r="B32" s="35" t="s">
        <v>35</v>
      </c>
      <c r="C32" s="35" t="s">
        <v>3162</v>
      </c>
      <c r="D32" s="35" t="s">
        <v>3176</v>
      </c>
      <c r="E32" s="35" t="s">
        <v>3205</v>
      </c>
      <c r="F32" s="36">
        <v>0.3</v>
      </c>
      <c r="G32" s="31"/>
      <c r="H32" s="31"/>
      <c r="I32" s="31"/>
      <c r="J32" s="31"/>
      <c r="K32" s="31"/>
    </row>
    <row r="33" spans="1:11" ht="14.4" x14ac:dyDescent="0.3">
      <c r="A33" s="28" t="str">
        <f>B33&amp;C33&amp;D33&amp;E33</f>
        <v>AksessuarlarAyollar aksessuarlariZargarlik buyumlariBilaguzuklar</v>
      </c>
      <c r="B33" s="35" t="s">
        <v>35</v>
      </c>
      <c r="C33" s="35" t="s">
        <v>3162</v>
      </c>
      <c r="D33" s="35" t="s">
        <v>3166</v>
      </c>
      <c r="E33" s="35" t="s">
        <v>3169</v>
      </c>
      <c r="F33" s="36">
        <v>0.3</v>
      </c>
      <c r="G33" s="31"/>
      <c r="H33" s="31"/>
      <c r="I33" s="31"/>
      <c r="J33" s="31"/>
      <c r="K33" s="31"/>
    </row>
    <row r="34" spans="1:11" ht="14.4" x14ac:dyDescent="0.3">
      <c r="A34" s="28" t="str">
        <f>B34&amp;C34&amp;D34&amp;E34</f>
        <v>AksessuarlarAyollar aksessuarlariHamyonlar, kalit solgichlar va tashrif qogʻozi uchun karmonchalarPul uchun qisqichlar</v>
      </c>
      <c r="B34" s="35" t="s">
        <v>35</v>
      </c>
      <c r="C34" s="35" t="s">
        <v>3162</v>
      </c>
      <c r="D34" s="35" t="s">
        <v>3155</v>
      </c>
      <c r="E34" s="35" t="s">
        <v>3206</v>
      </c>
      <c r="F34" s="36">
        <v>0.3</v>
      </c>
      <c r="G34" s="31"/>
      <c r="H34" s="31"/>
      <c r="I34" s="31"/>
      <c r="J34" s="31"/>
      <c r="K34" s="31"/>
    </row>
    <row r="35" spans="1:11" ht="14.4" x14ac:dyDescent="0.3">
      <c r="A35" s="28" t="str">
        <f>B35&amp;C35&amp;D35&amp;E35</f>
        <v>AksessuarlarErkaklar aksessuarlariZargarlik buyumlariZiraklar</v>
      </c>
      <c r="B35" s="35" t="s">
        <v>35</v>
      </c>
      <c r="C35" s="35" t="s">
        <v>3154</v>
      </c>
      <c r="D35" s="35" t="s">
        <v>3166</v>
      </c>
      <c r="E35" s="35" t="s">
        <v>3207</v>
      </c>
      <c r="F35" s="36">
        <v>0.3</v>
      </c>
      <c r="G35" s="31"/>
      <c r="H35" s="31"/>
      <c r="I35" s="31"/>
      <c r="J35" s="31"/>
      <c r="K35" s="31"/>
    </row>
    <row r="36" spans="1:11" ht="14.4" x14ac:dyDescent="0.3">
      <c r="A36" s="28" t="str">
        <f>B36&amp;C36&amp;D36&amp;E36</f>
        <v>AksessuarlarAyollar aksessuarlariBijuteriyalarBadan uchun bezaklar</v>
      </c>
      <c r="B36" s="35" t="s">
        <v>35</v>
      </c>
      <c r="C36" s="35" t="s">
        <v>3162</v>
      </c>
      <c r="D36" s="35" t="s">
        <v>3163</v>
      </c>
      <c r="E36" s="35" t="s">
        <v>3208</v>
      </c>
      <c r="F36" s="36">
        <v>0.3</v>
      </c>
      <c r="G36" s="31"/>
      <c r="H36" s="31"/>
      <c r="I36" s="31"/>
      <c r="J36" s="31"/>
      <c r="K36" s="31"/>
    </row>
    <row r="37" spans="1:11" ht="14.4" x14ac:dyDescent="0.3">
      <c r="A37" s="28" t="str">
        <f>B37&amp;C37&amp;D37&amp;E37</f>
        <v>AksessuarlarErkaklar aksessuarlariKoʻzoynakImijli koʻzoynaklari</v>
      </c>
      <c r="B37" s="35" t="s">
        <v>35</v>
      </c>
      <c r="C37" s="35" t="s">
        <v>3154</v>
      </c>
      <c r="D37" s="35" t="s">
        <v>3181</v>
      </c>
      <c r="E37" s="35" t="s">
        <v>3209</v>
      </c>
      <c r="F37" s="36">
        <v>0.3</v>
      </c>
      <c r="G37" s="31"/>
      <c r="H37" s="31"/>
      <c r="I37" s="31"/>
      <c r="J37" s="31"/>
      <c r="K37" s="31"/>
    </row>
    <row r="38" spans="1:11" ht="14.4" x14ac:dyDescent="0.3">
      <c r="A38" s="28" t="str">
        <f>B38&amp;C38&amp;D38&amp;E38</f>
        <v>AksessuarlarAyollar aksessuarlariQoʻlqoplar va varejkalarQoʻlqoplar</v>
      </c>
      <c r="B38" s="35" t="s">
        <v>35</v>
      </c>
      <c r="C38" s="35" t="s">
        <v>3162</v>
      </c>
      <c r="D38" s="35" t="s">
        <v>3196</v>
      </c>
      <c r="E38" s="35" t="s">
        <v>3202</v>
      </c>
      <c r="F38" s="36">
        <v>0.3</v>
      </c>
      <c r="G38" s="31"/>
      <c r="H38" s="31"/>
      <c r="I38" s="31"/>
      <c r="J38" s="31"/>
      <c r="K38" s="31"/>
    </row>
    <row r="39" spans="1:11" ht="14.4" x14ac:dyDescent="0.3">
      <c r="A39" s="28" t="str">
        <f>B39&amp;C39&amp;D39&amp;E39</f>
        <v>AksessuarlarAyollar aksessuarlariToʻy aksessuarlariSumkalar va klatchalar</v>
      </c>
      <c r="B39" s="35" t="s">
        <v>35</v>
      </c>
      <c r="C39" s="35" t="s">
        <v>3162</v>
      </c>
      <c r="D39" s="35" t="s">
        <v>3210</v>
      </c>
      <c r="E39" s="35" t="s">
        <v>3211</v>
      </c>
      <c r="F39" s="36">
        <v>0.3</v>
      </c>
      <c r="G39" s="31"/>
      <c r="H39" s="31"/>
      <c r="I39" s="31"/>
      <c r="J39" s="31"/>
      <c r="K39" s="31"/>
    </row>
    <row r="40" spans="1:11" ht="14.4" x14ac:dyDescent="0.3">
      <c r="A40" s="28" t="str">
        <f>B40&amp;C40&amp;D40&amp;E40</f>
        <v>AksessuarlarErkaklar aksessuarlariBijuteriyalarYeng tugmalari</v>
      </c>
      <c r="B40" s="35" t="s">
        <v>35</v>
      </c>
      <c r="C40" s="35" t="s">
        <v>3154</v>
      </c>
      <c r="D40" s="35" t="s">
        <v>3163</v>
      </c>
      <c r="E40" s="35" t="s">
        <v>3212</v>
      </c>
      <c r="F40" s="36">
        <v>0.3</v>
      </c>
      <c r="G40" s="31"/>
      <c r="H40" s="31"/>
      <c r="I40" s="31"/>
      <c r="J40" s="31"/>
      <c r="K40" s="31"/>
    </row>
    <row r="41" spans="1:11" ht="14.4" x14ac:dyDescent="0.3">
      <c r="A41" s="28" t="str">
        <f>B41&amp;C41&amp;D41&amp;E41</f>
        <v>AksessuarlarErkaklar aksessuarlariSumkalar va ryukzaklarSumkalar</v>
      </c>
      <c r="B41" s="35" t="s">
        <v>35</v>
      </c>
      <c r="C41" s="35" t="s">
        <v>3154</v>
      </c>
      <c r="D41" s="35" t="s">
        <v>3191</v>
      </c>
      <c r="E41" s="35" t="s">
        <v>3213</v>
      </c>
      <c r="F41" s="36">
        <v>0.3</v>
      </c>
      <c r="G41" s="31"/>
      <c r="H41" s="31"/>
      <c r="I41" s="31"/>
      <c r="J41" s="31"/>
      <c r="K41" s="31"/>
    </row>
    <row r="42" spans="1:11" ht="14.4" x14ac:dyDescent="0.3">
      <c r="A42" s="28" t="str">
        <f>B42&amp;C42&amp;D42&amp;E42</f>
        <v>AksessuarlarAyollar aksessuarlariHamyonlar, kalit solgichlar va tashrif qogʻozi uchun karmonchalarHamyonlar</v>
      </c>
      <c r="B42" s="35" t="s">
        <v>35</v>
      </c>
      <c r="C42" s="35" t="s">
        <v>3162</v>
      </c>
      <c r="D42" s="35" t="s">
        <v>3155</v>
      </c>
      <c r="E42" s="35" t="s">
        <v>3214</v>
      </c>
      <c r="F42" s="36">
        <v>0.3</v>
      </c>
      <c r="G42" s="31"/>
      <c r="H42" s="31"/>
      <c r="I42" s="31"/>
      <c r="J42" s="31"/>
      <c r="K42" s="31"/>
    </row>
    <row r="43" spans="1:11" ht="14.4" x14ac:dyDescent="0.3">
      <c r="A43" s="28" t="str">
        <f>B43&amp;C43&amp;D43&amp;E43</f>
        <v>AksessuarlarAyollar aksessuarlariBijuteriyalarPirsing</v>
      </c>
      <c r="B43" s="35" t="s">
        <v>35</v>
      </c>
      <c r="C43" s="35" t="s">
        <v>3162</v>
      </c>
      <c r="D43" s="35" t="s">
        <v>3163</v>
      </c>
      <c r="E43" s="35" t="s">
        <v>3215</v>
      </c>
      <c r="F43" s="36">
        <v>0.3</v>
      </c>
      <c r="G43" s="31"/>
      <c r="H43" s="31"/>
      <c r="I43" s="31"/>
      <c r="J43" s="31"/>
      <c r="K43" s="31"/>
    </row>
    <row r="44" spans="1:11" ht="14.4" x14ac:dyDescent="0.3">
      <c r="A44" s="28" t="str">
        <f>B44&amp;C44&amp;D44&amp;E44</f>
        <v>AksessuarlarAyollar aksessuarlariKamarlar, belbogʻlar va portupeilarKamarlar</v>
      </c>
      <c r="B44" s="35" t="s">
        <v>35</v>
      </c>
      <c r="C44" s="35" t="s">
        <v>3162</v>
      </c>
      <c r="D44" s="35" t="s">
        <v>3216</v>
      </c>
      <c r="E44" s="35" t="s">
        <v>3190</v>
      </c>
      <c r="F44" s="36">
        <v>0.3</v>
      </c>
      <c r="G44" s="31"/>
      <c r="H44" s="31"/>
      <c r="I44" s="31"/>
      <c r="J44" s="31"/>
      <c r="K44" s="31"/>
    </row>
    <row r="45" spans="1:11" ht="14.4" x14ac:dyDescent="0.3">
      <c r="A45" s="28" t="str">
        <f>B45&amp;C45&amp;D45&amp;E45</f>
        <v>AksessuarlarAyollar aksessuarlariZargarlik buyumlariToʻgʻnagʻichlar</v>
      </c>
      <c r="B45" s="35" t="s">
        <v>35</v>
      </c>
      <c r="C45" s="35" t="s">
        <v>3162</v>
      </c>
      <c r="D45" s="35" t="s">
        <v>3166</v>
      </c>
      <c r="E45" s="35" t="s">
        <v>3217</v>
      </c>
      <c r="F45" s="36">
        <v>0.3</v>
      </c>
      <c r="G45" s="31"/>
      <c r="H45" s="31"/>
      <c r="I45" s="31"/>
      <c r="J45" s="31"/>
      <c r="K45" s="31"/>
    </row>
    <row r="46" spans="1:11" ht="14.4" x14ac:dyDescent="0.3">
      <c r="A46" s="28" t="str">
        <f>B46&amp;C46&amp;D46&amp;E46</f>
        <v>AksessuarlarAyollar aksessuarlariBijuteriyalarOyoq uchun brasletlari</v>
      </c>
      <c r="B46" s="35" t="s">
        <v>35</v>
      </c>
      <c r="C46" s="35" t="s">
        <v>3162</v>
      </c>
      <c r="D46" s="35" t="s">
        <v>3163</v>
      </c>
      <c r="E46" s="35" t="s">
        <v>3218</v>
      </c>
      <c r="F46" s="36">
        <v>0.3</v>
      </c>
      <c r="G46" s="31"/>
      <c r="H46" s="31"/>
      <c r="I46" s="31"/>
      <c r="J46" s="31"/>
      <c r="K46" s="31"/>
    </row>
    <row r="47" spans="1:11" ht="14.4" x14ac:dyDescent="0.3">
      <c r="A47" s="28" t="str">
        <f>B47&amp;C47&amp;D47&amp;E47</f>
        <v>AksessuarlarAyollar aksessuarlariKoʻzoynakQuyoshdan himoya koʻzoynaklari</v>
      </c>
      <c r="B47" s="35" t="s">
        <v>35</v>
      </c>
      <c r="C47" s="35" t="s">
        <v>3162</v>
      </c>
      <c r="D47" s="35" t="s">
        <v>3181</v>
      </c>
      <c r="E47" s="35" t="s">
        <v>3219</v>
      </c>
      <c r="F47" s="36">
        <v>0.3</v>
      </c>
      <c r="G47" s="31"/>
      <c r="H47" s="31"/>
      <c r="I47" s="31"/>
      <c r="J47" s="31"/>
      <c r="K47" s="31"/>
    </row>
    <row r="48" spans="1:11" ht="14.4" x14ac:dyDescent="0.3">
      <c r="A48" s="28" t="str">
        <f>B48&amp;C48&amp;D48&amp;E48</f>
        <v>AksessuarlarAyollar aksessuarlariSumkalar va ryukzaklarSumka uchun aksessuarlar</v>
      </c>
      <c r="B48" s="35" t="s">
        <v>35</v>
      </c>
      <c r="C48" s="35" t="s">
        <v>3162</v>
      </c>
      <c r="D48" s="35" t="s">
        <v>3191</v>
      </c>
      <c r="E48" s="35" t="s">
        <v>3220</v>
      </c>
      <c r="F48" s="36">
        <v>0.3</v>
      </c>
      <c r="G48" s="31"/>
      <c r="H48" s="31"/>
      <c r="I48" s="31"/>
      <c r="J48" s="31"/>
      <c r="K48" s="31"/>
    </row>
    <row r="49" spans="1:11" ht="14.4" x14ac:dyDescent="0.3">
      <c r="A49" s="28" t="str">
        <f>B49&amp;C49&amp;D49&amp;E49</f>
        <v>AksessuarlarErkaklar aksessuarlariRoʻmolchalar va sharflarDastroʻmollar</v>
      </c>
      <c r="B49" s="35" t="s">
        <v>35</v>
      </c>
      <c r="C49" s="35" t="s">
        <v>3154</v>
      </c>
      <c r="D49" s="35" t="s">
        <v>3199</v>
      </c>
      <c r="E49" s="35" t="s">
        <v>3221</v>
      </c>
      <c r="F49" s="36">
        <v>0.3</v>
      </c>
      <c r="G49" s="31"/>
      <c r="H49" s="31"/>
      <c r="I49" s="31"/>
      <c r="J49" s="31"/>
      <c r="K49" s="31"/>
    </row>
    <row r="50" spans="1:11" ht="14.4" x14ac:dyDescent="0.3">
      <c r="A50" s="28" t="str">
        <f>B50&amp;C50&amp;D50&amp;E50</f>
        <v>AksessuarlarAyollar aksessuarlariBosh kiyimlarBandanalar</v>
      </c>
      <c r="B50" s="35" t="s">
        <v>35</v>
      </c>
      <c r="C50" s="35" t="s">
        <v>3162</v>
      </c>
      <c r="D50" s="35" t="s">
        <v>3176</v>
      </c>
      <c r="E50" s="35" t="s">
        <v>3222</v>
      </c>
      <c r="F50" s="36">
        <v>0.3</v>
      </c>
      <c r="G50" s="31"/>
      <c r="H50" s="31"/>
      <c r="I50" s="31"/>
      <c r="J50" s="31"/>
      <c r="K50" s="31"/>
    </row>
    <row r="51" spans="1:11" ht="14.4" x14ac:dyDescent="0.3">
      <c r="A51" s="28" t="str">
        <f>B51&amp;C51&amp;D51&amp;E51</f>
        <v>AksessuarlarAyollar aksessuarlariKlatchlar va kosmetika sumkalarKosmetika sumkalar</v>
      </c>
      <c r="B51" s="35" t="s">
        <v>35</v>
      </c>
      <c r="C51" s="35" t="s">
        <v>3162</v>
      </c>
      <c r="D51" s="35" t="s">
        <v>3203</v>
      </c>
      <c r="E51" s="35" t="s">
        <v>3223</v>
      </c>
      <c r="F51" s="36">
        <v>0.3</v>
      </c>
      <c r="G51" s="31"/>
      <c r="H51" s="31"/>
      <c r="I51" s="31"/>
      <c r="J51" s="31"/>
      <c r="K51" s="31"/>
    </row>
    <row r="52" spans="1:11" ht="14.4" x14ac:dyDescent="0.3">
      <c r="A52" s="28" t="str">
        <f>B52&amp;C52&amp;D52&amp;E52</f>
        <v>AksessuarlarErkaklar aksessuarlariHamyonlar, kalit solgichlar va tashrif qogʻozi uchun karmonchalarHamyonlar</v>
      </c>
      <c r="B52" s="35" t="s">
        <v>35</v>
      </c>
      <c r="C52" s="35" t="s">
        <v>3154</v>
      </c>
      <c r="D52" s="35" t="s">
        <v>3155</v>
      </c>
      <c r="E52" s="35" t="s">
        <v>3214</v>
      </c>
      <c r="F52" s="36">
        <v>0.3</v>
      </c>
      <c r="G52" s="31"/>
      <c r="H52" s="31"/>
      <c r="I52" s="31"/>
      <c r="J52" s="31"/>
      <c r="K52" s="31"/>
    </row>
    <row r="53" spans="1:11" ht="14.4" x14ac:dyDescent="0.3">
      <c r="A53" s="28" t="str">
        <f>B53&amp;C53&amp;D53&amp;E53</f>
        <v>AksessuarlarAyollar aksessuarlariKamarlar, belbogʻlar va portupeilarPortupeylar</v>
      </c>
      <c r="B53" s="35" t="s">
        <v>35</v>
      </c>
      <c r="C53" s="35" t="s">
        <v>3162</v>
      </c>
      <c r="D53" s="35" t="s">
        <v>3216</v>
      </c>
      <c r="E53" s="35" t="s">
        <v>3224</v>
      </c>
      <c r="F53" s="36">
        <v>0.3</v>
      </c>
      <c r="G53" s="31"/>
      <c r="H53" s="31"/>
      <c r="I53" s="31"/>
      <c r="J53" s="31"/>
      <c r="K53" s="31"/>
    </row>
    <row r="54" spans="1:11" ht="14.4" x14ac:dyDescent="0.3">
      <c r="A54" s="28" t="str">
        <f>B54&amp;C54&amp;D54&amp;E54</f>
        <v>AksessuarlarErkaklar aksessuarlariBijuteriyalarZanjirlar</v>
      </c>
      <c r="B54" s="35" t="s">
        <v>35</v>
      </c>
      <c r="C54" s="35" t="s">
        <v>3154</v>
      </c>
      <c r="D54" s="35" t="s">
        <v>3163</v>
      </c>
      <c r="E54" s="35" t="s">
        <v>3167</v>
      </c>
      <c r="F54" s="36">
        <v>0.3</v>
      </c>
      <c r="G54" s="31"/>
      <c r="H54" s="31"/>
      <c r="I54" s="31"/>
      <c r="J54" s="31"/>
      <c r="K54" s="31"/>
    </row>
    <row r="55" spans="1:11" ht="14.4" x14ac:dyDescent="0.3">
      <c r="A55" s="28" t="str">
        <f>B55&amp;C55&amp;D55&amp;E55</f>
        <v>AksessuarlarAyollar aksessuarlariBosh kiyimlarPanamalar</v>
      </c>
      <c r="B55" s="35" t="s">
        <v>35</v>
      </c>
      <c r="C55" s="35" t="s">
        <v>3162</v>
      </c>
      <c r="D55" s="35" t="s">
        <v>3176</v>
      </c>
      <c r="E55" s="35" t="s">
        <v>3225</v>
      </c>
      <c r="F55" s="36">
        <v>0.3</v>
      </c>
      <c r="G55" s="31"/>
      <c r="H55" s="31"/>
      <c r="I55" s="31"/>
      <c r="J55" s="31"/>
      <c r="K55" s="31"/>
    </row>
    <row r="56" spans="1:11" ht="14.4" x14ac:dyDescent="0.3">
      <c r="A56" s="28" t="str">
        <f>B56&amp;C56&amp;D56&amp;E56</f>
        <v>AksessuarlarDiniy aksessuarlarDiniy to'plamlarDiniy to'plamlar</v>
      </c>
      <c r="B56" s="35" t="s">
        <v>35</v>
      </c>
      <c r="C56" s="35" t="s">
        <v>3226</v>
      </c>
      <c r="D56" s="35" t="s">
        <v>3227</v>
      </c>
      <c r="E56" s="35" t="s">
        <v>3227</v>
      </c>
      <c r="F56" s="36">
        <v>0.3</v>
      </c>
      <c r="G56" s="31"/>
      <c r="H56" s="31"/>
      <c r="I56" s="31"/>
      <c r="J56" s="31"/>
      <c r="K56" s="31"/>
    </row>
    <row r="57" spans="1:11" ht="14.4" x14ac:dyDescent="0.3">
      <c r="A57" s="28" t="str">
        <f>B57&amp;C57&amp;D57&amp;E57</f>
        <v>AksessuarlarAyollar aksessuarlariSumkalar va ryukzaklarSport sumkalari</v>
      </c>
      <c r="B57" s="35" t="s">
        <v>35</v>
      </c>
      <c r="C57" s="35" t="s">
        <v>3162</v>
      </c>
      <c r="D57" s="35" t="s">
        <v>3191</v>
      </c>
      <c r="E57" s="35" t="s">
        <v>3228</v>
      </c>
      <c r="F57" s="36">
        <v>0.3</v>
      </c>
      <c r="G57" s="31"/>
      <c r="H57" s="31"/>
      <c r="I57" s="31"/>
      <c r="J57" s="31"/>
      <c r="K57" s="31"/>
    </row>
    <row r="58" spans="1:11" ht="14.4" x14ac:dyDescent="0.3">
      <c r="A58" s="28" t="str">
        <f>B58&amp;C58&amp;D58&amp;E58</f>
        <v>AksessuarlarAyollar aksessuarlariHamyonlar, kalit solgichlar va tashrif qogʻozi uchun karmonchalarHujjatlar uchun jildlar</v>
      </c>
      <c r="B58" s="35" t="s">
        <v>35</v>
      </c>
      <c r="C58" s="35" t="s">
        <v>3162</v>
      </c>
      <c r="D58" s="35" t="s">
        <v>3155</v>
      </c>
      <c r="E58" s="35" t="s">
        <v>3229</v>
      </c>
      <c r="F58" s="36">
        <v>0.3</v>
      </c>
      <c r="G58" s="31"/>
      <c r="H58" s="31"/>
      <c r="I58" s="31"/>
      <c r="J58" s="31"/>
      <c r="K58" s="31"/>
    </row>
    <row r="59" spans="1:11" ht="14.4" x14ac:dyDescent="0.3">
      <c r="A59" s="28" t="str">
        <f>B59&amp;C59&amp;D59&amp;E59</f>
        <v>AksessuarlarAyollar aksessuarlariBosh kiyimlarQalpoqlar</v>
      </c>
      <c r="B59" s="35" t="s">
        <v>35</v>
      </c>
      <c r="C59" s="35" t="s">
        <v>3162</v>
      </c>
      <c r="D59" s="35" t="s">
        <v>3176</v>
      </c>
      <c r="E59" s="35" t="s">
        <v>3230</v>
      </c>
      <c r="F59" s="36">
        <v>0.3</v>
      </c>
      <c r="G59" s="31"/>
      <c r="H59" s="31"/>
      <c r="I59" s="31"/>
      <c r="J59" s="31"/>
      <c r="K59" s="31"/>
    </row>
    <row r="60" spans="1:11" ht="14.4" x14ac:dyDescent="0.3">
      <c r="A60" s="28" t="str">
        <f>B60&amp;C60&amp;D60&amp;E60</f>
        <v>AksessuarlarAyollar aksessuarlariSoatlar va qayishlarSoatlar uchun qayishlar</v>
      </c>
      <c r="B60" s="35" t="s">
        <v>35</v>
      </c>
      <c r="C60" s="35" t="s">
        <v>3162</v>
      </c>
      <c r="D60" s="35" t="s">
        <v>3231</v>
      </c>
      <c r="E60" s="35" t="s">
        <v>3232</v>
      </c>
      <c r="F60" s="36">
        <v>0.3</v>
      </c>
      <c r="G60" s="31"/>
      <c r="H60" s="31"/>
      <c r="I60" s="31"/>
      <c r="J60" s="31"/>
      <c r="K60" s="31"/>
    </row>
    <row r="61" spans="1:11" ht="14.4" x14ac:dyDescent="0.3">
      <c r="A61" s="28" t="str">
        <f>B61&amp;C61&amp;D61&amp;E61</f>
        <v>AksessuarlarAyollar aksessuarlariBosh kiyimlarBosh kiyimlar toʻplamlari</v>
      </c>
      <c r="B61" s="35" t="s">
        <v>35</v>
      </c>
      <c r="C61" s="35" t="s">
        <v>3162</v>
      </c>
      <c r="D61" s="35" t="s">
        <v>3176</v>
      </c>
      <c r="E61" s="35" t="s">
        <v>3233</v>
      </c>
      <c r="F61" s="36">
        <v>0.3</v>
      </c>
      <c r="G61" s="31"/>
      <c r="H61" s="31"/>
      <c r="I61" s="31"/>
      <c r="J61" s="31"/>
      <c r="K61" s="31"/>
    </row>
    <row r="62" spans="1:11" ht="14.4" x14ac:dyDescent="0.3">
      <c r="A62" s="28" t="str">
        <f>B62&amp;C62&amp;D62&amp;E62</f>
        <v>AksessuarlarDiniy aksessuarlarKulonlar va marjonlarKulonlar va marjonlar</v>
      </c>
      <c r="B62" s="35" t="s">
        <v>35</v>
      </c>
      <c r="C62" s="35" t="s">
        <v>3226</v>
      </c>
      <c r="D62" s="35" t="s">
        <v>3234</v>
      </c>
      <c r="E62" s="35" t="s">
        <v>3234</v>
      </c>
      <c r="F62" s="36">
        <v>0.3</v>
      </c>
      <c r="G62" s="31"/>
      <c r="H62" s="31"/>
      <c r="I62" s="31"/>
      <c r="J62" s="31"/>
      <c r="K62" s="31"/>
    </row>
    <row r="63" spans="1:11" ht="14.4" x14ac:dyDescent="0.3">
      <c r="A63" s="28" t="str">
        <f>B63&amp;C63&amp;D63&amp;E63</f>
        <v>AksessuarlarErkaklar aksessuarlariHamyonlar, kalit solgichlar va tashrif qogʻozi uchun karmonchalarTashrif qogʻozlari va kredit kartalari</v>
      </c>
      <c r="B63" s="35" t="s">
        <v>35</v>
      </c>
      <c r="C63" s="35" t="s">
        <v>3154</v>
      </c>
      <c r="D63" s="35" t="s">
        <v>3155</v>
      </c>
      <c r="E63" s="35" t="s">
        <v>3235</v>
      </c>
      <c r="F63" s="36">
        <v>0.3</v>
      </c>
      <c r="G63" s="31"/>
      <c r="H63" s="31"/>
      <c r="I63" s="31"/>
      <c r="J63" s="31"/>
      <c r="K63" s="31"/>
    </row>
    <row r="64" spans="1:11" ht="14.4" x14ac:dyDescent="0.3">
      <c r="A64" s="28" t="str">
        <f>B64&amp;C64&amp;D64&amp;E64</f>
        <v>AksessuarlarErkaklar aksessuarlariKoʻzoynakQuyoshdan himoya koʻzoynaklari</v>
      </c>
      <c r="B64" s="35" t="s">
        <v>35</v>
      </c>
      <c r="C64" s="35" t="s">
        <v>3154</v>
      </c>
      <c r="D64" s="35" t="s">
        <v>3181</v>
      </c>
      <c r="E64" s="35" t="s">
        <v>3219</v>
      </c>
      <c r="F64" s="36">
        <v>0.3</v>
      </c>
      <c r="G64" s="31"/>
      <c r="H64" s="31"/>
      <c r="I64" s="31"/>
      <c r="J64" s="31"/>
      <c r="K64" s="31"/>
    </row>
    <row r="65" spans="1:11" ht="14.4" x14ac:dyDescent="0.3">
      <c r="A65" s="28" t="str">
        <f>B65&amp;C65&amp;D65&amp;E65</f>
        <v>AksessuarlarAyollar aksessuarlariHamyonlar, kalit solgichlar va tashrif qogʻozi uchun karmonchalarKalit solgichlar</v>
      </c>
      <c r="B65" s="35" t="s">
        <v>35</v>
      </c>
      <c r="C65" s="35" t="s">
        <v>3162</v>
      </c>
      <c r="D65" s="35" t="s">
        <v>3155</v>
      </c>
      <c r="E65" s="35" t="s">
        <v>3236</v>
      </c>
      <c r="F65" s="36">
        <v>0.3</v>
      </c>
      <c r="G65" s="31"/>
      <c r="H65" s="31"/>
      <c r="I65" s="31"/>
      <c r="J65" s="31"/>
      <c r="K65" s="31"/>
    </row>
    <row r="66" spans="1:11" ht="14.4" x14ac:dyDescent="0.3">
      <c r="A66" s="28" t="str">
        <f>B66&amp;C66&amp;D66&amp;E66</f>
        <v>AksessuarlarAyollar aksessuarlariQoʻlqoplar va varejkalarVarejkalar</v>
      </c>
      <c r="B66" s="35" t="s">
        <v>35</v>
      </c>
      <c r="C66" s="35" t="s">
        <v>3162</v>
      </c>
      <c r="D66" s="35" t="s">
        <v>3196</v>
      </c>
      <c r="E66" s="35" t="s">
        <v>3237</v>
      </c>
      <c r="F66" s="36">
        <v>0.3</v>
      </c>
      <c r="G66" s="31"/>
      <c r="H66" s="31"/>
      <c r="I66" s="31"/>
      <c r="J66" s="31"/>
      <c r="K66" s="31"/>
    </row>
    <row r="67" spans="1:11" ht="14.4" x14ac:dyDescent="0.3">
      <c r="A67" s="28" t="str">
        <f>B67&amp;C67&amp;D67&amp;E67</f>
        <v>AksessuarlarSayohat uchun aksessuarlarSayohat uchun organayzerlarSayohat uchun organayzerlar</v>
      </c>
      <c r="B67" s="35" t="s">
        <v>35</v>
      </c>
      <c r="C67" s="35" t="s">
        <v>3158</v>
      </c>
      <c r="D67" s="35" t="s">
        <v>3238</v>
      </c>
      <c r="E67" s="35" t="s">
        <v>3238</v>
      </c>
      <c r="F67" s="36">
        <v>0.3</v>
      </c>
      <c r="G67" s="31"/>
      <c r="H67" s="31"/>
      <c r="I67" s="31"/>
      <c r="J67" s="31"/>
      <c r="K67" s="31"/>
    </row>
    <row r="68" spans="1:11" ht="14.4" x14ac:dyDescent="0.3">
      <c r="A68" s="28" t="str">
        <f>B68&amp;C68&amp;D68&amp;E68</f>
        <v>AksessuarlarErkaklar aksessuarlariBoʻyinbogʻlar, kapalakchalar, roʻmolchalarBoʻyinbogʻlar</v>
      </c>
      <c r="B68" s="35" t="s">
        <v>35</v>
      </c>
      <c r="C68" s="35" t="s">
        <v>3154</v>
      </c>
      <c r="D68" s="35" t="s">
        <v>3173</v>
      </c>
      <c r="E68" s="35" t="s">
        <v>3239</v>
      </c>
      <c r="F68" s="36">
        <v>0.3</v>
      </c>
      <c r="G68" s="31"/>
      <c r="H68" s="31"/>
      <c r="I68" s="31"/>
      <c r="J68" s="31"/>
      <c r="K68" s="31"/>
    </row>
    <row r="69" spans="1:11" ht="14.4" x14ac:dyDescent="0.3">
      <c r="A69" s="28" t="str">
        <f>B69&amp;C69&amp;D69&amp;E69</f>
        <v>AksessuarlarAyollar aksessuarlariRoʻmolar va sharflarRoʻmol uchun muftalar va halqalar</v>
      </c>
      <c r="B69" s="35" t="s">
        <v>35</v>
      </c>
      <c r="C69" s="35" t="s">
        <v>3162</v>
      </c>
      <c r="D69" s="35" t="s">
        <v>3185</v>
      </c>
      <c r="E69" s="35" t="s">
        <v>3240</v>
      </c>
      <c r="F69" s="36">
        <v>0.3</v>
      </c>
      <c r="G69" s="31"/>
      <c r="H69" s="31"/>
      <c r="I69" s="31"/>
      <c r="J69" s="31"/>
      <c r="K69" s="31"/>
    </row>
    <row r="70" spans="1:11" ht="14.4" x14ac:dyDescent="0.3">
      <c r="A70" s="28" t="str">
        <f>B70&amp;C70&amp;D70&amp;E70</f>
        <v>AksessuarlarErkaklar aksessuarlariZargarlik buyumlariYeng tugmalari</v>
      </c>
      <c r="B70" s="35" t="s">
        <v>35</v>
      </c>
      <c r="C70" s="35" t="s">
        <v>3154</v>
      </c>
      <c r="D70" s="35" t="s">
        <v>3166</v>
      </c>
      <c r="E70" s="35" t="s">
        <v>3212</v>
      </c>
      <c r="F70" s="36">
        <v>0.3</v>
      </c>
      <c r="G70" s="31"/>
      <c r="H70" s="31"/>
      <c r="I70" s="31"/>
      <c r="J70" s="31"/>
      <c r="K70" s="31"/>
    </row>
    <row r="71" spans="1:11" ht="14.4" x14ac:dyDescent="0.3">
      <c r="A71" s="28" t="str">
        <f>B71&amp;C71&amp;D71&amp;E71</f>
        <v>AksessuarlarSayohat uchun aksessuarlarChamadonlar uchun aksessuarlarChemodanlar uchun qayishlar</v>
      </c>
      <c r="B71" s="35" t="s">
        <v>35</v>
      </c>
      <c r="C71" s="35" t="s">
        <v>3158</v>
      </c>
      <c r="D71" s="35" t="s">
        <v>3159</v>
      </c>
      <c r="E71" s="35" t="s">
        <v>3241</v>
      </c>
      <c r="F71" s="36">
        <v>0.3</v>
      </c>
      <c r="G71" s="31"/>
      <c r="H71" s="31"/>
      <c r="I71" s="31"/>
      <c r="J71" s="31"/>
      <c r="K71" s="31"/>
    </row>
    <row r="72" spans="1:11" ht="14.4" x14ac:dyDescent="0.3">
      <c r="A72" s="28" t="str">
        <f>B72&amp;C72&amp;D72&amp;E72</f>
        <v>AksessuarlarErkaklar aksessuarlariBosh kiyimlarPanama</v>
      </c>
      <c r="B72" s="35" t="s">
        <v>35</v>
      </c>
      <c r="C72" s="35" t="s">
        <v>3154</v>
      </c>
      <c r="D72" s="35" t="s">
        <v>3176</v>
      </c>
      <c r="E72" s="35" t="s">
        <v>3242</v>
      </c>
      <c r="F72" s="36">
        <v>0.3</v>
      </c>
      <c r="G72" s="31"/>
      <c r="H72" s="31"/>
      <c r="I72" s="31"/>
      <c r="J72" s="31"/>
      <c r="K72" s="31"/>
    </row>
    <row r="73" spans="1:11" ht="14.4" x14ac:dyDescent="0.3">
      <c r="A73" s="28" t="str">
        <f>B73&amp;C73&amp;D73&amp;E73</f>
        <v>AksessuarlarAyollar aksessuarlariSoyabon va yelpig'ichSoyabonlar</v>
      </c>
      <c r="B73" s="35" t="s">
        <v>35</v>
      </c>
      <c r="C73" s="35" t="s">
        <v>3162</v>
      </c>
      <c r="D73" s="35" t="s">
        <v>3243</v>
      </c>
      <c r="E73" s="35" t="s">
        <v>3244</v>
      </c>
      <c r="F73" s="36">
        <v>0.3</v>
      </c>
      <c r="G73" s="31"/>
      <c r="H73" s="31"/>
      <c r="I73" s="31"/>
      <c r="J73" s="31"/>
      <c r="K73" s="31"/>
    </row>
    <row r="74" spans="1:11" ht="14.4" x14ac:dyDescent="0.3">
      <c r="A74" s="28" t="str">
        <f>B74&amp;C74&amp;D74&amp;E74</f>
        <v>AksessuarlarErkaklar aksessuarlariHamyonlar, kalit solgichlar va tashrif qogʻozi uchun karmonchalarHujjatlar uchun jildlar</v>
      </c>
      <c r="B74" s="35" t="s">
        <v>35</v>
      </c>
      <c r="C74" s="35" t="s">
        <v>3154</v>
      </c>
      <c r="D74" s="35" t="s">
        <v>3155</v>
      </c>
      <c r="E74" s="35" t="s">
        <v>3229</v>
      </c>
      <c r="F74" s="36">
        <v>0.3</v>
      </c>
      <c r="G74" s="31"/>
      <c r="H74" s="31"/>
      <c r="I74" s="31"/>
      <c r="J74" s="31"/>
      <c r="K74" s="31"/>
    </row>
    <row r="75" spans="1:11" ht="14.4" x14ac:dyDescent="0.3">
      <c r="A75" s="28" t="str">
        <f>B75&amp;C75&amp;D75&amp;E75</f>
        <v>AksessuarlarErkaklar aksessuarlariBijuteriyalarZiraklar</v>
      </c>
      <c r="B75" s="35" t="s">
        <v>35</v>
      </c>
      <c r="C75" s="35" t="s">
        <v>3154</v>
      </c>
      <c r="D75" s="35" t="s">
        <v>3163</v>
      </c>
      <c r="E75" s="35" t="s">
        <v>3207</v>
      </c>
      <c r="F75" s="36">
        <v>0.3</v>
      </c>
      <c r="G75" s="31"/>
      <c r="H75" s="31"/>
      <c r="I75" s="31"/>
      <c r="J75" s="31"/>
      <c r="K75" s="31"/>
    </row>
    <row r="76" spans="1:11" ht="14.4" x14ac:dyDescent="0.3">
      <c r="A76" s="28" t="str">
        <f>B76&amp;C76&amp;D76&amp;E76</f>
        <v>AksessuarlarAyollar aksessuarlariBosh kiyimlarKepkalar, beysbol qalpoqlari va kepilar</v>
      </c>
      <c r="B76" s="35" t="s">
        <v>35</v>
      </c>
      <c r="C76" s="35" t="s">
        <v>3162</v>
      </c>
      <c r="D76" s="35" t="s">
        <v>3176</v>
      </c>
      <c r="E76" s="35" t="s">
        <v>3245</v>
      </c>
      <c r="F76" s="36">
        <v>0.3</v>
      </c>
      <c r="G76" s="31"/>
      <c r="H76" s="31"/>
      <c r="I76" s="31"/>
      <c r="J76" s="31"/>
      <c r="K76" s="31"/>
    </row>
    <row r="77" spans="1:11" ht="14.4" x14ac:dyDescent="0.3">
      <c r="A77" s="28" t="str">
        <f>B77&amp;C77&amp;D77&amp;E77</f>
        <v>AksessuarlarErkaklar aksessuarlariBijuteriyalarBreloklar</v>
      </c>
      <c r="B77" s="35" t="s">
        <v>35</v>
      </c>
      <c r="C77" s="35" t="s">
        <v>3154</v>
      </c>
      <c r="D77" s="35" t="s">
        <v>3163</v>
      </c>
      <c r="E77" s="35" t="s">
        <v>3246</v>
      </c>
      <c r="F77" s="36">
        <v>0.3</v>
      </c>
      <c r="G77" s="31"/>
      <c r="H77" s="31"/>
      <c r="I77" s="31"/>
      <c r="J77" s="31"/>
      <c r="K77" s="31"/>
    </row>
    <row r="78" spans="1:11" ht="14.4" x14ac:dyDescent="0.3">
      <c r="A78" s="28" t="str">
        <f>B78&amp;C78&amp;D78&amp;E78</f>
        <v>AksessuarlarErkaklar aksessuarlariBosh kiyimlarBosh kiyimlar toʻplamlari</v>
      </c>
      <c r="B78" s="35" t="s">
        <v>35</v>
      </c>
      <c r="C78" s="35" t="s">
        <v>3154</v>
      </c>
      <c r="D78" s="35" t="s">
        <v>3176</v>
      </c>
      <c r="E78" s="35" t="s">
        <v>3233</v>
      </c>
      <c r="F78" s="36">
        <v>0.3</v>
      </c>
      <c r="G78" s="31"/>
      <c r="H78" s="31"/>
      <c r="I78" s="31"/>
      <c r="J78" s="31"/>
      <c r="K78" s="31"/>
    </row>
    <row r="79" spans="1:11" ht="14.4" x14ac:dyDescent="0.3">
      <c r="A79" s="28" t="str">
        <f>B79&amp;C79&amp;D79&amp;E79</f>
        <v>AksessuarlarErkaklar aksessuarlariBosh kiyimlarShlyapalar</v>
      </c>
      <c r="B79" s="35" t="s">
        <v>35</v>
      </c>
      <c r="C79" s="35" t="s">
        <v>3154</v>
      </c>
      <c r="D79" s="35" t="s">
        <v>3176</v>
      </c>
      <c r="E79" s="35" t="s">
        <v>3205</v>
      </c>
      <c r="F79" s="36">
        <v>0.3</v>
      </c>
      <c r="G79" s="31"/>
      <c r="H79" s="31"/>
      <c r="I79" s="31"/>
      <c r="J79" s="31"/>
      <c r="K79" s="31"/>
    </row>
    <row r="80" spans="1:11" ht="14.4" x14ac:dyDescent="0.3">
      <c r="A80" s="28" t="str">
        <f>B80&amp;C80&amp;D80&amp;E80</f>
        <v>AksessuarlarAyollar aksessuarlariSumkalar va ryukzaklarPlyaj sumkalari</v>
      </c>
      <c r="B80" s="35" t="s">
        <v>35</v>
      </c>
      <c r="C80" s="35" t="s">
        <v>3162</v>
      </c>
      <c r="D80" s="35" t="s">
        <v>3191</v>
      </c>
      <c r="E80" s="35" t="s">
        <v>3247</v>
      </c>
      <c r="F80" s="36">
        <v>0.3</v>
      </c>
      <c r="G80" s="31"/>
      <c r="H80" s="31"/>
      <c r="I80" s="31"/>
      <c r="J80" s="31"/>
      <c r="K80" s="31"/>
    </row>
    <row r="81" spans="1:11" ht="14.4" x14ac:dyDescent="0.3">
      <c r="A81" s="28" t="str">
        <f>B81&amp;C81&amp;D81&amp;E81</f>
        <v>AksessuarlarErkaklar aksessuarlariBosh kiyimlarBandanalar</v>
      </c>
      <c r="B81" s="35" t="s">
        <v>35</v>
      </c>
      <c r="C81" s="35" t="s">
        <v>3154</v>
      </c>
      <c r="D81" s="35" t="s">
        <v>3176</v>
      </c>
      <c r="E81" s="35" t="s">
        <v>3222</v>
      </c>
      <c r="F81" s="36">
        <v>0.3</v>
      </c>
      <c r="G81" s="31"/>
      <c r="H81" s="31"/>
      <c r="I81" s="31"/>
      <c r="J81" s="31"/>
      <c r="K81" s="31"/>
    </row>
    <row r="82" spans="1:11" ht="14.4" x14ac:dyDescent="0.3">
      <c r="A82" s="28" t="str">
        <f>B82&amp;C82&amp;D82&amp;E82</f>
        <v>AksessuarlarDiniy aksessuarlarTasbehlarTasbehlar</v>
      </c>
      <c r="B82" s="35" t="s">
        <v>35</v>
      </c>
      <c r="C82" s="35" t="s">
        <v>3226</v>
      </c>
      <c r="D82" s="35" t="s">
        <v>3248</v>
      </c>
      <c r="E82" s="35" t="s">
        <v>3248</v>
      </c>
      <c r="F82" s="36">
        <v>0.3</v>
      </c>
      <c r="G82" s="31"/>
      <c r="H82" s="31"/>
      <c r="I82" s="31"/>
      <c r="J82" s="31"/>
      <c r="K82" s="31"/>
    </row>
    <row r="83" spans="1:11" ht="14.4" x14ac:dyDescent="0.3">
      <c r="A83" s="28" t="str">
        <f>B83&amp;C83&amp;D83&amp;E83</f>
        <v>AksessuarlarErkaklar aksessuarlariPortmone va kosmetika sumkalarPortmone</v>
      </c>
      <c r="B83" s="35" t="s">
        <v>35</v>
      </c>
      <c r="C83" s="35" t="s">
        <v>3154</v>
      </c>
      <c r="D83" s="35" t="s">
        <v>3249</v>
      </c>
      <c r="E83" s="35" t="s">
        <v>3250</v>
      </c>
      <c r="F83" s="36">
        <v>0.3</v>
      </c>
      <c r="G83" s="31"/>
      <c r="H83" s="31"/>
      <c r="I83" s="31"/>
      <c r="J83" s="31"/>
      <c r="K83" s="31"/>
    </row>
    <row r="84" spans="1:11" ht="14.4" x14ac:dyDescent="0.3">
      <c r="A84" s="28" t="str">
        <f>B84&amp;C84&amp;D84&amp;E84</f>
        <v>AksessuarlarAyollar aksessuarlariQoʻlqoplar va varejkalarMitenkalar</v>
      </c>
      <c r="B84" s="35" t="s">
        <v>35</v>
      </c>
      <c r="C84" s="35" t="s">
        <v>3162</v>
      </c>
      <c r="D84" s="35" t="s">
        <v>3196</v>
      </c>
      <c r="E84" s="35" t="s">
        <v>3251</v>
      </c>
      <c r="F84" s="36">
        <v>0.3</v>
      </c>
      <c r="G84" s="31"/>
      <c r="H84" s="31"/>
      <c r="I84" s="31"/>
      <c r="J84" s="31"/>
      <c r="K84" s="31"/>
    </row>
    <row r="85" spans="1:11" ht="14.4" x14ac:dyDescent="0.3">
      <c r="A85" s="28" t="str">
        <f>B85&amp;C85&amp;D85&amp;E85</f>
        <v>AksessuarlarYangi tugʻilgan chaqaloqlar uchun qalpoqchalar, chepchiklar va qoʻlqopchalarYangi tugʻilgan chaqaloqlar uchun qalpoqchalar, chepchiklar va qoʻlqopchalarYangi tugʻilgan chaqaloqlar uchun qalpoqchalar, chepchiklar va qoʻlqopchalar</v>
      </c>
      <c r="B85" s="35" t="s">
        <v>35</v>
      </c>
      <c r="C85" s="35" t="s">
        <v>3252</v>
      </c>
      <c r="D85" s="35" t="s">
        <v>3252</v>
      </c>
      <c r="E85" s="35" t="s">
        <v>3252</v>
      </c>
      <c r="F85" s="36">
        <v>0.3</v>
      </c>
      <c r="G85" s="31"/>
      <c r="H85" s="31"/>
      <c r="I85" s="31"/>
      <c r="J85" s="31"/>
      <c r="K85" s="31"/>
    </row>
    <row r="86" spans="1:11" ht="14.4" x14ac:dyDescent="0.3">
      <c r="A86" s="28" t="str">
        <f>B86&amp;C86&amp;D86&amp;E86</f>
        <v>AksessuarlarAyollar aksessuarlariKoʻzoynakKompyuter uchun ko'zoynaklar</v>
      </c>
      <c r="B86" s="35" t="s">
        <v>35</v>
      </c>
      <c r="C86" s="35" t="s">
        <v>3162</v>
      </c>
      <c r="D86" s="35" t="s">
        <v>3181</v>
      </c>
      <c r="E86" s="35" t="s">
        <v>3201</v>
      </c>
      <c r="F86" s="36">
        <v>0.3</v>
      </c>
      <c r="G86" s="31"/>
      <c r="H86" s="31"/>
      <c r="I86" s="31"/>
      <c r="J86" s="31"/>
      <c r="K86" s="31"/>
    </row>
    <row r="87" spans="1:11" ht="14.4" x14ac:dyDescent="0.3">
      <c r="A87" s="28" t="str">
        <f>B87&amp;C87&amp;D87&amp;E87</f>
        <v>AksessuarlarSayohat uchun aksessuarlarChamadonlar uchun aksessuarlarChamadonlar uchun breloklar</v>
      </c>
      <c r="B87" s="35" t="s">
        <v>35</v>
      </c>
      <c r="C87" s="35" t="s">
        <v>3158</v>
      </c>
      <c r="D87" s="35" t="s">
        <v>3159</v>
      </c>
      <c r="E87" s="35" t="s">
        <v>3253</v>
      </c>
      <c r="F87" s="36">
        <v>0.3</v>
      </c>
      <c r="G87" s="31"/>
      <c r="H87" s="31"/>
      <c r="I87" s="31"/>
      <c r="J87" s="31"/>
      <c r="K87" s="31"/>
    </row>
    <row r="88" spans="1:11" ht="14.4" x14ac:dyDescent="0.3">
      <c r="A88" s="28" t="str">
        <f>B88&amp;C88&amp;D88&amp;E88</f>
        <v>AksessuarlarErkaklar aksessuarlariPortmone va kosmetika sumkalarKosmetika sumkalar</v>
      </c>
      <c r="B88" s="35" t="s">
        <v>35</v>
      </c>
      <c r="C88" s="35" t="s">
        <v>3154</v>
      </c>
      <c r="D88" s="35" t="s">
        <v>3249</v>
      </c>
      <c r="E88" s="35" t="s">
        <v>3223</v>
      </c>
      <c r="F88" s="36">
        <v>0.3</v>
      </c>
      <c r="G88" s="31"/>
      <c r="H88" s="31"/>
      <c r="I88" s="31"/>
      <c r="J88" s="31"/>
      <c r="K88" s="31"/>
    </row>
    <row r="89" spans="1:11" ht="14.4" x14ac:dyDescent="0.3">
      <c r="A89" s="28" t="str">
        <f>B89&amp;C89&amp;D89&amp;E89</f>
        <v>AksessuarlarAyollar aksessuarlariBosh kiyimlarBalaklavalar</v>
      </c>
      <c r="B89" s="35" t="s">
        <v>35</v>
      </c>
      <c r="C89" s="35" t="s">
        <v>3162</v>
      </c>
      <c r="D89" s="35" t="s">
        <v>3176</v>
      </c>
      <c r="E89" s="35" t="s">
        <v>3179</v>
      </c>
      <c r="F89" s="36">
        <v>0.3</v>
      </c>
      <c r="G89" s="31"/>
      <c r="H89" s="31"/>
      <c r="I89" s="31"/>
      <c r="J89" s="31"/>
      <c r="K89" s="31"/>
    </row>
    <row r="90" spans="1:11" ht="14.4" x14ac:dyDescent="0.3">
      <c r="A90" s="28" t="str">
        <f>B90&amp;C90&amp;D90&amp;E90</f>
        <v>AksessuarlarErkaklar aksessuarlariQayishlar va osma kamarlarOsma kamarlar</v>
      </c>
      <c r="B90" s="35" t="s">
        <v>35</v>
      </c>
      <c r="C90" s="35" t="s">
        <v>3154</v>
      </c>
      <c r="D90" s="35" t="s">
        <v>3189</v>
      </c>
      <c r="E90" s="35" t="s">
        <v>3254</v>
      </c>
      <c r="F90" s="36">
        <v>0.3</v>
      </c>
      <c r="G90" s="31"/>
      <c r="H90" s="31"/>
      <c r="I90" s="31"/>
      <c r="J90" s="31"/>
      <c r="K90" s="31"/>
    </row>
    <row r="91" spans="1:11" ht="14.4" x14ac:dyDescent="0.3">
      <c r="A91" s="28" t="str">
        <f>B91&amp;C91&amp;D91&amp;E91</f>
        <v>AksessuarlarErkaklar aksessuarlariBijuteriyalarUzuklar</v>
      </c>
      <c r="B91" s="35" t="s">
        <v>35</v>
      </c>
      <c r="C91" s="35" t="s">
        <v>3154</v>
      </c>
      <c r="D91" s="35" t="s">
        <v>3163</v>
      </c>
      <c r="E91" s="35" t="s">
        <v>36</v>
      </c>
      <c r="F91" s="36">
        <v>0.3</v>
      </c>
      <c r="G91" s="31"/>
      <c r="H91" s="31"/>
      <c r="I91" s="31"/>
      <c r="J91" s="31"/>
      <c r="K91" s="31"/>
    </row>
    <row r="92" spans="1:11" ht="14.4" x14ac:dyDescent="0.3">
      <c r="A92" s="28" t="str">
        <f>B92&amp;C92&amp;D92&amp;E92</f>
        <v>AksessuarlarAyollar aksessuarlariHamyonlar, kalit solgichlar va tashrif qogʻozi uchun karmonchalarMonetnitsalar</v>
      </c>
      <c r="B92" s="35" t="s">
        <v>35</v>
      </c>
      <c r="C92" s="35" t="s">
        <v>3162</v>
      </c>
      <c r="D92" s="35" t="s">
        <v>3155</v>
      </c>
      <c r="E92" s="35" t="s">
        <v>3255</v>
      </c>
      <c r="F92" s="36">
        <v>0.3</v>
      </c>
      <c r="G92" s="31"/>
      <c r="H92" s="31"/>
      <c r="I92" s="31"/>
      <c r="J92" s="31"/>
      <c r="K92" s="31"/>
    </row>
    <row r="93" spans="1:11" ht="14.4" x14ac:dyDescent="0.3">
      <c r="A93" s="28" t="str">
        <f>B93&amp;C93&amp;D93&amp;E93</f>
        <v>AksessuarlarAyollar aksessuarlariZargarlik buyumlariTaqinchoqlar toʻplami</v>
      </c>
      <c r="B93" s="35" t="s">
        <v>35</v>
      </c>
      <c r="C93" s="35" t="s">
        <v>3162</v>
      </c>
      <c r="D93" s="35" t="s">
        <v>3166</v>
      </c>
      <c r="E93" s="35" t="s">
        <v>3256</v>
      </c>
      <c r="F93" s="36">
        <v>0.3</v>
      </c>
      <c r="G93" s="31"/>
      <c r="H93" s="31"/>
      <c r="I93" s="31"/>
      <c r="J93" s="31"/>
      <c r="K93" s="31"/>
    </row>
    <row r="94" spans="1:11" ht="14.4" x14ac:dyDescent="0.3">
      <c r="A94" s="28" t="str">
        <f>B94&amp;C94&amp;D94&amp;E94</f>
        <v>AksessuarlarAyollar aksessuarlariBijuteriyalarKalit ilgichlar</v>
      </c>
      <c r="B94" s="35" t="s">
        <v>35</v>
      </c>
      <c r="C94" s="35" t="s">
        <v>3162</v>
      </c>
      <c r="D94" s="35" t="s">
        <v>3163</v>
      </c>
      <c r="E94" s="35" t="s">
        <v>3257</v>
      </c>
      <c r="F94" s="36">
        <v>0.3</v>
      </c>
      <c r="G94" s="31"/>
      <c r="H94" s="31"/>
      <c r="I94" s="31"/>
      <c r="J94" s="31"/>
      <c r="K94" s="31"/>
    </row>
    <row r="95" spans="1:11" ht="14.4" x14ac:dyDescent="0.3">
      <c r="A95" s="28" t="str">
        <f>B95&amp;C95&amp;D95&amp;E95</f>
        <v>AksessuarlarDiniy aksessuarlarDoʻppilarDoʻppilar</v>
      </c>
      <c r="B95" s="35" t="s">
        <v>35</v>
      </c>
      <c r="C95" s="35" t="s">
        <v>3226</v>
      </c>
      <c r="D95" s="35" t="s">
        <v>3258</v>
      </c>
      <c r="E95" s="35" t="s">
        <v>3258</v>
      </c>
      <c r="F95" s="36">
        <v>0.3</v>
      </c>
      <c r="G95" s="31"/>
      <c r="H95" s="31"/>
      <c r="I95" s="31"/>
      <c r="J95" s="31"/>
      <c r="K95" s="31"/>
    </row>
    <row r="96" spans="1:11" ht="14.4" x14ac:dyDescent="0.3">
      <c r="A96" s="28" t="str">
        <f>B96&amp;C96&amp;D96&amp;E96</f>
        <v>AksessuarlarAyollar aksessuarlariBosh kiyimlarQuloqchinlar</v>
      </c>
      <c r="B96" s="35" t="s">
        <v>35</v>
      </c>
      <c r="C96" s="35" t="s">
        <v>3162</v>
      </c>
      <c r="D96" s="35" t="s">
        <v>3176</v>
      </c>
      <c r="E96" s="35" t="s">
        <v>3259</v>
      </c>
      <c r="F96" s="36">
        <v>0.3</v>
      </c>
      <c r="G96" s="31"/>
      <c r="H96" s="31"/>
      <c r="I96" s="31"/>
      <c r="J96" s="31"/>
      <c r="K96" s="31"/>
    </row>
    <row r="97" spans="1:11" ht="14.4" x14ac:dyDescent="0.3">
      <c r="A97" s="28" t="str">
        <f>B97&amp;C97&amp;D97&amp;E97</f>
        <v>AksessuarlarAyollar aksessuarlariRoʻmolar va sharflarDastroʻmollar</v>
      </c>
      <c r="B97" s="35" t="s">
        <v>35</v>
      </c>
      <c r="C97" s="35" t="s">
        <v>3162</v>
      </c>
      <c r="D97" s="35" t="s">
        <v>3185</v>
      </c>
      <c r="E97" s="35" t="s">
        <v>3221</v>
      </c>
      <c r="F97" s="36">
        <v>0.3</v>
      </c>
      <c r="G97" s="31"/>
      <c r="H97" s="31"/>
      <c r="I97" s="31"/>
      <c r="J97" s="31"/>
      <c r="K97" s="31"/>
    </row>
    <row r="98" spans="1:11" ht="14.4" x14ac:dyDescent="0.3">
      <c r="A98" s="28" t="str">
        <f>B98&amp;C98&amp;D98&amp;E98</f>
        <v>AksessuarlarErkaklar aksessuarlariRoʻmolchalar va sharflarRoʻmolchalar</v>
      </c>
      <c r="B98" s="35" t="s">
        <v>35</v>
      </c>
      <c r="C98" s="35" t="s">
        <v>3154</v>
      </c>
      <c r="D98" s="35" t="s">
        <v>3199</v>
      </c>
      <c r="E98" s="35" t="s">
        <v>3260</v>
      </c>
      <c r="F98" s="36">
        <v>0.3</v>
      </c>
      <c r="G98" s="31"/>
      <c r="H98" s="31"/>
      <c r="I98" s="31"/>
      <c r="J98" s="31"/>
      <c r="K98" s="31"/>
    </row>
    <row r="99" spans="1:11" ht="14.4" x14ac:dyDescent="0.3">
      <c r="A99" s="28" t="str">
        <f>B99&amp;C99&amp;D99&amp;E99</f>
        <v>AksessuarlarDiniy aksessuarlarHijob va tyurbanlarHijob va tyurbanlar</v>
      </c>
      <c r="B99" s="35" t="s">
        <v>35</v>
      </c>
      <c r="C99" s="35" t="s">
        <v>3226</v>
      </c>
      <c r="D99" s="35" t="s">
        <v>3261</v>
      </c>
      <c r="E99" s="35" t="s">
        <v>3261</v>
      </c>
      <c r="F99" s="36">
        <v>0.3</v>
      </c>
      <c r="G99" s="31"/>
      <c r="H99" s="31"/>
      <c r="I99" s="31"/>
      <c r="J99" s="31"/>
      <c r="K99" s="31"/>
    </row>
    <row r="100" spans="1:11" ht="14.4" x14ac:dyDescent="0.3">
      <c r="A100" s="28" t="str">
        <f>B100&amp;C100&amp;D100&amp;E100</f>
        <v>AksessuarlarErkaklar aksessuarlariSumkalar va ryukzaklarSport sumkalari</v>
      </c>
      <c r="B100" s="35" t="s">
        <v>35</v>
      </c>
      <c r="C100" s="35" t="s">
        <v>3154</v>
      </c>
      <c r="D100" s="35" t="s">
        <v>3191</v>
      </c>
      <c r="E100" s="35" t="s">
        <v>3228</v>
      </c>
      <c r="F100" s="36">
        <v>0.3</v>
      </c>
      <c r="G100" s="31"/>
      <c r="H100" s="31"/>
      <c r="I100" s="31"/>
      <c r="J100" s="31"/>
      <c r="K100" s="31"/>
    </row>
    <row r="101" spans="1:11" ht="14.4" x14ac:dyDescent="0.3">
      <c r="A101" s="28" t="str">
        <f>B101&amp;C101&amp;D101&amp;E101</f>
        <v>AksessuarlarAyollar aksessuarlariHamyonlar, kalit solgichlar va tashrif qogʻozi uchun karmonchalarTashrif qogʻozlari va kredit kartalari</v>
      </c>
      <c r="B101" s="35" t="s">
        <v>35</v>
      </c>
      <c r="C101" s="35" t="s">
        <v>3162</v>
      </c>
      <c r="D101" s="35" t="s">
        <v>3155</v>
      </c>
      <c r="E101" s="35" t="s">
        <v>3235</v>
      </c>
      <c r="F101" s="36">
        <v>0.3</v>
      </c>
      <c r="G101" s="31"/>
      <c r="H101" s="31"/>
      <c r="I101" s="31"/>
      <c r="J101" s="31"/>
      <c r="K101" s="31"/>
    </row>
    <row r="102" spans="1:11" ht="14.4" x14ac:dyDescent="0.3">
      <c r="A102" s="28" t="str">
        <f>B102&amp;C102&amp;D102&amp;E102</f>
        <v>AksessuarlarSayohat uchun aksessuarlarSayohat uchun toʻplamlarSayohat uchun toʻplamlar</v>
      </c>
      <c r="B102" s="35" t="s">
        <v>35</v>
      </c>
      <c r="C102" s="35" t="s">
        <v>3158</v>
      </c>
      <c r="D102" s="35" t="s">
        <v>3262</v>
      </c>
      <c r="E102" s="35" t="s">
        <v>3262</v>
      </c>
      <c r="F102" s="36">
        <v>0.3</v>
      </c>
      <c r="G102" s="31"/>
      <c r="H102" s="31"/>
      <c r="I102" s="31"/>
      <c r="J102" s="31"/>
      <c r="K102" s="31"/>
    </row>
    <row r="103" spans="1:11" ht="14.4" x14ac:dyDescent="0.3">
      <c r="A103" s="28" t="str">
        <f>B103&amp;C103&amp;D103&amp;E103</f>
        <v>AksessuarlarAyollar aksessuarlariBijuteriyalarBelgilar</v>
      </c>
      <c r="B103" s="35" t="s">
        <v>35</v>
      </c>
      <c r="C103" s="35" t="s">
        <v>3162</v>
      </c>
      <c r="D103" s="35" t="s">
        <v>3163</v>
      </c>
      <c r="E103" s="35" t="s">
        <v>3263</v>
      </c>
      <c r="F103" s="36">
        <v>0.3</v>
      </c>
      <c r="G103" s="31"/>
      <c r="H103" s="31"/>
      <c r="I103" s="31"/>
      <c r="J103" s="31"/>
      <c r="K103" s="31"/>
    </row>
    <row r="104" spans="1:11" ht="14.4" x14ac:dyDescent="0.3">
      <c r="A104" s="28" t="str">
        <f>B104&amp;C104&amp;D104&amp;E104</f>
        <v>AksessuarlarAyollar aksessuarlariBosh kiyimlarSalla</v>
      </c>
      <c r="B104" s="35" t="s">
        <v>35</v>
      </c>
      <c r="C104" s="35" t="s">
        <v>3162</v>
      </c>
      <c r="D104" s="35" t="s">
        <v>3176</v>
      </c>
      <c r="E104" s="35" t="s">
        <v>3264</v>
      </c>
      <c r="F104" s="36">
        <v>0.3</v>
      </c>
      <c r="G104" s="31"/>
      <c r="H104" s="31"/>
      <c r="I104" s="31"/>
      <c r="J104" s="31"/>
      <c r="K104" s="31"/>
    </row>
    <row r="105" spans="1:11" ht="14.4" x14ac:dyDescent="0.3">
      <c r="A105" s="28" t="str">
        <f>B105&amp;C105&amp;D105&amp;E105</f>
        <v>AksessuarlarAyollar aksessuarlariKamarlar, belbogʻlar va portupeilarKamarlar</v>
      </c>
      <c r="B105" s="35" t="s">
        <v>35</v>
      </c>
      <c r="C105" s="35" t="s">
        <v>3162</v>
      </c>
      <c r="D105" s="35" t="s">
        <v>3216</v>
      </c>
      <c r="E105" s="35" t="s">
        <v>3190</v>
      </c>
      <c r="F105" s="36">
        <v>0.3</v>
      </c>
      <c r="G105" s="31"/>
      <c r="H105" s="31"/>
      <c r="I105" s="31"/>
      <c r="J105" s="31"/>
      <c r="K105" s="31"/>
    </row>
    <row r="106" spans="1:11" ht="14.4" x14ac:dyDescent="0.3">
      <c r="A106" s="28" t="str">
        <f>B106&amp;C106&amp;D106&amp;E106</f>
        <v>AksessuarlarErkaklar aksessuarlariBoʻyinbogʻlar, kapalakchalar, roʻmolchalarRoʻmolchalar</v>
      </c>
      <c r="B106" s="35" t="s">
        <v>35</v>
      </c>
      <c r="C106" s="35" t="s">
        <v>3154</v>
      </c>
      <c r="D106" s="35" t="s">
        <v>3173</v>
      </c>
      <c r="E106" s="35" t="s">
        <v>3260</v>
      </c>
      <c r="F106" s="36">
        <v>0.3</v>
      </c>
      <c r="G106" s="31"/>
      <c r="H106" s="31"/>
      <c r="I106" s="31"/>
      <c r="J106" s="31"/>
      <c r="K106" s="31"/>
    </row>
    <row r="107" spans="1:11" ht="14.4" x14ac:dyDescent="0.3">
      <c r="A107" s="28" t="str">
        <f>B107&amp;C107&amp;D107&amp;E107</f>
        <v>AksessuarlarAyollar aksessuarlariZargarlik buyumlariSoatlar</v>
      </c>
      <c r="B107" s="35" t="s">
        <v>35</v>
      </c>
      <c r="C107" s="35" t="s">
        <v>3162</v>
      </c>
      <c r="D107" s="35" t="s">
        <v>3166</v>
      </c>
      <c r="E107" s="35" t="s">
        <v>3265</v>
      </c>
      <c r="F107" s="36">
        <v>0.3</v>
      </c>
      <c r="G107" s="31"/>
      <c r="H107" s="31"/>
      <c r="I107" s="31"/>
      <c r="J107" s="31"/>
      <c r="K107" s="31"/>
    </row>
    <row r="108" spans="1:11" ht="14.4" x14ac:dyDescent="0.3">
      <c r="A108" s="28" t="str">
        <f>B108&amp;C108&amp;D108&amp;E108</f>
        <v>AksessuarlarErkaklar aksessuarlariBosh kiyimlarQalpoqlar</v>
      </c>
      <c r="B108" s="35" t="s">
        <v>35</v>
      </c>
      <c r="C108" s="35" t="s">
        <v>3154</v>
      </c>
      <c r="D108" s="35" t="s">
        <v>3176</v>
      </c>
      <c r="E108" s="35" t="s">
        <v>3230</v>
      </c>
      <c r="F108" s="36">
        <v>0.3</v>
      </c>
      <c r="G108" s="31"/>
      <c r="H108" s="31"/>
      <c r="I108" s="31"/>
      <c r="J108" s="31"/>
      <c r="K108" s="31"/>
    </row>
    <row r="109" spans="1:11" ht="14.4" x14ac:dyDescent="0.3">
      <c r="A109" s="28" t="str">
        <f>B109&amp;C109&amp;D109&amp;E109</f>
        <v>AksessuarlarAyollar aksessuarlariKoʻzoynakImijli koʻzoynaklar</v>
      </c>
      <c r="B109" s="35" t="s">
        <v>35</v>
      </c>
      <c r="C109" s="35" t="s">
        <v>3162</v>
      </c>
      <c r="D109" s="35" t="s">
        <v>3181</v>
      </c>
      <c r="E109" s="35" t="s">
        <v>3266</v>
      </c>
      <c r="F109" s="36">
        <v>0.3</v>
      </c>
      <c r="G109" s="31"/>
      <c r="H109" s="31"/>
      <c r="I109" s="31"/>
      <c r="J109" s="31"/>
      <c r="K109" s="31"/>
    </row>
    <row r="110" spans="1:11" ht="14.4" x14ac:dyDescent="0.3">
      <c r="A110" s="28" t="str">
        <f>B110&amp;C110&amp;D110&amp;E110</f>
        <v>AksessuarlarAyollar aksessuarlariToʻy aksessuarlariToʻy bezaklari</v>
      </c>
      <c r="B110" s="35" t="s">
        <v>35</v>
      </c>
      <c r="C110" s="35" t="s">
        <v>3162</v>
      </c>
      <c r="D110" s="35" t="s">
        <v>3210</v>
      </c>
      <c r="E110" s="35" t="s">
        <v>3267</v>
      </c>
      <c r="F110" s="36">
        <v>0.3</v>
      </c>
      <c r="G110" s="31"/>
      <c r="H110" s="31"/>
      <c r="I110" s="31"/>
      <c r="J110" s="31"/>
      <c r="K110" s="31"/>
    </row>
    <row r="111" spans="1:11" ht="14.4" x14ac:dyDescent="0.3">
      <c r="A111" s="28" t="str">
        <f>B111&amp;C111&amp;D111&amp;E111</f>
        <v>AksessuarlarErkaklar aksessuarlariSumkalar va ryukzaklarBelga taqiladigan sumkalar</v>
      </c>
      <c r="B111" s="35" t="s">
        <v>35</v>
      </c>
      <c r="C111" s="35" t="s">
        <v>3154</v>
      </c>
      <c r="D111" s="35" t="s">
        <v>3191</v>
      </c>
      <c r="E111" s="35" t="s">
        <v>3268</v>
      </c>
      <c r="F111" s="36">
        <v>0.3</v>
      </c>
      <c r="G111" s="31"/>
      <c r="H111" s="31"/>
      <c r="I111" s="31"/>
      <c r="J111" s="31"/>
      <c r="K111" s="31"/>
    </row>
    <row r="112" spans="1:11" ht="14.4" x14ac:dyDescent="0.3">
      <c r="A112" s="28" t="str">
        <f>B112&amp;C112&amp;D112&amp;E112</f>
        <v>AksessuarlarErkaklar aksessuarlariSumkalar va ryukzaklarRyukzaklar</v>
      </c>
      <c r="B112" s="35" t="s">
        <v>35</v>
      </c>
      <c r="C112" s="35" t="s">
        <v>3154</v>
      </c>
      <c r="D112" s="35" t="s">
        <v>3191</v>
      </c>
      <c r="E112" s="35" t="s">
        <v>3192</v>
      </c>
      <c r="F112" s="36">
        <v>0.3</v>
      </c>
      <c r="G112" s="31"/>
      <c r="H112" s="31"/>
      <c r="I112" s="31"/>
      <c r="J112" s="31"/>
      <c r="K112" s="31"/>
    </row>
    <row r="113" spans="1:11" ht="14.4" x14ac:dyDescent="0.3">
      <c r="A113" s="28" t="str">
        <f>B113&amp;C113&amp;D113&amp;E113</f>
        <v>AksessuarlarAyollar aksessuarlariZargarlik buyumlariSharmlar</v>
      </c>
      <c r="B113" s="35" t="s">
        <v>35</v>
      </c>
      <c r="C113" s="35" t="s">
        <v>3162</v>
      </c>
      <c r="D113" s="35" t="s">
        <v>3166</v>
      </c>
      <c r="E113" s="35" t="s">
        <v>3269</v>
      </c>
      <c r="F113" s="36">
        <v>0.3</v>
      </c>
      <c r="G113" s="31"/>
      <c r="H113" s="31"/>
      <c r="I113" s="31"/>
      <c r="J113" s="31"/>
      <c r="K113" s="31"/>
    </row>
    <row r="114" spans="1:11" ht="14.4" x14ac:dyDescent="0.3">
      <c r="A114" s="28" t="str">
        <f>B114&amp;C114&amp;D114&amp;E114</f>
        <v>AksessuarlarAyollar aksessuarlariBosh kiyimlarBeretlar</v>
      </c>
      <c r="B114" s="35" t="s">
        <v>35</v>
      </c>
      <c r="C114" s="35" t="s">
        <v>3162</v>
      </c>
      <c r="D114" s="35" t="s">
        <v>3176</v>
      </c>
      <c r="E114" s="35" t="s">
        <v>3270</v>
      </c>
      <c r="F114" s="36">
        <v>0.3</v>
      </c>
      <c r="G114" s="31"/>
      <c r="H114" s="31"/>
      <c r="I114" s="31"/>
      <c r="J114" s="31"/>
      <c r="K114" s="31"/>
    </row>
    <row r="115" spans="1:11" ht="14.4" x14ac:dyDescent="0.3">
      <c r="A115" s="28" t="str">
        <f>B115&amp;C115&amp;D115&amp;E115</f>
        <v>AksessuarlarAyollar aksessuarlariBosh kiyimlarBogʻichlar</v>
      </c>
      <c r="B115" s="35" t="s">
        <v>35</v>
      </c>
      <c r="C115" s="35" t="s">
        <v>3162</v>
      </c>
      <c r="D115" s="35" t="s">
        <v>3176</v>
      </c>
      <c r="E115" s="35" t="s">
        <v>3271</v>
      </c>
      <c r="F115" s="36">
        <v>0.3</v>
      </c>
      <c r="G115" s="31"/>
      <c r="H115" s="31"/>
      <c r="I115" s="31"/>
      <c r="J115" s="31"/>
      <c r="K115" s="31"/>
    </row>
    <row r="116" spans="1:11" ht="14.4" x14ac:dyDescent="0.3">
      <c r="A116" s="28" t="str">
        <f>B116&amp;C116&amp;D116&amp;E116</f>
        <v>AksessuarlarAyollar aksessuarlariSumkalar va ryukzaklarSumkalar</v>
      </c>
      <c r="B116" s="35" t="s">
        <v>35</v>
      </c>
      <c r="C116" s="35" t="s">
        <v>3162</v>
      </c>
      <c r="D116" s="35" t="s">
        <v>3191</v>
      </c>
      <c r="E116" s="35" t="s">
        <v>3213</v>
      </c>
      <c r="F116" s="36">
        <v>0.3</v>
      </c>
      <c r="G116" s="31"/>
      <c r="H116" s="31"/>
      <c r="I116" s="31"/>
      <c r="J116" s="31"/>
      <c r="K116" s="31"/>
    </row>
    <row r="117" spans="1:11" ht="14.4" x14ac:dyDescent="0.3">
      <c r="A117" s="28" t="str">
        <f>B117&amp;C117&amp;D117&amp;E117</f>
        <v>AksessuarlarAyollar aksessuarlariBijuteriyalarTaqinchoqlar toʻplami</v>
      </c>
      <c r="B117" s="35" t="s">
        <v>35</v>
      </c>
      <c r="C117" s="35" t="s">
        <v>3162</v>
      </c>
      <c r="D117" s="35" t="s">
        <v>3163</v>
      </c>
      <c r="E117" s="35" t="s">
        <v>3256</v>
      </c>
      <c r="F117" s="36">
        <v>0.3</v>
      </c>
      <c r="G117" s="31"/>
      <c r="H117" s="31"/>
      <c r="I117" s="31"/>
      <c r="J117" s="31"/>
      <c r="K117" s="31"/>
    </row>
    <row r="118" spans="1:11" ht="14.4" x14ac:dyDescent="0.3">
      <c r="A118" s="28" t="str">
        <f>B118&amp;C118&amp;D118&amp;E118</f>
        <v>AksessuarlarAyollar aksessuarlariZargarlik buyumlariZiraklar</v>
      </c>
      <c r="B118" s="35" t="s">
        <v>35</v>
      </c>
      <c r="C118" s="35" t="s">
        <v>3162</v>
      </c>
      <c r="D118" s="35" t="s">
        <v>3166</v>
      </c>
      <c r="E118" s="35" t="s">
        <v>3207</v>
      </c>
      <c r="F118" s="36">
        <v>0.3</v>
      </c>
      <c r="G118" s="31"/>
      <c r="H118" s="31"/>
      <c r="I118" s="31"/>
      <c r="J118" s="31"/>
      <c r="K118" s="31"/>
    </row>
    <row r="119" spans="1:11" ht="14.4" x14ac:dyDescent="0.3">
      <c r="A119" s="28" t="str">
        <f>B119&amp;C119&amp;D119&amp;E119</f>
        <v>AksessuarlarAyollar aksessuarlariSumkalar va ryukzaklarBelga taqiladigan sumkalar</v>
      </c>
      <c r="B119" s="35" t="s">
        <v>35</v>
      </c>
      <c r="C119" s="35" t="s">
        <v>3162</v>
      </c>
      <c r="D119" s="35" t="s">
        <v>3191</v>
      </c>
      <c r="E119" s="35" t="s">
        <v>3268</v>
      </c>
      <c r="F119" s="36">
        <v>0.3</v>
      </c>
      <c r="G119" s="31"/>
      <c r="H119" s="31"/>
      <c r="I119" s="31"/>
      <c r="J119" s="31"/>
      <c r="K119" s="31"/>
    </row>
    <row r="120" spans="1:11" ht="14.4" x14ac:dyDescent="0.3">
      <c r="A120" s="28" t="str">
        <f>B120&amp;C120&amp;D120&amp;E120</f>
        <v>AksessuarlarErkaklar aksessuarlariKoʻzoynakKoʻzoynak uchun qutilar va gʻiloflar</v>
      </c>
      <c r="B120" s="35" t="s">
        <v>35</v>
      </c>
      <c r="C120" s="35" t="s">
        <v>3154</v>
      </c>
      <c r="D120" s="35" t="s">
        <v>3181</v>
      </c>
      <c r="E120" s="35" t="s">
        <v>3200</v>
      </c>
      <c r="F120" s="36">
        <v>0.3</v>
      </c>
      <c r="G120" s="31"/>
      <c r="H120" s="31"/>
      <c r="I120" s="31"/>
      <c r="J120" s="31"/>
      <c r="K120" s="31"/>
    </row>
    <row r="121" spans="1:11" ht="14.4" x14ac:dyDescent="0.3">
      <c r="A121" s="28" t="str">
        <f>B121&amp;C121&amp;D121&amp;E121</f>
        <v>AksessuarlarErkaklar aksessuarlariSoyabonlarSoyabonlar</v>
      </c>
      <c r="B121" s="35" t="s">
        <v>35</v>
      </c>
      <c r="C121" s="35" t="s">
        <v>3154</v>
      </c>
      <c r="D121" s="35" t="s">
        <v>3244</v>
      </c>
      <c r="E121" s="35" t="s">
        <v>3244</v>
      </c>
      <c r="F121" s="36">
        <v>0.3</v>
      </c>
      <c r="G121" s="31"/>
      <c r="H121" s="31"/>
      <c r="I121" s="31"/>
      <c r="J121" s="31"/>
      <c r="K121" s="31"/>
    </row>
    <row r="122" spans="1:11" ht="14.4" x14ac:dyDescent="0.3">
      <c r="A122" s="28" t="str">
        <f>B122&amp;C122&amp;D122&amp;E122</f>
        <v>AksessuarlarErkaklar aksessuarlariHamyonlar, kalit solgichlar va tashrif qogʻozi uchun karmonchalarKalit solgichlar</v>
      </c>
      <c r="B122" s="35" t="s">
        <v>35</v>
      </c>
      <c r="C122" s="35" t="s">
        <v>3154</v>
      </c>
      <c r="D122" s="35" t="s">
        <v>3155</v>
      </c>
      <c r="E122" s="35" t="s">
        <v>3236</v>
      </c>
      <c r="F122" s="36">
        <v>0.3</v>
      </c>
      <c r="G122" s="31"/>
      <c r="H122" s="31"/>
      <c r="I122" s="31"/>
      <c r="J122" s="31"/>
      <c r="K122" s="31"/>
    </row>
    <row r="123" spans="1:11" ht="14.4" x14ac:dyDescent="0.3">
      <c r="A123" s="28" t="str">
        <f>B123&amp;C123&amp;D123&amp;E123</f>
        <v>AksessuarlarErkaklar aksessuarlariSumkalar va ryukzaklarPortfellar</v>
      </c>
      <c r="B123" s="35" t="s">
        <v>35</v>
      </c>
      <c r="C123" s="35" t="s">
        <v>3154</v>
      </c>
      <c r="D123" s="35" t="s">
        <v>3191</v>
      </c>
      <c r="E123" s="35" t="s">
        <v>3272</v>
      </c>
      <c r="F123" s="36">
        <v>0.3</v>
      </c>
      <c r="G123" s="31"/>
      <c r="H123" s="31"/>
      <c r="I123" s="31"/>
      <c r="J123" s="31"/>
      <c r="K123" s="31"/>
    </row>
    <row r="124" spans="1:11" ht="14.4" x14ac:dyDescent="0.3">
      <c r="A124" s="28" t="str">
        <f>B124&amp;C124&amp;D124&amp;E124</f>
        <v>AksessuarlarAyollar aksessuarlariZargarlik buyumlariUzuklar</v>
      </c>
      <c r="B124" s="35" t="s">
        <v>35</v>
      </c>
      <c r="C124" s="35" t="s">
        <v>3162</v>
      </c>
      <c r="D124" s="35" t="s">
        <v>3166</v>
      </c>
      <c r="E124" s="35" t="s">
        <v>36</v>
      </c>
      <c r="F124" s="36">
        <v>0.3</v>
      </c>
      <c r="G124" s="31"/>
      <c r="H124" s="31"/>
      <c r="I124" s="31"/>
      <c r="J124" s="31"/>
      <c r="K124" s="31"/>
    </row>
    <row r="125" spans="1:11" ht="14.4" x14ac:dyDescent="0.3">
      <c r="A125" s="28" t="str">
        <f>B125&amp;C125&amp;D125&amp;E125</f>
        <v>AksessuarlarErkaklar aksessuarlariQayishlar va osma kamarlarPryajkalar</v>
      </c>
      <c r="B125" s="35" t="s">
        <v>35</v>
      </c>
      <c r="C125" s="35" t="s">
        <v>3154</v>
      </c>
      <c r="D125" s="35" t="s">
        <v>3189</v>
      </c>
      <c r="E125" s="35" t="s">
        <v>3273</v>
      </c>
      <c r="F125" s="36">
        <v>0.3</v>
      </c>
      <c r="G125" s="31"/>
      <c r="H125" s="31"/>
      <c r="I125" s="31"/>
      <c r="J125" s="31"/>
      <c r="K125" s="31"/>
    </row>
    <row r="126" spans="1:11" ht="14.4" x14ac:dyDescent="0.3">
      <c r="A126" s="28" t="str">
        <f>B126&amp;C126&amp;D126&amp;E126</f>
        <v>AksessuarlarErkaklar aksessuarlariKoʻzoynakKoʻzoynak uchun aksessuarlar</v>
      </c>
      <c r="B126" s="35" t="s">
        <v>35</v>
      </c>
      <c r="C126" s="35" t="s">
        <v>3154</v>
      </c>
      <c r="D126" s="35" t="s">
        <v>3181</v>
      </c>
      <c r="E126" s="35" t="s">
        <v>3182</v>
      </c>
      <c r="F126" s="36">
        <v>0.3</v>
      </c>
      <c r="G126" s="31"/>
      <c r="H126" s="31"/>
      <c r="I126" s="31"/>
      <c r="J126" s="31"/>
      <c r="K126" s="31"/>
    </row>
    <row r="127" spans="1:11" ht="14.4" x14ac:dyDescent="0.3">
      <c r="A127" s="28" t="str">
        <f>B127&amp;C127&amp;D127&amp;E127</f>
        <v>AksessuarlarErkaklar aksessuarlariSoatlar va qayishlarSoatlar uchun qayishlar, toʻgʻnagʻichlar</v>
      </c>
      <c r="B127" s="35" t="s">
        <v>35</v>
      </c>
      <c r="C127" s="35" t="s">
        <v>3154</v>
      </c>
      <c r="D127" s="35" t="s">
        <v>3231</v>
      </c>
      <c r="E127" s="35" t="s">
        <v>3274</v>
      </c>
      <c r="F127" s="36">
        <v>0.3</v>
      </c>
      <c r="G127" s="31"/>
      <c r="H127" s="31"/>
      <c r="I127" s="31"/>
      <c r="J127" s="31"/>
      <c r="K127" s="31"/>
    </row>
    <row r="128" spans="1:11" ht="14.4" x14ac:dyDescent="0.3">
      <c r="A128" s="28" t="str">
        <f>B128&amp;C128&amp;D128&amp;E128</f>
        <v>AvtotovarlarShinalar va disklarShina va disklarni parvarish qilishShina va disklarni parvarish qilish</v>
      </c>
      <c r="B128" s="35" t="s">
        <v>39</v>
      </c>
      <c r="C128" s="35" t="s">
        <v>3275</v>
      </c>
      <c r="D128" s="35" t="s">
        <v>3276</v>
      </c>
      <c r="E128" s="35" t="s">
        <v>3276</v>
      </c>
      <c r="F128" s="36">
        <v>0.3</v>
      </c>
      <c r="G128" s="31"/>
      <c r="H128" s="31"/>
      <c r="I128" s="31"/>
      <c r="J128" s="31"/>
      <c r="K128" s="31"/>
    </row>
    <row r="129" spans="1:11" ht="14.4" x14ac:dyDescent="0.3">
      <c r="A129" s="28" t="str">
        <f>B129&amp;C129&amp;D129&amp;E129</f>
        <v>AvtotovarlarShinalar va disklarGʻildirak qoplamalariGʻildirak qoplamalari</v>
      </c>
      <c r="B129" s="35" t="s">
        <v>39</v>
      </c>
      <c r="C129" s="35" t="s">
        <v>3275</v>
      </c>
      <c r="D129" s="35" t="s">
        <v>3277</v>
      </c>
      <c r="E129" s="35" t="s">
        <v>3277</v>
      </c>
      <c r="F129" s="36">
        <v>0.3</v>
      </c>
      <c r="G129" s="31"/>
      <c r="H129" s="31"/>
      <c r="I129" s="31"/>
      <c r="J129" s="31"/>
      <c r="K129" s="31"/>
    </row>
    <row r="130" spans="1:11" ht="14.4" x14ac:dyDescent="0.3">
      <c r="A130" s="28" t="str">
        <f>B130&amp;C130&amp;D130&amp;E130</f>
        <v>AvtotovarlarShinalar va disklarNippellar, ventillar va sekretkalarNippellar, ventillar va sekretkalar</v>
      </c>
      <c r="B130" s="35" t="s">
        <v>39</v>
      </c>
      <c r="C130" s="35" t="s">
        <v>3275</v>
      </c>
      <c r="D130" s="35" t="s">
        <v>3278</v>
      </c>
      <c r="E130" s="35" t="s">
        <v>3278</v>
      </c>
      <c r="F130" s="36">
        <v>0.3</v>
      </c>
      <c r="G130" s="31"/>
      <c r="H130" s="31"/>
      <c r="I130" s="31"/>
      <c r="J130" s="31"/>
      <c r="K130" s="31"/>
    </row>
    <row r="131" spans="1:11" ht="14.4" x14ac:dyDescent="0.3">
      <c r="A131" s="28" t="str">
        <f>B131&amp;C131&amp;D131&amp;E131</f>
        <v>AvtotovarlarShinalar va disklarFlipperlar va emblemalarFlipperlar va emblemalar</v>
      </c>
      <c r="B131" s="35" t="s">
        <v>39</v>
      </c>
      <c r="C131" s="35" t="s">
        <v>3275</v>
      </c>
      <c r="D131" s="35" t="s">
        <v>3279</v>
      </c>
      <c r="E131" s="35" t="s">
        <v>3279</v>
      </c>
      <c r="F131" s="36">
        <v>0.3</v>
      </c>
      <c r="G131" s="31"/>
      <c r="H131" s="31"/>
      <c r="I131" s="31"/>
      <c r="J131" s="31"/>
      <c r="K131" s="31"/>
    </row>
    <row r="132" spans="1:11" ht="14.4" x14ac:dyDescent="0.3">
      <c r="A132" s="28" t="str">
        <f>B132&amp;C132&amp;D132&amp;E132</f>
        <v>Bolalar tovarlariDam olish va oʻyin-kulgiFokuslarFokuslar</v>
      </c>
      <c r="B132" s="35" t="s">
        <v>3153</v>
      </c>
      <c r="C132" s="35" t="s">
        <v>3280</v>
      </c>
      <c r="D132" s="35" t="s">
        <v>3281</v>
      </c>
      <c r="E132" s="35" t="s">
        <v>3281</v>
      </c>
      <c r="F132" s="36">
        <v>0.3</v>
      </c>
      <c r="G132" s="31"/>
      <c r="H132" s="31"/>
      <c r="I132" s="31"/>
      <c r="J132" s="31"/>
      <c r="K132" s="31"/>
    </row>
    <row r="133" spans="1:11" ht="14.4" x14ac:dyDescent="0.3">
      <c r="A133" s="28" t="str">
        <f>B133&amp;C133&amp;D133&amp;E133</f>
        <v>Bolalar tovarlariOvqatlantirish uchun tovarlarNiblerlarNiblerlar</v>
      </c>
      <c r="B133" s="35" t="s">
        <v>3153</v>
      </c>
      <c r="C133" s="35" t="s">
        <v>3282</v>
      </c>
      <c r="D133" s="35" t="s">
        <v>3283</v>
      </c>
      <c r="E133" s="35" t="s">
        <v>3283</v>
      </c>
      <c r="F133" s="36">
        <v>0.3</v>
      </c>
      <c r="G133" s="31"/>
      <c r="H133" s="31"/>
      <c r="I133" s="31"/>
      <c r="J133" s="31"/>
      <c r="K133" s="31"/>
    </row>
    <row r="134" spans="1:11" ht="14.4" x14ac:dyDescent="0.3">
      <c r="A134" s="28" t="str">
        <f>B134&amp;C134&amp;D134&amp;E134</f>
        <v>Bolalar tovarlariDam olish va oʻyin-kulgiLepkaLepka uchun xamir</v>
      </c>
      <c r="B134" s="35" t="s">
        <v>3153</v>
      </c>
      <c r="C134" s="35" t="s">
        <v>3280</v>
      </c>
      <c r="D134" s="35" t="s">
        <v>3284</v>
      </c>
      <c r="E134" s="35" t="s">
        <v>3285</v>
      </c>
      <c r="F134" s="36">
        <v>0.3</v>
      </c>
      <c r="G134" s="31"/>
      <c r="H134" s="31"/>
      <c r="I134" s="31"/>
      <c r="J134" s="31"/>
      <c r="K134" s="31"/>
    </row>
    <row r="135" spans="1:11" ht="14.4" x14ac:dyDescent="0.3">
      <c r="A135" s="28" t="str">
        <f>B135&amp;C135&amp;D135&amp;E135</f>
        <v>Bolalar tovarlariDam olish va oʻyin-kulgiLepkaPlastilin</v>
      </c>
      <c r="B135" s="35" t="s">
        <v>3153</v>
      </c>
      <c r="C135" s="35" t="s">
        <v>3280</v>
      </c>
      <c r="D135" s="35" t="s">
        <v>3284</v>
      </c>
      <c r="E135" s="35" t="s">
        <v>3286</v>
      </c>
      <c r="F135" s="36">
        <v>0.3</v>
      </c>
      <c r="G135" s="31"/>
      <c r="H135" s="31"/>
      <c r="I135" s="31"/>
      <c r="J135" s="31"/>
      <c r="K135" s="31"/>
    </row>
    <row r="136" spans="1:11" ht="14.4" x14ac:dyDescent="0.3">
      <c r="A136" s="28" t="str">
        <f>B136&amp;C136&amp;D136&amp;E136</f>
        <v>Bolalar tovarlariBolalar xonasiHimoya va xavfsizlikNakladkalar va burchak uchun qopqoqlar va rozetkalar</v>
      </c>
      <c r="B136" s="35" t="s">
        <v>3153</v>
      </c>
      <c r="C136" s="35" t="s">
        <v>3287</v>
      </c>
      <c r="D136" s="35" t="s">
        <v>3288</v>
      </c>
      <c r="E136" s="35" t="s">
        <v>3289</v>
      </c>
      <c r="F136" s="36">
        <v>0.3</v>
      </c>
      <c r="G136" s="31"/>
      <c r="H136" s="31"/>
      <c r="I136" s="31"/>
      <c r="J136" s="31"/>
      <c r="K136" s="31"/>
    </row>
    <row r="137" spans="1:11" ht="14.4" x14ac:dyDescent="0.3">
      <c r="A137" s="28" t="str">
        <f>B137&amp;C137&amp;D137&amp;E137</f>
        <v>Bolalar tovarlariGigiyena va tagliklarChoʻmilish va parvarishChoʻmilish uchun oʻyinchoqlar</v>
      </c>
      <c r="B137" s="35" t="s">
        <v>3153</v>
      </c>
      <c r="C137" s="35" t="s">
        <v>3290</v>
      </c>
      <c r="D137" s="35" t="s">
        <v>3291</v>
      </c>
      <c r="E137" s="35" t="s">
        <v>3292</v>
      </c>
      <c r="F137" s="36">
        <v>0.3</v>
      </c>
      <c r="G137" s="31"/>
      <c r="H137" s="31"/>
      <c r="I137" s="31"/>
      <c r="J137" s="31"/>
      <c r="K137" s="31"/>
    </row>
    <row r="138" spans="1:11" ht="14.4" x14ac:dyDescent="0.3">
      <c r="A138" s="28" t="str">
        <f>B138&amp;C138&amp;D138&amp;E138</f>
        <v>Dacha, bogʻ va tomorqaDacha va bogʻlarni dekorativ parvarishlashChivinlarga qarshi toʻrlarChivinlarga qarshi toʻrlar</v>
      </c>
      <c r="B138" s="35" t="s">
        <v>3157</v>
      </c>
      <c r="C138" s="35" t="s">
        <v>3293</v>
      </c>
      <c r="D138" s="35" t="s">
        <v>3294</v>
      </c>
      <c r="E138" s="35" t="s">
        <v>3294</v>
      </c>
      <c r="F138" s="36">
        <v>0.3</v>
      </c>
      <c r="G138" s="31"/>
      <c r="H138" s="31"/>
      <c r="I138" s="31"/>
      <c r="J138" s="31"/>
      <c r="K138" s="31"/>
    </row>
    <row r="139" spans="1:11" ht="14.4" x14ac:dyDescent="0.3">
      <c r="A139" s="28" t="str">
        <f>B139&amp;C139&amp;D139&amp;E139</f>
        <v>Dacha, bogʻ va tomorqaDacha va bogʻlarni dekorativ parvarishlashBiotualetlar, septiklar va aksessuarlarBiotualetlar, septiklar va aksessuarlar</v>
      </c>
      <c r="B139" s="35" t="s">
        <v>3157</v>
      </c>
      <c r="C139" s="35" t="s">
        <v>3293</v>
      </c>
      <c r="D139" s="35" t="s">
        <v>3295</v>
      </c>
      <c r="E139" s="37" t="s">
        <v>3295</v>
      </c>
      <c r="F139" s="36">
        <v>0.3</v>
      </c>
      <c r="G139" s="31"/>
      <c r="H139" s="31"/>
      <c r="I139" s="31"/>
      <c r="J139" s="31"/>
      <c r="K139" s="31"/>
    </row>
    <row r="140" spans="1:11" ht="14.4" x14ac:dyDescent="0.3">
      <c r="A140" s="28" t="str">
        <f>B140&amp;C140&amp;D140&amp;E140</f>
        <v>Dacha, bogʻ va tomorqaBogʻ asboblariAksessuarlar va sarflov materiallariBogʻ ishlari uchun gilamlar va tizzaliklar</v>
      </c>
      <c r="B140" s="35" t="s">
        <v>3157</v>
      </c>
      <c r="C140" s="35" t="s">
        <v>3296</v>
      </c>
      <c r="D140" s="35" t="s">
        <v>3297</v>
      </c>
      <c r="E140" s="35" t="s">
        <v>3298</v>
      </c>
      <c r="F140" s="36">
        <v>0.3</v>
      </c>
      <c r="G140" s="31"/>
      <c r="H140" s="31"/>
      <c r="I140" s="31"/>
      <c r="J140" s="31"/>
      <c r="K140" s="31"/>
    </row>
    <row r="141" spans="1:11" ht="14.4" x14ac:dyDescent="0.3">
      <c r="A141" s="28" t="str">
        <f>B141&amp;C141&amp;D141&amp;E141</f>
        <v>Dacha, bogʻ va tomorqaDacha va bogʻlarni dekorativ parvarishlashBogʻ tunchiroqlariBogʻ tunchiroqlari</v>
      </c>
      <c r="B141" s="35" t="s">
        <v>3157</v>
      </c>
      <c r="C141" s="35" t="s">
        <v>3293</v>
      </c>
      <c r="D141" s="35" t="s">
        <v>3299</v>
      </c>
      <c r="E141" s="35" t="s">
        <v>3299</v>
      </c>
      <c r="F141" s="36">
        <v>0.3</v>
      </c>
      <c r="G141" s="31"/>
      <c r="H141" s="31"/>
      <c r="I141" s="31"/>
      <c r="J141" s="31"/>
      <c r="K141" s="31"/>
    </row>
    <row r="142" spans="1:11" ht="14.4" x14ac:dyDescent="0.3">
      <c r="A142" s="28" t="str">
        <f>B142&amp;C142&amp;D142&amp;E142</f>
        <v>ElektronikaOfis texnikasiOfis jihozlariShtrix-kod skanerlari</v>
      </c>
      <c r="B142" s="35" t="s">
        <v>3161</v>
      </c>
      <c r="C142" s="35" t="s">
        <v>3300</v>
      </c>
      <c r="D142" s="35" t="s">
        <v>3301</v>
      </c>
      <c r="E142" s="35" t="s">
        <v>3302</v>
      </c>
      <c r="F142" s="36">
        <v>0.3</v>
      </c>
      <c r="G142" s="31"/>
      <c r="H142" s="31"/>
      <c r="I142" s="31"/>
      <c r="J142" s="31"/>
      <c r="K142" s="31"/>
    </row>
    <row r="143" spans="1:11" ht="14.4" x14ac:dyDescent="0.3">
      <c r="A143" s="28" t="str">
        <f>B143&amp;C143&amp;D143&amp;E143</f>
        <v>ElektronikaSmartfonlar va telefonlarSmartfonlar uchun aksessuarlarKabel va adapterlar telefonlar uchun</v>
      </c>
      <c r="B143" s="35" t="s">
        <v>3161</v>
      </c>
      <c r="C143" s="35" t="s">
        <v>3303</v>
      </c>
      <c r="D143" s="35" t="s">
        <v>3304</v>
      </c>
      <c r="E143" s="35" t="s">
        <v>3305</v>
      </c>
      <c r="F143" s="36">
        <v>0.3</v>
      </c>
      <c r="G143" s="31"/>
      <c r="H143" s="31"/>
      <c r="I143" s="31"/>
      <c r="J143" s="31"/>
      <c r="K143" s="31"/>
    </row>
    <row r="144" spans="1:11" ht="14.4" x14ac:dyDescent="0.3">
      <c r="A144" s="28" t="str">
        <f>B144&amp;C144&amp;D144&amp;E144</f>
        <v>ElektronikaQuloqchinlar va audio texnikalarQuloqchinlarBluetooth-garnituralar</v>
      </c>
      <c r="B144" s="35" t="s">
        <v>3161</v>
      </c>
      <c r="C144" s="35" t="s">
        <v>3306</v>
      </c>
      <c r="D144" s="35" t="s">
        <v>3259</v>
      </c>
      <c r="E144" s="35" t="s">
        <v>3307</v>
      </c>
      <c r="F144" s="36">
        <v>0.3</v>
      </c>
      <c r="G144" s="31"/>
      <c r="H144" s="31"/>
      <c r="I144" s="31"/>
      <c r="J144" s="31"/>
      <c r="K144" s="31"/>
    </row>
    <row r="145" spans="1:11" ht="14.4" x14ac:dyDescent="0.3">
      <c r="A145" s="28" t="str">
        <f>B145&amp;C145&amp;D145&amp;E145</f>
        <v>ElektronikaNoutbuklar, planshetlar va elektron kitoblarNoutbuk uchun aksessuarlarNoutbuklar uchun tagkursilar</v>
      </c>
      <c r="B145" s="35" t="s">
        <v>3161</v>
      </c>
      <c r="C145" s="35" t="s">
        <v>3308</v>
      </c>
      <c r="D145" s="35" t="s">
        <v>3309</v>
      </c>
      <c r="E145" s="35" t="s">
        <v>3310</v>
      </c>
      <c r="F145" s="36">
        <v>0.3</v>
      </c>
      <c r="G145" s="31"/>
      <c r="H145" s="31"/>
      <c r="I145" s="31"/>
      <c r="J145" s="31"/>
      <c r="K145" s="31"/>
    </row>
    <row r="146" spans="1:11" ht="14.4" x14ac:dyDescent="0.3">
      <c r="A146" s="28" t="str">
        <f>B146&amp;C146&amp;D146&amp;E146</f>
        <v>ElektronikaKompyuter texnikasiMaʼlumotlarni saqlashOptika tovarlari va aksessuarlari</v>
      </c>
      <c r="B146" s="35" t="s">
        <v>3161</v>
      </c>
      <c r="C146" s="35" t="s">
        <v>3311</v>
      </c>
      <c r="D146" s="35" t="s">
        <v>3312</v>
      </c>
      <c r="E146" s="35" t="s">
        <v>3313</v>
      </c>
      <c r="F146" s="36">
        <v>0.3</v>
      </c>
      <c r="G146" s="31"/>
      <c r="H146" s="31"/>
      <c r="I146" s="31"/>
      <c r="J146" s="31"/>
      <c r="K146" s="31"/>
    </row>
    <row r="147" spans="1:11" ht="14.4" x14ac:dyDescent="0.3">
      <c r="A147" s="28" t="str">
        <f>B147&amp;C147&amp;D147&amp;E147</f>
        <v>ElektronikaNoutbuklar, planshetlar va elektron kitoblarNoutbuk uchun aksessuarlarNoutbuk uchun sumkalar va ryukzaklar</v>
      </c>
      <c r="B147" s="35" t="s">
        <v>3161</v>
      </c>
      <c r="C147" s="35" t="s">
        <v>3308</v>
      </c>
      <c r="D147" s="35" t="s">
        <v>3309</v>
      </c>
      <c r="E147" s="35" t="s">
        <v>3314</v>
      </c>
      <c r="F147" s="36">
        <v>0.3</v>
      </c>
      <c r="G147" s="31"/>
      <c r="H147" s="31"/>
      <c r="I147" s="31"/>
      <c r="J147" s="31"/>
      <c r="K147" s="31"/>
    </row>
    <row r="148" spans="1:11" ht="14.4" x14ac:dyDescent="0.3">
      <c r="A148" s="28" t="str">
        <f>B148&amp;C148&amp;D148&amp;E148</f>
        <v>ElektronikaOfis texnikasiOfis jihozlari uchun butlovchi qismlarFotobarabanlar</v>
      </c>
      <c r="B148" s="35" t="s">
        <v>3161</v>
      </c>
      <c r="C148" s="35" t="s">
        <v>3300</v>
      </c>
      <c r="D148" s="35" t="s">
        <v>3315</v>
      </c>
      <c r="E148" s="35" t="s">
        <v>3316</v>
      </c>
      <c r="F148" s="36">
        <v>0.3</v>
      </c>
      <c r="G148" s="31"/>
      <c r="H148" s="31"/>
      <c r="I148" s="31"/>
      <c r="J148" s="31"/>
      <c r="K148" s="31"/>
    </row>
    <row r="149" spans="1:11" ht="14.4" x14ac:dyDescent="0.3">
      <c r="A149" s="28" t="str">
        <f>B149&amp;C149&amp;D149&amp;E149</f>
        <v>ElektronikaElektronikalar uchun aksessuarlarKabellar uchun organayzerlarKabellar uchun organayzerlar</v>
      </c>
      <c r="B149" s="35" t="s">
        <v>3161</v>
      </c>
      <c r="C149" s="35" t="s">
        <v>3317</v>
      </c>
      <c r="D149" s="35" t="s">
        <v>3318</v>
      </c>
      <c r="E149" s="35" t="s">
        <v>3318</v>
      </c>
      <c r="F149" s="36">
        <v>0.3</v>
      </c>
      <c r="G149" s="31"/>
      <c r="H149" s="31"/>
      <c r="I149" s="31"/>
      <c r="J149" s="31"/>
      <c r="K149" s="31"/>
    </row>
    <row r="150" spans="1:11" ht="14.4" x14ac:dyDescent="0.3">
      <c r="A150" s="28" t="str">
        <f>B150&amp;C150&amp;D150&amp;E150</f>
        <v>ElektronikaElektronikalar uchun aksessuarlarKabellar uchun tutqichlarKabellar uchun tutqichlar</v>
      </c>
      <c r="B150" s="35" t="s">
        <v>3161</v>
      </c>
      <c r="C150" s="35" t="s">
        <v>3317</v>
      </c>
      <c r="D150" s="35" t="s">
        <v>3319</v>
      </c>
      <c r="E150" s="35" t="s">
        <v>3319</v>
      </c>
      <c r="F150" s="36">
        <v>0.3</v>
      </c>
      <c r="G150" s="31"/>
      <c r="H150" s="31"/>
      <c r="I150" s="31"/>
      <c r="J150" s="31"/>
      <c r="K150" s="31"/>
    </row>
    <row r="151" spans="1:11" ht="14.4" x14ac:dyDescent="0.3">
      <c r="A151" s="28" t="str">
        <f>B151&amp;C151&amp;D151&amp;E151</f>
        <v>ElektronikaKvadrokopterlar va aksessuarlarKvadrokopterlar uchun aksessuarlarKvadrokopterlar uchun aksessuarlar</v>
      </c>
      <c r="B151" s="35" t="s">
        <v>3161</v>
      </c>
      <c r="C151" s="35" t="s">
        <v>3320</v>
      </c>
      <c r="D151" s="35" t="s">
        <v>3321</v>
      </c>
      <c r="E151" s="35" t="s">
        <v>3321</v>
      </c>
      <c r="F151" s="36">
        <v>0.3</v>
      </c>
      <c r="G151" s="31"/>
      <c r="H151" s="31"/>
      <c r="I151" s="31"/>
      <c r="J151" s="31"/>
      <c r="K151" s="31"/>
    </row>
    <row r="152" spans="1:11" ht="14.4" x14ac:dyDescent="0.3">
      <c r="A152" s="28" t="str">
        <f>B152&amp;C152&amp;D152&amp;E152</f>
        <v>ElektronikaElektronikalar uchun aksessuarlarKuchlanishni oʻzgartirgichlarKuchlanishni oʻzgartirgichlar</v>
      </c>
      <c r="B152" s="35" t="s">
        <v>3161</v>
      </c>
      <c r="C152" s="35" t="s">
        <v>3317</v>
      </c>
      <c r="D152" s="35" t="s">
        <v>3322</v>
      </c>
      <c r="E152" s="35" t="s">
        <v>3322</v>
      </c>
      <c r="F152" s="36">
        <v>0.3</v>
      </c>
      <c r="G152" s="31"/>
      <c r="H152" s="31"/>
      <c r="I152" s="31"/>
      <c r="J152" s="31"/>
      <c r="K152" s="31"/>
    </row>
    <row r="153" spans="1:11" ht="14.4" x14ac:dyDescent="0.3">
      <c r="A153" s="28" t="str">
        <f>B153&amp;C153&amp;D153&amp;E153</f>
        <v>ElektronikaSmartfonlar va telefonlarSmartfonlar uchun aksessuarlarTagkursi va tutqichlar</v>
      </c>
      <c r="B153" s="35" t="s">
        <v>3161</v>
      </c>
      <c r="C153" s="35" t="s">
        <v>3303</v>
      </c>
      <c r="D153" s="35" t="s">
        <v>3304</v>
      </c>
      <c r="E153" s="35" t="s">
        <v>3323</v>
      </c>
      <c r="F153" s="36">
        <v>0.3</v>
      </c>
      <c r="G153" s="31"/>
      <c r="H153" s="31"/>
      <c r="I153" s="31"/>
      <c r="J153" s="31"/>
      <c r="K153" s="31"/>
    </row>
    <row r="154" spans="1:11" ht="14.4" x14ac:dyDescent="0.3">
      <c r="A154" s="28" t="str">
        <f>B154&amp;C154&amp;D154&amp;E154</f>
        <v>ElektronikaOfis texnikasiOfis jihozlari uchun butlovchi qismlarKartrijlar</v>
      </c>
      <c r="B154" s="35" t="s">
        <v>3161</v>
      </c>
      <c r="C154" s="35" t="s">
        <v>3300</v>
      </c>
      <c r="D154" s="35" t="s">
        <v>3315</v>
      </c>
      <c r="E154" s="35" t="s">
        <v>3324</v>
      </c>
      <c r="F154" s="36">
        <v>0.3</v>
      </c>
      <c r="G154" s="31"/>
      <c r="H154" s="31"/>
      <c r="I154" s="31"/>
      <c r="J154" s="31"/>
      <c r="K154" s="31"/>
    </row>
    <row r="155" spans="1:11" ht="14.4" x14ac:dyDescent="0.3">
      <c r="A155" s="28" t="str">
        <f>B155&amp;C155&amp;D155&amp;E155</f>
        <v>ElektronikaOfis texnikasiOfis jihozlari uchun butlovchi qismlarSiyoh</v>
      </c>
      <c r="B155" s="35" t="s">
        <v>3161</v>
      </c>
      <c r="C155" s="35" t="s">
        <v>3300</v>
      </c>
      <c r="D155" s="35" t="s">
        <v>3315</v>
      </c>
      <c r="E155" s="35" t="s">
        <v>3325</v>
      </c>
      <c r="F155" s="36">
        <v>0.3</v>
      </c>
      <c r="G155" s="31"/>
      <c r="H155" s="31"/>
      <c r="I155" s="31"/>
      <c r="J155" s="31"/>
      <c r="K155" s="31"/>
    </row>
    <row r="156" spans="1:11" ht="14.4" x14ac:dyDescent="0.3">
      <c r="A156" s="28" t="str">
        <f>B156&amp;C156&amp;D156&amp;E156</f>
        <v>ElektronikaNavigatorlarGPS-trekerlar va GPS-mayoqlarGPS-trekerlar va GPS-mayoqlar</v>
      </c>
      <c r="B156" s="35" t="s">
        <v>3161</v>
      </c>
      <c r="C156" s="35" t="s">
        <v>3326</v>
      </c>
      <c r="D156" s="35" t="s">
        <v>3327</v>
      </c>
      <c r="E156" s="35" t="s">
        <v>3327</v>
      </c>
      <c r="F156" s="36">
        <v>0.3</v>
      </c>
      <c r="G156" s="31"/>
      <c r="H156" s="31"/>
      <c r="I156" s="31"/>
      <c r="J156" s="31"/>
      <c r="K156" s="31"/>
    </row>
    <row r="157" spans="1:11" ht="14.4" x14ac:dyDescent="0.3">
      <c r="A157" s="28" t="str">
        <f>B157&amp;C157&amp;D157&amp;E157</f>
        <v>ElektronikaTelevizorlar va videotexnikalarProyektorlar va aksessuarlarMahkamlagichlar</v>
      </c>
      <c r="B157" s="35" t="s">
        <v>3161</v>
      </c>
      <c r="C157" s="35" t="s">
        <v>3328</v>
      </c>
      <c r="D157" s="35" t="s">
        <v>3329</v>
      </c>
      <c r="E157" s="35" t="s">
        <v>3330</v>
      </c>
      <c r="F157" s="36">
        <v>0.3</v>
      </c>
      <c r="G157" s="31"/>
      <c r="H157" s="31"/>
      <c r="I157" s="31"/>
      <c r="J157" s="31"/>
      <c r="K157" s="31"/>
    </row>
    <row r="158" spans="1:11" ht="14.4" x14ac:dyDescent="0.3">
      <c r="A158" s="28" t="str">
        <f>B158&amp;C158&amp;D158&amp;E158</f>
        <v>ElektronikaTelevizorlar va videotexnikalarKabellar va adapterlarVideo kabellar</v>
      </c>
      <c r="B158" s="35" t="s">
        <v>3161</v>
      </c>
      <c r="C158" s="35" t="s">
        <v>3328</v>
      </c>
      <c r="D158" s="35" t="s">
        <v>3331</v>
      </c>
      <c r="E158" s="35" t="s">
        <v>3332</v>
      </c>
      <c r="F158" s="36">
        <v>0.3</v>
      </c>
      <c r="G158" s="31"/>
      <c r="H158" s="31"/>
      <c r="I158" s="31"/>
      <c r="J158" s="31"/>
      <c r="K158" s="31"/>
    </row>
    <row r="159" spans="1:11" ht="14.4" x14ac:dyDescent="0.3">
      <c r="A159" s="28" t="str">
        <f>B159&amp;C159&amp;D159&amp;E159</f>
        <v>ElektronikaSmartfonlar va telefonlarSmartfonlar uchun aksessuarlarAksessuarlar to'plami</v>
      </c>
      <c r="B159" s="35" t="s">
        <v>3161</v>
      </c>
      <c r="C159" s="35" t="s">
        <v>3303</v>
      </c>
      <c r="D159" s="35" t="s">
        <v>3304</v>
      </c>
      <c r="E159" s="35" t="s">
        <v>3333</v>
      </c>
      <c r="F159" s="36">
        <v>0.3</v>
      </c>
      <c r="G159" s="31"/>
      <c r="H159" s="31"/>
      <c r="I159" s="31"/>
      <c r="J159" s="31"/>
      <c r="K159" s="31"/>
    </row>
    <row r="160" spans="1:11" ht="14.4" x14ac:dyDescent="0.3">
      <c r="A160" s="28" t="str">
        <f>B160&amp;C160&amp;D160&amp;E160</f>
        <v>ElektronikaSmartfonlar va telefonlarSmartfonlar uchun aksessuarlarTelefon uchun stiluslar</v>
      </c>
      <c r="B160" s="35" t="s">
        <v>3161</v>
      </c>
      <c r="C160" s="35" t="s">
        <v>3303</v>
      </c>
      <c r="D160" s="35" t="s">
        <v>3304</v>
      </c>
      <c r="E160" s="35" t="s">
        <v>3334</v>
      </c>
      <c r="F160" s="36">
        <v>0.3</v>
      </c>
      <c r="G160" s="31"/>
      <c r="H160" s="31"/>
      <c r="I160" s="31"/>
      <c r="J160" s="31"/>
      <c r="K160" s="31"/>
    </row>
    <row r="161" spans="1:11" ht="14.4" x14ac:dyDescent="0.3">
      <c r="A161" s="28" t="str">
        <f>B161&amp;C161&amp;D161&amp;E161</f>
        <v>ElektronikaElektronikalar uchun aksessuarlarTarmoqlagichlarTarmoqlagichlar</v>
      </c>
      <c r="B161" s="35" t="s">
        <v>3161</v>
      </c>
      <c r="C161" s="35" t="s">
        <v>3317</v>
      </c>
      <c r="D161" s="35" t="s">
        <v>3335</v>
      </c>
      <c r="E161" s="35" t="s">
        <v>3335</v>
      </c>
      <c r="F161" s="36">
        <v>0.3</v>
      </c>
      <c r="G161" s="31"/>
      <c r="H161" s="31"/>
      <c r="I161" s="31"/>
      <c r="J161" s="31"/>
      <c r="K161" s="31"/>
    </row>
    <row r="162" spans="1:11" ht="14.4" x14ac:dyDescent="0.3">
      <c r="A162" s="28" t="str">
        <f>B162&amp;C162&amp;D162&amp;E162</f>
        <v>ElektronikaAqlli soatlar va fitnes bilaguzuklarSoatlar va fitnes bilaguzuklar uchun himoyaShisha</v>
      </c>
      <c r="B162" s="35" t="s">
        <v>3161</v>
      </c>
      <c r="C162" s="35" t="s">
        <v>3336</v>
      </c>
      <c r="D162" s="35" t="s">
        <v>3337</v>
      </c>
      <c r="E162" s="35" t="s">
        <v>3338</v>
      </c>
      <c r="F162" s="36">
        <v>0.3</v>
      </c>
      <c r="G162" s="31"/>
      <c r="H162" s="31"/>
      <c r="I162" s="31"/>
      <c r="J162" s="31"/>
      <c r="K162" s="31"/>
    </row>
    <row r="163" spans="1:11" ht="14.4" x14ac:dyDescent="0.3">
      <c r="A163" s="28" t="str">
        <f>B163&amp;C163&amp;D163&amp;E163</f>
        <v>ElektronikaSmartfonlar va telefonlarSmartfonlar uchun aksessuarlarBluetooth-teglar, kalit zanjirlar va smart kartalar</v>
      </c>
      <c r="B163" s="35" t="s">
        <v>3161</v>
      </c>
      <c r="C163" s="35" t="s">
        <v>3303</v>
      </c>
      <c r="D163" s="35" t="s">
        <v>3304</v>
      </c>
      <c r="E163" s="35" t="s">
        <v>3339</v>
      </c>
      <c r="F163" s="36">
        <v>0.3</v>
      </c>
      <c r="G163" s="31"/>
      <c r="H163" s="31"/>
      <c r="I163" s="31"/>
      <c r="J163" s="31"/>
      <c r="K163" s="31"/>
    </row>
    <row r="164" spans="1:11" ht="14.4" x14ac:dyDescent="0.3">
      <c r="A164" s="28" t="str">
        <f>B164&amp;C164&amp;D164&amp;E164</f>
        <v>ElektronikaOfis texnikasiOfis jihozlari uchun butlovchi qismlarTonerlar</v>
      </c>
      <c r="B164" s="35" t="s">
        <v>3161</v>
      </c>
      <c r="C164" s="35" t="s">
        <v>3300</v>
      </c>
      <c r="D164" s="35" t="s">
        <v>3315</v>
      </c>
      <c r="E164" s="35" t="s">
        <v>3340</v>
      </c>
      <c r="F164" s="36">
        <v>0.3</v>
      </c>
      <c r="G164" s="31"/>
      <c r="H164" s="31"/>
      <c r="I164" s="31"/>
      <c r="J164" s="31"/>
      <c r="K164" s="31"/>
    </row>
    <row r="165" spans="1:11" ht="14.4" x14ac:dyDescent="0.3">
      <c r="A165" s="28" t="str">
        <f>B165&amp;C165&amp;D165&amp;E165</f>
        <v>ElektronikaSmartfonlar va telefonlarSmartfonlar uchun aksessuarlarJoystiklar va triggerlar smartfonlar uchun</v>
      </c>
      <c r="B165" s="35" t="s">
        <v>3161</v>
      </c>
      <c r="C165" s="35" t="s">
        <v>3303</v>
      </c>
      <c r="D165" s="35" t="s">
        <v>3304</v>
      </c>
      <c r="E165" s="35" t="s">
        <v>3341</v>
      </c>
      <c r="F165" s="36">
        <v>0.3</v>
      </c>
      <c r="G165" s="31"/>
      <c r="H165" s="31"/>
      <c r="I165" s="31"/>
      <c r="J165" s="31"/>
      <c r="K165" s="31"/>
    </row>
    <row r="166" spans="1:11" ht="14.4" x14ac:dyDescent="0.3">
      <c r="A166" s="28" t="str">
        <f>B166&amp;C166&amp;D166&amp;E166</f>
        <v>ElektronikaNoutbuklar, planshetlar va elektron kitoblarNoutbuk uchun aksessuarlarKlaviatura himoyachilari va stikerlari</v>
      </c>
      <c r="B166" s="35" t="s">
        <v>3161</v>
      </c>
      <c r="C166" s="35" t="s">
        <v>3308</v>
      </c>
      <c r="D166" s="35" t="s">
        <v>3309</v>
      </c>
      <c r="E166" s="35" t="s">
        <v>3342</v>
      </c>
      <c r="F166" s="36">
        <v>0.3</v>
      </c>
      <c r="G166" s="31"/>
      <c r="H166" s="31"/>
      <c r="I166" s="31"/>
      <c r="J166" s="31"/>
      <c r="K166" s="31"/>
    </row>
    <row r="167" spans="1:11" ht="14.4" x14ac:dyDescent="0.3">
      <c r="A167" s="28" t="str">
        <f>B167&amp;C167&amp;D167&amp;E167</f>
        <v>ElektronikaSmartfonlar va telefonlarEhtiyot qismlar va ta'mirlashTa'mirlash uchun asboblar</v>
      </c>
      <c r="B167" s="35" t="s">
        <v>3161</v>
      </c>
      <c r="C167" s="35" t="s">
        <v>3303</v>
      </c>
      <c r="D167" s="35" t="s">
        <v>3343</v>
      </c>
      <c r="E167" s="35" t="s">
        <v>3344</v>
      </c>
      <c r="F167" s="36">
        <v>0.3</v>
      </c>
      <c r="G167" s="31"/>
      <c r="H167" s="31"/>
      <c r="I167" s="31"/>
      <c r="J167" s="31"/>
      <c r="K167" s="31"/>
    </row>
    <row r="168" spans="1:11" ht="14.4" x14ac:dyDescent="0.3">
      <c r="A168" s="28" t="str">
        <f>B168&amp;C168&amp;D168&amp;E168</f>
        <v>ElektronikaTelevizorlar va videotexnikalarKabellar va adapterlarVideo uchun adapterlar</v>
      </c>
      <c r="B168" s="35" t="s">
        <v>3161</v>
      </c>
      <c r="C168" s="35" t="s">
        <v>3328</v>
      </c>
      <c r="D168" s="35" t="s">
        <v>3331</v>
      </c>
      <c r="E168" s="35" t="s">
        <v>3345</v>
      </c>
      <c r="F168" s="36">
        <v>0.3</v>
      </c>
      <c r="G168" s="31"/>
      <c r="H168" s="31"/>
      <c r="I168" s="31"/>
      <c r="J168" s="31"/>
      <c r="K168" s="31"/>
    </row>
    <row r="169" spans="1:11" ht="14.4" x14ac:dyDescent="0.3">
      <c r="A169" s="28" t="str">
        <f>B169&amp;C169&amp;D169&amp;E169</f>
        <v>ElektronikaElektronikalar uchun aksessuarlarAkkumulyator batareyalarAkkumulyator batareyalar</v>
      </c>
      <c r="B169" s="35" t="s">
        <v>3161</v>
      </c>
      <c r="C169" s="35" t="s">
        <v>3317</v>
      </c>
      <c r="D169" s="35" t="s">
        <v>3346</v>
      </c>
      <c r="E169" s="35" t="s">
        <v>3346</v>
      </c>
      <c r="F169" s="36">
        <v>0.3</v>
      </c>
      <c r="G169" s="31"/>
      <c r="H169" s="31"/>
      <c r="I169" s="31"/>
      <c r="J169" s="31"/>
      <c r="K169" s="31"/>
    </row>
    <row r="170" spans="1:11" ht="14.4" x14ac:dyDescent="0.3">
      <c r="A170" s="28" t="str">
        <f>B170&amp;C170&amp;D170&amp;E170</f>
        <v>ElektronikaFoto va video texnikaFoto va video kameralar uchun aksessuarlarGʻiloflar va keyslar</v>
      </c>
      <c r="B170" s="35" t="s">
        <v>3161</v>
      </c>
      <c r="C170" s="35" t="s">
        <v>3347</v>
      </c>
      <c r="D170" s="35" t="s">
        <v>3348</v>
      </c>
      <c r="E170" s="35" t="s">
        <v>3349</v>
      </c>
      <c r="F170" s="36">
        <v>0.3</v>
      </c>
      <c r="G170" s="31"/>
      <c r="H170" s="31"/>
      <c r="I170" s="31"/>
      <c r="J170" s="31"/>
      <c r="K170" s="31"/>
    </row>
    <row r="171" spans="1:11" ht="14.4" x14ac:dyDescent="0.3">
      <c r="A171" s="28" t="str">
        <f>B171&amp;C171&amp;D171&amp;E171</f>
        <v>ElektronikaElektronikalar uchun aksessuarlarKonnektorlarKonnektorlar</v>
      </c>
      <c r="B171" s="35" t="s">
        <v>3161</v>
      </c>
      <c r="C171" s="35" t="s">
        <v>3317</v>
      </c>
      <c r="D171" s="35" t="s">
        <v>3350</v>
      </c>
      <c r="E171" s="35" t="s">
        <v>3350</v>
      </c>
      <c r="F171" s="36">
        <v>0.3</v>
      </c>
      <c r="G171" s="31"/>
      <c r="H171" s="31"/>
      <c r="I171" s="31"/>
      <c r="J171" s="31"/>
      <c r="K171" s="31"/>
    </row>
    <row r="172" spans="1:11" ht="14.4" x14ac:dyDescent="0.3">
      <c r="A172" s="28" t="str">
        <f>B172&amp;C172&amp;D172&amp;E172</f>
        <v>ElektronikaQuloqchinlar va audio texnikalarProigrivatel uchun aksessuarlarDJ-uskuna</v>
      </c>
      <c r="B172" s="35" t="s">
        <v>3161</v>
      </c>
      <c r="C172" s="35" t="s">
        <v>3306</v>
      </c>
      <c r="D172" s="35" t="s">
        <v>3351</v>
      </c>
      <c r="E172" s="35" t="s">
        <v>3352</v>
      </c>
      <c r="F172" s="36">
        <v>0.3</v>
      </c>
      <c r="G172" s="31"/>
      <c r="H172" s="31"/>
      <c r="I172" s="31"/>
      <c r="J172" s="31"/>
      <c r="K172" s="31"/>
    </row>
    <row r="173" spans="1:11" ht="14.4" x14ac:dyDescent="0.3">
      <c r="A173" s="28" t="str">
        <f>B173&amp;C173&amp;D173&amp;E173</f>
        <v>ElektronikaSmartfonlar va telefonlarEhtiyot qismlar va ta'mirlashSmartfonlar uchun ehtiyot qismlar</v>
      </c>
      <c r="B173" s="35" t="s">
        <v>3161</v>
      </c>
      <c r="C173" s="35" t="s">
        <v>3303</v>
      </c>
      <c r="D173" s="35" t="s">
        <v>3343</v>
      </c>
      <c r="E173" s="35" t="s">
        <v>3353</v>
      </c>
      <c r="F173" s="36">
        <v>0.3</v>
      </c>
      <c r="G173" s="31"/>
      <c r="H173" s="31"/>
      <c r="I173" s="31"/>
      <c r="J173" s="31"/>
      <c r="K173" s="31"/>
    </row>
    <row r="174" spans="1:11" ht="14.4" x14ac:dyDescent="0.3">
      <c r="A174" s="28" t="str">
        <f>B174&amp;C174&amp;D174&amp;E174</f>
        <v>ElektronikaKompyuter texnikasiKompyuter aksessuarlariSichqoncha uchun gilamchalar</v>
      </c>
      <c r="B174" s="35" t="s">
        <v>3161</v>
      </c>
      <c r="C174" s="35" t="s">
        <v>3311</v>
      </c>
      <c r="D174" s="35" t="s">
        <v>3354</v>
      </c>
      <c r="E174" s="35" t="s">
        <v>3355</v>
      </c>
      <c r="F174" s="36">
        <v>0.3</v>
      </c>
      <c r="G174" s="31"/>
      <c r="H174" s="31"/>
      <c r="I174" s="31"/>
      <c r="J174" s="31"/>
      <c r="K174" s="31"/>
    </row>
    <row r="175" spans="1:11" ht="14.4" x14ac:dyDescent="0.3">
      <c r="A175" s="28" t="str">
        <f>B175&amp;C175&amp;D175&amp;E175</f>
        <v>ElektronikaOfis texnikasiOfis jihozlariLaminatorlar va buklet yasash uskunalari</v>
      </c>
      <c r="B175" s="35" t="s">
        <v>3161</v>
      </c>
      <c r="C175" s="35" t="s">
        <v>3300</v>
      </c>
      <c r="D175" s="35" t="s">
        <v>3301</v>
      </c>
      <c r="E175" s="35" t="s">
        <v>3356</v>
      </c>
      <c r="F175" s="36">
        <v>0.3</v>
      </c>
      <c r="G175" s="31"/>
      <c r="H175" s="31"/>
      <c r="I175" s="31"/>
      <c r="J175" s="31"/>
      <c r="K175" s="31"/>
    </row>
    <row r="176" spans="1:11" ht="14.4" x14ac:dyDescent="0.3">
      <c r="A176" s="28" t="str">
        <f>B176&amp;C176&amp;D176&amp;E176</f>
        <v>ElektronikaAqlli soatlar va fitnes bilaguzuklarQayishlarQayishlar</v>
      </c>
      <c r="B176" s="35" t="s">
        <v>3161</v>
      </c>
      <c r="C176" s="35" t="s">
        <v>3336</v>
      </c>
      <c r="D176" s="35" t="s">
        <v>3357</v>
      </c>
      <c r="E176" s="35" t="s">
        <v>3357</v>
      </c>
      <c r="F176" s="36">
        <v>0.3</v>
      </c>
      <c r="G176" s="31"/>
      <c r="H176" s="31"/>
      <c r="I176" s="31"/>
      <c r="J176" s="31"/>
      <c r="K176" s="31"/>
    </row>
    <row r="177" spans="1:11" ht="14.4" x14ac:dyDescent="0.3">
      <c r="A177" s="28" t="str">
        <f>B177&amp;C177&amp;D177&amp;E177</f>
        <v>ElektronikaSmartfonlar va telefonlarKnopkali telefonlarKnopkali telefonlar</v>
      </c>
      <c r="B177" s="35" t="s">
        <v>3161</v>
      </c>
      <c r="C177" s="35" t="s">
        <v>3303</v>
      </c>
      <c r="D177" s="35" t="s">
        <v>3358</v>
      </c>
      <c r="E177" s="35" t="s">
        <v>3358</v>
      </c>
      <c r="F177" s="36">
        <v>0.3</v>
      </c>
      <c r="G177" s="31"/>
      <c r="H177" s="31"/>
      <c r="I177" s="31"/>
      <c r="J177" s="31"/>
      <c r="K177" s="31"/>
    </row>
    <row r="178" spans="1:11" ht="14.4" x14ac:dyDescent="0.3">
      <c r="A178" s="28" t="str">
        <f>B178&amp;C178&amp;D178&amp;E178</f>
        <v>ElektronikaNoutbuklar, planshetlar va elektron kitoblarNoutbuk uchun aksessuarlarNoutbuklar uchun zaryadlash qurilmalari</v>
      </c>
      <c r="B178" s="35" t="s">
        <v>3161</v>
      </c>
      <c r="C178" s="35" t="s">
        <v>3308</v>
      </c>
      <c r="D178" s="35" t="s">
        <v>3309</v>
      </c>
      <c r="E178" s="35" t="s">
        <v>3359</v>
      </c>
      <c r="F178" s="36">
        <v>0.3</v>
      </c>
      <c r="G178" s="31"/>
      <c r="H178" s="31"/>
      <c r="I178" s="31"/>
      <c r="J178" s="31"/>
      <c r="K178" s="31"/>
    </row>
    <row r="179" spans="1:11" ht="14.4" x14ac:dyDescent="0.3">
      <c r="A179" s="28" t="str">
        <f>B179&amp;C179&amp;D179&amp;E179</f>
        <v>ElektronikaOʻyin pristavkalariOʻyin pristavkalari uchun aksessuarlar va ehtiyot qismlarO'yin konsollari uchun ehtiyot qismlar</v>
      </c>
      <c r="B179" s="35" t="s">
        <v>3161</v>
      </c>
      <c r="C179" s="35" t="s">
        <v>3360</v>
      </c>
      <c r="D179" s="35" t="s">
        <v>3361</v>
      </c>
      <c r="E179" s="35" t="s">
        <v>3362</v>
      </c>
      <c r="F179" s="36">
        <v>0.3</v>
      </c>
      <c r="G179" s="31"/>
      <c r="H179" s="31"/>
      <c r="I179" s="31"/>
      <c r="J179" s="31"/>
      <c r="K179" s="31"/>
    </row>
    <row r="180" spans="1:11" ht="14.4" x14ac:dyDescent="0.3">
      <c r="A180" s="28" t="str">
        <f>B180&amp;C180&amp;D180&amp;E180</f>
        <v>ElektronikaSmartfonlar va telefonlarEhtiyot qismlar va ta'mirlashAkkumulyatorlar</v>
      </c>
      <c r="B180" s="35" t="s">
        <v>3161</v>
      </c>
      <c r="C180" s="35" t="s">
        <v>3303</v>
      </c>
      <c r="D180" s="35" t="s">
        <v>3343</v>
      </c>
      <c r="E180" s="35" t="s">
        <v>3363</v>
      </c>
      <c r="F180" s="36">
        <v>0.3</v>
      </c>
      <c r="G180" s="31"/>
      <c r="H180" s="31"/>
      <c r="I180" s="31"/>
      <c r="J180" s="31"/>
      <c r="K180" s="31"/>
    </row>
    <row r="181" spans="1:11" ht="14.4" x14ac:dyDescent="0.3">
      <c r="A181" s="28" t="str">
        <f>B181&amp;C181&amp;D181&amp;E181</f>
        <v>ElektronikaElektronikalar uchun aksessuarlarUSB hablarUSB hablar</v>
      </c>
      <c r="B181" s="35" t="s">
        <v>3161</v>
      </c>
      <c r="C181" s="35" t="s">
        <v>3317</v>
      </c>
      <c r="D181" s="35" t="s">
        <v>3364</v>
      </c>
      <c r="E181" s="35" t="s">
        <v>3364</v>
      </c>
      <c r="F181" s="36">
        <v>0.3</v>
      </c>
      <c r="G181" s="31"/>
      <c r="H181" s="31"/>
      <c r="I181" s="31"/>
      <c r="J181" s="31"/>
      <c r="K181" s="31"/>
    </row>
    <row r="182" spans="1:11" ht="14.4" x14ac:dyDescent="0.3">
      <c r="A182" s="28" t="str">
        <f>B182&amp;C182&amp;D182&amp;E182</f>
        <v>ElektronikaAqlli soatlar va fitnes bilaguzuklarSoatlar va fitnes bilaguzuklar uchun himoyaQoplamalar</v>
      </c>
      <c r="B182" s="35" t="s">
        <v>3161</v>
      </c>
      <c r="C182" s="35" t="s">
        <v>3336</v>
      </c>
      <c r="D182" s="35" t="s">
        <v>3337</v>
      </c>
      <c r="E182" s="35" t="s">
        <v>3365</v>
      </c>
      <c r="F182" s="36">
        <v>0.3</v>
      </c>
      <c r="G182" s="31"/>
      <c r="H182" s="31"/>
      <c r="I182" s="31"/>
      <c r="J182" s="31"/>
      <c r="K182" s="31"/>
    </row>
    <row r="183" spans="1:11" ht="14.4" x14ac:dyDescent="0.3">
      <c r="A183" s="28" t="str">
        <f>B183&amp;C183&amp;D183&amp;E183</f>
        <v>ElektronikaTelevizorlar va videotexnikalarKabellar va adapterlarAntenna kabellari va adapterlari</v>
      </c>
      <c r="B183" s="35" t="s">
        <v>3161</v>
      </c>
      <c r="C183" s="35" t="s">
        <v>3328</v>
      </c>
      <c r="D183" s="35" t="s">
        <v>3331</v>
      </c>
      <c r="E183" s="35" t="s">
        <v>3366</v>
      </c>
      <c r="F183" s="36">
        <v>0.3</v>
      </c>
      <c r="G183" s="31"/>
      <c r="H183" s="31"/>
      <c r="I183" s="31"/>
      <c r="J183" s="31"/>
      <c r="K183" s="31"/>
    </row>
    <row r="184" spans="1:11" ht="14.4" x14ac:dyDescent="0.3">
      <c r="A184" s="28" t="str">
        <f>B184&amp;C184&amp;D184&amp;E184</f>
        <v>ElektronikaElektronikalar uchun aksessuarlarDok-stansiyalarDok-stansiyalar</v>
      </c>
      <c r="B184" s="35" t="s">
        <v>3161</v>
      </c>
      <c r="C184" s="35" t="s">
        <v>3317</v>
      </c>
      <c r="D184" s="35" t="s">
        <v>3367</v>
      </c>
      <c r="E184" s="35" t="s">
        <v>3367</v>
      </c>
      <c r="F184" s="36">
        <v>0.3</v>
      </c>
      <c r="G184" s="31"/>
      <c r="H184" s="31"/>
      <c r="I184" s="31"/>
      <c r="J184" s="31"/>
      <c r="K184" s="31"/>
    </row>
    <row r="185" spans="1:11" ht="14.4" x14ac:dyDescent="0.3">
      <c r="A185" s="28" t="str">
        <f>B185&amp;C185&amp;D185&amp;E185</f>
        <v>ElektronikaElektronikalar uchun aksessuarlarUzaytirgichlarUzaytirgichlar</v>
      </c>
      <c r="B185" s="35" t="s">
        <v>3161</v>
      </c>
      <c r="C185" s="35" t="s">
        <v>3317</v>
      </c>
      <c r="D185" s="35" t="s">
        <v>3368</v>
      </c>
      <c r="E185" s="35" t="s">
        <v>3368</v>
      </c>
      <c r="F185" s="36">
        <v>0.3</v>
      </c>
      <c r="G185" s="31"/>
      <c r="H185" s="31"/>
      <c r="I185" s="31"/>
      <c r="J185" s="31"/>
      <c r="K185" s="31"/>
    </row>
    <row r="186" spans="1:11" ht="14.4" x14ac:dyDescent="0.3">
      <c r="A186" s="28" t="str">
        <f>B186&amp;C186&amp;D186&amp;E186</f>
        <v>ElektronikaSmartfonlar va telefonlarSmartfonlar uchun aksessuarlarTelefon nakleykalari</v>
      </c>
      <c r="B186" s="35" t="s">
        <v>3161</v>
      </c>
      <c r="C186" s="35" t="s">
        <v>3303</v>
      </c>
      <c r="D186" s="35" t="s">
        <v>3304</v>
      </c>
      <c r="E186" s="35" t="s">
        <v>3369</v>
      </c>
      <c r="F186" s="36">
        <v>0.3</v>
      </c>
      <c r="G186" s="31"/>
      <c r="H186" s="31"/>
      <c r="I186" s="31"/>
      <c r="J186" s="31"/>
      <c r="K186" s="31"/>
    </row>
    <row r="187" spans="1:11" ht="14.4" x14ac:dyDescent="0.3">
      <c r="A187" s="28" t="str">
        <f>B187&amp;C187&amp;D187&amp;E187</f>
        <v>ElektronikaTelevizorlar va videotexnikalarKabellar va adapterlarAudio kabellar</v>
      </c>
      <c r="B187" s="35" t="s">
        <v>3161</v>
      </c>
      <c r="C187" s="35" t="s">
        <v>3328</v>
      </c>
      <c r="D187" s="35" t="s">
        <v>3331</v>
      </c>
      <c r="E187" s="35" t="s">
        <v>3370</v>
      </c>
      <c r="F187" s="36">
        <v>0.3</v>
      </c>
      <c r="G187" s="31"/>
      <c r="H187" s="31"/>
      <c r="I187" s="31"/>
      <c r="J187" s="31"/>
      <c r="K187" s="31"/>
    </row>
    <row r="188" spans="1:11" ht="14.4" x14ac:dyDescent="0.3">
      <c r="A188" s="28" t="str">
        <f>B188&amp;C188&amp;D188&amp;E188</f>
        <v>ElektronikaSmartfonlar va telefonlarSmartfonlar uchun aksessuarlarBogʻichlar</v>
      </c>
      <c r="B188" s="35" t="s">
        <v>3161</v>
      </c>
      <c r="C188" s="35" t="s">
        <v>3303</v>
      </c>
      <c r="D188" s="35" t="s">
        <v>3304</v>
      </c>
      <c r="E188" s="35" t="s">
        <v>3271</v>
      </c>
      <c r="F188" s="36">
        <v>0.3</v>
      </c>
      <c r="G188" s="31"/>
      <c r="H188" s="31"/>
      <c r="I188" s="31"/>
      <c r="J188" s="31"/>
      <c r="K188" s="31"/>
    </row>
    <row r="189" spans="1:11" ht="14.4" x14ac:dyDescent="0.3">
      <c r="A189" s="28" t="str">
        <f>B189&amp;C189&amp;D189&amp;E189</f>
        <v>ElektronikaElektronikalar uchun aksessuarlarTarmoq filtrlariTarmoq filtrlari</v>
      </c>
      <c r="B189" s="35" t="s">
        <v>3161</v>
      </c>
      <c r="C189" s="35" t="s">
        <v>3317</v>
      </c>
      <c r="D189" s="35" t="s">
        <v>3371</v>
      </c>
      <c r="E189" s="35" t="s">
        <v>3371</v>
      </c>
      <c r="F189" s="36">
        <v>0.3</v>
      </c>
      <c r="G189" s="31"/>
      <c r="H189" s="31"/>
      <c r="I189" s="31"/>
      <c r="J189" s="31"/>
      <c r="K189" s="31"/>
    </row>
    <row r="190" spans="1:11" ht="14.4" x14ac:dyDescent="0.3">
      <c r="A190" s="28" t="str">
        <f>B190&amp;C190&amp;D190&amp;E190</f>
        <v>ElektronikaKompyuter texnikasiMaʼlumotlarni saqlashKartriderlar</v>
      </c>
      <c r="B190" s="35" t="s">
        <v>3161</v>
      </c>
      <c r="C190" s="35" t="s">
        <v>3311</v>
      </c>
      <c r="D190" s="35" t="s">
        <v>3312</v>
      </c>
      <c r="E190" s="35" t="s">
        <v>3372</v>
      </c>
      <c r="F190" s="36">
        <v>0.3</v>
      </c>
      <c r="G190" s="31"/>
      <c r="H190" s="31"/>
      <c r="I190" s="31"/>
      <c r="J190" s="31"/>
      <c r="K190" s="31"/>
    </row>
    <row r="191" spans="1:11" ht="14.4" x14ac:dyDescent="0.3">
      <c r="A191" s="28" t="str">
        <f>B191&amp;C191&amp;D191&amp;E191</f>
        <v>ElektronikaQuloqchinlar va audio texnikalarPeriferiya va aksessuarlarVibratsiyaga qarshi tagliklar</v>
      </c>
      <c r="B191" s="35" t="s">
        <v>3161</v>
      </c>
      <c r="C191" s="35" t="s">
        <v>3306</v>
      </c>
      <c r="D191" s="35" t="s">
        <v>3373</v>
      </c>
      <c r="E191" s="35" t="s">
        <v>3374</v>
      </c>
      <c r="F191" s="36">
        <v>0.3</v>
      </c>
      <c r="G191" s="31"/>
      <c r="H191" s="31"/>
      <c r="I191" s="31"/>
      <c r="J191" s="31"/>
      <c r="K191" s="31"/>
    </row>
    <row r="192" spans="1:11" ht="14.4" x14ac:dyDescent="0.3">
      <c r="A192" s="28" t="str">
        <f>B192&amp;C192&amp;D192&amp;E192</f>
        <v>ElektronikaQuloqchinlar va audio texnikalarPeriferiya va aksessuarlarResiverlar</v>
      </c>
      <c r="B192" s="35" t="s">
        <v>3161</v>
      </c>
      <c r="C192" s="35" t="s">
        <v>3306</v>
      </c>
      <c r="D192" s="35" t="s">
        <v>3373</v>
      </c>
      <c r="E192" s="35" t="s">
        <v>3375</v>
      </c>
      <c r="F192" s="36">
        <v>0.3</v>
      </c>
      <c r="G192" s="31"/>
      <c r="H192" s="31"/>
      <c r="I192" s="31"/>
      <c r="J192" s="31"/>
      <c r="K192" s="31"/>
    </row>
    <row r="193" spans="1:11" ht="14.4" x14ac:dyDescent="0.3">
      <c r="A193" s="28" t="str">
        <f>B193&amp;C193&amp;D193&amp;E193</f>
        <v>ElektronikaElektronikalar uchun aksessuarlarQuyosh panellari va batareyalariQuyosh panellari va batareyalari</v>
      </c>
      <c r="B193" s="35" t="s">
        <v>3161</v>
      </c>
      <c r="C193" s="35" t="s">
        <v>3317</v>
      </c>
      <c r="D193" s="35" t="s">
        <v>3376</v>
      </c>
      <c r="E193" s="35" t="s">
        <v>3376</v>
      </c>
      <c r="F193" s="36">
        <v>0.3</v>
      </c>
      <c r="G193" s="31"/>
      <c r="H193" s="31"/>
      <c r="I193" s="31"/>
      <c r="J193" s="31"/>
      <c r="K193" s="31"/>
    </row>
    <row r="194" spans="1:11" ht="14.4" x14ac:dyDescent="0.3">
      <c r="A194" s="28" t="str">
        <f>B194&amp;C194&amp;D194&amp;E194</f>
        <v>ElektronikaOfis texnikasiAksessuarlar va ofis jihozlari parvarishiOfis jihozlari uchun ehtiyot qismlar va aksessuarlar</v>
      </c>
      <c r="B194" s="35" t="s">
        <v>3161</v>
      </c>
      <c r="C194" s="35" t="s">
        <v>3300</v>
      </c>
      <c r="D194" s="35" t="s">
        <v>3377</v>
      </c>
      <c r="E194" s="35" t="s">
        <v>3378</v>
      </c>
      <c r="F194" s="36">
        <v>0.3</v>
      </c>
      <c r="G194" s="31"/>
      <c r="H194" s="31"/>
      <c r="I194" s="31"/>
      <c r="J194" s="31"/>
      <c r="K194" s="31"/>
    </row>
    <row r="195" spans="1:11" ht="14.4" x14ac:dyDescent="0.3">
      <c r="A195" s="28" t="str">
        <f>B195&amp;C195&amp;D195&amp;E195</f>
        <v>ElektronikaSmartfonlar va telefonlarSmartfonlar uchun aksessuarlarKalitlar va adapterlar SIM kartalar uchun</v>
      </c>
      <c r="B195" s="35" t="s">
        <v>3161</v>
      </c>
      <c r="C195" s="35" t="s">
        <v>3303</v>
      </c>
      <c r="D195" s="35" t="s">
        <v>3304</v>
      </c>
      <c r="E195" s="35" t="s">
        <v>3379</v>
      </c>
      <c r="F195" s="36">
        <v>0.3</v>
      </c>
      <c r="G195" s="31"/>
      <c r="H195" s="31"/>
      <c r="I195" s="31"/>
      <c r="J195" s="31"/>
      <c r="K195" s="31"/>
    </row>
    <row r="196" spans="1:11" ht="14.4" x14ac:dyDescent="0.3">
      <c r="A196" s="28" t="str">
        <f>B196&amp;C196&amp;D196&amp;E196</f>
        <v>ElektronikaSmartfonlar va telefonlarSmartfonlar uchun aksessuarlarQoplamalar</v>
      </c>
      <c r="B196" s="35" t="s">
        <v>3161</v>
      </c>
      <c r="C196" s="35" t="s">
        <v>3303</v>
      </c>
      <c r="D196" s="35" t="s">
        <v>3304</v>
      </c>
      <c r="E196" s="35" t="s">
        <v>3365</v>
      </c>
      <c r="F196" s="36">
        <v>0.3</v>
      </c>
      <c r="G196" s="31"/>
      <c r="H196" s="31"/>
      <c r="I196" s="31"/>
      <c r="J196" s="31"/>
      <c r="K196" s="31"/>
    </row>
    <row r="197" spans="1:11" ht="14.4" x14ac:dyDescent="0.3">
      <c r="A197" s="28" t="str">
        <f>B197&amp;C197&amp;D197&amp;E197</f>
        <v>ElektronikaOfis texnikasiAksessuarlar va ofis jihozlari parvarishiTozalash vositalari</v>
      </c>
      <c r="B197" s="35" t="s">
        <v>3161</v>
      </c>
      <c r="C197" s="35" t="s">
        <v>3300</v>
      </c>
      <c r="D197" s="35" t="s">
        <v>3377</v>
      </c>
      <c r="E197" s="35" t="s">
        <v>3380</v>
      </c>
      <c r="F197" s="36">
        <v>0.3</v>
      </c>
      <c r="G197" s="31"/>
      <c r="H197" s="31"/>
      <c r="I197" s="31"/>
      <c r="J197" s="31"/>
      <c r="K197" s="31"/>
    </row>
    <row r="198" spans="1:11" ht="14.4" x14ac:dyDescent="0.3">
      <c r="A198" s="28" t="str">
        <f>B198&amp;C198&amp;D198&amp;E198</f>
        <v>ElektronikaSmartfonlar va telefonlarSmartfonlar uchun aksessuarlarYoritgichlar va chaqnagichlar</v>
      </c>
      <c r="B198" s="35" t="s">
        <v>3161</v>
      </c>
      <c r="C198" s="35" t="s">
        <v>3303</v>
      </c>
      <c r="D198" s="35" t="s">
        <v>3304</v>
      </c>
      <c r="E198" s="35" t="s">
        <v>3381</v>
      </c>
      <c r="F198" s="36">
        <v>0.3</v>
      </c>
      <c r="G198" s="31"/>
      <c r="H198" s="31"/>
      <c r="I198" s="31"/>
      <c r="J198" s="31"/>
      <c r="K198" s="31"/>
    </row>
    <row r="199" spans="1:11" ht="14.4" x14ac:dyDescent="0.3">
      <c r="A199" s="28" t="str">
        <f>B199&amp;C199&amp;D199&amp;E199</f>
        <v>ElektronikaQuloqchinlar va audio texnikalarProigrivatel uchun aksessuarlarPleyerlar va audio tizimlar uchun gʻiloflar</v>
      </c>
      <c r="B199" s="35" t="s">
        <v>3161</v>
      </c>
      <c r="C199" s="35" t="s">
        <v>3306</v>
      </c>
      <c r="D199" s="35" t="s">
        <v>3351</v>
      </c>
      <c r="E199" s="35" t="s">
        <v>3382</v>
      </c>
      <c r="F199" s="36">
        <v>0.3</v>
      </c>
      <c r="G199" s="31"/>
      <c r="H199" s="31"/>
      <c r="I199" s="31"/>
      <c r="J199" s="31"/>
      <c r="K199" s="31"/>
    </row>
    <row r="200" spans="1:11" ht="14.4" x14ac:dyDescent="0.3">
      <c r="A200" s="28" t="str">
        <f>B200&amp;C200&amp;D200&amp;E200</f>
        <v>ElektronikaElektronikalar uchun aksessuarlarSimlar uchun qutilarSimlar uchun qutilar</v>
      </c>
      <c r="B200" s="35" t="s">
        <v>3161</v>
      </c>
      <c r="C200" s="35" t="s">
        <v>3317</v>
      </c>
      <c r="D200" s="35" t="s">
        <v>3383</v>
      </c>
      <c r="E200" s="35" t="s">
        <v>3383</v>
      </c>
      <c r="F200" s="36">
        <v>0.3</v>
      </c>
      <c r="G200" s="31"/>
      <c r="H200" s="31"/>
      <c r="I200" s="31"/>
      <c r="J200" s="31"/>
      <c r="K200" s="31"/>
    </row>
    <row r="201" spans="1:11" ht="14.4" x14ac:dyDescent="0.3">
      <c r="A201" s="28" t="str">
        <f>B201&amp;C201&amp;D201&amp;E201</f>
        <v>ElektronikaQuloqchinlar va audio texnikalarProigrivatel uchun aksessuarlarStudiya jihozlari</v>
      </c>
      <c r="B201" s="35" t="s">
        <v>3161</v>
      </c>
      <c r="C201" s="35" t="s">
        <v>3306</v>
      </c>
      <c r="D201" s="35" t="s">
        <v>3351</v>
      </c>
      <c r="E201" s="35" t="s">
        <v>3384</v>
      </c>
      <c r="F201" s="36">
        <v>0.3</v>
      </c>
      <c r="G201" s="31"/>
      <c r="H201" s="31"/>
      <c r="I201" s="31"/>
      <c r="J201" s="31"/>
      <c r="K201" s="31"/>
    </row>
    <row r="202" spans="1:11" ht="14.4" x14ac:dyDescent="0.3">
      <c r="A202" s="28" t="str">
        <f>B202&amp;C202&amp;D202&amp;E202</f>
        <v>ElektronikaSmartfonlar va telefonlarSmartfonlar uchun aksessuarlarSensor ekranlar uchun qoʻlqoplar</v>
      </c>
      <c r="B202" s="35" t="s">
        <v>3161</v>
      </c>
      <c r="C202" s="35" t="s">
        <v>3303</v>
      </c>
      <c r="D202" s="35" t="s">
        <v>3304</v>
      </c>
      <c r="E202" s="35" t="s">
        <v>3385</v>
      </c>
      <c r="F202" s="36">
        <v>0.3</v>
      </c>
      <c r="G202" s="31"/>
      <c r="H202" s="31"/>
      <c r="I202" s="31"/>
      <c r="J202" s="31"/>
      <c r="K202" s="31"/>
    </row>
    <row r="203" spans="1:11" ht="14.4" x14ac:dyDescent="0.3">
      <c r="A203" s="28" t="str">
        <f>B203&amp;C203&amp;D203&amp;E203</f>
        <v>ElektronikaElektronikalar uchun aksessuarlarKabel himoyasiKabel himoyasi</v>
      </c>
      <c r="B203" s="35" t="s">
        <v>3161</v>
      </c>
      <c r="C203" s="35" t="s">
        <v>3317</v>
      </c>
      <c r="D203" s="35" t="s">
        <v>3386</v>
      </c>
      <c r="E203" s="35" t="s">
        <v>3386</v>
      </c>
      <c r="F203" s="36">
        <v>0.3</v>
      </c>
      <c r="G203" s="31"/>
      <c r="H203" s="31"/>
      <c r="I203" s="31"/>
      <c r="J203" s="31"/>
      <c r="K203" s="31"/>
    </row>
    <row r="204" spans="1:11" ht="14.4" x14ac:dyDescent="0.3">
      <c r="A204" s="28" t="str">
        <f>B204&amp;C204&amp;D204&amp;E204</f>
        <v>ElektronikaAqlli soatlar va fitnes bilaguzuklarKabellar va zaryadlovchi qurilmalarKabellar va zaryadlovchi qurilmalar</v>
      </c>
      <c r="B204" s="35" t="s">
        <v>3161</v>
      </c>
      <c r="C204" s="35" t="s">
        <v>3336</v>
      </c>
      <c r="D204" s="35" t="s">
        <v>3387</v>
      </c>
      <c r="E204" s="35" t="s">
        <v>3387</v>
      </c>
      <c r="F204" s="36">
        <v>0.3</v>
      </c>
      <c r="G204" s="31"/>
      <c r="H204" s="31"/>
      <c r="I204" s="31"/>
      <c r="J204" s="31"/>
      <c r="K204" s="31"/>
    </row>
    <row r="205" spans="1:11" ht="14.4" x14ac:dyDescent="0.3">
      <c r="A205" s="28" t="str">
        <f>B205&amp;C205&amp;D205&amp;E205</f>
        <v>ElektronikaKompyuter texnikasiKompyuterning tashqi qurilmalariKVM-konsollari va kabellari</v>
      </c>
      <c r="B205" s="35" t="s">
        <v>3161</v>
      </c>
      <c r="C205" s="35" t="s">
        <v>3311</v>
      </c>
      <c r="D205" s="35" t="s">
        <v>3388</v>
      </c>
      <c r="E205" s="35" t="s">
        <v>3389</v>
      </c>
      <c r="F205" s="36">
        <v>0.3</v>
      </c>
      <c r="G205" s="31"/>
      <c r="H205" s="31"/>
      <c r="I205" s="31"/>
      <c r="J205" s="31"/>
      <c r="K205" s="31"/>
    </row>
    <row r="206" spans="1:11" ht="14.4" x14ac:dyDescent="0.3">
      <c r="A206" s="28" t="str">
        <f>B206&amp;C206&amp;D206&amp;E206</f>
        <v>ElektronikaOfis texnikasiOfis jihozlari uchun butlovchi qismlar3D printer uchun plastik</v>
      </c>
      <c r="B206" s="35" t="s">
        <v>3161</v>
      </c>
      <c r="C206" s="35" t="s">
        <v>3300</v>
      </c>
      <c r="D206" s="35" t="s">
        <v>3315</v>
      </c>
      <c r="E206" s="35" t="s">
        <v>3390</v>
      </c>
      <c r="F206" s="36">
        <v>0.3</v>
      </c>
      <c r="G206" s="31"/>
      <c r="H206" s="31"/>
      <c r="I206" s="31"/>
      <c r="J206" s="31"/>
      <c r="K206" s="31"/>
    </row>
    <row r="207" spans="1:11" ht="14.4" x14ac:dyDescent="0.3">
      <c r="A207" s="28" t="str">
        <f>B207&amp;C207&amp;D207&amp;E207</f>
        <v>ElektronikaElektronikalar uchun aksessuarlarAkkumulyatorlar uchun zaryadlovchi qurilmalariAkkumulyatorlar uchun zaryadlovchi qurilmalari</v>
      </c>
      <c r="B207" s="35" t="s">
        <v>3161</v>
      </c>
      <c r="C207" s="35" t="s">
        <v>3317</v>
      </c>
      <c r="D207" s="35" t="s">
        <v>3391</v>
      </c>
      <c r="E207" s="35" t="s">
        <v>3391</v>
      </c>
      <c r="F207" s="36">
        <v>0.3</v>
      </c>
      <c r="G207" s="31"/>
      <c r="H207" s="31"/>
      <c r="I207" s="31"/>
      <c r="J207" s="31"/>
      <c r="K207" s="31"/>
    </row>
    <row r="208" spans="1:11" ht="14.4" x14ac:dyDescent="0.3">
      <c r="A208" s="28" t="str">
        <f>B208&amp;C208&amp;D208&amp;E208</f>
        <v>ElektronikaQuloqchinlar va audio texnikalarQuloqchinlarQuloqchinlar uchun gʻiloflar</v>
      </c>
      <c r="B208" s="35" t="s">
        <v>3161</v>
      </c>
      <c r="C208" s="35" t="s">
        <v>3306</v>
      </c>
      <c r="D208" s="35" t="s">
        <v>3259</v>
      </c>
      <c r="E208" s="35" t="s">
        <v>3392</v>
      </c>
      <c r="F208" s="36">
        <v>0.3</v>
      </c>
      <c r="G208" s="31"/>
      <c r="H208" s="31"/>
      <c r="I208" s="31"/>
      <c r="J208" s="31"/>
      <c r="K208" s="31"/>
    </row>
    <row r="209" spans="1:11" ht="14.4" x14ac:dyDescent="0.3">
      <c r="A209" s="28" t="str">
        <f>B209&amp;C209&amp;D209&amp;E209</f>
        <v>ElektronikaSmartfonlar va telefonlarSmartfonlar uchun aksessuarlarXotira kartalari telefonlar uchun</v>
      </c>
      <c r="B209" s="35" t="s">
        <v>3161</v>
      </c>
      <c r="C209" s="35" t="s">
        <v>3303</v>
      </c>
      <c r="D209" s="35" t="s">
        <v>3304</v>
      </c>
      <c r="E209" s="35" t="s">
        <v>3393</v>
      </c>
      <c r="F209" s="36">
        <v>0.3</v>
      </c>
      <c r="G209" s="31"/>
      <c r="H209" s="31"/>
      <c r="I209" s="31"/>
      <c r="J209" s="31"/>
      <c r="K209" s="31"/>
    </row>
    <row r="210" spans="1:11" ht="14.4" x14ac:dyDescent="0.3">
      <c r="A210" s="28" t="str">
        <f>B210&amp;C210&amp;D210&amp;E210</f>
        <v>ElektronikaQuloqchinlar va audio texnikalarProigrivatel uchun aksessuarlarParvarish uchun tovarlar</v>
      </c>
      <c r="B210" s="35" t="s">
        <v>3161</v>
      </c>
      <c r="C210" s="35" t="s">
        <v>3306</v>
      </c>
      <c r="D210" s="35" t="s">
        <v>3351</v>
      </c>
      <c r="E210" s="35" t="s">
        <v>3394</v>
      </c>
      <c r="F210" s="36">
        <v>0.3</v>
      </c>
      <c r="G210" s="31"/>
      <c r="H210" s="31"/>
      <c r="I210" s="32">
        <v>90000</v>
      </c>
      <c r="J210" s="31"/>
      <c r="K210" s="31"/>
    </row>
    <row r="211" spans="1:11" ht="14.4" x14ac:dyDescent="0.3">
      <c r="A211" s="28" t="str">
        <f>B211&amp;C211&amp;D211&amp;E211</f>
        <v>ElektronikaSmartfonlar va telefonlarSmartfonlar uchun aksessuarlarHimoya shishalari va plyonkalar</v>
      </c>
      <c r="B211" s="35" t="s">
        <v>3161</v>
      </c>
      <c r="C211" s="35" t="s">
        <v>3303</v>
      </c>
      <c r="D211" s="35" t="s">
        <v>3304</v>
      </c>
      <c r="E211" s="35" t="s">
        <v>3395</v>
      </c>
      <c r="F211" s="36">
        <v>0.3</v>
      </c>
      <c r="G211" s="31"/>
      <c r="H211" s="31"/>
      <c r="I211" s="31">
        <v>0.35</v>
      </c>
      <c r="J211" s="31">
        <v>0.3</v>
      </c>
      <c r="K211" s="31"/>
    </row>
    <row r="212" spans="1:11" ht="14.4" x14ac:dyDescent="0.3">
      <c r="A212" s="28" t="str">
        <f>B212&amp;C212&amp;D212&amp;E212</f>
        <v>ElektronikaFoto va video texnikaFoto va video kameralar uchun aksessuarlarSumkalar va ryukzaklar</v>
      </c>
      <c r="B212" s="35" t="s">
        <v>3161</v>
      </c>
      <c r="C212" s="35" t="s">
        <v>3347</v>
      </c>
      <c r="D212" s="35" t="s">
        <v>3348</v>
      </c>
      <c r="E212" s="35" t="s">
        <v>3191</v>
      </c>
      <c r="F212" s="36">
        <v>0.3</v>
      </c>
      <c r="G212" s="31"/>
      <c r="H212" s="31"/>
      <c r="I212" s="31"/>
      <c r="J212" s="32">
        <v>4000</v>
      </c>
      <c r="K212" s="31"/>
    </row>
    <row r="213" spans="1:11" ht="14.4" x14ac:dyDescent="0.3">
      <c r="A213" s="28" t="str">
        <f>B213&amp;C213&amp;D213&amp;E213</f>
        <v>ElektronikaSmartfonlar va telefonlarStatsionar telefonlarSimli telefonlar</v>
      </c>
      <c r="B213" s="35" t="s">
        <v>3161</v>
      </c>
      <c r="C213" s="35" t="s">
        <v>3303</v>
      </c>
      <c r="D213" s="35" t="s">
        <v>3396</v>
      </c>
      <c r="E213" s="35" t="s">
        <v>3397</v>
      </c>
      <c r="F213" s="36">
        <v>0.3</v>
      </c>
      <c r="G213" s="31"/>
      <c r="H213" s="31"/>
      <c r="I213" s="31"/>
      <c r="J213" s="33">
        <f>J212/I210</f>
        <v>4.4444444444444446E-2</v>
      </c>
      <c r="K213" s="31"/>
    </row>
    <row r="214" spans="1:11" ht="14.4" x14ac:dyDescent="0.3">
      <c r="A214" s="28" t="str">
        <f>B214&amp;C214&amp;D214&amp;E214</f>
        <v>ElektronikaNoutbuklar, planshetlar va elektron kitoblarNoutbuk uchun aksessuarlarNoutbuklar uchun ehtiyot qismlar</v>
      </c>
      <c r="B214" s="35" t="s">
        <v>3161</v>
      </c>
      <c r="C214" s="35" t="s">
        <v>3308</v>
      </c>
      <c r="D214" s="35" t="s">
        <v>3309</v>
      </c>
      <c r="E214" s="35" t="s">
        <v>3398</v>
      </c>
      <c r="F214" s="36">
        <v>0.3</v>
      </c>
      <c r="G214" s="31"/>
      <c r="H214" s="31"/>
      <c r="I214" s="31"/>
      <c r="J214" s="31"/>
      <c r="K214" s="31"/>
    </row>
    <row r="215" spans="1:11" ht="14.4" x14ac:dyDescent="0.3">
      <c r="A215" s="28" t="str">
        <f>B215&amp;C215&amp;D215&amp;E215</f>
        <v>ElektronikaKompyuter texnikasiKompyuter texnikalari uchun butlovchi qismlarKompyuterlar uchun sovutish tizimlari</v>
      </c>
      <c r="B215" s="35" t="s">
        <v>3161</v>
      </c>
      <c r="C215" s="35" t="s">
        <v>3311</v>
      </c>
      <c r="D215" s="35" t="s">
        <v>3399</v>
      </c>
      <c r="E215" s="35" t="s">
        <v>3400</v>
      </c>
      <c r="F215" s="36">
        <v>0.3</v>
      </c>
      <c r="G215" s="31"/>
      <c r="H215" s="31"/>
      <c r="I215" s="31"/>
      <c r="J215" s="31"/>
      <c r="K215" s="31"/>
    </row>
    <row r="216" spans="1:11" ht="14.4" x14ac:dyDescent="0.3">
      <c r="A216" s="28" t="str">
        <f>B216&amp;C216&amp;D216&amp;E216</f>
        <v>ElektronikaElektronikalar uchun aksessuarlarElektr tarmoqlagichlarElektr tarmoqlagichlar</v>
      </c>
      <c r="B216" s="35" t="s">
        <v>3161</v>
      </c>
      <c r="C216" s="35" t="s">
        <v>3317</v>
      </c>
      <c r="D216" s="35" t="s">
        <v>3401</v>
      </c>
      <c r="E216" s="35" t="s">
        <v>3401</v>
      </c>
      <c r="F216" s="36">
        <v>0.3</v>
      </c>
      <c r="G216" s="31"/>
      <c r="H216" s="31"/>
      <c r="I216" s="31"/>
      <c r="J216" s="31"/>
      <c r="K216" s="31"/>
    </row>
    <row r="217" spans="1:11" ht="14.4" x14ac:dyDescent="0.3">
      <c r="A217" s="28" t="str">
        <f>B217&amp;C217&amp;D217&amp;E217</f>
        <v>ElektronikaNoutbuklar, planshetlar va elektron kitoblarPlanshetlar va elektron kitoblarPlanshetlar va elektron kitoblar uchun aksessuarlar</v>
      </c>
      <c r="B217" s="35" t="s">
        <v>3161</v>
      </c>
      <c r="C217" s="35" t="s">
        <v>3308</v>
      </c>
      <c r="D217" s="35" t="s">
        <v>3402</v>
      </c>
      <c r="E217" s="35" t="s">
        <v>3403</v>
      </c>
      <c r="F217" s="36">
        <v>0.3</v>
      </c>
      <c r="G217" s="31"/>
      <c r="H217" s="31"/>
      <c r="I217" s="31"/>
      <c r="J217" s="31"/>
      <c r="K217" s="31"/>
    </row>
    <row r="218" spans="1:11" ht="14.4" x14ac:dyDescent="0.3">
      <c r="A218" s="28" t="str">
        <f>B218&amp;C218&amp;D218&amp;E218</f>
        <v>ElektronikaQuloqchinlar va audio texnikalarQuloqchinlarQuloqchinlar uchun aksessuarlar</v>
      </c>
      <c r="B218" s="35" t="s">
        <v>3161</v>
      </c>
      <c r="C218" s="35" t="s">
        <v>3306</v>
      </c>
      <c r="D218" s="35" t="s">
        <v>3259</v>
      </c>
      <c r="E218" s="35" t="s">
        <v>3404</v>
      </c>
      <c r="F218" s="36">
        <v>0.3</v>
      </c>
      <c r="G218" s="31"/>
      <c r="H218" s="31"/>
      <c r="I218" s="31"/>
      <c r="J218" s="31"/>
      <c r="K218" s="31"/>
    </row>
    <row r="219" spans="1:11" ht="14.4" x14ac:dyDescent="0.3">
      <c r="A219" s="28" t="str">
        <f>B219&amp;C219&amp;D219&amp;E219</f>
        <v>Goʻzallik va parvarishMakiyajMakiyaj uchun aksessuarlarKosmetika bogʻichlari</v>
      </c>
      <c r="B219" s="35" t="s">
        <v>3165</v>
      </c>
      <c r="C219" s="35" t="s">
        <v>3405</v>
      </c>
      <c r="D219" s="35" t="s">
        <v>3406</v>
      </c>
      <c r="E219" s="35" t="s">
        <v>3407</v>
      </c>
      <c r="F219" s="36">
        <v>0.3</v>
      </c>
      <c r="G219" s="31"/>
      <c r="H219" s="31"/>
      <c r="I219" s="31"/>
      <c r="J219" s="31"/>
      <c r="K219" s="31"/>
    </row>
    <row r="220" spans="1:11" ht="14.4" x14ac:dyDescent="0.3">
      <c r="A220" s="28" t="str">
        <f>B220&amp;C220&amp;D220&amp;E220</f>
        <v>Goʻzallik va parvarishMakiyajMakiyaj uchun aksessuarlarSponji va aplikatorlar</v>
      </c>
      <c r="B220" s="35" t="s">
        <v>3165</v>
      </c>
      <c r="C220" s="35" t="s">
        <v>3405</v>
      </c>
      <c r="D220" s="35" t="s">
        <v>3406</v>
      </c>
      <c r="E220" s="35" t="s">
        <v>3408</v>
      </c>
      <c r="F220" s="36">
        <v>0.3</v>
      </c>
      <c r="G220" s="31"/>
      <c r="H220" s="31"/>
      <c r="I220" s="31"/>
      <c r="J220" s="31"/>
      <c r="K220" s="31"/>
    </row>
    <row r="221" spans="1:11" ht="14.4" x14ac:dyDescent="0.3">
      <c r="A221" s="28" t="str">
        <f>B221&amp;C221&amp;D221&amp;E221</f>
        <v>Goʻzallik va parvarishMakiyajMakiyaj uchun aksessuarlarKosmetik oynalar</v>
      </c>
      <c r="B221" s="35" t="s">
        <v>3165</v>
      </c>
      <c r="C221" s="35" t="s">
        <v>3405</v>
      </c>
      <c r="D221" s="35" t="s">
        <v>3406</v>
      </c>
      <c r="E221" s="35" t="s">
        <v>3409</v>
      </c>
      <c r="F221" s="36">
        <v>0.3</v>
      </c>
      <c r="G221" s="31"/>
      <c r="H221" s="31"/>
      <c r="I221" s="31"/>
      <c r="J221" s="31"/>
      <c r="K221" s="31"/>
    </row>
    <row r="222" spans="1:11" ht="14.4" x14ac:dyDescent="0.3">
      <c r="A222" s="28" t="str">
        <f>B222&amp;C222&amp;D222&amp;E222</f>
        <v>Goʻzallik va parvarishMakiyajMakiyaj uchun aksessuarlarKipriklar va qoshlar uchun qisqichlar va taroqlar</v>
      </c>
      <c r="B222" s="35" t="s">
        <v>3165</v>
      </c>
      <c r="C222" s="35" t="s">
        <v>3405</v>
      </c>
      <c r="D222" s="35" t="s">
        <v>3406</v>
      </c>
      <c r="E222" s="35" t="s">
        <v>3410</v>
      </c>
      <c r="F222" s="36">
        <v>0.3</v>
      </c>
      <c r="G222" s="31"/>
      <c r="H222" s="31"/>
      <c r="I222" s="31"/>
      <c r="J222" s="31"/>
      <c r="K222" s="31"/>
    </row>
    <row r="223" spans="1:11" ht="14.4" x14ac:dyDescent="0.3">
      <c r="A223" s="28" t="str">
        <f>B223&amp;C223&amp;D223&amp;E223</f>
        <v>Goʻzallik va parvarishMakiyajMakiyaj uchun aksessuarlarFutlyar va penallar</v>
      </c>
      <c r="B223" s="35" t="s">
        <v>3165</v>
      </c>
      <c r="C223" s="35" t="s">
        <v>3405</v>
      </c>
      <c r="D223" s="35" t="s">
        <v>3406</v>
      </c>
      <c r="E223" s="35" t="s">
        <v>3411</v>
      </c>
      <c r="F223" s="36">
        <v>0.3</v>
      </c>
      <c r="G223" s="31"/>
      <c r="H223" s="31"/>
      <c r="I223" s="31"/>
      <c r="J223" s="31"/>
      <c r="K223" s="31"/>
    </row>
    <row r="224" spans="1:11" ht="14.4" x14ac:dyDescent="0.3">
      <c r="A224" s="28" t="str">
        <f>B224&amp;C224&amp;D224&amp;E224</f>
        <v>Goʻzallik va parvarishMakiyajMakiyaj uchun aksessuarlarKosmetik mikserlar va aralashtirgichlar</v>
      </c>
      <c r="B224" s="35" t="s">
        <v>3165</v>
      </c>
      <c r="C224" s="35" t="s">
        <v>3405</v>
      </c>
      <c r="D224" s="35" t="s">
        <v>3406</v>
      </c>
      <c r="E224" s="35" t="s">
        <v>3412</v>
      </c>
      <c r="F224" s="36">
        <v>0.3</v>
      </c>
      <c r="G224" s="31"/>
      <c r="H224" s="31"/>
      <c r="I224" s="31"/>
      <c r="J224" s="31"/>
      <c r="K224" s="31"/>
    </row>
    <row r="225" spans="1:11" ht="14.4" x14ac:dyDescent="0.3">
      <c r="A225" s="28" t="str">
        <f>B225&amp;C225&amp;D225&amp;E225</f>
        <v>Goʻzallik va parvarishMakiyajMakiyaj uchun aksessuarlarKosmetik anjomlarini tozalash uchun vositalar</v>
      </c>
      <c r="B225" s="35" t="s">
        <v>3165</v>
      </c>
      <c r="C225" s="35" t="s">
        <v>3405</v>
      </c>
      <c r="D225" s="35" t="s">
        <v>3406</v>
      </c>
      <c r="E225" s="35" t="s">
        <v>3413</v>
      </c>
      <c r="F225" s="36">
        <v>0.3</v>
      </c>
      <c r="G225" s="31"/>
      <c r="H225" s="31"/>
      <c r="I225" s="31"/>
      <c r="J225" s="31"/>
      <c r="K225" s="31"/>
    </row>
    <row r="226" spans="1:11" ht="14.4" x14ac:dyDescent="0.3">
      <c r="A226" s="28" t="str">
        <f>B226&amp;C226&amp;D226&amp;E226</f>
        <v>Goʻzallik va parvarishMakiyajMakiyaj uchun aksessuarlarQoshlar uchun qaychi va trimmerlar</v>
      </c>
      <c r="B226" s="35" t="s">
        <v>3165</v>
      </c>
      <c r="C226" s="35" t="s">
        <v>3405</v>
      </c>
      <c r="D226" s="35" t="s">
        <v>3406</v>
      </c>
      <c r="E226" s="35" t="s">
        <v>3414</v>
      </c>
      <c r="F226" s="36">
        <v>0.3</v>
      </c>
      <c r="G226" s="31"/>
      <c r="H226" s="31"/>
      <c r="I226" s="31"/>
      <c r="J226" s="31"/>
      <c r="K226" s="31"/>
    </row>
    <row r="227" spans="1:11" ht="14.4" x14ac:dyDescent="0.3">
      <c r="A227" s="28" t="str">
        <f>B227&amp;C227&amp;D227&amp;E227</f>
        <v>Goʻzallik va parvarishMakiyajMakiyaj uchun aksessuarlarCho'tkalar va silikon сho'tk-shpatellar</v>
      </c>
      <c r="B227" s="35" t="s">
        <v>3165</v>
      </c>
      <c r="C227" s="35" t="s">
        <v>3405</v>
      </c>
      <c r="D227" s="35" t="s">
        <v>3406</v>
      </c>
      <c r="E227" s="35" t="s">
        <v>3415</v>
      </c>
      <c r="F227" s="36">
        <v>0.3</v>
      </c>
      <c r="G227" s="31"/>
      <c r="H227" s="31"/>
      <c r="I227" s="31"/>
      <c r="J227" s="31"/>
      <c r="K227" s="31"/>
    </row>
    <row r="228" spans="1:11" ht="14.4" x14ac:dyDescent="0.3">
      <c r="A228" s="28" t="str">
        <f>B228&amp;C228&amp;D228&amp;E228</f>
        <v>Goʻzallik va parvarishMakiyajMakiyaj uchun aksessuarlarOʻtkirlagich va trafaretlar</v>
      </c>
      <c r="B228" s="35" t="s">
        <v>3165</v>
      </c>
      <c r="C228" s="35" t="s">
        <v>3405</v>
      </c>
      <c r="D228" s="35" t="s">
        <v>3406</v>
      </c>
      <c r="E228" s="35" t="s">
        <v>3416</v>
      </c>
      <c r="F228" s="36">
        <v>0.3</v>
      </c>
      <c r="G228" s="31"/>
      <c r="H228" s="31"/>
      <c r="I228" s="31"/>
      <c r="J228" s="31"/>
      <c r="K228" s="31"/>
    </row>
    <row r="229" spans="1:11" ht="14.4" x14ac:dyDescent="0.3">
      <c r="A229" s="28" t="str">
        <f>B229&amp;C229&amp;D229&amp;E229</f>
        <v>Goʻzallik va parvarishMakiyajMakiyaj uchun aksessuarlarOrganayzerlar</v>
      </c>
      <c r="B229" s="35" t="s">
        <v>3165</v>
      </c>
      <c r="C229" s="35" t="s">
        <v>3405</v>
      </c>
      <c r="D229" s="35" t="s">
        <v>3406</v>
      </c>
      <c r="E229" s="35" t="s">
        <v>3417</v>
      </c>
      <c r="F229" s="36">
        <v>0.3</v>
      </c>
      <c r="G229" s="31"/>
      <c r="H229" s="31"/>
      <c r="I229" s="31"/>
      <c r="J229" s="31"/>
      <c r="K229" s="31"/>
    </row>
    <row r="230" spans="1:11" ht="14.4" x14ac:dyDescent="0.3">
      <c r="A230" s="28" t="str">
        <f>B230&amp;C230&amp;D230&amp;E230</f>
        <v>Goʻzallik va parvarishMakiyajMakiyaj uchun aksessuarlarQisqichlar</v>
      </c>
      <c r="B230" s="35" t="s">
        <v>3165</v>
      </c>
      <c r="C230" s="35" t="s">
        <v>3405</v>
      </c>
      <c r="D230" s="35" t="s">
        <v>3406</v>
      </c>
      <c r="E230" s="35" t="s">
        <v>3418</v>
      </c>
      <c r="F230" s="36">
        <v>0.3</v>
      </c>
      <c r="G230" s="31"/>
      <c r="H230" s="31"/>
      <c r="I230" s="31"/>
      <c r="J230" s="31"/>
      <c r="K230" s="31"/>
    </row>
    <row r="231" spans="1:11" ht="14.4" x14ac:dyDescent="0.3">
      <c r="A231" s="28" t="str">
        <f>B231&amp;C231&amp;D231&amp;E231</f>
        <v>Hayvonlar uchun tovarlarItlar uchunAmunitsiyaAmunitsiya</v>
      </c>
      <c r="B231" s="35" t="s">
        <v>3168</v>
      </c>
      <c r="C231" s="35" t="s">
        <v>3419</v>
      </c>
      <c r="D231" s="35" t="s">
        <v>3420</v>
      </c>
      <c r="E231" s="35" t="s">
        <v>3420</v>
      </c>
      <c r="F231" s="36">
        <v>0.3</v>
      </c>
      <c r="G231" s="31"/>
      <c r="H231" s="31"/>
      <c r="I231" s="31"/>
      <c r="J231" s="31"/>
      <c r="K231" s="31"/>
    </row>
    <row r="232" spans="1:11" ht="14.4" x14ac:dyDescent="0.3">
      <c r="A232" s="28" t="str">
        <f>B232&amp;C232&amp;D232&amp;E232</f>
        <v>Hayvonlar uchun tovarlarGigiyenaHayvonlar uchun kosmetikaLosyonlar</v>
      </c>
      <c r="B232" s="35" t="s">
        <v>3168</v>
      </c>
      <c r="C232" s="35" t="s">
        <v>3421</v>
      </c>
      <c r="D232" s="35" t="s">
        <v>3422</v>
      </c>
      <c r="E232" s="35" t="s">
        <v>3423</v>
      </c>
      <c r="F232" s="36">
        <v>0.3</v>
      </c>
      <c r="G232" s="31"/>
      <c r="H232" s="31"/>
      <c r="I232" s="31"/>
      <c r="J232" s="31"/>
      <c r="K232" s="31"/>
    </row>
    <row r="233" spans="1:11" ht="14.4" x14ac:dyDescent="0.3">
      <c r="A233" s="28" t="str">
        <f>B233&amp;C233&amp;D233&amp;E233</f>
        <v>Hayvonlar uchun tovarlarGigiyenaSpreylar va hidni yoʻq qilish vositalariSpreylar va hidni yoʻq qilish vositalari</v>
      </c>
      <c r="B233" s="35" t="s">
        <v>3168</v>
      </c>
      <c r="C233" s="35" t="s">
        <v>3421</v>
      </c>
      <c r="D233" s="35" t="s">
        <v>3424</v>
      </c>
      <c r="E233" s="35" t="s">
        <v>3424</v>
      </c>
      <c r="F233" s="36">
        <v>0.3</v>
      </c>
      <c r="G233" s="31"/>
      <c r="H233" s="31"/>
      <c r="I233" s="31"/>
      <c r="J233" s="31"/>
      <c r="K233" s="31"/>
    </row>
    <row r="234" spans="1:11" ht="14.4" x14ac:dyDescent="0.3">
      <c r="A234" s="28" t="str">
        <f>B234&amp;C234&amp;D234&amp;E234</f>
        <v>Hayvonlar uchun tovarlarItlar uchunItlar uchun kiyim va poyabzalKiyim</v>
      </c>
      <c r="B234" s="35" t="s">
        <v>3168</v>
      </c>
      <c r="C234" s="35" t="s">
        <v>3419</v>
      </c>
      <c r="D234" s="35" t="s">
        <v>3425</v>
      </c>
      <c r="E234" s="35" t="s">
        <v>3175</v>
      </c>
      <c r="F234" s="36">
        <v>0.3</v>
      </c>
      <c r="G234" s="31"/>
      <c r="H234" s="31"/>
      <c r="I234" s="31"/>
      <c r="J234" s="31"/>
      <c r="K234" s="31"/>
    </row>
    <row r="235" spans="1:11" ht="14.4" x14ac:dyDescent="0.3">
      <c r="A235" s="28" t="str">
        <f>B235&amp;C235&amp;D235&amp;E235</f>
        <v>Hayvonlar uchun tovarlarGigiyenaGigiyena vositalariTish choʻtkalari hayvonlar uchun</v>
      </c>
      <c r="B235" s="35" t="s">
        <v>3168</v>
      </c>
      <c r="C235" s="35" t="s">
        <v>3421</v>
      </c>
      <c r="D235" s="35" t="s">
        <v>3426</v>
      </c>
      <c r="E235" s="35" t="s">
        <v>3427</v>
      </c>
      <c r="F235" s="36">
        <v>0.3</v>
      </c>
      <c r="G235" s="31"/>
      <c r="H235" s="31"/>
      <c r="I235" s="31"/>
      <c r="J235" s="31"/>
      <c r="K235" s="31"/>
    </row>
    <row r="236" spans="1:11" ht="14.4" x14ac:dyDescent="0.3">
      <c r="A236" s="28" t="str">
        <f>B236&amp;C236&amp;D236&amp;E236</f>
        <v>Hayvonlar uchun tovarlarGigiyenaHayvonlarni parvarish qilish vositalariPanja choʻtkalari</v>
      </c>
      <c r="B236" s="35" t="s">
        <v>3168</v>
      </c>
      <c r="C236" s="35" t="s">
        <v>3421</v>
      </c>
      <c r="D236" s="35" t="s">
        <v>3428</v>
      </c>
      <c r="E236" s="35" t="s">
        <v>3429</v>
      </c>
      <c r="F236" s="36">
        <v>0.3</v>
      </c>
      <c r="G236" s="31"/>
      <c r="H236" s="31"/>
      <c r="I236" s="31"/>
      <c r="J236" s="31"/>
      <c r="K236" s="31"/>
    </row>
    <row r="237" spans="1:11" ht="14.4" x14ac:dyDescent="0.3">
      <c r="A237" s="28" t="str">
        <f>B237&amp;C237&amp;D237&amp;E237</f>
        <v>Hayvonlar uchun tovarlarGigiyenaHayvonlar uchun kosmetikaShampunlar va konditsionerlar</v>
      </c>
      <c r="B237" s="35" t="s">
        <v>3168</v>
      </c>
      <c r="C237" s="35" t="s">
        <v>3421</v>
      </c>
      <c r="D237" s="35" t="s">
        <v>3422</v>
      </c>
      <c r="E237" s="35" t="s">
        <v>3430</v>
      </c>
      <c r="F237" s="36">
        <v>0.3</v>
      </c>
      <c r="G237" s="31"/>
      <c r="H237" s="31"/>
      <c r="I237" s="31"/>
      <c r="J237" s="31"/>
      <c r="K237" s="31"/>
    </row>
    <row r="238" spans="1:11" ht="14.4" x14ac:dyDescent="0.3">
      <c r="A238" s="28" t="str">
        <f>B238&amp;C238&amp;D238&amp;E238</f>
        <v>Hayvonlar uchun tovarlarGigiyenaGigiyena vositalariParvarishlash uchun nam salfetkalar</v>
      </c>
      <c r="B238" s="35" t="s">
        <v>3168</v>
      </c>
      <c r="C238" s="35" t="s">
        <v>3421</v>
      </c>
      <c r="D238" s="35" t="s">
        <v>3426</v>
      </c>
      <c r="E238" s="35" t="s">
        <v>3431</v>
      </c>
      <c r="F238" s="36">
        <v>0.3</v>
      </c>
      <c r="G238" s="31"/>
      <c r="H238" s="31"/>
      <c r="I238" s="31"/>
      <c r="J238" s="31"/>
      <c r="K238" s="31"/>
    </row>
    <row r="239" spans="1:11" ht="14.4" x14ac:dyDescent="0.3">
      <c r="A239" s="28" t="str">
        <f>B239&amp;C239&amp;D239&amp;E239</f>
        <v>Hayvonlar uchun tovarlarItlar uchunItlar uchun kiyim va poyabzalPoyabzallar</v>
      </c>
      <c r="B239" s="35" t="s">
        <v>3168</v>
      </c>
      <c r="C239" s="35" t="s">
        <v>3419</v>
      </c>
      <c r="D239" s="35" t="s">
        <v>3425</v>
      </c>
      <c r="E239" s="35" t="s">
        <v>3183</v>
      </c>
      <c r="F239" s="36">
        <v>0.3</v>
      </c>
      <c r="G239" s="31"/>
      <c r="H239" s="31"/>
      <c r="I239" s="31"/>
      <c r="J239" s="31"/>
      <c r="K239" s="31"/>
    </row>
    <row r="240" spans="1:11" ht="14.4" x14ac:dyDescent="0.3">
      <c r="A240" s="28" t="str">
        <f>B240&amp;C240&amp;D240&amp;E240</f>
        <v>Hayvonlar uchun tovarlarGigiyenaHayvonlarni parvarish qilish vositalariParvarish uchun tovarlar</v>
      </c>
      <c r="B240" s="35" t="s">
        <v>3168</v>
      </c>
      <c r="C240" s="35" t="s">
        <v>3421</v>
      </c>
      <c r="D240" s="35" t="s">
        <v>3428</v>
      </c>
      <c r="E240" s="35" t="s">
        <v>3394</v>
      </c>
      <c r="F240" s="36">
        <v>0.3</v>
      </c>
      <c r="G240" s="31"/>
      <c r="H240" s="31"/>
      <c r="I240" s="31"/>
      <c r="J240" s="31"/>
      <c r="K240" s="31"/>
    </row>
    <row r="241" spans="1:11" ht="14.4" x14ac:dyDescent="0.3">
      <c r="A241" s="28" t="str">
        <f>B241&amp;C241&amp;D241&amp;E241</f>
        <v>Hayvonlar uchun tovarlarItlar uchunOʻyinchoqlarOʻyinchoqlar</v>
      </c>
      <c r="B241" s="35" t="s">
        <v>3168</v>
      </c>
      <c r="C241" s="35" t="s">
        <v>3419</v>
      </c>
      <c r="D241" s="35" t="s">
        <v>3432</v>
      </c>
      <c r="E241" s="35" t="s">
        <v>3432</v>
      </c>
      <c r="F241" s="36">
        <v>0.3</v>
      </c>
      <c r="G241" s="31"/>
      <c r="H241" s="31"/>
      <c r="I241" s="31"/>
      <c r="J241" s="31"/>
      <c r="K241" s="31"/>
    </row>
    <row r="242" spans="1:11" ht="14.4" x14ac:dyDescent="0.3">
      <c r="A242" s="28" t="str">
        <f>B242&amp;C242&amp;D242&amp;E242</f>
        <v>Hayvonlar uchun tovarlarGigiyenaGigiyena vositalariSalfetkalar va paxtali tayoqchalar</v>
      </c>
      <c r="B242" s="35" t="s">
        <v>3168</v>
      </c>
      <c r="C242" s="35" t="s">
        <v>3421</v>
      </c>
      <c r="D242" s="35" t="s">
        <v>3426</v>
      </c>
      <c r="E242" s="35" t="s">
        <v>3433</v>
      </c>
      <c r="F242" s="36">
        <v>0.3</v>
      </c>
      <c r="G242" s="31"/>
      <c r="H242" s="31"/>
      <c r="I242" s="31"/>
      <c r="J242" s="31"/>
      <c r="K242" s="31"/>
    </row>
    <row r="243" spans="1:11" ht="14.4" x14ac:dyDescent="0.3">
      <c r="A243" s="28" t="str">
        <f>B243&amp;C243&amp;D243&amp;E243</f>
        <v>Hayvonlar uchun tovarlarGigiyenaPelyonkalar va tagliklarPelyonkalar va tagliklar</v>
      </c>
      <c r="B243" s="35" t="s">
        <v>3168</v>
      </c>
      <c r="C243" s="35" t="s">
        <v>3421</v>
      </c>
      <c r="D243" s="35" t="s">
        <v>3434</v>
      </c>
      <c r="E243" s="35" t="s">
        <v>3434</v>
      </c>
      <c r="F243" s="36">
        <v>0.3</v>
      </c>
      <c r="G243" s="31"/>
      <c r="H243" s="31"/>
      <c r="I243" s="31"/>
      <c r="J243" s="31"/>
      <c r="K243" s="31"/>
    </row>
    <row r="244" spans="1:11" ht="14.4" x14ac:dyDescent="0.3">
      <c r="A244" s="28" t="str">
        <f>B244&amp;C244&amp;D244&amp;E244</f>
        <v>Maishiy texnikaUy uchun texnikaTikuv mashinalari va aksessuarlariTikuv mashinalari uchun aksessuarlar</v>
      </c>
      <c r="B244" s="35" t="s">
        <v>48</v>
      </c>
      <c r="C244" s="35" t="s">
        <v>3435</v>
      </c>
      <c r="D244" s="35" t="s">
        <v>3436</v>
      </c>
      <c r="E244" s="35" t="s">
        <v>3437</v>
      </c>
      <c r="F244" s="36">
        <v>0.3</v>
      </c>
      <c r="G244" s="31"/>
      <c r="H244" s="31"/>
      <c r="I244" s="31"/>
      <c r="J244" s="31"/>
      <c r="K244" s="31"/>
    </row>
    <row r="245" spans="1:11" ht="14.4" x14ac:dyDescent="0.3">
      <c r="A245" s="28" t="str">
        <f>B245&amp;C245&amp;D245&amp;E245</f>
        <v>Maishiy texnikaKatta maishiy texnikaKatta maishiy texnika uchun aksessuarlarSovutgichlar uchun</v>
      </c>
      <c r="B245" s="35" t="s">
        <v>48</v>
      </c>
      <c r="C245" s="35" t="s">
        <v>3438</v>
      </c>
      <c r="D245" s="35" t="s">
        <v>3439</v>
      </c>
      <c r="E245" s="35" t="s">
        <v>3440</v>
      </c>
      <c r="F245" s="36">
        <v>0.3</v>
      </c>
      <c r="G245" s="31"/>
      <c r="H245" s="31"/>
      <c r="I245" s="31"/>
      <c r="J245" s="31"/>
      <c r="K245" s="31"/>
    </row>
    <row r="246" spans="1:11" ht="14.4" x14ac:dyDescent="0.3">
      <c r="A246" s="28" t="str">
        <f>B246&amp;C246&amp;D246&amp;E246</f>
        <v>Maishiy texnikaKatta maishiy texnikaSuv uchun kulerlar va aksessuarlarKatta butilkalar uchun g’iloflar va tutqichlar</v>
      </c>
      <c r="B246" s="35" t="s">
        <v>48</v>
      </c>
      <c r="C246" s="35" t="s">
        <v>3438</v>
      </c>
      <c r="D246" s="35" t="s">
        <v>3441</v>
      </c>
      <c r="E246" s="35" t="s">
        <v>3442</v>
      </c>
      <c r="F246" s="36">
        <v>0.3</v>
      </c>
      <c r="G246" s="31"/>
      <c r="H246" s="31"/>
      <c r="I246" s="31"/>
      <c r="J246" s="31"/>
      <c r="K246" s="31"/>
    </row>
    <row r="247" spans="1:11" ht="14.4" x14ac:dyDescent="0.3">
      <c r="A247" s="28" t="str">
        <f>B247&amp;C247&amp;D247&amp;E247</f>
        <v>Maishiy texnikaOshxona buyumlariBoshqa oshxona texnikalariIsitiladigan lanchbokslar</v>
      </c>
      <c r="B247" s="35" t="s">
        <v>48</v>
      </c>
      <c r="C247" s="35" t="s">
        <v>3443</v>
      </c>
      <c r="D247" s="35" t="s">
        <v>3444</v>
      </c>
      <c r="E247" s="35" t="s">
        <v>3445</v>
      </c>
      <c r="F247" s="36">
        <v>0.3</v>
      </c>
      <c r="G247" s="31"/>
      <c r="H247" s="31"/>
      <c r="I247" s="31"/>
      <c r="J247" s="31"/>
      <c r="K247" s="31"/>
    </row>
    <row r="248" spans="1:11" ht="14.4" x14ac:dyDescent="0.3">
      <c r="A248" s="28" t="str">
        <f>B248&amp;C248&amp;D248&amp;E248</f>
        <v>Maishiy texnikaKatta maishiy texnikaSuv uchun kulerlar va aksessuarlarSuv pompalari</v>
      </c>
      <c r="B248" s="35" t="s">
        <v>48</v>
      </c>
      <c r="C248" s="35" t="s">
        <v>3438</v>
      </c>
      <c r="D248" s="35" t="s">
        <v>3441</v>
      </c>
      <c r="E248" s="35" t="s">
        <v>3446</v>
      </c>
      <c r="F248" s="36">
        <v>0.3</v>
      </c>
      <c r="G248" s="31"/>
      <c r="H248" s="31"/>
      <c r="I248" s="31"/>
      <c r="J248" s="31"/>
      <c r="K248" s="31"/>
    </row>
    <row r="249" spans="1:11" ht="14.4" x14ac:dyDescent="0.3">
      <c r="A249" s="28" t="str">
        <f>B249&amp;C249&amp;D249&amp;E249</f>
        <v>Maishiy texnikaIqlim texnikasiDatchiklarDatchiklar</v>
      </c>
      <c r="B249" s="35" t="s">
        <v>48</v>
      </c>
      <c r="C249" s="35" t="s">
        <v>3447</v>
      </c>
      <c r="D249" s="35" t="s">
        <v>3448</v>
      </c>
      <c r="E249" s="35" t="s">
        <v>3448</v>
      </c>
      <c r="F249" s="36">
        <v>0.3</v>
      </c>
      <c r="G249" s="31"/>
      <c r="H249" s="31"/>
      <c r="I249" s="31"/>
      <c r="J249" s="31"/>
      <c r="K249" s="31"/>
    </row>
    <row r="250" spans="1:11" ht="14.4" x14ac:dyDescent="0.3">
      <c r="A250" s="28" t="str">
        <f>B250&amp;C250&amp;D250&amp;E250</f>
        <v>Maishiy texnikaKatta maishiy texnikaKatta maishiy texnika uchun aksessuarlarQoplamalar</v>
      </c>
      <c r="B250" s="35" t="s">
        <v>48</v>
      </c>
      <c r="C250" s="35" t="s">
        <v>3438</v>
      </c>
      <c r="D250" s="35" t="s">
        <v>3439</v>
      </c>
      <c r="E250" s="35" t="s">
        <v>3365</v>
      </c>
      <c r="F250" s="36">
        <v>0.3</v>
      </c>
      <c r="G250" s="31"/>
      <c r="H250" s="31"/>
      <c r="I250" s="31"/>
      <c r="J250" s="31"/>
      <c r="K250" s="31"/>
    </row>
    <row r="251" spans="1:11" ht="14.4" x14ac:dyDescent="0.3">
      <c r="A251" s="28" t="str">
        <f>B251&amp;C251&amp;D251&amp;E251</f>
        <v>Maishiy texnikaKatta maishiy texnikaKatta maishiy texnika uchun aksessuarlarKir yuvish mashinalari uchun</v>
      </c>
      <c r="B251" s="35" t="s">
        <v>48</v>
      </c>
      <c r="C251" s="35" t="s">
        <v>3438</v>
      </c>
      <c r="D251" s="35" t="s">
        <v>3439</v>
      </c>
      <c r="E251" s="35" t="s">
        <v>3449</v>
      </c>
      <c r="F251" s="36">
        <v>0.3</v>
      </c>
      <c r="G251" s="31"/>
      <c r="H251" s="31"/>
      <c r="I251" s="31"/>
      <c r="J251" s="31"/>
      <c r="K251" s="31"/>
    </row>
    <row r="252" spans="1:11" ht="14.4" x14ac:dyDescent="0.3">
      <c r="A252" s="28" t="str">
        <f>B252&amp;C252&amp;D252&amp;E252</f>
        <v>Maishiy texnikaIqlim texnikasiKonditsionerlar va split tizimlarKonditsionerlar uchun aksessuarlar va ehtiyot qismlar</v>
      </c>
      <c r="B252" s="35" t="s">
        <v>48</v>
      </c>
      <c r="C252" s="35" t="s">
        <v>3447</v>
      </c>
      <c r="D252" s="35" t="s">
        <v>3450</v>
      </c>
      <c r="E252" s="35" t="s">
        <v>3451</v>
      </c>
      <c r="F252" s="36">
        <v>0.3</v>
      </c>
      <c r="G252" s="31"/>
      <c r="H252" s="31"/>
      <c r="I252" s="31"/>
      <c r="J252" s="31"/>
      <c r="K252" s="31"/>
    </row>
    <row r="253" spans="1:11" ht="14.4" x14ac:dyDescent="0.3">
      <c r="A253" s="28" t="str">
        <f>B253&amp;C253&amp;D253&amp;E253</f>
        <v>Maishiy texnikaIqlim texnikasiOb-havo stansiyalariOb-havo stansiyalari</v>
      </c>
      <c r="B253" s="35" t="s">
        <v>48</v>
      </c>
      <c r="C253" s="35" t="s">
        <v>3447</v>
      </c>
      <c r="D253" s="35" t="s">
        <v>3452</v>
      </c>
      <c r="E253" s="35" t="s">
        <v>3452</v>
      </c>
      <c r="F253" s="36">
        <v>0.3</v>
      </c>
      <c r="G253" s="31"/>
      <c r="H253" s="31"/>
      <c r="I253" s="31"/>
      <c r="J253" s="31"/>
      <c r="K253" s="31"/>
    </row>
    <row r="254" spans="1:11" ht="14.4" x14ac:dyDescent="0.3">
      <c r="A254" s="28" t="str">
        <f>B254&amp;C254&amp;D254&amp;E254</f>
        <v>Maishiy texnikaUy uchun texnikaTikuv mashinalari va aksessuarlariRasposhivalkalar</v>
      </c>
      <c r="B254" s="35" t="s">
        <v>48</v>
      </c>
      <c r="C254" s="35" t="s">
        <v>3435</v>
      </c>
      <c r="D254" s="35" t="s">
        <v>3436</v>
      </c>
      <c r="E254" s="35" t="s">
        <v>3453</v>
      </c>
      <c r="F254" s="36">
        <v>0.3</v>
      </c>
      <c r="G254" s="31"/>
      <c r="H254" s="31"/>
      <c r="I254" s="31"/>
      <c r="J254" s="31"/>
      <c r="K254" s="31"/>
    </row>
    <row r="255" spans="1:11" ht="14.4" x14ac:dyDescent="0.3">
      <c r="A255" s="28" t="str">
        <f>B255&amp;C255&amp;D255&amp;E255</f>
        <v>Maishiy texnikaKatta maishiy texnikaKatta maishiy texnika uchun aksessuarlarGaz plitalari uchun</v>
      </c>
      <c r="B255" s="35" t="s">
        <v>48</v>
      </c>
      <c r="C255" s="35" t="s">
        <v>3438</v>
      </c>
      <c r="D255" s="35" t="s">
        <v>3439</v>
      </c>
      <c r="E255" s="35" t="s">
        <v>3454</v>
      </c>
      <c r="F255" s="36">
        <v>0.3</v>
      </c>
      <c r="G255" s="31"/>
      <c r="H255" s="31"/>
      <c r="I255" s="31"/>
      <c r="J255" s="31"/>
      <c r="K255" s="31"/>
    </row>
    <row r="256" spans="1:11" ht="14.4" x14ac:dyDescent="0.3">
      <c r="A256" s="28" t="str">
        <f>B256&amp;C256&amp;D256&amp;E256</f>
        <v>PoyabzallarPoyabzal aksessuarlariGʻiloflar va muzda yurish uchun oyoq kiyim tagliklariGʻiloflar va muzda yurish uchun oyoq kiyim tagliklari</v>
      </c>
      <c r="B256" s="35" t="s">
        <v>3183</v>
      </c>
      <c r="C256" s="35" t="s">
        <v>3455</v>
      </c>
      <c r="D256" s="35" t="s">
        <v>3456</v>
      </c>
      <c r="E256" s="35" t="s">
        <v>3456</v>
      </c>
      <c r="F256" s="36">
        <v>0.3</v>
      </c>
      <c r="G256" s="31"/>
      <c r="H256" s="31"/>
      <c r="I256" s="31"/>
      <c r="J256" s="31"/>
      <c r="K256" s="31"/>
    </row>
    <row r="257" spans="1:11" ht="14.4" x14ac:dyDescent="0.3">
      <c r="A257" s="28" t="str">
        <f>B257&amp;C257&amp;D257&amp;E257</f>
        <v>PoyabzallarPoyabzal aksessuarlariOyoq kiyim uchun pataklar va qoʻyilmalarOyoq kiyim uchun pataklar va qoʻyilmalar</v>
      </c>
      <c r="B257" s="35" t="s">
        <v>3183</v>
      </c>
      <c r="C257" s="35" t="s">
        <v>3455</v>
      </c>
      <c r="D257" s="35" t="s">
        <v>3457</v>
      </c>
      <c r="E257" s="35" t="s">
        <v>3457</v>
      </c>
      <c r="F257" s="36">
        <v>0.3</v>
      </c>
      <c r="G257" s="31"/>
      <c r="H257" s="31"/>
      <c r="I257" s="31"/>
      <c r="J257" s="31"/>
      <c r="K257" s="31"/>
    </row>
    <row r="258" spans="1:11" ht="14.4" x14ac:dyDescent="0.3">
      <c r="A258" s="28" t="str">
        <f>B258&amp;C258&amp;D258&amp;E258</f>
        <v>PoyabzallarPoyabzal aksessuarlariPoyabzal qoshiqlariPoyabzal qoshiqlari</v>
      </c>
      <c r="B258" s="35" t="s">
        <v>3183</v>
      </c>
      <c r="C258" s="35" t="s">
        <v>3455</v>
      </c>
      <c r="D258" s="35" t="s">
        <v>3458</v>
      </c>
      <c r="E258" s="35" t="s">
        <v>3458</v>
      </c>
      <c r="F258" s="36">
        <v>0.3</v>
      </c>
      <c r="G258" s="31"/>
      <c r="H258" s="31"/>
      <c r="I258" s="31"/>
      <c r="J258" s="31"/>
      <c r="K258" s="31"/>
    </row>
    <row r="259" spans="1:11" ht="14.4" x14ac:dyDescent="0.3">
      <c r="A259" s="28" t="str">
        <f>B259&amp;C259&amp;D259&amp;E259</f>
        <v>PoyabzallarPoyabzal aksessuarlariBogʻichlarBogʻichlar</v>
      </c>
      <c r="B259" s="35" t="s">
        <v>3183</v>
      </c>
      <c r="C259" s="35" t="s">
        <v>3455</v>
      </c>
      <c r="D259" s="35" t="s">
        <v>3271</v>
      </c>
      <c r="E259" s="35" t="s">
        <v>3271</v>
      </c>
      <c r="F259" s="36">
        <v>0.3</v>
      </c>
      <c r="G259" s="31"/>
      <c r="H259" s="31"/>
      <c r="I259" s="31"/>
      <c r="J259" s="31"/>
      <c r="K259" s="31"/>
    </row>
    <row r="260" spans="1:11" ht="14.4" x14ac:dyDescent="0.3">
      <c r="A260" s="28" t="str">
        <f>B260&amp;C260&amp;D260&amp;E260</f>
        <v>PoyabzallarPoyabzal aksessuarlariOyoq oʻlchagichlarOyoq oʻlchagichlar</v>
      </c>
      <c r="B260" s="35" t="s">
        <v>3183</v>
      </c>
      <c r="C260" s="35" t="s">
        <v>3455</v>
      </c>
      <c r="D260" s="35" t="s">
        <v>3459</v>
      </c>
      <c r="E260" s="35" t="s">
        <v>3459</v>
      </c>
      <c r="F260" s="36">
        <v>0.3</v>
      </c>
      <c r="G260" s="31"/>
      <c r="H260" s="31"/>
      <c r="I260" s="31"/>
      <c r="J260" s="31"/>
      <c r="K260" s="31"/>
    </row>
    <row r="261" spans="1:11" ht="14.4" x14ac:dyDescent="0.3">
      <c r="A261" s="28" t="str">
        <f>B261&amp;C261&amp;D261&amp;E261</f>
        <v>PoyabzallarPoyabzal aksessuarlariJibitslarJibitslar</v>
      </c>
      <c r="B261" s="35" t="s">
        <v>3183</v>
      </c>
      <c r="C261" s="35" t="s">
        <v>3455</v>
      </c>
      <c r="D261" s="35" t="s">
        <v>3460</v>
      </c>
      <c r="E261" s="35" t="s">
        <v>3460</v>
      </c>
      <c r="F261" s="36">
        <v>0.3</v>
      </c>
      <c r="G261" s="31"/>
      <c r="H261" s="31"/>
      <c r="I261" s="31"/>
      <c r="J261" s="31"/>
      <c r="K261" s="31"/>
    </row>
    <row r="262" spans="1:11" ht="14.4" x14ac:dyDescent="0.3">
      <c r="A262" s="28" t="str">
        <f>B262&amp;C262&amp;D262&amp;E262</f>
        <v>Qurilish va taʼmirlashElektrikaUzaytirgichlar va uchuvchilarUzaytirgichlar va uchuvchilar</v>
      </c>
      <c r="B262" s="35" t="s">
        <v>3184</v>
      </c>
      <c r="C262" s="35" t="s">
        <v>3461</v>
      </c>
      <c r="D262" s="35" t="s">
        <v>3462</v>
      </c>
      <c r="E262" s="35" t="s">
        <v>3462</v>
      </c>
      <c r="F262" s="36">
        <v>0.3</v>
      </c>
      <c r="G262" s="31"/>
      <c r="H262" s="31"/>
      <c r="I262" s="31"/>
      <c r="J262" s="31"/>
      <c r="K262" s="31"/>
    </row>
    <row r="263" spans="1:11" ht="14.4" x14ac:dyDescent="0.3">
      <c r="A263" s="28" t="str">
        <f>B263&amp;C263&amp;D263&amp;E263</f>
        <v>Qurilish va taʼmirlashUy va bogʻ uchun suv taʼminotiSuvni filtrlashSuvni filtrlash</v>
      </c>
      <c r="B263" s="35" t="s">
        <v>3184</v>
      </c>
      <c r="C263" s="35" t="s">
        <v>3463</v>
      </c>
      <c r="D263" s="35" t="s">
        <v>3464</v>
      </c>
      <c r="E263" s="35" t="s">
        <v>3464</v>
      </c>
      <c r="F263" s="36">
        <v>0.3</v>
      </c>
      <c r="G263" s="31"/>
      <c r="H263" s="31"/>
      <c r="I263" s="31"/>
      <c r="J263" s="31"/>
      <c r="K263" s="31"/>
    </row>
    <row r="264" spans="1:11" ht="14.4" x14ac:dyDescent="0.3">
      <c r="A264" s="28" t="str">
        <f>B264&amp;C264&amp;D264&amp;E264</f>
        <v>Qurilish va taʼmirlashQurilish-pardoz materiallariYelim va germetikalarYelim va germetikalar</v>
      </c>
      <c r="B264" s="35" t="s">
        <v>3184</v>
      </c>
      <c r="C264" s="35" t="s">
        <v>3465</v>
      </c>
      <c r="D264" s="35" t="s">
        <v>3466</v>
      </c>
      <c r="E264" s="35" t="s">
        <v>3466</v>
      </c>
      <c r="F264" s="36">
        <v>0.3</v>
      </c>
      <c r="G264" s="31"/>
      <c r="H264" s="31"/>
      <c r="I264" s="31"/>
      <c r="J264" s="31"/>
      <c r="K264" s="31"/>
    </row>
    <row r="265" spans="1:11" ht="14.4" x14ac:dyDescent="0.3">
      <c r="A265" s="28" t="str">
        <f>B265&amp;C265&amp;D265&amp;E265</f>
        <v>Qurilish va taʼmirlashQurilish-pardoz materiallariBoshqa qoplama materiallariBoshqa qoplama materiallari</v>
      </c>
      <c r="B265" s="35" t="s">
        <v>3184</v>
      </c>
      <c r="C265" s="35" t="s">
        <v>3465</v>
      </c>
      <c r="D265" s="35" t="s">
        <v>3467</v>
      </c>
      <c r="E265" s="35" t="s">
        <v>3467</v>
      </c>
      <c r="F265" s="36">
        <v>0.3</v>
      </c>
      <c r="G265" s="31"/>
      <c r="H265" s="31"/>
      <c r="I265" s="31"/>
      <c r="J265" s="31"/>
      <c r="K265" s="31"/>
    </row>
    <row r="266" spans="1:11" ht="14.4" x14ac:dyDescent="0.3">
      <c r="A266" s="28" t="str">
        <f>B266&amp;C266&amp;D266&amp;E266</f>
        <v>SalomatlikTibbiy buyumlar va sarflov materiallariDori-darmonlar uchun dori qutilari va sumkalarDori-darmonlar uchun dori qutilari va sumkalar</v>
      </c>
      <c r="B266" s="35" t="s">
        <v>3147</v>
      </c>
      <c r="C266" s="35" t="s">
        <v>3468</v>
      </c>
      <c r="D266" s="35" t="s">
        <v>3469</v>
      </c>
      <c r="E266" s="35" t="s">
        <v>3469</v>
      </c>
      <c r="F266" s="36">
        <v>0.3</v>
      </c>
      <c r="G266" s="31"/>
      <c r="H266" s="31"/>
      <c r="I266" s="31"/>
      <c r="J266" s="31"/>
      <c r="K266" s="31"/>
    </row>
    <row r="267" spans="1:11" ht="14.4" x14ac:dyDescent="0.3">
      <c r="A267" s="28" t="str">
        <f>B267&amp;C267&amp;D267&amp;E267</f>
        <v>SalomatlikOrtopedik buyumlarKompressli trikotajKompressli golflar, getrlar, paypoqlar</v>
      </c>
      <c r="B267" s="35" t="s">
        <v>3147</v>
      </c>
      <c r="C267" s="35" t="s">
        <v>3148</v>
      </c>
      <c r="D267" s="35" t="s">
        <v>3470</v>
      </c>
      <c r="E267" s="35" t="s">
        <v>3471</v>
      </c>
      <c r="F267" s="36">
        <v>0.3</v>
      </c>
      <c r="G267" s="31"/>
      <c r="H267" s="31"/>
      <c r="I267" s="31"/>
      <c r="J267" s="31"/>
      <c r="K267" s="31"/>
    </row>
    <row r="268" spans="1:11" ht="14.4" x14ac:dyDescent="0.3">
      <c r="A268" s="28" t="str">
        <f>B268&amp;C268&amp;D268&amp;E268</f>
        <v>SalomatlikTibbiy buyumlar va sarflov materiallariDezinfeksiya vositalariDezinfeksiya vositalari</v>
      </c>
      <c r="B268" s="35" t="s">
        <v>3147</v>
      </c>
      <c r="C268" s="35" t="s">
        <v>3468</v>
      </c>
      <c r="D268" s="35" t="s">
        <v>3472</v>
      </c>
      <c r="E268" s="35" t="s">
        <v>3472</v>
      </c>
      <c r="F268" s="36">
        <v>0.3</v>
      </c>
      <c r="G268" s="31"/>
      <c r="H268" s="31"/>
      <c r="I268" s="31"/>
      <c r="J268" s="31"/>
      <c r="K268" s="31"/>
    </row>
    <row r="269" spans="1:11" ht="14.4" x14ac:dyDescent="0.3">
      <c r="A269" s="28" t="str">
        <f>B269&amp;C269&amp;D269&amp;E269</f>
        <v>SalomatlikOptikaRomlarRomlar</v>
      </c>
      <c r="B269" s="35" t="s">
        <v>3147</v>
      </c>
      <c r="C269" s="35" t="s">
        <v>3150</v>
      </c>
      <c r="D269" s="35" t="s">
        <v>3473</v>
      </c>
      <c r="E269" s="35" t="s">
        <v>3473</v>
      </c>
      <c r="F269" s="36">
        <v>0.3</v>
      </c>
      <c r="G269" s="31"/>
      <c r="H269" s="31"/>
      <c r="I269" s="31"/>
      <c r="J269" s="31"/>
      <c r="K269" s="31"/>
    </row>
    <row r="270" spans="1:11" ht="14.4" x14ac:dyDescent="0.3">
      <c r="A270" s="28" t="str">
        <f>B270&amp;C270&amp;D270&amp;E270</f>
        <v>SalomatlikOrtopedik buyumlarDavolovchi qizdiruvchi buyumlarDavolovchi qizdiruvchi buyumlar</v>
      </c>
      <c r="B270" s="35" t="s">
        <v>3147</v>
      </c>
      <c r="C270" s="35" t="s">
        <v>3148</v>
      </c>
      <c r="D270" s="35" t="s">
        <v>3474</v>
      </c>
      <c r="E270" s="35" t="s">
        <v>3474</v>
      </c>
      <c r="F270" s="36">
        <v>0.3</v>
      </c>
      <c r="G270" s="31"/>
      <c r="H270" s="31"/>
      <c r="I270" s="31"/>
      <c r="J270" s="31"/>
      <c r="K270" s="31"/>
    </row>
    <row r="271" spans="1:11" ht="14.4" x14ac:dyDescent="0.3">
      <c r="A271" s="28" t="str">
        <f>B271&amp;C271&amp;D271&amp;E271</f>
        <v>SalomatlikTibbiy buyumlar va sarflov materiallariSarflov materiallarShpritslar, inyektorlar, pipetkalar, dozatorlar</v>
      </c>
      <c r="B271" s="35" t="s">
        <v>3147</v>
      </c>
      <c r="C271" s="35" t="s">
        <v>3468</v>
      </c>
      <c r="D271" s="35" t="s">
        <v>3475</v>
      </c>
      <c r="E271" s="35" t="s">
        <v>3476</v>
      </c>
      <c r="F271" s="36">
        <v>0.3</v>
      </c>
      <c r="G271" s="31"/>
      <c r="H271" s="31"/>
      <c r="I271" s="31"/>
      <c r="J271" s="31"/>
      <c r="K271" s="31"/>
    </row>
    <row r="272" spans="1:11" ht="14.4" x14ac:dyDescent="0.3">
      <c r="A272" s="28" t="str">
        <f>B272&amp;C272&amp;D272&amp;E272</f>
        <v>SalomatlikOrtopedik buyumlarElastik bintlarElastik bintlar</v>
      </c>
      <c r="B272" s="35" t="s">
        <v>3147</v>
      </c>
      <c r="C272" s="35" t="s">
        <v>3148</v>
      </c>
      <c r="D272" s="35" t="s">
        <v>3477</v>
      </c>
      <c r="E272" s="35" t="s">
        <v>3477</v>
      </c>
      <c r="F272" s="36">
        <v>0.3</v>
      </c>
      <c r="G272" s="31"/>
      <c r="H272" s="31"/>
      <c r="I272" s="31"/>
      <c r="J272" s="31"/>
      <c r="K272" s="31"/>
    </row>
    <row r="273" spans="1:11" ht="14.4" x14ac:dyDescent="0.3">
      <c r="A273" s="28" t="str">
        <f>B273&amp;C273&amp;D273&amp;E273</f>
        <v>SalomatlikTibbiy buyumlar va sarflov materiallariSarflov materiallarTahlillar uchun konteynerlar, gubkalar, jgutlar, tibbiyot oʻlchov stakanlari</v>
      </c>
      <c r="B273" s="35" t="s">
        <v>3147</v>
      </c>
      <c r="C273" s="35" t="s">
        <v>3468</v>
      </c>
      <c r="D273" s="35" t="s">
        <v>3475</v>
      </c>
      <c r="E273" s="35" t="s">
        <v>3478</v>
      </c>
      <c r="F273" s="36">
        <v>0.3</v>
      </c>
      <c r="G273" s="31"/>
      <c r="H273" s="31"/>
      <c r="I273" s="31"/>
      <c r="J273" s="31"/>
      <c r="K273" s="31"/>
    </row>
    <row r="274" spans="1:11" ht="14.4" x14ac:dyDescent="0.3">
      <c r="A274" s="28" t="str">
        <f>B274&amp;C274&amp;D274&amp;E274</f>
        <v>SalomatlikOrtopedik buyumlarKorsetlar va qomatni toʻgʻri tutishga yordam beruvchi vositalarKorsetlar va qomatni toʻgʻri tutishga yordam beruvchi vositalar</v>
      </c>
      <c r="B274" s="35" t="s">
        <v>3147</v>
      </c>
      <c r="C274" s="35" t="s">
        <v>3148</v>
      </c>
      <c r="D274" s="35" t="s">
        <v>3479</v>
      </c>
      <c r="E274" s="35" t="s">
        <v>3479</v>
      </c>
      <c r="F274" s="36">
        <v>0.3</v>
      </c>
      <c r="G274" s="31"/>
      <c r="H274" s="31"/>
      <c r="I274" s="31"/>
      <c r="J274" s="31"/>
      <c r="K274" s="31"/>
    </row>
    <row r="275" spans="1:11" ht="14.4" x14ac:dyDescent="0.3">
      <c r="A275" s="28" t="str">
        <f>B275&amp;C275&amp;D275&amp;E275</f>
        <v>SalomatlikTibbiy buyumlar va sarflov materiallariGrelkalarGrelkalar</v>
      </c>
      <c r="B275" s="35" t="s">
        <v>3147</v>
      </c>
      <c r="C275" s="35" t="s">
        <v>3468</v>
      </c>
      <c r="D275" s="35" t="s">
        <v>3480</v>
      </c>
      <c r="E275" s="35" t="s">
        <v>3480</v>
      </c>
      <c r="F275" s="36">
        <v>0.3</v>
      </c>
      <c r="G275" s="31"/>
      <c r="H275" s="31"/>
      <c r="I275" s="31"/>
      <c r="J275" s="31"/>
      <c r="K275" s="31"/>
    </row>
    <row r="276" spans="1:11" ht="14.4" x14ac:dyDescent="0.3">
      <c r="A276" s="28" t="str">
        <f>B276&amp;C276&amp;D276&amp;E276</f>
        <v>SalomatlikTibbiy buyumlar va sarflov materiallariGellar, mazlarGellar, mazlar</v>
      </c>
      <c r="B276" s="35" t="s">
        <v>3147</v>
      </c>
      <c r="C276" s="35" t="s">
        <v>3468</v>
      </c>
      <c r="D276" s="35" t="s">
        <v>3481</v>
      </c>
      <c r="E276" s="35" t="s">
        <v>3481</v>
      </c>
      <c r="F276" s="36">
        <v>0.3</v>
      </c>
      <c r="G276" s="31"/>
      <c r="H276" s="31"/>
      <c r="I276" s="31"/>
      <c r="J276" s="31"/>
      <c r="K276" s="31"/>
    </row>
    <row r="277" spans="1:11" ht="14.4" x14ac:dyDescent="0.3">
      <c r="A277" s="28" t="str">
        <f>B277&amp;C277&amp;D277&amp;E277</f>
        <v>SalomatlikOrtopedik buyumlarKompressli trikotajKompressiv paypoqlar</v>
      </c>
      <c r="B277" s="35" t="s">
        <v>3147</v>
      </c>
      <c r="C277" s="35" t="s">
        <v>3148</v>
      </c>
      <c r="D277" s="35" t="s">
        <v>3470</v>
      </c>
      <c r="E277" s="35" t="s">
        <v>3482</v>
      </c>
      <c r="F277" s="36">
        <v>0.3</v>
      </c>
      <c r="G277" s="31"/>
      <c r="H277" s="31"/>
      <c r="I277" s="31"/>
      <c r="J277" s="31"/>
      <c r="K277" s="31"/>
    </row>
    <row r="278" spans="1:11" ht="14.4" x14ac:dyDescent="0.3">
      <c r="A278" s="28" t="str">
        <f>B278&amp;C278&amp;D278&amp;E278</f>
        <v>SalomatlikIntim kosmetikaIntim kosmetikaIntim kosmetika</v>
      </c>
      <c r="B278" s="35" t="s">
        <v>3147</v>
      </c>
      <c r="C278" s="35" t="s">
        <v>3483</v>
      </c>
      <c r="D278" s="35" t="s">
        <v>3483</v>
      </c>
      <c r="E278" s="35" t="s">
        <v>3483</v>
      </c>
      <c r="F278" s="36">
        <v>0.3</v>
      </c>
      <c r="G278" s="31"/>
      <c r="H278" s="31"/>
      <c r="I278" s="31"/>
      <c r="J278" s="31"/>
      <c r="K278" s="31"/>
    </row>
    <row r="279" spans="1:11" ht="14.4" x14ac:dyDescent="0.3">
      <c r="A279" s="28" t="str">
        <f>B279&amp;C279&amp;D279&amp;E279</f>
        <v>SalomatlikMassaj uskunalariBosh uchun massaj moslamalariBosh uchun massaj moslamalari</v>
      </c>
      <c r="B279" s="35" t="s">
        <v>3147</v>
      </c>
      <c r="C279" s="35" t="s">
        <v>3484</v>
      </c>
      <c r="D279" s="35" t="s">
        <v>3485</v>
      </c>
      <c r="E279" s="35" t="s">
        <v>3485</v>
      </c>
      <c r="F279" s="36">
        <v>0.3</v>
      </c>
      <c r="G279" s="31"/>
      <c r="H279" s="31"/>
      <c r="I279" s="31"/>
      <c r="J279" s="31"/>
      <c r="K279" s="31"/>
    </row>
    <row r="280" spans="1:11" ht="14.4" x14ac:dyDescent="0.3">
      <c r="A280" s="28" t="str">
        <f>B280&amp;C280&amp;D280&amp;E280</f>
        <v>Sport va hordiqBasseynlar va aksessuarlarTozalash uchun asboblarBasseynlar uchun suzuvchilar</v>
      </c>
      <c r="B280" s="35" t="s">
        <v>43</v>
      </c>
      <c r="C280" s="35" t="s">
        <v>3486</v>
      </c>
      <c r="D280" s="35" t="s">
        <v>3487</v>
      </c>
      <c r="E280" s="35" t="s">
        <v>3488</v>
      </c>
      <c r="F280" s="36">
        <v>0.3</v>
      </c>
      <c r="G280" s="31"/>
      <c r="H280" s="31"/>
      <c r="I280" s="31"/>
      <c r="J280" s="31"/>
      <c r="K280" s="31"/>
    </row>
    <row r="281" spans="1:11" ht="14.4" x14ac:dyDescent="0.3">
      <c r="A281" s="28" t="str">
        <f>B281&amp;C281&amp;D281&amp;E281</f>
        <v>Uy-roʻzgʻor buyumlariBayramlar uchun tovarlarSovgʻa oʻramlari, otkritkalarQutilar</v>
      </c>
      <c r="B281" s="35" t="s">
        <v>3193</v>
      </c>
      <c r="C281" s="35" t="s">
        <v>3489</v>
      </c>
      <c r="D281" s="35" t="s">
        <v>3490</v>
      </c>
      <c r="E281" s="35" t="s">
        <v>3491</v>
      </c>
      <c r="F281" s="36">
        <v>0.3</v>
      </c>
      <c r="G281" s="31"/>
      <c r="H281" s="31"/>
      <c r="I281" s="31"/>
      <c r="J281" s="31"/>
      <c r="K281" s="31"/>
    </row>
    <row r="282" spans="1:11" ht="14.4" x14ac:dyDescent="0.3">
      <c r="A282" s="28" t="str">
        <f>B282&amp;C282&amp;D282&amp;E282</f>
        <v>Uy-roʻzgʻor buyumlariBayramlar uchun tovarlarBayramni bezatishTort shamchalari</v>
      </c>
      <c r="B282" s="35" t="s">
        <v>3193</v>
      </c>
      <c r="C282" s="35" t="s">
        <v>3489</v>
      </c>
      <c r="D282" s="35" t="s">
        <v>3492</v>
      </c>
      <c r="E282" s="35" t="s">
        <v>3493</v>
      </c>
      <c r="F282" s="36">
        <v>0.3</v>
      </c>
      <c r="G282" s="31"/>
      <c r="H282" s="31"/>
      <c r="I282" s="31"/>
      <c r="J282" s="31"/>
      <c r="K282" s="31"/>
    </row>
    <row r="283" spans="1:11" ht="14.4" x14ac:dyDescent="0.3">
      <c r="A283" s="28" t="str">
        <f>B283&amp;C283&amp;D283&amp;E283</f>
        <v>Uy-roʻzgʻor buyumlariBayramlar uchun tovarlarBayramni bezatishHavo sharlari va aksessuarlar</v>
      </c>
      <c r="B283" s="35" t="s">
        <v>3193</v>
      </c>
      <c r="C283" s="35" t="s">
        <v>3489</v>
      </c>
      <c r="D283" s="35" t="s">
        <v>3492</v>
      </c>
      <c r="E283" s="35" t="s">
        <v>3494</v>
      </c>
      <c r="F283" s="36">
        <v>0.3</v>
      </c>
      <c r="G283" s="31"/>
      <c r="H283" s="31"/>
      <c r="I283" s="31"/>
      <c r="J283" s="31"/>
      <c r="K283" s="31"/>
    </row>
    <row r="284" spans="1:11" ht="14.4" x14ac:dyDescent="0.3">
      <c r="A284" s="28" t="str">
        <f>B284&amp;C284&amp;D284&amp;E284</f>
        <v>Uy-roʻzgʻor buyumlariOshxona buyumlariBir martali ishlatiladigan idishlar va qadoqlashBir martalik stakan va chashkalar</v>
      </c>
      <c r="B284" s="35" t="s">
        <v>3193</v>
      </c>
      <c r="C284" s="35" t="s">
        <v>3443</v>
      </c>
      <c r="D284" s="35" t="s">
        <v>3495</v>
      </c>
      <c r="E284" s="35" t="s">
        <v>3496</v>
      </c>
      <c r="F284" s="36">
        <v>0.3</v>
      </c>
      <c r="G284" s="31"/>
      <c r="H284" s="31"/>
      <c r="I284" s="31"/>
      <c r="J284" s="31"/>
      <c r="K284" s="31"/>
    </row>
    <row r="285" spans="1:11" ht="14.4" x14ac:dyDescent="0.3">
      <c r="A285" s="28" t="str">
        <f>B285&amp;C285&amp;D285&amp;E285</f>
        <v>Uy-roʻzgʻor buyumlariBayramlar uchun tovarlarMukofotlar, kuboklar, tasmalarMukofotlar, kuboklar, tasmalar</v>
      </c>
      <c r="B285" s="35" t="s">
        <v>3193</v>
      </c>
      <c r="C285" s="35" t="s">
        <v>3489</v>
      </c>
      <c r="D285" s="35" t="s">
        <v>3497</v>
      </c>
      <c r="E285" s="35" t="s">
        <v>3497</v>
      </c>
      <c r="F285" s="36">
        <v>0.3</v>
      </c>
      <c r="G285" s="31"/>
      <c r="H285" s="31"/>
      <c r="I285" s="31"/>
      <c r="J285" s="31"/>
      <c r="K285" s="31"/>
    </row>
    <row r="286" spans="1:11" ht="14.4" x14ac:dyDescent="0.3">
      <c r="A286" s="28" t="str">
        <f>B286&amp;C286&amp;D286&amp;E286</f>
        <v>Uy-roʻzgʻor buyumlariBayramlar uchun tovarlarBayramni bezatishShariklar uchun nasoslar</v>
      </c>
      <c r="B286" s="35" t="s">
        <v>3193</v>
      </c>
      <c r="C286" s="35" t="s">
        <v>3489</v>
      </c>
      <c r="D286" s="35" t="s">
        <v>3492</v>
      </c>
      <c r="E286" s="35" t="s">
        <v>3498</v>
      </c>
      <c r="F286" s="36">
        <v>0.3</v>
      </c>
      <c r="G286" s="31"/>
      <c r="H286" s="31"/>
      <c r="I286" s="31"/>
      <c r="J286" s="31"/>
      <c r="K286" s="31"/>
    </row>
    <row r="287" spans="1:11" ht="14.4" x14ac:dyDescent="0.3">
      <c r="A287" s="28" t="str">
        <f>B287&amp;C287&amp;D287&amp;E287</f>
        <v>Uy-roʻzgʻor buyumlariBayramlar uchun tovarlarFeyerverklar va salyutlarRangli tutun</v>
      </c>
      <c r="B287" s="35" t="s">
        <v>3193</v>
      </c>
      <c r="C287" s="35" t="s">
        <v>3489</v>
      </c>
      <c r="D287" s="35" t="s">
        <v>3499</v>
      </c>
      <c r="E287" s="35" t="s">
        <v>3500</v>
      </c>
      <c r="F287" s="36">
        <v>0.3</v>
      </c>
      <c r="G287" s="31"/>
      <c r="H287" s="31"/>
      <c r="I287" s="31"/>
      <c r="J287" s="31"/>
      <c r="K287" s="31"/>
    </row>
    <row r="288" spans="1:11" ht="14.4" x14ac:dyDescent="0.3">
      <c r="A288" s="28" t="str">
        <f>B288&amp;C288&amp;D288&amp;E288</f>
        <v>Uy-roʻzgʻor buyumlariOshxona buyumlariBir martali ishlatiladigan idishlar va qadoqlashBir martalik stol anjomlari</v>
      </c>
      <c r="B288" s="35" t="s">
        <v>3193</v>
      </c>
      <c r="C288" s="35" t="s">
        <v>3443</v>
      </c>
      <c r="D288" s="35" t="s">
        <v>3495</v>
      </c>
      <c r="E288" s="35" t="s">
        <v>3501</v>
      </c>
      <c r="F288" s="36">
        <v>0.3</v>
      </c>
      <c r="G288" s="31"/>
      <c r="H288" s="31"/>
      <c r="I288" s="31"/>
      <c r="J288" s="31"/>
      <c r="K288" s="31"/>
    </row>
    <row r="289" spans="1:11" ht="14.4" x14ac:dyDescent="0.3">
      <c r="A289" s="28" t="str">
        <f>B289&amp;C289&amp;D289&amp;E289</f>
        <v>Uy-roʻzgʻor buyumlariBayramlar uchun tovarlarKarnaval buyumlariKarnaval kostyumlari</v>
      </c>
      <c r="B289" s="35" t="s">
        <v>3193</v>
      </c>
      <c r="C289" s="35" t="s">
        <v>3489</v>
      </c>
      <c r="D289" s="35" t="s">
        <v>3502</v>
      </c>
      <c r="E289" s="35" t="s">
        <v>3503</v>
      </c>
      <c r="F289" s="36">
        <v>0.3</v>
      </c>
      <c r="G289" s="31"/>
      <c r="H289" s="31"/>
      <c r="I289" s="31"/>
      <c r="J289" s="31"/>
      <c r="K289" s="31"/>
    </row>
    <row r="290" spans="1:11" ht="14.4" x14ac:dyDescent="0.3">
      <c r="A290" s="28" t="str">
        <f>B290&amp;C290&amp;D290&amp;E290</f>
        <v>Uy-roʻzgʻor buyumlariOshxona buyumlariBir martali ishlatiladigan idishlar va qadoqlashBir martalilik likopchalar</v>
      </c>
      <c r="B290" s="35" t="s">
        <v>3193</v>
      </c>
      <c r="C290" s="35" t="s">
        <v>3443</v>
      </c>
      <c r="D290" s="35" t="s">
        <v>3495</v>
      </c>
      <c r="E290" s="35" t="s">
        <v>3504</v>
      </c>
      <c r="F290" s="36">
        <v>0.3</v>
      </c>
      <c r="G290" s="31"/>
      <c r="H290" s="31"/>
      <c r="I290" s="31"/>
      <c r="J290" s="31"/>
      <c r="K290" s="31"/>
    </row>
    <row r="291" spans="1:11" ht="14.4" x14ac:dyDescent="0.3">
      <c r="A291" s="28" t="str">
        <f>B291&amp;C291&amp;D291&amp;E291</f>
        <v>Uy-roʻzgʻor buyumlariBayramlar uchun tovarlarBayramni bezatishKonfettii va serpantin</v>
      </c>
      <c r="B291" s="35" t="s">
        <v>3193</v>
      </c>
      <c r="C291" s="35" t="s">
        <v>3489</v>
      </c>
      <c r="D291" s="35" t="s">
        <v>3492</v>
      </c>
      <c r="E291" s="35" t="s">
        <v>3505</v>
      </c>
      <c r="F291" s="36">
        <v>0.3</v>
      </c>
      <c r="G291" s="31"/>
      <c r="H291" s="31"/>
      <c r="I291" s="31"/>
      <c r="J291" s="31"/>
      <c r="K291" s="31"/>
    </row>
    <row r="292" spans="1:11" ht="14.4" x14ac:dyDescent="0.3">
      <c r="A292" s="28" t="str">
        <f>B292&amp;C292&amp;D292&amp;E292</f>
        <v>Uy-roʻzgʻor buyumlariBayramlar uchun tovarlarFeyerverklar va salyutlarRim shamlari va favvoralari</v>
      </c>
      <c r="B292" s="35" t="s">
        <v>3193</v>
      </c>
      <c r="C292" s="35" t="s">
        <v>3489</v>
      </c>
      <c r="D292" s="35" t="s">
        <v>3499</v>
      </c>
      <c r="E292" s="35" t="s">
        <v>3506</v>
      </c>
      <c r="F292" s="36">
        <v>0.3</v>
      </c>
      <c r="G292" s="31"/>
      <c r="H292" s="31"/>
      <c r="I292" s="31"/>
      <c r="J292" s="31"/>
      <c r="K292" s="31"/>
    </row>
    <row r="293" spans="1:11" ht="14.4" x14ac:dyDescent="0.3">
      <c r="A293" s="28" t="str">
        <f>B293&amp;C293&amp;D293&amp;E293</f>
        <v>Uy-roʻzgʻor buyumlariBayramlar uchun tovarlarSovgʻa oʻramlari, otkritkalarOtkritkalar</v>
      </c>
      <c r="B293" s="35" t="s">
        <v>3193</v>
      </c>
      <c r="C293" s="35" t="s">
        <v>3489</v>
      </c>
      <c r="D293" s="35" t="s">
        <v>3490</v>
      </c>
      <c r="E293" s="35" t="s">
        <v>3507</v>
      </c>
      <c r="F293" s="36">
        <v>0.3</v>
      </c>
      <c r="G293" s="31"/>
      <c r="H293" s="31"/>
      <c r="I293" s="31"/>
      <c r="J293" s="31"/>
      <c r="K293" s="31"/>
    </row>
    <row r="294" spans="1:11" ht="14.4" x14ac:dyDescent="0.3">
      <c r="A294" s="28" t="str">
        <f>B294&amp;C294&amp;D294&amp;E294</f>
        <v>Uy-roʻzgʻor buyumlariBayramlar uchun tovarlarBayramni bezatishFotobutaforiya</v>
      </c>
      <c r="B294" s="35" t="s">
        <v>3193</v>
      </c>
      <c r="C294" s="35" t="s">
        <v>3489</v>
      </c>
      <c r="D294" s="35" t="s">
        <v>3492</v>
      </c>
      <c r="E294" s="35" t="s">
        <v>3508</v>
      </c>
      <c r="F294" s="36">
        <v>0.3</v>
      </c>
      <c r="G294" s="31"/>
      <c r="H294" s="31"/>
      <c r="I294" s="31"/>
      <c r="J294" s="31"/>
      <c r="K294" s="31"/>
    </row>
    <row r="295" spans="1:11" ht="14.4" x14ac:dyDescent="0.3">
      <c r="A295" s="28" t="str">
        <f>B295&amp;C295&amp;D295&amp;E295</f>
        <v>Uy-roʻzgʻor buyumlariBayramlar uchun tovarlarKarnaval buyumlariPariklar va aksessuarlar</v>
      </c>
      <c r="B295" s="35" t="s">
        <v>3193</v>
      </c>
      <c r="C295" s="35" t="s">
        <v>3489</v>
      </c>
      <c r="D295" s="35" t="s">
        <v>3502</v>
      </c>
      <c r="E295" s="35" t="s">
        <v>3509</v>
      </c>
      <c r="F295" s="36">
        <v>0.3</v>
      </c>
      <c r="G295" s="31"/>
      <c r="H295" s="31"/>
      <c r="I295" s="31"/>
      <c r="J295" s="31"/>
      <c r="K295" s="31"/>
    </row>
    <row r="296" spans="1:11" ht="14.4" x14ac:dyDescent="0.3">
      <c r="A296" s="28" t="str">
        <f>B296&amp;C296&amp;D296&amp;E296</f>
        <v>Uy-roʻzgʻor buyumlariOshxona buyumlariBir martali ishlatiladigan idishlar va qadoqlashQadoqlash paketlari</v>
      </c>
      <c r="B296" s="35" t="s">
        <v>3193</v>
      </c>
      <c r="C296" s="35" t="s">
        <v>3443</v>
      </c>
      <c r="D296" s="35" t="s">
        <v>3495</v>
      </c>
      <c r="E296" s="35" t="s">
        <v>3510</v>
      </c>
      <c r="F296" s="36">
        <v>0.3</v>
      </c>
      <c r="G296" s="31"/>
      <c r="H296" s="31"/>
      <c r="I296" s="31"/>
      <c r="J296" s="31"/>
      <c r="K296" s="31"/>
    </row>
    <row r="297" spans="1:11" ht="14.4" x14ac:dyDescent="0.3">
      <c r="A297" s="28" t="str">
        <f>B297&amp;C297&amp;D297&amp;E297</f>
        <v>Uy-roʻzgʻor buyumlariOshxona buyumlariBir martali ishlatiladigan idishlar va qadoqlashBir martalik idishlar toʻplami</v>
      </c>
      <c r="B297" s="35" t="s">
        <v>3193</v>
      </c>
      <c r="C297" s="35" t="s">
        <v>3443</v>
      </c>
      <c r="D297" s="35" t="s">
        <v>3495</v>
      </c>
      <c r="E297" s="35" t="s">
        <v>3511</v>
      </c>
      <c r="F297" s="36">
        <v>0.3</v>
      </c>
      <c r="G297" s="31"/>
      <c r="H297" s="31"/>
      <c r="I297" s="31"/>
      <c r="J297" s="31"/>
      <c r="K297" s="31"/>
    </row>
    <row r="298" spans="1:11" ht="14.4" x14ac:dyDescent="0.3">
      <c r="A298" s="28" t="str">
        <f>B298&amp;C298&amp;D298&amp;E298</f>
        <v>Uy-roʻzgʻor buyumlariBayramlar uchun tovarlarBayramni bezatishTort uchun topperlar</v>
      </c>
      <c r="B298" s="35" t="s">
        <v>3193</v>
      </c>
      <c r="C298" s="35" t="s">
        <v>3489</v>
      </c>
      <c r="D298" s="35" t="s">
        <v>3492</v>
      </c>
      <c r="E298" s="35" t="s">
        <v>3512</v>
      </c>
      <c r="F298" s="36">
        <v>0.3</v>
      </c>
      <c r="G298" s="31"/>
      <c r="H298" s="31"/>
      <c r="I298" s="31"/>
      <c r="J298" s="31"/>
      <c r="K298" s="31"/>
    </row>
    <row r="299" spans="1:11" ht="14.4" x14ac:dyDescent="0.3">
      <c r="A299" s="28" t="str">
        <f>B299&amp;C299&amp;D299&amp;E299</f>
        <v>Uy-roʻzgʻor buyumlariOshxona buyumlariBir martali ishlatiladigan idishlar va qadoqlashShpajkalar, kanapelar</v>
      </c>
      <c r="B299" s="35" t="s">
        <v>3193</v>
      </c>
      <c r="C299" s="35" t="s">
        <v>3443</v>
      </c>
      <c r="D299" s="35" t="s">
        <v>3495</v>
      </c>
      <c r="E299" s="35" t="s">
        <v>3513</v>
      </c>
      <c r="F299" s="36">
        <v>0.3</v>
      </c>
      <c r="G299" s="31"/>
      <c r="H299" s="31"/>
      <c r="I299" s="31"/>
      <c r="J299" s="31"/>
      <c r="K299" s="31"/>
    </row>
    <row r="300" spans="1:11" ht="14.4" x14ac:dyDescent="0.3">
      <c r="A300" s="28" t="str">
        <f>B300&amp;C300&amp;D300&amp;E300</f>
        <v>Uy-roʻzgʻor buyumlariOshxona buyumlariBir martali ishlatiladigan idishlar va qadoqlashQutilar va konteynerlar</v>
      </c>
      <c r="B300" s="35" t="s">
        <v>3193</v>
      </c>
      <c r="C300" s="35" t="s">
        <v>3443</v>
      </c>
      <c r="D300" s="35" t="s">
        <v>3495</v>
      </c>
      <c r="E300" s="35" t="s">
        <v>3514</v>
      </c>
      <c r="F300" s="36">
        <v>0.3</v>
      </c>
      <c r="G300" s="31"/>
      <c r="H300" s="31"/>
      <c r="I300" s="31"/>
      <c r="J300" s="31"/>
      <c r="K300" s="31"/>
    </row>
    <row r="301" spans="1:11" ht="14.4" x14ac:dyDescent="0.3">
      <c r="A301" s="28" t="str">
        <f>B301&amp;C301&amp;D301&amp;E301</f>
        <v>Uy-roʻzgʻor buyumlariXonaki oʻsimliklar uchun tovarlarLeykalar va purkagichlarLeykalar va purkagichlar</v>
      </c>
      <c r="B301" s="35" t="s">
        <v>3193</v>
      </c>
      <c r="C301" s="35" t="s">
        <v>3515</v>
      </c>
      <c r="D301" s="35" t="s">
        <v>3516</v>
      </c>
      <c r="E301" s="35" t="s">
        <v>3516</v>
      </c>
      <c r="F301" s="36">
        <v>0.3</v>
      </c>
      <c r="G301" s="31"/>
      <c r="H301" s="31"/>
      <c r="I301" s="31"/>
      <c r="J301" s="31"/>
      <c r="K301" s="31"/>
    </row>
    <row r="302" spans="1:11" ht="14.4" x14ac:dyDescent="0.3">
      <c r="A302" s="28" t="str">
        <f>B302&amp;C302&amp;D302&amp;E302</f>
        <v>Uy-roʻzgʻor buyumlariBayramlar uchun tovarlarSovgʻa oʻramlari, otkritkalarOʻrash qogʻozi, birkalar va lentalar</v>
      </c>
      <c r="B302" s="35" t="s">
        <v>3193</v>
      </c>
      <c r="C302" s="35" t="s">
        <v>3489</v>
      </c>
      <c r="D302" s="35" t="s">
        <v>3490</v>
      </c>
      <c r="E302" s="35" t="s">
        <v>3517</v>
      </c>
      <c r="F302" s="36">
        <v>0.3</v>
      </c>
      <c r="G302" s="31"/>
      <c r="H302" s="31"/>
      <c r="I302" s="31"/>
      <c r="J302" s="31"/>
      <c r="K302" s="31"/>
    </row>
    <row r="303" spans="1:11" ht="14.4" x14ac:dyDescent="0.3">
      <c r="A303" s="28" t="str">
        <f>B303&amp;C303&amp;D303&amp;E303</f>
        <v>Uy-roʻzgʻor buyumlariBayramlar uchun tovarlarBayramni bezatishBayramona dekor</v>
      </c>
      <c r="B303" s="35" t="s">
        <v>3193</v>
      </c>
      <c r="C303" s="35" t="s">
        <v>3489</v>
      </c>
      <c r="D303" s="35" t="s">
        <v>3492</v>
      </c>
      <c r="E303" s="35" t="s">
        <v>3518</v>
      </c>
      <c r="F303" s="36">
        <v>0.3</v>
      </c>
      <c r="G303" s="31"/>
      <c r="H303" s="31"/>
      <c r="I303" s="31"/>
      <c r="J303" s="31"/>
      <c r="K303" s="31"/>
    </row>
    <row r="304" spans="1:11" ht="14.4" x14ac:dyDescent="0.3">
      <c r="A304" s="28" t="str">
        <f>B304&amp;C304&amp;D304&amp;E304</f>
        <v>Uy-roʻzgʻor buyumlariBayramlar uchun tovarlarBayramni bezatishGeliy ballonlar</v>
      </c>
      <c r="B304" s="35" t="s">
        <v>3193</v>
      </c>
      <c r="C304" s="35" t="s">
        <v>3489</v>
      </c>
      <c r="D304" s="35" t="s">
        <v>3492</v>
      </c>
      <c r="E304" s="35" t="s">
        <v>3519</v>
      </c>
      <c r="F304" s="36">
        <v>0.3</v>
      </c>
      <c r="G304" s="31"/>
      <c r="H304" s="31"/>
      <c r="I304" s="31"/>
      <c r="J304" s="31"/>
      <c r="K304" s="31"/>
    </row>
    <row r="305" spans="1:11" ht="14.4" x14ac:dyDescent="0.3">
      <c r="A305" s="28" t="str">
        <f>B305&amp;C305&amp;D305&amp;E305</f>
        <v>Uy-roʻzgʻor buyumlariBayramlar uchun tovarlarSovgʻa sertifikatlari, vaucherlarSovgʻa sertifikatlari, vaucherlar</v>
      </c>
      <c r="B305" s="35" t="s">
        <v>3193</v>
      </c>
      <c r="C305" s="35" t="s">
        <v>3489</v>
      </c>
      <c r="D305" s="35" t="s">
        <v>3520</v>
      </c>
      <c r="E305" s="35" t="s">
        <v>3520</v>
      </c>
      <c r="F305" s="36">
        <v>0.3</v>
      </c>
      <c r="G305" s="31"/>
      <c r="H305" s="31"/>
      <c r="I305" s="31"/>
      <c r="J305" s="31"/>
      <c r="K305" s="31"/>
    </row>
    <row r="306" spans="1:11" ht="14.4" x14ac:dyDescent="0.3">
      <c r="A306" s="28" t="str">
        <f>B306&amp;C306&amp;D306&amp;E306</f>
        <v>Uy-roʻzgʻor buyumlariBayramlar uchun tovarlarPasxa uchun tovarlarPasxa uchun tovarlar</v>
      </c>
      <c r="B306" s="35" t="s">
        <v>3193</v>
      </c>
      <c r="C306" s="35" t="s">
        <v>3489</v>
      </c>
      <c r="D306" s="35" t="s">
        <v>3521</v>
      </c>
      <c r="E306" s="35" t="s">
        <v>3521</v>
      </c>
      <c r="F306" s="36">
        <v>0.3</v>
      </c>
      <c r="G306" s="31"/>
      <c r="H306" s="31"/>
      <c r="I306" s="31"/>
      <c r="J306" s="31"/>
      <c r="K306" s="31"/>
    </row>
    <row r="307" spans="1:11" ht="14.4" x14ac:dyDescent="0.3">
      <c r="A307" s="28" t="str">
        <f>B307&amp;C307&amp;D307&amp;E307</f>
        <v>Uy-roʻzgʻor buyumlariOshxona buyumlariBir martali ishlatiladigan idishlar va qadoqlashTish tozalagichlar</v>
      </c>
      <c r="B307" s="35" t="s">
        <v>3193</v>
      </c>
      <c r="C307" s="35" t="s">
        <v>3443</v>
      </c>
      <c r="D307" s="35" t="s">
        <v>3495</v>
      </c>
      <c r="E307" s="35" t="s">
        <v>3522</v>
      </c>
      <c r="F307" s="36">
        <v>0.3</v>
      </c>
      <c r="G307" s="31"/>
      <c r="H307" s="31"/>
      <c r="I307" s="31"/>
      <c r="J307" s="31"/>
      <c r="K307" s="31"/>
    </row>
    <row r="308" spans="1:11" ht="14.4" x14ac:dyDescent="0.3">
      <c r="A308" s="28" t="str">
        <f>B308&amp;C308&amp;D308&amp;E308</f>
        <v>Uy-roʻzgʻor buyumlariBayramlar uchun tovarlarSovgʻa oʻramlari, otkritkalarKonvertlar</v>
      </c>
      <c r="B308" s="35" t="s">
        <v>3193</v>
      </c>
      <c r="C308" s="35" t="s">
        <v>3489</v>
      </c>
      <c r="D308" s="35" t="s">
        <v>3490</v>
      </c>
      <c r="E308" s="35" t="s">
        <v>3523</v>
      </c>
      <c r="F308" s="36">
        <v>0.3</v>
      </c>
      <c r="G308" s="31"/>
      <c r="H308" s="31"/>
      <c r="I308" s="31"/>
      <c r="J308" s="31"/>
      <c r="K308" s="31"/>
    </row>
    <row r="309" spans="1:11" ht="14.4" x14ac:dyDescent="0.3">
      <c r="A309" s="28" t="str">
        <f>B309&amp;C309&amp;D309&amp;E309</f>
        <v>Uy-roʻzgʻor buyumlariBayramlar uchun tovarlarFeyerverklar va salyutlarRaketalar</v>
      </c>
      <c r="B309" s="35" t="s">
        <v>3193</v>
      </c>
      <c r="C309" s="35" t="s">
        <v>3489</v>
      </c>
      <c r="D309" s="35" t="s">
        <v>3499</v>
      </c>
      <c r="E309" s="35" t="s">
        <v>3524</v>
      </c>
      <c r="F309" s="36">
        <v>0.3</v>
      </c>
      <c r="G309" s="31"/>
      <c r="H309" s="31"/>
      <c r="I309" s="31"/>
      <c r="J309" s="31"/>
      <c r="K309" s="31"/>
    </row>
    <row r="310" spans="1:11" ht="14.4" x14ac:dyDescent="0.3">
      <c r="A310" s="28" t="str">
        <f>B310&amp;C310&amp;D310&amp;E310</f>
        <v>Uy-roʻzgʻor buyumlariBayramlar uchun tovarlarKarnaval buyumlariNiqoblar</v>
      </c>
      <c r="B310" s="35" t="s">
        <v>3193</v>
      </c>
      <c r="C310" s="35" t="s">
        <v>3489</v>
      </c>
      <c r="D310" s="35" t="s">
        <v>3502</v>
      </c>
      <c r="E310" s="35" t="s">
        <v>3525</v>
      </c>
      <c r="F310" s="36">
        <v>0.3</v>
      </c>
      <c r="G310" s="31"/>
      <c r="H310" s="31"/>
      <c r="I310" s="31"/>
      <c r="J310" s="31"/>
      <c r="K310" s="31"/>
    </row>
    <row r="311" spans="1:11" ht="14.4" x14ac:dyDescent="0.3">
      <c r="A311" s="28" t="str">
        <f>B311&amp;C311&amp;D311&amp;E311</f>
        <v>Uy-roʻzgʻor buyumlariBayramlar uchun tovarlarFeyerverklar va salyutlarBengal shamchalari</v>
      </c>
      <c r="B311" s="35" t="s">
        <v>3193</v>
      </c>
      <c r="C311" s="35" t="s">
        <v>3489</v>
      </c>
      <c r="D311" s="35" t="s">
        <v>3499</v>
      </c>
      <c r="E311" s="35" t="s">
        <v>3526</v>
      </c>
      <c r="F311" s="36">
        <v>0.3</v>
      </c>
      <c r="G311" s="31"/>
      <c r="H311" s="31"/>
      <c r="I311" s="31"/>
      <c r="J311" s="31"/>
      <c r="K311" s="31"/>
    </row>
    <row r="312" spans="1:11" ht="14.4" x14ac:dyDescent="0.3">
      <c r="A312" s="28" t="str">
        <f>B312&amp;C312&amp;D312&amp;E312</f>
        <v>Uy-roʻzgʻor buyumlariBayramlar uchun tovarlarToʻy uchun tovarlarToʻy uchun tovarlar</v>
      </c>
      <c r="B312" s="35" t="s">
        <v>3193</v>
      </c>
      <c r="C312" s="35" t="s">
        <v>3489</v>
      </c>
      <c r="D312" s="35" t="s">
        <v>3527</v>
      </c>
      <c r="E312" s="35" t="s">
        <v>3527</v>
      </c>
      <c r="F312" s="36">
        <v>0.3</v>
      </c>
      <c r="G312" s="31"/>
      <c r="H312" s="31"/>
      <c r="I312" s="31"/>
      <c r="J312" s="31"/>
      <c r="K312" s="31"/>
    </row>
    <row r="313" spans="1:11" ht="14.4" x14ac:dyDescent="0.3">
      <c r="A313" s="28" t="str">
        <f>B313&amp;C313&amp;D313&amp;E313</f>
        <v>Uy-roʻzgʻor buyumlariBayramlar uchun tovarlarBayramni bezatishXitoy fonarlari</v>
      </c>
      <c r="B313" s="35" t="s">
        <v>3193</v>
      </c>
      <c r="C313" s="35" t="s">
        <v>3489</v>
      </c>
      <c r="D313" s="35" t="s">
        <v>3492</v>
      </c>
      <c r="E313" s="35" t="s">
        <v>3528</v>
      </c>
      <c r="F313" s="36">
        <v>0.3</v>
      </c>
      <c r="G313" s="31"/>
      <c r="H313" s="31"/>
      <c r="I313" s="31"/>
      <c r="J313" s="31"/>
      <c r="K313" s="31"/>
    </row>
    <row r="314" spans="1:11" ht="14.4" x14ac:dyDescent="0.3">
      <c r="A314" s="28" t="str">
        <f>B314&amp;C314&amp;D314&amp;E314</f>
        <v>Uy-roʻzgʻor buyumlariBayramlar uchun tovarlarSovgʻa oʻramlari, otkritkalarPaketlar va qopchalar</v>
      </c>
      <c r="B314" s="35" t="s">
        <v>3193</v>
      </c>
      <c r="C314" s="35" t="s">
        <v>3489</v>
      </c>
      <c r="D314" s="35" t="s">
        <v>3490</v>
      </c>
      <c r="E314" s="35" t="s">
        <v>3529</v>
      </c>
      <c r="F314" s="36">
        <v>0.3</v>
      </c>
      <c r="G314" s="31"/>
      <c r="H314" s="31"/>
      <c r="I314" s="31"/>
      <c r="J314" s="31"/>
      <c r="K314" s="31"/>
    </row>
    <row r="315" spans="1:11" ht="14.4" x14ac:dyDescent="0.3">
      <c r="A315" s="28" t="str">
        <f>B315&amp;C315&amp;D315&amp;E315</f>
        <v>ElektronikaSmartfonlar va telefonlarSmartfonlar uchun aksessuarlarZaryadlash qurilmalari</v>
      </c>
      <c r="B315" s="35" t="s">
        <v>3161</v>
      </c>
      <c r="C315" s="35" t="s">
        <v>3303</v>
      </c>
      <c r="D315" s="35" t="s">
        <v>3304</v>
      </c>
      <c r="E315" s="35" t="s">
        <v>3530</v>
      </c>
      <c r="F315" s="36">
        <v>0.28000000000000003</v>
      </c>
      <c r="G315" s="31"/>
      <c r="H315" s="31"/>
      <c r="I315" s="31"/>
      <c r="J315" s="31"/>
      <c r="K315" s="31"/>
    </row>
    <row r="316" spans="1:11" ht="14.4" x14ac:dyDescent="0.3">
      <c r="A316" s="28" t="str">
        <f>B316&amp;C316&amp;D316&amp;E316</f>
        <v>AksessuarlarAyollar aksessuarlariSoch uchun aksessuarlarRezinkalar</v>
      </c>
      <c r="B316" s="35" t="s">
        <v>35</v>
      </c>
      <c r="C316" s="35" t="s">
        <v>3162</v>
      </c>
      <c r="D316" s="35" t="s">
        <v>3531</v>
      </c>
      <c r="E316" s="35" t="s">
        <v>3532</v>
      </c>
      <c r="F316" s="36">
        <v>0.27</v>
      </c>
      <c r="G316" s="31"/>
      <c r="H316" s="31"/>
      <c r="I316" s="31"/>
      <c r="J316" s="31"/>
      <c r="K316" s="31"/>
    </row>
    <row r="317" spans="1:11" ht="14.4" x14ac:dyDescent="0.3">
      <c r="A317" s="28" t="str">
        <f>B317&amp;C317&amp;D317&amp;E317</f>
        <v>AksessuarlarAyollar aksessuarlariSoch uchun aksessuarlarShpilka va nevidimkalar</v>
      </c>
      <c r="B317" s="35" t="s">
        <v>35</v>
      </c>
      <c r="C317" s="35" t="s">
        <v>3162</v>
      </c>
      <c r="D317" s="35" t="s">
        <v>3531</v>
      </c>
      <c r="E317" s="35" t="s">
        <v>3533</v>
      </c>
      <c r="F317" s="36">
        <v>0.27</v>
      </c>
      <c r="G317" s="31"/>
      <c r="H317" s="31"/>
      <c r="I317" s="31"/>
      <c r="J317" s="31"/>
      <c r="K317" s="31"/>
    </row>
    <row r="318" spans="1:11" ht="14.4" x14ac:dyDescent="0.3">
      <c r="A318" s="28" t="str">
        <f>B318&amp;C318&amp;D318&amp;E318</f>
        <v>AksessuarlarAyollar aksessuarlariSoch uchun aksessuarlarObodoklar, bogʻichlar va tillaqoshlar</v>
      </c>
      <c r="B318" s="35" t="s">
        <v>35</v>
      </c>
      <c r="C318" s="35" t="s">
        <v>3162</v>
      </c>
      <c r="D318" s="35" t="s">
        <v>3531</v>
      </c>
      <c r="E318" s="35" t="s">
        <v>3534</v>
      </c>
      <c r="F318" s="36">
        <v>0.27</v>
      </c>
      <c r="G318" s="31"/>
      <c r="H318" s="31"/>
      <c r="I318" s="31"/>
      <c r="J318" s="31"/>
      <c r="K318" s="31"/>
    </row>
    <row r="319" spans="1:11" ht="14.4" x14ac:dyDescent="0.3">
      <c r="A319" s="28" t="str">
        <f>B319&amp;C319&amp;D319&amp;E319</f>
        <v>AksessuarlarAyollar aksessuarlariSoch uchun aksessuarlarSoch uchun aksessuarlar toʻplami</v>
      </c>
      <c r="B319" s="35" t="s">
        <v>35</v>
      </c>
      <c r="C319" s="35" t="s">
        <v>3162</v>
      </c>
      <c r="D319" s="35" t="s">
        <v>3531</v>
      </c>
      <c r="E319" s="35" t="s">
        <v>3535</v>
      </c>
      <c r="F319" s="36">
        <v>0.27</v>
      </c>
      <c r="G319" s="31"/>
      <c r="H319" s="31"/>
      <c r="I319" s="31"/>
      <c r="J319" s="31"/>
      <c r="K319" s="31"/>
    </row>
    <row r="320" spans="1:11" ht="14.4" x14ac:dyDescent="0.3">
      <c r="A320" s="28" t="str">
        <f>B320&amp;C320&amp;D320&amp;E320</f>
        <v>AksessuarlarAyollar aksessuarlariSoch uchun aksessuarlarSoch toʻgʻnagʻichlari va taroqlar</v>
      </c>
      <c r="B320" s="35" t="s">
        <v>35</v>
      </c>
      <c r="C320" s="35" t="s">
        <v>3162</v>
      </c>
      <c r="D320" s="35" t="s">
        <v>3531</v>
      </c>
      <c r="E320" s="35" t="s">
        <v>3536</v>
      </c>
      <c r="F320" s="36">
        <v>0.27</v>
      </c>
      <c r="G320" s="31"/>
      <c r="H320" s="31"/>
      <c r="I320" s="31"/>
      <c r="J320" s="31"/>
      <c r="K320" s="31"/>
    </row>
    <row r="321" spans="1:11" ht="14.4" x14ac:dyDescent="0.3">
      <c r="A321" s="28" t="str">
        <f>B321&amp;C321&amp;D321&amp;E321</f>
        <v>SalomatlikIntim kosmetikaStimulyatorlar va prolonatorlarStimulyatorlar va prolonatorlar</v>
      </c>
      <c r="B321" s="35" t="s">
        <v>3147</v>
      </c>
      <c r="C321" s="35" t="s">
        <v>3483</v>
      </c>
      <c r="D321" s="35" t="s">
        <v>3537</v>
      </c>
      <c r="E321" s="35" t="s">
        <v>3537</v>
      </c>
      <c r="F321" s="36">
        <v>0.27</v>
      </c>
      <c r="G321" s="31"/>
      <c r="H321" s="31"/>
      <c r="I321" s="31"/>
      <c r="J321" s="31"/>
      <c r="K321" s="31"/>
    </row>
    <row r="322" spans="1:11" ht="14.4" x14ac:dyDescent="0.3">
      <c r="A322" s="28" t="str">
        <f>B322&amp;C322&amp;D322&amp;E322</f>
        <v>SalomatlikIntim kosmetikaIntim kosmetika vositalariIntim kosmetika vositalari</v>
      </c>
      <c r="B322" s="35" t="s">
        <v>3147</v>
      </c>
      <c r="C322" s="35" t="s">
        <v>3483</v>
      </c>
      <c r="D322" s="35" t="s">
        <v>3538</v>
      </c>
      <c r="E322" s="35" t="s">
        <v>3538</v>
      </c>
      <c r="F322" s="36">
        <v>0.27</v>
      </c>
      <c r="G322" s="31"/>
      <c r="H322" s="31"/>
      <c r="I322" s="31"/>
      <c r="J322" s="31"/>
      <c r="K322" s="31"/>
    </row>
    <row r="323" spans="1:11" ht="14.4" x14ac:dyDescent="0.3">
      <c r="A323" s="28" t="str">
        <f>B323&amp;C323&amp;D323&amp;E323</f>
        <v>Sport va hordiqSport butilkalar va sheykerlarSport butilkalar va sheykerlarSport butilkalar va sheykerlar</v>
      </c>
      <c r="B323" s="35" t="s">
        <v>43</v>
      </c>
      <c r="C323" s="35" t="s">
        <v>3539</v>
      </c>
      <c r="D323" s="35" t="s">
        <v>3539</v>
      </c>
      <c r="E323" s="35" t="s">
        <v>3539</v>
      </c>
      <c r="F323" s="36">
        <v>0.27</v>
      </c>
      <c r="G323" s="31"/>
      <c r="H323" s="31"/>
      <c r="I323" s="31"/>
      <c r="J323" s="31"/>
      <c r="K323" s="31"/>
    </row>
    <row r="324" spans="1:11" ht="14.4" x14ac:dyDescent="0.3">
      <c r="A324" s="28" t="str">
        <f>B324&amp;C324&amp;D324&amp;E324</f>
        <v>Uy-roʻzgʻor buyumlariHammom va sauna uchun tovarlarHammom uchun veniklarHammom uchun veniklar</v>
      </c>
      <c r="B324" s="35" t="s">
        <v>3193</v>
      </c>
      <c r="C324" s="35" t="s">
        <v>3540</v>
      </c>
      <c r="D324" s="35" t="s">
        <v>3541</v>
      </c>
      <c r="E324" s="35" t="s">
        <v>3541</v>
      </c>
      <c r="F324" s="36">
        <v>0.27</v>
      </c>
      <c r="G324" s="31"/>
      <c r="H324" s="31"/>
      <c r="I324" s="31"/>
      <c r="J324" s="31"/>
      <c r="K324" s="31"/>
    </row>
    <row r="325" spans="1:11" ht="14.4" x14ac:dyDescent="0.3">
      <c r="A325" s="28" t="str">
        <f>B325&amp;C325&amp;D325&amp;E325</f>
        <v>Uy-roʻzgʻor buyumlariDekor va interyerTutqichlar, tagliklar va patnislarTutqichlar, tagliklar va patnislar</v>
      </c>
      <c r="B325" s="35" t="s">
        <v>3193</v>
      </c>
      <c r="C325" s="35" t="s">
        <v>3542</v>
      </c>
      <c r="D325" s="35" t="s">
        <v>3543</v>
      </c>
      <c r="E325" s="35" t="s">
        <v>3543</v>
      </c>
      <c r="F325" s="36">
        <v>0.27</v>
      </c>
      <c r="G325" s="31"/>
      <c r="H325" s="31"/>
      <c r="I325" s="31"/>
      <c r="J325" s="31"/>
      <c r="K325" s="31"/>
    </row>
    <row r="326" spans="1:11" ht="14.4" x14ac:dyDescent="0.3">
      <c r="A326" s="28" t="str">
        <f>B326&amp;C326&amp;D326&amp;E326</f>
        <v>Uy-roʻzgʻor buyumlariHammom va sauna uchun tovarlarHammom uchun toʻqimachilik buyumlariHammom uchun toʻqimachilik buyumlari</v>
      </c>
      <c r="B326" s="35" t="s">
        <v>3193</v>
      </c>
      <c r="C326" s="35" t="s">
        <v>3540</v>
      </c>
      <c r="D326" s="35" t="s">
        <v>3544</v>
      </c>
      <c r="E326" s="35" t="s">
        <v>3544</v>
      </c>
      <c r="F326" s="36">
        <v>0.27</v>
      </c>
      <c r="G326" s="31"/>
      <c r="H326" s="31"/>
      <c r="I326" s="31"/>
      <c r="J326" s="31"/>
      <c r="K326" s="31"/>
    </row>
    <row r="327" spans="1:11" ht="14.4" x14ac:dyDescent="0.3">
      <c r="A327" s="28" t="str">
        <f>B327&amp;C327&amp;D327&amp;E327</f>
        <v>Uy-roʻzgʻor buyumlariBayramlar uchun tovarlarYangi yil tovarlariGirlyandlar</v>
      </c>
      <c r="B327" s="35" t="s">
        <v>3193</v>
      </c>
      <c r="C327" s="35" t="s">
        <v>3489</v>
      </c>
      <c r="D327" s="35" t="s">
        <v>3545</v>
      </c>
      <c r="E327" s="35" t="s">
        <v>3546</v>
      </c>
      <c r="F327" s="36">
        <v>0.27</v>
      </c>
      <c r="G327" s="31"/>
      <c r="H327" s="31"/>
      <c r="I327" s="31"/>
      <c r="J327" s="31"/>
      <c r="K327" s="31"/>
    </row>
    <row r="328" spans="1:11" ht="14.4" x14ac:dyDescent="0.3">
      <c r="A328" s="28" t="str">
        <f>B328&amp;C328&amp;D328&amp;E328</f>
        <v>Uy-roʻzgʻor buyumlariBayramlar uchun tovarlarYangi yil tovarlariYangi yil suvenirlari va sovgʻalari</v>
      </c>
      <c r="B328" s="35" t="s">
        <v>3193</v>
      </c>
      <c r="C328" s="35" t="s">
        <v>3489</v>
      </c>
      <c r="D328" s="35" t="s">
        <v>3545</v>
      </c>
      <c r="E328" s="35" t="s">
        <v>3547</v>
      </c>
      <c r="F328" s="36">
        <v>0.27</v>
      </c>
      <c r="G328" s="31"/>
      <c r="H328" s="31"/>
      <c r="I328" s="31"/>
      <c r="J328" s="31"/>
      <c r="K328" s="31"/>
    </row>
    <row r="329" spans="1:11" ht="14.4" x14ac:dyDescent="0.3">
      <c r="A329" s="28" t="str">
        <f>B329&amp;C329&amp;D329&amp;E329</f>
        <v>Uy-roʻzgʻor buyumlariBuyumlarni saqlashPoyabzallar uchun qoplamalarPoyabzallar uchun qoplamalar</v>
      </c>
      <c r="B329" s="35" t="s">
        <v>3193</v>
      </c>
      <c r="C329" s="35" t="s">
        <v>3548</v>
      </c>
      <c r="D329" s="35" t="s">
        <v>3549</v>
      </c>
      <c r="E329" s="35" t="s">
        <v>3549</v>
      </c>
      <c r="F329" s="36">
        <v>0.27</v>
      </c>
      <c r="G329" s="31"/>
      <c r="H329" s="31"/>
      <c r="I329" s="31"/>
      <c r="J329" s="31"/>
      <c r="K329" s="31"/>
    </row>
    <row r="330" spans="1:11" ht="14.4" x14ac:dyDescent="0.3">
      <c r="A330" s="28" t="str">
        <f>B330&amp;C330&amp;D330&amp;E330</f>
        <v>Uy-roʻzgʻor buyumlariHammom va sauna uchun tovarlarHammom uchun interyer buyumlariHammom uchun interyer buyumlari</v>
      </c>
      <c r="B330" s="35" t="s">
        <v>3193</v>
      </c>
      <c r="C330" s="35" t="s">
        <v>3540</v>
      </c>
      <c r="D330" s="35" t="s">
        <v>3550</v>
      </c>
      <c r="E330" s="35" t="s">
        <v>3550</v>
      </c>
      <c r="F330" s="36">
        <v>0.27</v>
      </c>
      <c r="G330" s="31"/>
      <c r="H330" s="31"/>
      <c r="I330" s="31"/>
      <c r="J330" s="31"/>
      <c r="K330" s="31"/>
    </row>
    <row r="331" spans="1:11" ht="14.4" x14ac:dyDescent="0.3">
      <c r="A331" s="28" t="str">
        <f>B331&amp;C331&amp;D331&amp;E331</f>
        <v>Uy-roʻzgʻor buyumlariDekor va interyerGʻaladonlarGʻaladonlar</v>
      </c>
      <c r="B331" s="35" t="s">
        <v>3193</v>
      </c>
      <c r="C331" s="35" t="s">
        <v>3542</v>
      </c>
      <c r="D331" s="35" t="s">
        <v>3551</v>
      </c>
      <c r="E331" s="35" t="s">
        <v>3551</v>
      </c>
      <c r="F331" s="36">
        <v>0.27</v>
      </c>
      <c r="G331" s="31"/>
      <c r="H331" s="31"/>
      <c r="I331" s="31"/>
      <c r="J331" s="31"/>
      <c r="K331" s="31"/>
    </row>
    <row r="332" spans="1:11" ht="14.4" x14ac:dyDescent="0.3">
      <c r="A332" s="28" t="str">
        <f>B332&amp;C332&amp;D332&amp;E332</f>
        <v>Uy-roʻzgʻor buyumlariBuyumlarni saqlashKiyim uchun qoplamalarKiyim uchun qoplamalar</v>
      </c>
      <c r="B332" s="35" t="s">
        <v>3193</v>
      </c>
      <c r="C332" s="35" t="s">
        <v>3548</v>
      </c>
      <c r="D332" s="35" t="s">
        <v>3552</v>
      </c>
      <c r="E332" s="35" t="s">
        <v>3552</v>
      </c>
      <c r="F332" s="36">
        <v>0.27</v>
      </c>
      <c r="G332" s="31"/>
      <c r="H332" s="31"/>
      <c r="I332" s="31"/>
      <c r="J332" s="31"/>
      <c r="K332" s="31"/>
    </row>
    <row r="333" spans="1:11" ht="14.4" x14ac:dyDescent="0.3">
      <c r="A333" s="28" t="str">
        <f>B333&amp;C333&amp;D333&amp;E333</f>
        <v>Uy-roʻzgʻor buyumlariDekor va interyerDafn marosimi uchun tovarlarDafn marosimi uchun tovarlar</v>
      </c>
      <c r="B333" s="35" t="s">
        <v>3193</v>
      </c>
      <c r="C333" s="35" t="s">
        <v>3542</v>
      </c>
      <c r="D333" s="35" t="s">
        <v>3553</v>
      </c>
      <c r="E333" s="35" t="s">
        <v>3553</v>
      </c>
      <c r="F333" s="36">
        <v>0.27</v>
      </c>
      <c r="G333" s="31"/>
      <c r="H333" s="31"/>
      <c r="I333" s="31"/>
      <c r="J333" s="31"/>
      <c r="K333" s="31"/>
    </row>
    <row r="334" spans="1:11" ht="14.4" x14ac:dyDescent="0.3">
      <c r="A334" s="28" t="str">
        <f>B334&amp;C334&amp;D334&amp;E334</f>
        <v>Uy-roʻzgʻor buyumlariBayramlar uchun tovarlarYangi yil tovarlariArcha oʻyinchoqlari va bezaklari</v>
      </c>
      <c r="B334" s="35" t="s">
        <v>3193</v>
      </c>
      <c r="C334" s="35" t="s">
        <v>3489</v>
      </c>
      <c r="D334" s="35" t="s">
        <v>3545</v>
      </c>
      <c r="E334" s="35" t="s">
        <v>3554</v>
      </c>
      <c r="F334" s="36">
        <v>0.27</v>
      </c>
      <c r="G334" s="31"/>
      <c r="H334" s="31"/>
      <c r="I334" s="31"/>
      <c r="J334" s="31"/>
      <c r="K334" s="31"/>
    </row>
    <row r="335" spans="1:11" ht="14.4" x14ac:dyDescent="0.3">
      <c r="A335" s="28" t="str">
        <f>B335&amp;C335&amp;D335&amp;E335</f>
        <v>Uy-roʻzgʻor buyumlariBuyumlarni saqlashIlgichlarIlgichlar-yelkalar</v>
      </c>
      <c r="B335" s="35" t="s">
        <v>3193</v>
      </c>
      <c r="C335" s="35" t="s">
        <v>3548</v>
      </c>
      <c r="D335" s="35" t="s">
        <v>3555</v>
      </c>
      <c r="E335" s="35" t="s">
        <v>3556</v>
      </c>
      <c r="F335" s="36">
        <v>0.27</v>
      </c>
      <c r="G335" s="31"/>
      <c r="H335" s="31"/>
      <c r="I335" s="31"/>
      <c r="J335" s="31"/>
      <c r="K335" s="31"/>
    </row>
    <row r="336" spans="1:11" ht="14.4" x14ac:dyDescent="0.3">
      <c r="A336" s="28" t="str">
        <f>B336&amp;C336&amp;D336&amp;E336</f>
        <v>Uy-roʻzgʻor buyumlariDekor va interyerShamlar va shamdonlarShamlar va shamdonlar</v>
      </c>
      <c r="B336" s="35" t="s">
        <v>3193</v>
      </c>
      <c r="C336" s="35" t="s">
        <v>3542</v>
      </c>
      <c r="D336" s="35" t="s">
        <v>3557</v>
      </c>
      <c r="E336" s="35" t="s">
        <v>3557</v>
      </c>
      <c r="F336" s="36">
        <v>0.27</v>
      </c>
      <c r="G336" s="31"/>
      <c r="H336" s="31"/>
      <c r="I336" s="31"/>
      <c r="J336" s="31"/>
      <c r="K336" s="31"/>
    </row>
    <row r="337" spans="1:11" ht="14.4" x14ac:dyDescent="0.3">
      <c r="A337" s="28" t="str">
        <f>B337&amp;C337&amp;D337&amp;E337</f>
        <v>Uy-roʻzgʻor buyumlariBuyumlarni saqlashVakuumli paketlar va paket qadoqlagichlarVakuumli paketlar va paket qadoqlagichlar</v>
      </c>
      <c r="B337" s="35" t="s">
        <v>3193</v>
      </c>
      <c r="C337" s="35" t="s">
        <v>3548</v>
      </c>
      <c r="D337" s="35" t="s">
        <v>3558</v>
      </c>
      <c r="E337" s="35" t="s">
        <v>3558</v>
      </c>
      <c r="F337" s="36">
        <v>0.27</v>
      </c>
      <c r="G337" s="31"/>
      <c r="H337" s="31"/>
      <c r="I337" s="31"/>
      <c r="J337" s="31"/>
      <c r="K337" s="31"/>
    </row>
    <row r="338" spans="1:11" ht="14.4" x14ac:dyDescent="0.3">
      <c r="A338" s="28" t="str">
        <f>B338&amp;C338&amp;D338&amp;E338</f>
        <v>Uy-roʻzgʻor buyumlariDekor va interyerSoatlar va ob-havo stansiyalariSoatlar va ob-havo stansiyalari</v>
      </c>
      <c r="B338" s="35" t="s">
        <v>3193</v>
      </c>
      <c r="C338" s="35" t="s">
        <v>3542</v>
      </c>
      <c r="D338" s="35" t="s">
        <v>3559</v>
      </c>
      <c r="E338" s="35" t="s">
        <v>3559</v>
      </c>
      <c r="F338" s="36">
        <v>0.27</v>
      </c>
      <c r="G338" s="31"/>
      <c r="H338" s="31"/>
      <c r="I338" s="31"/>
      <c r="J338" s="31"/>
      <c r="K338" s="31"/>
    </row>
    <row r="339" spans="1:11" ht="14.4" x14ac:dyDescent="0.3">
      <c r="A339" s="28" t="str">
        <f>B339&amp;C339&amp;D339&amp;E339</f>
        <v>Uy-roʻzgʻor buyumlariDekor va interyerKoʻzgularKoʻzgular</v>
      </c>
      <c r="B339" s="35" t="s">
        <v>3193</v>
      </c>
      <c r="C339" s="35" t="s">
        <v>3542</v>
      </c>
      <c r="D339" s="35" t="s">
        <v>3560</v>
      </c>
      <c r="E339" s="35" t="s">
        <v>3560</v>
      </c>
      <c r="F339" s="36">
        <v>0.27</v>
      </c>
      <c r="G339" s="31"/>
      <c r="H339" s="31"/>
      <c r="I339" s="31"/>
      <c r="J339" s="31"/>
      <c r="K339" s="31"/>
    </row>
    <row r="340" spans="1:11" ht="14.4" x14ac:dyDescent="0.3">
      <c r="A340" s="28" t="str">
        <f>B340&amp;C340&amp;D340&amp;E340</f>
        <v>Uy-roʻzgʻor buyumlariBayramlar uchun tovarlarYangi yil tovarlariArcha osti yubkalari</v>
      </c>
      <c r="B340" s="35" t="s">
        <v>3193</v>
      </c>
      <c r="C340" s="35" t="s">
        <v>3489</v>
      </c>
      <c r="D340" s="35" t="s">
        <v>3545</v>
      </c>
      <c r="E340" s="35" t="s">
        <v>3561</v>
      </c>
      <c r="F340" s="36">
        <v>0.27</v>
      </c>
      <c r="G340" s="31"/>
      <c r="H340" s="31"/>
      <c r="I340" s="31"/>
      <c r="J340" s="31"/>
      <c r="K340" s="31"/>
    </row>
    <row r="341" spans="1:11" ht="14.4" x14ac:dyDescent="0.3">
      <c r="A341" s="28" t="str">
        <f>B341&amp;C341&amp;D341&amp;E341</f>
        <v>Uy-roʻzgʻor buyumlariDekor va interyerInteryerni bezatishInteryerni bezatish</v>
      </c>
      <c r="B341" s="35" t="s">
        <v>3193</v>
      </c>
      <c r="C341" s="35" t="s">
        <v>3542</v>
      </c>
      <c r="D341" s="35" t="s">
        <v>3562</v>
      </c>
      <c r="E341" s="35" t="s">
        <v>3562</v>
      </c>
      <c r="F341" s="36">
        <v>0.27</v>
      </c>
      <c r="G341" s="31"/>
      <c r="H341" s="31"/>
      <c r="I341" s="31"/>
      <c r="J341" s="31"/>
      <c r="K341" s="31"/>
    </row>
    <row r="342" spans="1:11" ht="14.4" x14ac:dyDescent="0.3">
      <c r="A342" s="28" t="str">
        <f>B342&amp;C342&amp;D342&amp;E342</f>
        <v>Uy-roʻzgʻor buyumlariDekor va interyerFoto ramkalar va foto albomlarFoto ramkalar va foto albomlar</v>
      </c>
      <c r="B342" s="35" t="s">
        <v>3193</v>
      </c>
      <c r="C342" s="35" t="s">
        <v>3542</v>
      </c>
      <c r="D342" s="35" t="s">
        <v>3563</v>
      </c>
      <c r="E342" s="35" t="s">
        <v>3563</v>
      </c>
      <c r="F342" s="36">
        <v>0.27</v>
      </c>
      <c r="G342" s="31"/>
      <c r="H342" s="31"/>
      <c r="I342" s="31"/>
      <c r="J342" s="31"/>
      <c r="K342" s="31"/>
    </row>
    <row r="343" spans="1:11" ht="14.4" x14ac:dyDescent="0.3">
      <c r="A343" s="28" t="str">
        <f>B343&amp;C343&amp;D343&amp;E343</f>
        <v>Uy-roʻzgʻor buyumlariHammom va sauna uchun tovarlarYogʻoch chelaklarYogʻoch chelaklar</v>
      </c>
      <c r="B343" s="35" t="s">
        <v>3193</v>
      </c>
      <c r="C343" s="35" t="s">
        <v>3540</v>
      </c>
      <c r="D343" s="35" t="s">
        <v>3564</v>
      </c>
      <c r="E343" s="35" t="s">
        <v>3564</v>
      </c>
      <c r="F343" s="36">
        <v>0.27</v>
      </c>
      <c r="G343" s="31"/>
      <c r="H343" s="31"/>
      <c r="I343" s="31"/>
      <c r="J343" s="31"/>
      <c r="K343" s="31"/>
    </row>
    <row r="344" spans="1:11" ht="14.4" x14ac:dyDescent="0.3">
      <c r="A344" s="28" t="str">
        <f>B344&amp;C344&amp;D344&amp;E344</f>
        <v>Uy-roʻzgʻor buyumlariDekor va interyerInteryerni bezatishHaykalchalar</v>
      </c>
      <c r="B344" s="35" t="s">
        <v>3193</v>
      </c>
      <c r="C344" s="35" t="s">
        <v>3542</v>
      </c>
      <c r="D344" s="35" t="s">
        <v>3562</v>
      </c>
      <c r="E344" s="35" t="s">
        <v>3565</v>
      </c>
      <c r="F344" s="36">
        <v>0.27</v>
      </c>
      <c r="G344" s="31"/>
      <c r="H344" s="31"/>
      <c r="I344" s="31"/>
      <c r="J344" s="31"/>
      <c r="K344" s="31"/>
    </row>
    <row r="345" spans="1:11" ht="14.4" x14ac:dyDescent="0.3">
      <c r="A345" s="28" t="str">
        <f>B345&amp;C345&amp;D345&amp;E345</f>
        <v>Uy-roʻzgʻor buyumlariBuyumlarni saqlashKirlar uchun baklarKirlar uchun baklar</v>
      </c>
      <c r="B345" s="35" t="s">
        <v>3193</v>
      </c>
      <c r="C345" s="35" t="s">
        <v>3548</v>
      </c>
      <c r="D345" s="35" t="s">
        <v>3566</v>
      </c>
      <c r="E345" s="35" t="s">
        <v>3566</v>
      </c>
      <c r="F345" s="36">
        <v>0.27</v>
      </c>
      <c r="G345" s="31"/>
      <c r="H345" s="31"/>
      <c r="I345" s="31"/>
      <c r="J345" s="31"/>
      <c r="K345" s="31"/>
    </row>
    <row r="346" spans="1:11" ht="14.4" x14ac:dyDescent="0.3">
      <c r="A346" s="28" t="str">
        <f>B346&amp;C346&amp;D346&amp;E346</f>
        <v>Uy-roʻzgʻor buyumlariBuyumlarni saqlashQutilar, savatlar, konteynerlarQutilar, savatlar, konteynerlar</v>
      </c>
      <c r="B346" s="35" t="s">
        <v>3193</v>
      </c>
      <c r="C346" s="35" t="s">
        <v>3548</v>
      </c>
      <c r="D346" s="35" t="s">
        <v>3567</v>
      </c>
      <c r="E346" s="35" t="s">
        <v>3567</v>
      </c>
      <c r="F346" s="36">
        <v>0.27</v>
      </c>
      <c r="G346" s="31"/>
      <c r="H346" s="31"/>
      <c r="I346" s="31"/>
      <c r="J346" s="31"/>
      <c r="K346" s="31"/>
    </row>
    <row r="347" spans="1:11" ht="14.4" x14ac:dyDescent="0.3">
      <c r="A347" s="28" t="str">
        <f>B347&amp;C347&amp;D347&amp;E347</f>
        <v>Uy-roʻzgʻor buyumlariHammom va sauna uchun tovarlarChelaklar va kadkalarChelaklar va kadkalar</v>
      </c>
      <c r="B347" s="35" t="s">
        <v>3193</v>
      </c>
      <c r="C347" s="35" t="s">
        <v>3540</v>
      </c>
      <c r="D347" s="35" t="s">
        <v>3568</v>
      </c>
      <c r="E347" s="35" t="s">
        <v>3568</v>
      </c>
      <c r="F347" s="36">
        <v>0.27</v>
      </c>
      <c r="G347" s="31"/>
      <c r="H347" s="31"/>
      <c r="I347" s="31"/>
      <c r="J347" s="31"/>
      <c r="K347" s="31"/>
    </row>
    <row r="348" spans="1:11" ht="14.4" x14ac:dyDescent="0.3">
      <c r="A348" s="28" t="str">
        <f>B348&amp;C348&amp;D348&amp;E348</f>
        <v>Uy-roʻzgʻor buyumlariDekor va interyerInteryerni bezatishQutichalar</v>
      </c>
      <c r="B348" s="35" t="s">
        <v>3193</v>
      </c>
      <c r="C348" s="35" t="s">
        <v>3542</v>
      </c>
      <c r="D348" s="35" t="s">
        <v>3562</v>
      </c>
      <c r="E348" s="35" t="s">
        <v>3569</v>
      </c>
      <c r="F348" s="36">
        <v>0.27</v>
      </c>
      <c r="G348" s="31"/>
      <c r="H348" s="31"/>
      <c r="I348" s="31"/>
      <c r="J348" s="31"/>
      <c r="K348" s="31"/>
    </row>
    <row r="349" spans="1:11" ht="14.4" x14ac:dyDescent="0.3">
      <c r="A349" s="28" t="str">
        <f>B349&amp;C349&amp;D349&amp;E349</f>
        <v>Uy-roʻzgʻor buyumlariHammom va sauna uchun tovarlarTokchalar va skameykalarTokchalar va skameykalar</v>
      </c>
      <c r="B349" s="35" t="s">
        <v>3193</v>
      </c>
      <c r="C349" s="35" t="s">
        <v>3540</v>
      </c>
      <c r="D349" s="35" t="s">
        <v>3570</v>
      </c>
      <c r="E349" s="35" t="s">
        <v>3570</v>
      </c>
      <c r="F349" s="36">
        <v>0.27</v>
      </c>
      <c r="G349" s="31"/>
      <c r="H349" s="31"/>
      <c r="I349" s="31"/>
      <c r="J349" s="31"/>
      <c r="K349" s="31"/>
    </row>
    <row r="350" spans="1:11" ht="14.4" x14ac:dyDescent="0.3">
      <c r="A350" s="28" t="str">
        <f>B350&amp;C350&amp;D350&amp;E350</f>
        <v>Uy-roʻzgʻor buyumlariDekor va interyerSuvenirlar va sovgʻalarSuvenirlar va sovgʻalar</v>
      </c>
      <c r="B350" s="35" t="s">
        <v>3193</v>
      </c>
      <c r="C350" s="35" t="s">
        <v>3542</v>
      </c>
      <c r="D350" s="35" t="s">
        <v>3571</v>
      </c>
      <c r="E350" s="35" t="s">
        <v>3571</v>
      </c>
      <c r="F350" s="36">
        <v>0.27</v>
      </c>
      <c r="G350" s="31"/>
      <c r="H350" s="31"/>
      <c r="I350" s="31"/>
      <c r="J350" s="31"/>
      <c r="K350" s="31"/>
    </row>
    <row r="351" spans="1:11" ht="14.4" x14ac:dyDescent="0.3">
      <c r="A351" s="28" t="str">
        <f>B351&amp;C351&amp;D351&amp;E351</f>
        <v>Uy-roʻzgʻor buyumlariDekor va interyerRasmlar va pannoRasmlar va panno</v>
      </c>
      <c r="B351" s="35" t="s">
        <v>3193</v>
      </c>
      <c r="C351" s="35" t="s">
        <v>3542</v>
      </c>
      <c r="D351" s="35" t="s">
        <v>3572</v>
      </c>
      <c r="E351" s="35" t="s">
        <v>3572</v>
      </c>
      <c r="F351" s="36">
        <v>0.27</v>
      </c>
      <c r="G351" s="31"/>
      <c r="H351" s="31"/>
      <c r="I351" s="31"/>
      <c r="J351" s="31"/>
      <c r="K351" s="31"/>
    </row>
    <row r="352" spans="1:11" ht="14.4" x14ac:dyDescent="0.3">
      <c r="A352" s="28" t="str">
        <f>B352&amp;C352&amp;D352&amp;E352</f>
        <v>Uy-roʻzgʻor buyumlariBayramlar uchun tovarlarYangi yil tovarlariZarlar, dojdiklar, osma yozuvlar</v>
      </c>
      <c r="B352" s="35" t="s">
        <v>3193</v>
      </c>
      <c r="C352" s="35" t="s">
        <v>3489</v>
      </c>
      <c r="D352" s="35" t="s">
        <v>3545</v>
      </c>
      <c r="E352" s="35" t="s">
        <v>3573</v>
      </c>
      <c r="F352" s="36">
        <v>0.27</v>
      </c>
      <c r="G352" s="31"/>
      <c r="H352" s="31"/>
      <c r="I352" s="31"/>
      <c r="J352" s="31"/>
      <c r="K352" s="31"/>
    </row>
    <row r="353" spans="1:11" ht="14.4" x14ac:dyDescent="0.3">
      <c r="A353" s="28" t="str">
        <f>B353&amp;C353&amp;D353&amp;E353</f>
        <v>Uy-roʻzgʻor buyumlariDekor va interyerTablichlakalar, raqamlar va ilgaklarTablichlakalar, raqamlar va ilgaklar</v>
      </c>
      <c r="B353" s="35" t="s">
        <v>3193</v>
      </c>
      <c r="C353" s="35" t="s">
        <v>3542</v>
      </c>
      <c r="D353" s="35" t="s">
        <v>3574</v>
      </c>
      <c r="E353" s="35" t="s">
        <v>3574</v>
      </c>
      <c r="F353" s="36">
        <v>0.27</v>
      </c>
      <c r="G353" s="31"/>
      <c r="H353" s="31"/>
      <c r="I353" s="31"/>
      <c r="J353" s="31"/>
      <c r="K353" s="31"/>
    </row>
    <row r="354" spans="1:11" ht="14.4" x14ac:dyDescent="0.3">
      <c r="A354" s="28" t="str">
        <f>B354&amp;C354&amp;D354&amp;E354</f>
        <v>Uy-roʻzgʻor buyumlariBuyumlarni saqlashIlgichlarDevor ilgichlari va ilgaklar</v>
      </c>
      <c r="B354" s="35" t="s">
        <v>3193</v>
      </c>
      <c r="C354" s="35" t="s">
        <v>3548</v>
      </c>
      <c r="D354" s="35" t="s">
        <v>3555</v>
      </c>
      <c r="E354" s="35" t="s">
        <v>3575</v>
      </c>
      <c r="F354" s="36">
        <v>0.27</v>
      </c>
      <c r="G354" s="31"/>
      <c r="H354" s="31"/>
      <c r="I354" s="31"/>
      <c r="J354" s="31"/>
      <c r="K354" s="31"/>
    </row>
    <row r="355" spans="1:11" ht="14.4" x14ac:dyDescent="0.3">
      <c r="A355" s="28" t="str">
        <f>B355&amp;C355&amp;D355&amp;E355</f>
        <v>Uy-roʻzgʻor buyumlariDekor va interyerGuldonlarGuldonlar</v>
      </c>
      <c r="B355" s="35" t="s">
        <v>3193</v>
      </c>
      <c r="C355" s="35" t="s">
        <v>3542</v>
      </c>
      <c r="D355" s="35" t="s">
        <v>3576</v>
      </c>
      <c r="E355" s="35" t="s">
        <v>3576</v>
      </c>
      <c r="F355" s="36">
        <v>0.27</v>
      </c>
      <c r="G355" s="31"/>
      <c r="H355" s="31"/>
      <c r="I355" s="31"/>
      <c r="J355" s="31"/>
      <c r="K355" s="31"/>
    </row>
    <row r="356" spans="1:11" ht="14.4" x14ac:dyDescent="0.3">
      <c r="A356" s="28" t="str">
        <f>B356&amp;C356&amp;D356&amp;E356</f>
        <v>Uy-roʻzgʻor buyumlariBuyumlarni saqlashOrganayzerlar va ajratuvchilarOrganayzerlar va ajratuvchilar</v>
      </c>
      <c r="B356" s="35" t="s">
        <v>3193</v>
      </c>
      <c r="C356" s="35" t="s">
        <v>3548</v>
      </c>
      <c r="D356" s="35" t="s">
        <v>3577</v>
      </c>
      <c r="E356" s="35" t="s">
        <v>3577</v>
      </c>
      <c r="F356" s="36">
        <v>0.27</v>
      </c>
      <c r="G356" s="31"/>
      <c r="H356" s="31"/>
      <c r="I356" s="31"/>
      <c r="J356" s="31"/>
      <c r="K356" s="31"/>
    </row>
    <row r="357" spans="1:11" ht="14.4" x14ac:dyDescent="0.3">
      <c r="A357" s="28" t="str">
        <f>B357&amp;C357&amp;D357&amp;E357</f>
        <v>Uy-roʻzgʻor buyumlariBuyumlarni saqlashIlgichlarQavatli ilgichlar</v>
      </c>
      <c r="B357" s="35" t="s">
        <v>3193</v>
      </c>
      <c r="C357" s="35" t="s">
        <v>3548</v>
      </c>
      <c r="D357" s="35" t="s">
        <v>3555</v>
      </c>
      <c r="E357" s="35" t="s">
        <v>3578</v>
      </c>
      <c r="F357" s="36">
        <v>0.27</v>
      </c>
      <c r="G357" s="31"/>
      <c r="H357" s="31"/>
      <c r="I357" s="31"/>
      <c r="J357" s="31"/>
      <c r="K357" s="31"/>
    </row>
    <row r="358" spans="1:11" ht="14.4" x14ac:dyDescent="0.3">
      <c r="A358" s="28" t="str">
        <f>B358&amp;C358&amp;D358&amp;E358</f>
        <v>Uy-roʻzgʻor buyumlariDekor va interyerTermometrlar, barometrlarTermometrlar, barometrlar</v>
      </c>
      <c r="B358" s="35" t="s">
        <v>3193</v>
      </c>
      <c r="C358" s="35" t="s">
        <v>3542</v>
      </c>
      <c r="D358" s="35" t="s">
        <v>3579</v>
      </c>
      <c r="E358" s="35" t="s">
        <v>3579</v>
      </c>
      <c r="F358" s="36">
        <v>0.27</v>
      </c>
      <c r="G358" s="31"/>
      <c r="H358" s="31"/>
      <c r="I358" s="31"/>
      <c r="J358" s="31"/>
      <c r="K358" s="31"/>
    </row>
    <row r="359" spans="1:11" ht="14.4" x14ac:dyDescent="0.3">
      <c r="A359" s="28" t="str">
        <f>B359&amp;C359&amp;D359&amp;E359</f>
        <v>Uy-roʻzgʻor buyumlariDekor va interyerSunʼiy gullarSunʼiy gullar</v>
      </c>
      <c r="B359" s="35" t="s">
        <v>3193</v>
      </c>
      <c r="C359" s="35" t="s">
        <v>3542</v>
      </c>
      <c r="D359" s="35" t="s">
        <v>3580</v>
      </c>
      <c r="E359" s="35" t="s">
        <v>3580</v>
      </c>
      <c r="F359" s="36">
        <v>0.27</v>
      </c>
      <c r="G359" s="31"/>
      <c r="H359" s="31"/>
      <c r="I359" s="31"/>
      <c r="J359" s="31"/>
      <c r="K359" s="31"/>
    </row>
    <row r="360" spans="1:11" ht="14.4" x14ac:dyDescent="0.3">
      <c r="A360" s="28" t="str">
        <f>B360&amp;C360&amp;D360&amp;E360</f>
        <v>Uy-roʻzgʻor buyumlariBayramlar uchun tovarlarYangi yil tovarlariSunʼiy qor</v>
      </c>
      <c r="B360" s="35" t="s">
        <v>3193</v>
      </c>
      <c r="C360" s="35" t="s">
        <v>3489</v>
      </c>
      <c r="D360" s="35" t="s">
        <v>3545</v>
      </c>
      <c r="E360" s="35" t="s">
        <v>3581</v>
      </c>
      <c r="F360" s="36">
        <v>0.27</v>
      </c>
      <c r="G360" s="31"/>
      <c r="H360" s="31"/>
      <c r="I360" s="31"/>
      <c r="J360" s="31"/>
      <c r="K360" s="31"/>
    </row>
    <row r="361" spans="1:11" ht="14.4" x14ac:dyDescent="0.3">
      <c r="A361" s="28" t="str">
        <f>B361&amp;C361&amp;D361&amp;E361</f>
        <v>Uy-roʻzgʻor buyumlariDekor va interyerUy uchun iforlarUy uchun iforlar</v>
      </c>
      <c r="B361" s="35" t="s">
        <v>3193</v>
      </c>
      <c r="C361" s="35" t="s">
        <v>3542</v>
      </c>
      <c r="D361" s="35" t="s">
        <v>3582</v>
      </c>
      <c r="E361" s="35" t="s">
        <v>3582</v>
      </c>
      <c r="F361" s="36">
        <v>0.27</v>
      </c>
      <c r="G361" s="31"/>
      <c r="H361" s="31"/>
      <c r="I361" s="31"/>
      <c r="J361" s="31"/>
      <c r="K361" s="31"/>
    </row>
    <row r="362" spans="1:11" ht="14.4" x14ac:dyDescent="0.3">
      <c r="A362" s="28" t="str">
        <f>B362&amp;C362&amp;D362&amp;E362</f>
        <v>AksessuarlarAyollar aksessuarlariBijuteriyalarUzuklar</v>
      </c>
      <c r="B362" s="35" t="s">
        <v>35</v>
      </c>
      <c r="C362" s="35" t="s">
        <v>3162</v>
      </c>
      <c r="D362" s="35" t="s">
        <v>3163</v>
      </c>
      <c r="E362" s="35" t="s">
        <v>36</v>
      </c>
      <c r="F362" s="36">
        <v>0.25</v>
      </c>
      <c r="G362" s="31"/>
      <c r="H362" s="31"/>
      <c r="I362" s="31"/>
      <c r="J362" s="31"/>
      <c r="K362" s="31"/>
    </row>
    <row r="363" spans="1:11" ht="14.4" x14ac:dyDescent="0.3">
      <c r="A363" s="28" t="str">
        <f>B363&amp;C363&amp;D363&amp;E363</f>
        <v>AksessuarlarAyollar aksessuarlariSoatlar va qayishlarSoat</v>
      </c>
      <c r="B363" s="35" t="s">
        <v>35</v>
      </c>
      <c r="C363" s="35" t="s">
        <v>3162</v>
      </c>
      <c r="D363" s="35" t="s">
        <v>3231</v>
      </c>
      <c r="E363" s="35" t="s">
        <v>3583</v>
      </c>
      <c r="F363" s="36">
        <v>0.25</v>
      </c>
      <c r="G363" s="31"/>
      <c r="H363" s="31"/>
      <c r="I363" s="31"/>
      <c r="J363" s="31"/>
      <c r="K363" s="31"/>
    </row>
    <row r="364" spans="1:11" ht="14.4" x14ac:dyDescent="0.3">
      <c r="A364" s="28" t="str">
        <f>B364&amp;C364&amp;D364&amp;E364</f>
        <v>AksessuarlarSayohat uchun aksessuarlarChamadonlarChamadonlar</v>
      </c>
      <c r="B364" s="35" t="s">
        <v>35</v>
      </c>
      <c r="C364" s="35" t="s">
        <v>3158</v>
      </c>
      <c r="D364" s="35" t="s">
        <v>3584</v>
      </c>
      <c r="E364" s="35" t="s">
        <v>3584</v>
      </c>
      <c r="F364" s="36">
        <v>0.25</v>
      </c>
      <c r="G364" s="31"/>
      <c r="H364" s="31"/>
      <c r="I364" s="31"/>
      <c r="J364" s="31"/>
      <c r="K364" s="31"/>
    </row>
    <row r="365" spans="1:11" ht="14.4" x14ac:dyDescent="0.3">
      <c r="A365" s="28" t="str">
        <f>B365&amp;C365&amp;D365&amp;E365</f>
        <v>AksessuarlarErkaklar aksessuarlariSoatlar va qayishlarSoat</v>
      </c>
      <c r="B365" s="35" t="s">
        <v>35</v>
      </c>
      <c r="C365" s="35" t="s">
        <v>3154</v>
      </c>
      <c r="D365" s="35" t="s">
        <v>3231</v>
      </c>
      <c r="E365" s="35" t="s">
        <v>3583</v>
      </c>
      <c r="F365" s="36">
        <v>0.25</v>
      </c>
      <c r="G365" s="31"/>
      <c r="H365" s="31"/>
      <c r="I365" s="31"/>
      <c r="J365" s="31"/>
      <c r="K365" s="31"/>
    </row>
    <row r="366" spans="1:11" ht="14.4" x14ac:dyDescent="0.3">
      <c r="A366" s="28" t="str">
        <f>B366&amp;C366&amp;D366&amp;E366</f>
        <v>AksessuarlarAyollar aksessuarlariBijuteriyalarBilaguzuklar</v>
      </c>
      <c r="B366" s="35" t="s">
        <v>35</v>
      </c>
      <c r="C366" s="35" t="s">
        <v>3162</v>
      </c>
      <c r="D366" s="35" t="s">
        <v>3163</v>
      </c>
      <c r="E366" s="35" t="s">
        <v>3169</v>
      </c>
      <c r="F366" s="36">
        <v>0.25</v>
      </c>
      <c r="G366" s="31"/>
      <c r="H366" s="31"/>
      <c r="I366" s="31"/>
      <c r="J366" s="31"/>
      <c r="K366" s="31"/>
    </row>
    <row r="367" spans="1:11" ht="14.4" x14ac:dyDescent="0.3">
      <c r="A367" s="28" t="str">
        <f>B367&amp;C367&amp;D367&amp;E367</f>
        <v>AksessuarlarAyollar aksessuarlariBijuteriyalarZiraklar</v>
      </c>
      <c r="B367" s="35" t="s">
        <v>35</v>
      </c>
      <c r="C367" s="35" t="s">
        <v>3162</v>
      </c>
      <c r="D367" s="35" t="s">
        <v>3163</v>
      </c>
      <c r="E367" s="35" t="s">
        <v>3207</v>
      </c>
      <c r="F367" s="36">
        <v>0.25</v>
      </c>
      <c r="G367" s="31"/>
      <c r="H367" s="31"/>
      <c r="I367" s="31"/>
      <c r="J367" s="31"/>
      <c r="K367" s="31"/>
    </row>
    <row r="368" spans="1:11" ht="14.4" x14ac:dyDescent="0.3">
      <c r="A368" s="28" t="str">
        <f>B368&amp;C368&amp;D368&amp;E368</f>
        <v>AvtotovarlarAksessuarlar va jihozlarSalon uchun jihozlarHavfsizlik kamarlari</v>
      </c>
      <c r="B368" s="35" t="s">
        <v>39</v>
      </c>
      <c r="C368" s="35" t="s">
        <v>3585</v>
      </c>
      <c r="D368" s="35" t="s">
        <v>3586</v>
      </c>
      <c r="E368" s="35" t="s">
        <v>3587</v>
      </c>
      <c r="F368" s="36">
        <v>0.25</v>
      </c>
      <c r="G368" s="31"/>
      <c r="H368" s="31"/>
      <c r="I368" s="31"/>
      <c r="J368" s="31"/>
      <c r="K368" s="31"/>
    </row>
    <row r="369" spans="1:11" ht="14.4" x14ac:dyDescent="0.3">
      <c r="A369" s="28" t="str">
        <f>B369&amp;C369&amp;D369&amp;E369</f>
        <v>AvtotovarlarAksessuarlar va jihozlarTyuning va tashqi bezakOvozli signallar</v>
      </c>
      <c r="B369" s="35" t="s">
        <v>39</v>
      </c>
      <c r="C369" s="35" t="s">
        <v>3585</v>
      </c>
      <c r="D369" s="35" t="s">
        <v>3588</v>
      </c>
      <c r="E369" s="35" t="s">
        <v>3589</v>
      </c>
      <c r="F369" s="36">
        <v>0.25</v>
      </c>
      <c r="G369" s="31"/>
      <c r="H369" s="31"/>
      <c r="I369" s="31"/>
      <c r="J369" s="31"/>
      <c r="K369" s="31"/>
    </row>
    <row r="370" spans="1:11" ht="14.4" x14ac:dyDescent="0.3">
      <c r="A370" s="28" t="str">
        <f>B370&amp;C370&amp;D370&amp;E370</f>
        <v>AvtotovarlarAksessuarlar va jihozlarSalon uchun jihozlarQuyoshdan himoyalovchi pardalar</v>
      </c>
      <c r="B370" s="35" t="s">
        <v>39</v>
      </c>
      <c r="C370" s="35" t="s">
        <v>3585</v>
      </c>
      <c r="D370" s="35" t="s">
        <v>3586</v>
      </c>
      <c r="E370" s="35" t="s">
        <v>3590</v>
      </c>
      <c r="F370" s="36">
        <v>0.25</v>
      </c>
      <c r="G370" s="31"/>
      <c r="H370" s="31"/>
      <c r="I370" s="31"/>
      <c r="J370" s="31"/>
      <c r="K370" s="31"/>
    </row>
    <row r="371" spans="1:11" ht="14.4" x14ac:dyDescent="0.3">
      <c r="A371" s="28" t="str">
        <f>B371&amp;C371&amp;D371&amp;E371</f>
        <v>AvtotovarlarAksessuarlar va jihozlarTyuning va tashqi bezakRadiatorlarning panjaralari va toʻrlari</v>
      </c>
      <c r="B371" s="35" t="s">
        <v>39</v>
      </c>
      <c r="C371" s="35" t="s">
        <v>3585</v>
      </c>
      <c r="D371" s="35" t="s">
        <v>3588</v>
      </c>
      <c r="E371" s="35" t="s">
        <v>3591</v>
      </c>
      <c r="F371" s="36">
        <v>0.25</v>
      </c>
      <c r="G371" s="31"/>
      <c r="H371" s="31"/>
      <c r="I371" s="31"/>
      <c r="J371" s="31"/>
      <c r="K371" s="31"/>
    </row>
    <row r="372" spans="1:11" ht="14.4" x14ac:dyDescent="0.3">
      <c r="A372" s="28" t="str">
        <f>B372&amp;C372&amp;D372&amp;E372</f>
        <v>AvtotovarlarAksessuarlar va jihozlarTyuning va tashqi bezakOstona toʻshamalari</v>
      </c>
      <c r="B372" s="35" t="s">
        <v>39</v>
      </c>
      <c r="C372" s="35" t="s">
        <v>3585</v>
      </c>
      <c r="D372" s="35" t="s">
        <v>3588</v>
      </c>
      <c r="E372" s="35" t="s">
        <v>3592</v>
      </c>
      <c r="F372" s="36">
        <v>0.25</v>
      </c>
      <c r="G372" s="31"/>
      <c r="H372" s="31"/>
      <c r="I372" s="31"/>
      <c r="J372" s="31"/>
      <c r="K372" s="31"/>
    </row>
    <row r="373" spans="1:11" ht="14.4" x14ac:dyDescent="0.3">
      <c r="A373" s="28" t="str">
        <f>B373&amp;C373&amp;D373&amp;E373</f>
        <v>AvtotovarlarAksessuarlar va jihozlarTyuning va tashqi bezakAvtomobil uchun havo tozalagichlar</v>
      </c>
      <c r="B373" s="35" t="s">
        <v>39</v>
      </c>
      <c r="C373" s="35" t="s">
        <v>3585</v>
      </c>
      <c r="D373" s="35" t="s">
        <v>3588</v>
      </c>
      <c r="E373" s="35" t="s">
        <v>3593</v>
      </c>
      <c r="F373" s="36">
        <v>0.25</v>
      </c>
      <c r="G373" s="31"/>
      <c r="H373" s="31"/>
      <c r="I373" s="31"/>
      <c r="J373" s="31"/>
      <c r="K373" s="31"/>
    </row>
    <row r="374" spans="1:11" ht="14.4" x14ac:dyDescent="0.3">
      <c r="A374" s="28" t="str">
        <f>B374&amp;C374&amp;D374&amp;E374</f>
        <v>AvtotovarlarMototexnikalar, motoekipirovka uchun tovarlarSkuterlarSkuterlar</v>
      </c>
      <c r="B374" s="35" t="s">
        <v>39</v>
      </c>
      <c r="C374" s="35" t="s">
        <v>3594</v>
      </c>
      <c r="D374" s="35" t="s">
        <v>3595</v>
      </c>
      <c r="E374" s="35" t="s">
        <v>3595</v>
      </c>
      <c r="F374" s="36">
        <v>0.25</v>
      </c>
      <c r="G374" s="31"/>
      <c r="H374" s="31"/>
      <c r="I374" s="31"/>
      <c r="J374" s="31"/>
      <c r="K374" s="31"/>
    </row>
    <row r="375" spans="1:11" ht="14.4" x14ac:dyDescent="0.3">
      <c r="A375" s="28" t="str">
        <f>B375&amp;C375&amp;D375&amp;E375</f>
        <v>AvtotovarlarAksessuarlar va jihozlarAvariya holatlari uchun zarur anjomlarBenzin uchun kanistrlar</v>
      </c>
      <c r="B375" s="35" t="s">
        <v>39</v>
      </c>
      <c r="C375" s="35" t="s">
        <v>3585</v>
      </c>
      <c r="D375" s="35" t="s">
        <v>3596</v>
      </c>
      <c r="E375" s="35" t="s">
        <v>3597</v>
      </c>
      <c r="F375" s="36">
        <v>0.25</v>
      </c>
      <c r="G375" s="31"/>
      <c r="H375" s="31"/>
      <c r="I375" s="31"/>
      <c r="J375" s="31"/>
      <c r="K375" s="31"/>
    </row>
    <row r="376" spans="1:11" ht="14.4" x14ac:dyDescent="0.3">
      <c r="A376" s="28" t="str">
        <f>B376&amp;C376&amp;D376&amp;E376</f>
        <v>AvtotovarlarAksessuarlar va jihozlarSalon uchun jihozlarYostiqlar va matraslar</v>
      </c>
      <c r="B376" s="35" t="s">
        <v>39</v>
      </c>
      <c r="C376" s="35" t="s">
        <v>3585</v>
      </c>
      <c r="D376" s="35" t="s">
        <v>3586</v>
      </c>
      <c r="E376" s="35" t="s">
        <v>3598</v>
      </c>
      <c r="F376" s="36">
        <v>0.25</v>
      </c>
      <c r="G376" s="31"/>
      <c r="H376" s="31"/>
      <c r="I376" s="31"/>
      <c r="J376" s="31"/>
      <c r="K376" s="31"/>
    </row>
    <row r="377" spans="1:11" ht="14.4" x14ac:dyDescent="0.3">
      <c r="A377" s="28" t="str">
        <f>B377&amp;C377&amp;D377&amp;E377</f>
        <v>AvtotovarlarAksessuarlar va jihozlarSalon uchun jihozlarOrqani koʻrish oynalari</v>
      </c>
      <c r="B377" s="35" t="s">
        <v>39</v>
      </c>
      <c r="C377" s="35" t="s">
        <v>3585</v>
      </c>
      <c r="D377" s="35" t="s">
        <v>3586</v>
      </c>
      <c r="E377" s="35" t="s">
        <v>3599</v>
      </c>
      <c r="F377" s="36">
        <v>0.25</v>
      </c>
      <c r="G377" s="31"/>
      <c r="H377" s="31"/>
      <c r="I377" s="31"/>
      <c r="J377" s="31"/>
      <c r="K377" s="31"/>
    </row>
    <row r="378" spans="1:11" ht="14.4" x14ac:dyDescent="0.3">
      <c r="A378" s="28" t="str">
        <f>B378&amp;C378&amp;D378&amp;E378</f>
        <v>AvtotovarlarAksessuarlar va jihozlarSalon uchun jihozlarAvtomobil kuldonlari</v>
      </c>
      <c r="B378" s="35" t="s">
        <v>39</v>
      </c>
      <c r="C378" s="35" t="s">
        <v>3585</v>
      </c>
      <c r="D378" s="35" t="s">
        <v>3586</v>
      </c>
      <c r="E378" s="35" t="s">
        <v>3600</v>
      </c>
      <c r="F378" s="36">
        <v>0.25</v>
      </c>
      <c r="G378" s="31"/>
      <c r="H378" s="31"/>
      <c r="I378" s="31"/>
      <c r="J378" s="31"/>
      <c r="K378" s="31"/>
    </row>
    <row r="379" spans="1:11" ht="14.4" x14ac:dyDescent="0.3">
      <c r="A379" s="28" t="str">
        <f>B379&amp;C379&amp;D379&amp;E379</f>
        <v>AvtotovarlarAksessuarlar va jihozlarSalon uchun jihozlarStolchalar va tokchalar</v>
      </c>
      <c r="B379" s="35" t="s">
        <v>39</v>
      </c>
      <c r="C379" s="35" t="s">
        <v>3585</v>
      </c>
      <c r="D379" s="35" t="s">
        <v>3586</v>
      </c>
      <c r="E379" s="35" t="s">
        <v>3601</v>
      </c>
      <c r="F379" s="36">
        <v>0.25</v>
      </c>
      <c r="G379" s="31"/>
      <c r="H379" s="31"/>
      <c r="I379" s="31"/>
      <c r="J379" s="31"/>
      <c r="K379" s="31"/>
    </row>
    <row r="380" spans="1:11" ht="14.4" x14ac:dyDescent="0.3">
      <c r="A380" s="28" t="str">
        <f>B380&amp;C380&amp;D380&amp;E380</f>
        <v>AvtotovarlarAksessuarlar va jihozlarYuk tashishBagaj tizimlari</v>
      </c>
      <c r="B380" s="35" t="s">
        <v>39</v>
      </c>
      <c r="C380" s="35" t="s">
        <v>3585</v>
      </c>
      <c r="D380" s="35" t="s">
        <v>3602</v>
      </c>
      <c r="E380" s="35" t="s">
        <v>3603</v>
      </c>
      <c r="F380" s="36">
        <v>0.25</v>
      </c>
      <c r="G380" s="31"/>
      <c r="H380" s="31"/>
      <c r="I380" s="31"/>
      <c r="J380" s="31"/>
      <c r="K380" s="31"/>
    </row>
    <row r="381" spans="1:11" ht="14.4" x14ac:dyDescent="0.3">
      <c r="A381" s="28" t="str">
        <f>B381&amp;C381&amp;D381&amp;E381</f>
        <v>AvtotovarlarAksessuarlar va jihozlarTyuning va tashqi bezakKapot va yukxona tirgaklari</v>
      </c>
      <c r="B381" s="35" t="s">
        <v>39</v>
      </c>
      <c r="C381" s="35" t="s">
        <v>3585</v>
      </c>
      <c r="D381" s="35" t="s">
        <v>3588</v>
      </c>
      <c r="E381" s="35" t="s">
        <v>3604</v>
      </c>
      <c r="F381" s="36">
        <v>0.25</v>
      </c>
      <c r="G381" s="31"/>
      <c r="H381" s="31"/>
      <c r="I381" s="31"/>
      <c r="J381" s="31"/>
      <c r="K381" s="31"/>
    </row>
    <row r="382" spans="1:11" ht="14.4" x14ac:dyDescent="0.3">
      <c r="A382" s="28" t="str">
        <f>B382&amp;C382&amp;D382&amp;E382</f>
        <v>AvtotovarlarAksessuarlar va jihozlarAvtomobil kuzovi himoyasiRadiator himoyasi</v>
      </c>
      <c r="B382" s="35" t="s">
        <v>39</v>
      </c>
      <c r="C382" s="35" t="s">
        <v>3585</v>
      </c>
      <c r="D382" s="35" t="s">
        <v>3605</v>
      </c>
      <c r="E382" s="35" t="s">
        <v>3606</v>
      </c>
      <c r="F382" s="36">
        <v>0.25</v>
      </c>
      <c r="G382" s="31"/>
      <c r="H382" s="31"/>
      <c r="I382" s="31"/>
      <c r="J382" s="31"/>
      <c r="K382" s="31"/>
    </row>
    <row r="383" spans="1:11" ht="14.4" x14ac:dyDescent="0.3">
      <c r="A383" s="28" t="str">
        <f>B383&amp;C383&amp;D383&amp;E383</f>
        <v>AvtotovarlarAksessuarlar va jihozlarTyuning va tashqi bezakKapot deflektorlari</v>
      </c>
      <c r="B383" s="35" t="s">
        <v>39</v>
      </c>
      <c r="C383" s="35" t="s">
        <v>3585</v>
      </c>
      <c r="D383" s="35" t="s">
        <v>3588</v>
      </c>
      <c r="E383" s="35" t="s">
        <v>3607</v>
      </c>
      <c r="F383" s="36">
        <v>0.25</v>
      </c>
      <c r="G383" s="31"/>
      <c r="H383" s="31"/>
      <c r="I383" s="31"/>
      <c r="J383" s="31"/>
      <c r="K383" s="31"/>
    </row>
    <row r="384" spans="1:11" ht="14.4" x14ac:dyDescent="0.3">
      <c r="A384" s="28" t="str">
        <f>B384&amp;C384&amp;D384&amp;E384</f>
        <v>AvtotovarlarAksessuarlar va jihozlarYuk tashishReylinglar</v>
      </c>
      <c r="B384" s="35" t="s">
        <v>39</v>
      </c>
      <c r="C384" s="35" t="s">
        <v>3585</v>
      </c>
      <c r="D384" s="35" t="s">
        <v>3602</v>
      </c>
      <c r="E384" s="35" t="s">
        <v>3608</v>
      </c>
      <c r="F384" s="36">
        <v>0.25</v>
      </c>
      <c r="G384" s="31"/>
      <c r="H384" s="31"/>
      <c r="I384" s="31"/>
      <c r="J384" s="31"/>
      <c r="K384" s="31"/>
    </row>
    <row r="385" spans="1:11" ht="14.4" x14ac:dyDescent="0.3">
      <c r="A385" s="28" t="str">
        <f>B385&amp;C385&amp;D385&amp;E385</f>
        <v>AvtotovarlarAvtomobil uchun moylar va kimyoviy moddalarAntifrizlarAntifrizlar</v>
      </c>
      <c r="B385" s="35" t="s">
        <v>39</v>
      </c>
      <c r="C385" s="35" t="s">
        <v>3609</v>
      </c>
      <c r="D385" s="35" t="s">
        <v>3610</v>
      </c>
      <c r="E385" s="35" t="s">
        <v>3610</v>
      </c>
      <c r="F385" s="36">
        <v>0.25</v>
      </c>
      <c r="G385" s="31"/>
      <c r="H385" s="31"/>
      <c r="I385" s="31"/>
      <c r="J385" s="31"/>
      <c r="K385" s="31"/>
    </row>
    <row r="386" spans="1:11" ht="14.4" x14ac:dyDescent="0.3">
      <c r="A386" s="28" t="str">
        <f>B386&amp;C386&amp;D386&amp;E386</f>
        <v>AvtotovarlarAksessuarlar va jihozlarAvtomobil uchun suvenirlarYorugʻlik qaytargichlar</v>
      </c>
      <c r="B386" s="35" t="s">
        <v>39</v>
      </c>
      <c r="C386" s="35" t="s">
        <v>3585</v>
      </c>
      <c r="D386" s="35" t="s">
        <v>3611</v>
      </c>
      <c r="E386" s="35" t="s">
        <v>3612</v>
      </c>
      <c r="F386" s="36">
        <v>0.25</v>
      </c>
      <c r="G386" s="31"/>
      <c r="H386" s="31"/>
      <c r="I386" s="31"/>
      <c r="J386" s="31"/>
      <c r="K386" s="31"/>
    </row>
    <row r="387" spans="1:11" ht="14.4" x14ac:dyDescent="0.3">
      <c r="A387" s="28" t="str">
        <f>B387&amp;C387&amp;D387&amp;E387</f>
        <v>AvtotovarlarAksessuarlar va jihozlarTyuning va tashqi bezakRaqamlar uchun ramkalar</v>
      </c>
      <c r="B387" s="35" t="s">
        <v>39</v>
      </c>
      <c r="C387" s="35" t="s">
        <v>3585</v>
      </c>
      <c r="D387" s="35" t="s">
        <v>3588</v>
      </c>
      <c r="E387" s="35" t="s">
        <v>3613</v>
      </c>
      <c r="F387" s="36">
        <v>0.25</v>
      </c>
      <c r="G387" s="31"/>
      <c r="H387" s="31"/>
      <c r="I387" s="31"/>
      <c r="J387" s="31"/>
      <c r="K387" s="31"/>
    </row>
    <row r="388" spans="1:11" ht="14.4" x14ac:dyDescent="0.3">
      <c r="A388" s="28" t="str">
        <f>B388&amp;C388&amp;D388&amp;E388</f>
        <v>AvtotovarlarAksessuarlar va jihozlarYuk tashishKamarlar va rezinkalar</v>
      </c>
      <c r="B388" s="35" t="s">
        <v>39</v>
      </c>
      <c r="C388" s="35" t="s">
        <v>3585</v>
      </c>
      <c r="D388" s="35" t="s">
        <v>3602</v>
      </c>
      <c r="E388" s="35" t="s">
        <v>3614</v>
      </c>
      <c r="F388" s="36">
        <v>0.25</v>
      </c>
      <c r="G388" s="31"/>
      <c r="H388" s="31"/>
      <c r="I388" s="31"/>
      <c r="J388" s="31"/>
      <c r="K388" s="31"/>
    </row>
    <row r="389" spans="1:11" ht="14.4" x14ac:dyDescent="0.3">
      <c r="A389" s="28" t="str">
        <f>B389&amp;C389&amp;D389&amp;E389</f>
        <v>AvtotovarlarAksessuarlar va jihozlarTyuning va tashqi bezakSachrashdan saqlash qismlari</v>
      </c>
      <c r="B389" s="35" t="s">
        <v>39</v>
      </c>
      <c r="C389" s="35" t="s">
        <v>3585</v>
      </c>
      <c r="D389" s="35" t="s">
        <v>3588</v>
      </c>
      <c r="E389" s="35" t="s">
        <v>3615</v>
      </c>
      <c r="F389" s="36">
        <v>0.25</v>
      </c>
      <c r="G389" s="31"/>
      <c r="H389" s="31"/>
      <c r="I389" s="31"/>
      <c r="J389" s="31"/>
      <c r="K389" s="31"/>
    </row>
    <row r="390" spans="1:11" ht="14.4" x14ac:dyDescent="0.3">
      <c r="A390" s="28" t="str">
        <f>B390&amp;C390&amp;D390&amp;E390</f>
        <v>AvtotovarlarAvtomobilni parvarishiOyna va faralar parvarishiOyna va faralar parvarishi</v>
      </c>
      <c r="B390" s="35" t="s">
        <v>39</v>
      </c>
      <c r="C390" s="35" t="s">
        <v>3616</v>
      </c>
      <c r="D390" s="35" t="s">
        <v>3617</v>
      </c>
      <c r="E390" s="35" t="s">
        <v>3617</v>
      </c>
      <c r="F390" s="36">
        <v>0.25</v>
      </c>
      <c r="G390" s="31"/>
      <c r="H390" s="31"/>
      <c r="I390" s="31"/>
      <c r="J390" s="31"/>
      <c r="K390" s="31"/>
    </row>
    <row r="391" spans="1:11" ht="14.4" x14ac:dyDescent="0.3">
      <c r="A391" s="28" t="str">
        <f>B391&amp;C391&amp;D391&amp;E391</f>
        <v>AvtotovarlarAksessuarlar va jihozlarSalon uchun jihozlarQuyoshdan himoya koziryoklari</v>
      </c>
      <c r="B391" s="35" t="s">
        <v>39</v>
      </c>
      <c r="C391" s="35" t="s">
        <v>3585</v>
      </c>
      <c r="D391" s="35" t="s">
        <v>3586</v>
      </c>
      <c r="E391" s="35" t="s">
        <v>3618</v>
      </c>
      <c r="F391" s="36">
        <v>0.25</v>
      </c>
      <c r="G391" s="31"/>
      <c r="H391" s="31"/>
      <c r="I391" s="31"/>
      <c r="J391" s="31"/>
      <c r="K391" s="31"/>
    </row>
    <row r="392" spans="1:11" ht="14.4" x14ac:dyDescent="0.3">
      <c r="A392" s="28" t="str">
        <f>B392&amp;C392&amp;D392&amp;E392</f>
        <v>AvtotovarlarAksessuarlar va jihozlarAvtomobil uchun suvenirlarKalit ilgichlar va dekorativ elementlar</v>
      </c>
      <c r="B392" s="35" t="s">
        <v>39</v>
      </c>
      <c r="C392" s="35" t="s">
        <v>3585</v>
      </c>
      <c r="D392" s="35" t="s">
        <v>3611</v>
      </c>
      <c r="E392" s="35" t="s">
        <v>3619</v>
      </c>
      <c r="F392" s="36">
        <v>0.25</v>
      </c>
      <c r="G392" s="31"/>
      <c r="H392" s="31"/>
      <c r="I392" s="31"/>
      <c r="J392" s="31"/>
      <c r="K392" s="31"/>
    </row>
    <row r="393" spans="1:11" ht="14.4" x14ac:dyDescent="0.3">
      <c r="A393" s="28" t="str">
        <f>B393&amp;C393&amp;D393&amp;E393</f>
        <v>AvtotovarlarAksessuarlar va jihozlarAvtomobil uchun suvenirlarBoshqa avtomobil suvenirlari</v>
      </c>
      <c r="B393" s="35" t="s">
        <v>39</v>
      </c>
      <c r="C393" s="35" t="s">
        <v>3585</v>
      </c>
      <c r="D393" s="35" t="s">
        <v>3611</v>
      </c>
      <c r="E393" s="35" t="s">
        <v>3620</v>
      </c>
      <c r="F393" s="36">
        <v>0.25</v>
      </c>
      <c r="G393" s="31"/>
      <c r="H393" s="31"/>
      <c r="I393" s="31"/>
      <c r="J393" s="31"/>
      <c r="K393" s="31"/>
    </row>
    <row r="394" spans="1:11" ht="14.4" x14ac:dyDescent="0.3">
      <c r="A394" s="28" t="str">
        <f>B394&amp;C394&amp;D394&amp;E394</f>
        <v>AvtotovarlarAvtomobilni parvarishiAvtomobil uchun tozalash vositalariAvtomobil uchun tozalash vositalari</v>
      </c>
      <c r="B394" s="35" t="s">
        <v>39</v>
      </c>
      <c r="C394" s="35" t="s">
        <v>3616</v>
      </c>
      <c r="D394" s="35" t="s">
        <v>3621</v>
      </c>
      <c r="E394" s="35" t="s">
        <v>3621</v>
      </c>
      <c r="F394" s="36">
        <v>0.25</v>
      </c>
      <c r="G394" s="31"/>
      <c r="H394" s="31"/>
      <c r="I394" s="31"/>
      <c r="J394" s="31"/>
      <c r="K394" s="31"/>
    </row>
    <row r="395" spans="1:11" ht="14.4" x14ac:dyDescent="0.3">
      <c r="A395" s="28" t="str">
        <f>B395&amp;C395&amp;D395&amp;E395</f>
        <v>AvtotovarlarAksessuarlar va jihozlarTyuning va tashqi bezakAvtomobil tonirovkasi</v>
      </c>
      <c r="B395" s="35" t="s">
        <v>39</v>
      </c>
      <c r="C395" s="35" t="s">
        <v>3585</v>
      </c>
      <c r="D395" s="35" t="s">
        <v>3588</v>
      </c>
      <c r="E395" s="35" t="s">
        <v>3622</v>
      </c>
      <c r="F395" s="36">
        <v>0.25</v>
      </c>
      <c r="G395" s="31"/>
      <c r="H395" s="31"/>
      <c r="I395" s="31"/>
      <c r="J395" s="31"/>
      <c r="K395" s="31"/>
    </row>
    <row r="396" spans="1:11" ht="14.4" x14ac:dyDescent="0.3">
      <c r="A396" s="28" t="str">
        <f>B396&amp;C396&amp;D396&amp;E396</f>
        <v>AvtotovarlarAvtomobil uchun moylar va kimyoviy moddalarTransmissiya moylariTransmissiya moylari</v>
      </c>
      <c r="B396" s="35" t="s">
        <v>39</v>
      </c>
      <c r="C396" s="35" t="s">
        <v>3609</v>
      </c>
      <c r="D396" s="35" t="s">
        <v>3623</v>
      </c>
      <c r="E396" s="35" t="s">
        <v>3623</v>
      </c>
      <c r="F396" s="36">
        <v>0.25</v>
      </c>
      <c r="G396" s="31"/>
      <c r="H396" s="31"/>
      <c r="I396" s="31"/>
      <c r="J396" s="31"/>
      <c r="K396" s="31"/>
    </row>
    <row r="397" spans="1:11" ht="14.4" x14ac:dyDescent="0.3">
      <c r="A397" s="28" t="str">
        <f>B397&amp;C397&amp;D397&amp;E397</f>
        <v>AvtotovarlarAksessuarlar va jihozlarSalon uchun jihozlarAvtomobil uchun konsollar</v>
      </c>
      <c r="B397" s="35" t="s">
        <v>39</v>
      </c>
      <c r="C397" s="35" t="s">
        <v>3585</v>
      </c>
      <c r="D397" s="35" t="s">
        <v>3586</v>
      </c>
      <c r="E397" s="35" t="s">
        <v>3624</v>
      </c>
      <c r="F397" s="36">
        <v>0.25</v>
      </c>
      <c r="G397" s="31"/>
      <c r="H397" s="31"/>
      <c r="I397" s="31"/>
      <c r="J397" s="31"/>
      <c r="K397" s="31"/>
    </row>
    <row r="398" spans="1:11" ht="14.4" x14ac:dyDescent="0.3">
      <c r="A398" s="28" t="str">
        <f>B398&amp;C398&amp;D398&amp;E398</f>
        <v>AvtotovarlarAvtomobil uchun moylar va kimyoviy moddalarPrisadkalar va qoʻshimchalarPrisadkalar va qoʻshimchalar</v>
      </c>
      <c r="B398" s="35" t="s">
        <v>39</v>
      </c>
      <c r="C398" s="35" t="s">
        <v>3609</v>
      </c>
      <c r="D398" s="35" t="s">
        <v>3625</v>
      </c>
      <c r="E398" s="35" t="s">
        <v>3625</v>
      </c>
      <c r="F398" s="36">
        <v>0.25</v>
      </c>
      <c r="G398" s="31"/>
      <c r="H398" s="31"/>
      <c r="I398" s="31"/>
      <c r="J398" s="31"/>
      <c r="K398" s="31"/>
    </row>
    <row r="399" spans="1:11" ht="14.4" x14ac:dyDescent="0.3">
      <c r="A399" s="28" t="str">
        <f>B399&amp;C399&amp;D399&amp;E399</f>
        <v>AvtotovarlarAksessuarlar va jihozlarAvariya holatlari uchun zarur anjomlarAvtomobil dori qutilari</v>
      </c>
      <c r="B399" s="35" t="s">
        <v>39</v>
      </c>
      <c r="C399" s="35" t="s">
        <v>3585</v>
      </c>
      <c r="D399" s="35" t="s">
        <v>3596</v>
      </c>
      <c r="E399" s="35" t="s">
        <v>3626</v>
      </c>
      <c r="F399" s="36">
        <v>0.25</v>
      </c>
      <c r="G399" s="31"/>
      <c r="H399" s="31"/>
      <c r="I399" s="31"/>
      <c r="J399" s="31"/>
      <c r="K399" s="31"/>
    </row>
    <row r="400" spans="1:11" ht="14.4" x14ac:dyDescent="0.3">
      <c r="A400" s="28" t="str">
        <f>B400&amp;C400&amp;D400&amp;E400</f>
        <v>AvtotovarlarAksessuarlar va jihozlarSalon uchun jihozlarRul uchun qoplamalar va tutqichlar</v>
      </c>
      <c r="B400" s="35" t="s">
        <v>39</v>
      </c>
      <c r="C400" s="35" t="s">
        <v>3585</v>
      </c>
      <c r="D400" s="35" t="s">
        <v>3586</v>
      </c>
      <c r="E400" s="35" t="s">
        <v>3627</v>
      </c>
      <c r="F400" s="36">
        <v>0.25</v>
      </c>
      <c r="G400" s="31"/>
      <c r="H400" s="31"/>
      <c r="I400" s="31"/>
      <c r="J400" s="31"/>
      <c r="K400" s="31"/>
    </row>
    <row r="401" spans="1:11" ht="14.4" x14ac:dyDescent="0.3">
      <c r="A401" s="28" t="str">
        <f>B401&amp;C401&amp;D401&amp;E401</f>
        <v>AvtotovarlarAvtomobil uchun moylar va kimyoviy moddalarAvtokimyo toʻplamlariAvtokimyo toʻplamlari</v>
      </c>
      <c r="B401" s="35" t="s">
        <v>39</v>
      </c>
      <c r="C401" s="35" t="s">
        <v>3609</v>
      </c>
      <c r="D401" s="35" t="s">
        <v>3628</v>
      </c>
      <c r="E401" s="35" t="s">
        <v>3628</v>
      </c>
      <c r="F401" s="36">
        <v>0.25</v>
      </c>
      <c r="G401" s="31"/>
      <c r="H401" s="31"/>
      <c r="I401" s="31"/>
      <c r="J401" s="31"/>
      <c r="K401" s="31"/>
    </row>
    <row r="402" spans="1:11" ht="14.4" x14ac:dyDescent="0.3">
      <c r="A402" s="28" t="str">
        <f>B402&amp;C402&amp;D402&amp;E402</f>
        <v>AvtotovarlarAksessuarlar va jihozlarAvariya holatlari uchun zarur anjomlarYorugʻlik qaytaruvchi jiletlar</v>
      </c>
      <c r="B402" s="35" t="s">
        <v>39</v>
      </c>
      <c r="C402" s="35" t="s">
        <v>3585</v>
      </c>
      <c r="D402" s="35" t="s">
        <v>3596</v>
      </c>
      <c r="E402" s="35" t="s">
        <v>3629</v>
      </c>
      <c r="F402" s="36">
        <v>0.25</v>
      </c>
      <c r="G402" s="31"/>
      <c r="H402" s="31"/>
      <c r="I402" s="31"/>
      <c r="J402" s="31"/>
      <c r="K402" s="31"/>
    </row>
    <row r="403" spans="1:11" ht="14.4" x14ac:dyDescent="0.3">
      <c r="A403" s="28" t="str">
        <f>B403&amp;C403&amp;D403&amp;E403</f>
        <v>AvtotovarlarAksessuarlar va jihozlarSalon uchun jihozlarTutqichlar va tayanchlar</v>
      </c>
      <c r="B403" s="35" t="s">
        <v>39</v>
      </c>
      <c r="C403" s="35" t="s">
        <v>3585</v>
      </c>
      <c r="D403" s="35" t="s">
        <v>3586</v>
      </c>
      <c r="E403" s="35" t="s">
        <v>3630</v>
      </c>
      <c r="F403" s="36">
        <v>0.25</v>
      </c>
      <c r="G403" s="31"/>
      <c r="H403" s="31"/>
      <c r="I403" s="31"/>
      <c r="J403" s="31"/>
      <c r="K403" s="31"/>
    </row>
    <row r="404" spans="1:11" ht="14.4" x14ac:dyDescent="0.3">
      <c r="A404" s="28" t="str">
        <f>B404&amp;C404&amp;D404&amp;E404</f>
        <v>AvtotovarlarAvtomobil uchun moylar va kimyoviy moddalarYelim va germetikalarYelim va germetikalar</v>
      </c>
      <c r="B404" s="35" t="s">
        <v>39</v>
      </c>
      <c r="C404" s="35" t="s">
        <v>3609</v>
      </c>
      <c r="D404" s="35" t="s">
        <v>3466</v>
      </c>
      <c r="E404" s="35" t="s">
        <v>3466</v>
      </c>
      <c r="F404" s="36">
        <v>0.25</v>
      </c>
      <c r="G404" s="31"/>
      <c r="H404" s="31"/>
      <c r="I404" s="31"/>
      <c r="J404" s="31"/>
      <c r="K404" s="31"/>
    </row>
    <row r="405" spans="1:11" ht="14.4" x14ac:dyDescent="0.3">
      <c r="A405" s="28" t="str">
        <f>B405&amp;C405&amp;D405&amp;E405</f>
        <v>AvtotovarlarAksessuarlar va jihozlarAvtomobil kuzovi himoyasiKuzov dugalari</v>
      </c>
      <c r="B405" s="35" t="s">
        <v>39</v>
      </c>
      <c r="C405" s="35" t="s">
        <v>3585</v>
      </c>
      <c r="D405" s="35" t="s">
        <v>3605</v>
      </c>
      <c r="E405" s="35" t="s">
        <v>3631</v>
      </c>
      <c r="F405" s="36">
        <v>0.25</v>
      </c>
      <c r="G405" s="31"/>
      <c r="H405" s="31"/>
      <c r="I405" s="31"/>
      <c r="J405" s="31"/>
      <c r="K405" s="31"/>
    </row>
    <row r="406" spans="1:11" ht="14.4" x14ac:dyDescent="0.3">
      <c r="A406" s="28" t="str">
        <f>B406&amp;C406&amp;D406&amp;E406</f>
        <v>AvtotovarlarAksessuarlar va jihozlarAvtomobil kuzovi himoyasiKarter va uzatmalar qutisi uchun himoya</v>
      </c>
      <c r="B406" s="35" t="s">
        <v>39</v>
      </c>
      <c r="C406" s="35" t="s">
        <v>3585</v>
      </c>
      <c r="D406" s="35" t="s">
        <v>3605</v>
      </c>
      <c r="E406" s="35" t="s">
        <v>3632</v>
      </c>
      <c r="F406" s="36">
        <v>0.25</v>
      </c>
      <c r="G406" s="31"/>
      <c r="H406" s="31"/>
      <c r="I406" s="31"/>
      <c r="J406" s="31"/>
      <c r="K406" s="31"/>
    </row>
    <row r="407" spans="1:11" ht="14.4" x14ac:dyDescent="0.3">
      <c r="A407" s="28" t="str">
        <f>B407&amp;C407&amp;D407&amp;E407</f>
        <v>AvtotovarlarAksessuarlar va jihozlarAvariya holatlari uchun zarur anjomlarAvtomobil chelaklari</v>
      </c>
      <c r="B407" s="35" t="s">
        <v>39</v>
      </c>
      <c r="C407" s="35" t="s">
        <v>3585</v>
      </c>
      <c r="D407" s="35" t="s">
        <v>3596</v>
      </c>
      <c r="E407" s="35" t="s">
        <v>3633</v>
      </c>
      <c r="F407" s="36">
        <v>0.25</v>
      </c>
      <c r="G407" s="31"/>
      <c r="H407" s="31"/>
      <c r="I407" s="31"/>
      <c r="J407" s="31"/>
      <c r="K407" s="31"/>
    </row>
    <row r="408" spans="1:11" ht="14.4" x14ac:dyDescent="0.3">
      <c r="A408" s="28" t="str">
        <f>B408&amp;C408&amp;D408&amp;E408</f>
        <v>AvtotovarlarAksessuarlar va jihozlarYuk tashishQulflar</v>
      </c>
      <c r="B408" s="35" t="s">
        <v>39</v>
      </c>
      <c r="C408" s="35" t="s">
        <v>3585</v>
      </c>
      <c r="D408" s="35" t="s">
        <v>3602</v>
      </c>
      <c r="E408" s="35" t="s">
        <v>3634</v>
      </c>
      <c r="F408" s="36">
        <v>0.25</v>
      </c>
      <c r="G408" s="31"/>
      <c r="H408" s="31"/>
      <c r="I408" s="31"/>
      <c r="J408" s="31"/>
      <c r="K408" s="31"/>
    </row>
    <row r="409" spans="1:11" ht="14.4" x14ac:dyDescent="0.3">
      <c r="A409" s="28" t="str">
        <f>B409&amp;C409&amp;D409&amp;E409</f>
        <v>AvtotovarlarAksessuarlar va jihozlarAvtomobil uchun suvenirlarNakleykalar va belgilar</v>
      </c>
      <c r="B409" s="35" t="s">
        <v>39</v>
      </c>
      <c r="C409" s="35" t="s">
        <v>3585</v>
      </c>
      <c r="D409" s="35" t="s">
        <v>3611</v>
      </c>
      <c r="E409" s="35" t="s">
        <v>3635</v>
      </c>
      <c r="F409" s="36">
        <v>0.25</v>
      </c>
      <c r="G409" s="31"/>
      <c r="H409" s="31"/>
      <c r="I409" s="31"/>
      <c r="J409" s="31"/>
      <c r="K409" s="31"/>
    </row>
    <row r="410" spans="1:11" ht="14.4" x14ac:dyDescent="0.3">
      <c r="A410" s="28" t="str">
        <f>B410&amp;C410&amp;D410&amp;E410</f>
        <v>AvtotovarlarAksessuarlar va jihozlarTyuning va tashqi bezakIzolyatsiya materiallari</v>
      </c>
      <c r="B410" s="35" t="s">
        <v>39</v>
      </c>
      <c r="C410" s="35" t="s">
        <v>3585</v>
      </c>
      <c r="D410" s="35" t="s">
        <v>3588</v>
      </c>
      <c r="E410" s="35" t="s">
        <v>3636</v>
      </c>
      <c r="F410" s="36">
        <v>0.25</v>
      </c>
      <c r="G410" s="31"/>
      <c r="H410" s="31"/>
      <c r="I410" s="31"/>
      <c r="J410" s="31"/>
      <c r="K410" s="31"/>
    </row>
    <row r="411" spans="1:11" ht="14.4" x14ac:dyDescent="0.3">
      <c r="A411" s="28" t="str">
        <f>B411&amp;C411&amp;D411&amp;E411</f>
        <v>AvtotovarlarAvtomobilni parvarishiQulflar va shishalarni muzdan eritish moslamalariQulflar va shishalarni muzdan eritish moslamalari</v>
      </c>
      <c r="B411" s="35" t="s">
        <v>39</v>
      </c>
      <c r="C411" s="35" t="s">
        <v>3616</v>
      </c>
      <c r="D411" s="35" t="s">
        <v>3637</v>
      </c>
      <c r="E411" s="35" t="s">
        <v>3637</v>
      </c>
      <c r="F411" s="36">
        <v>0.25</v>
      </c>
      <c r="G411" s="31"/>
      <c r="H411" s="31"/>
      <c r="I411" s="31"/>
      <c r="J411" s="31"/>
      <c r="K411" s="31"/>
    </row>
    <row r="412" spans="1:11" ht="14.4" x14ac:dyDescent="0.3">
      <c r="A412" s="28" t="str">
        <f>B412&amp;C412&amp;D412&amp;E412</f>
        <v>AvtotovarlarAvtomobilni parvarishiAvtomobil changyutgichlariAvtomobil changyutgichlari</v>
      </c>
      <c r="B412" s="35" t="s">
        <v>39</v>
      </c>
      <c r="C412" s="35" t="s">
        <v>3616</v>
      </c>
      <c r="D412" s="35" t="s">
        <v>3638</v>
      </c>
      <c r="E412" s="35" t="s">
        <v>3638</v>
      </c>
      <c r="F412" s="36">
        <v>0.25</v>
      </c>
      <c r="G412" s="31"/>
      <c r="H412" s="31"/>
      <c r="I412" s="31"/>
      <c r="J412" s="31"/>
      <c r="K412" s="31"/>
    </row>
    <row r="413" spans="1:11" ht="14.4" x14ac:dyDescent="0.3">
      <c r="A413" s="28" t="str">
        <f>B413&amp;C413&amp;D413&amp;E413</f>
        <v>AvtotovarlarAksessuarlar va jihozlarSalon uchun jihozlarPedallar uchun nakladkalar</v>
      </c>
      <c r="B413" s="35" t="s">
        <v>39</v>
      </c>
      <c r="C413" s="35" t="s">
        <v>3585</v>
      </c>
      <c r="D413" s="35" t="s">
        <v>3586</v>
      </c>
      <c r="E413" s="35" t="s">
        <v>3639</v>
      </c>
      <c r="F413" s="36">
        <v>0.25</v>
      </c>
      <c r="G413" s="31"/>
      <c r="H413" s="31"/>
      <c r="I413" s="31"/>
      <c r="J413" s="31"/>
      <c r="K413" s="31"/>
    </row>
    <row r="414" spans="1:11" ht="14.4" x14ac:dyDescent="0.3">
      <c r="A414" s="28" t="str">
        <f>B414&amp;C414&amp;D414&amp;E414</f>
        <v>AvtotovarlarAksessuarlar va jihozlarAvariya holatlari uchun zarur anjomlarYongʻin oʻchirgichlar</v>
      </c>
      <c r="B414" s="35" t="s">
        <v>39</v>
      </c>
      <c r="C414" s="35" t="s">
        <v>3585</v>
      </c>
      <c r="D414" s="35" t="s">
        <v>3596</v>
      </c>
      <c r="E414" s="35" t="s">
        <v>3640</v>
      </c>
      <c r="F414" s="36">
        <v>0.25</v>
      </c>
      <c r="G414" s="31"/>
      <c r="H414" s="31"/>
      <c r="I414" s="31"/>
      <c r="J414" s="31"/>
      <c r="K414" s="31"/>
    </row>
    <row r="415" spans="1:11" ht="14.4" x14ac:dyDescent="0.3">
      <c r="A415" s="28" t="str">
        <f>B415&amp;C415&amp;D415&amp;E415</f>
        <v>AvtotovarlarAksessuarlar va jihozlarSalon uchun jihozlarAxlat uchun paketlar</v>
      </c>
      <c r="B415" s="35" t="s">
        <v>39</v>
      </c>
      <c r="C415" s="35" t="s">
        <v>3585</v>
      </c>
      <c r="D415" s="35" t="s">
        <v>3586</v>
      </c>
      <c r="E415" s="35" t="s">
        <v>3641</v>
      </c>
      <c r="F415" s="36">
        <v>0.25</v>
      </c>
      <c r="G415" s="31"/>
      <c r="H415" s="31"/>
      <c r="I415" s="31"/>
      <c r="J415" s="31"/>
      <c r="K415" s="31"/>
    </row>
    <row r="416" spans="1:11" ht="14.4" x14ac:dyDescent="0.3">
      <c r="A416" s="28" t="str">
        <f>B416&amp;C416&amp;D416&amp;E416</f>
        <v>AvtotovarlarAvtomobil uchun moylar va kimyoviy moddalarQoʻllarni tozalash vositalariQoʻllarni tozalash vositalari</v>
      </c>
      <c r="B416" s="35" t="s">
        <v>39</v>
      </c>
      <c r="C416" s="35" t="s">
        <v>3609</v>
      </c>
      <c r="D416" s="35" t="s">
        <v>3642</v>
      </c>
      <c r="E416" s="35" t="s">
        <v>3642</v>
      </c>
      <c r="F416" s="36">
        <v>0.25</v>
      </c>
      <c r="G416" s="31"/>
      <c r="H416" s="31"/>
      <c r="I416" s="31"/>
      <c r="J416" s="31"/>
      <c r="K416" s="31"/>
    </row>
    <row r="417" spans="1:11" ht="14.4" x14ac:dyDescent="0.3">
      <c r="A417" s="28" t="str">
        <f>B417&amp;C417&amp;D417&amp;E417</f>
        <v>AvtotovarlarAksessuarlar va jihozlarTyuning va tashqi bezakTermokrujkalar va stakandonlar</v>
      </c>
      <c r="B417" s="35" t="s">
        <v>39</v>
      </c>
      <c r="C417" s="35" t="s">
        <v>3585</v>
      </c>
      <c r="D417" s="35" t="s">
        <v>3588</v>
      </c>
      <c r="E417" s="35" t="s">
        <v>3643</v>
      </c>
      <c r="F417" s="36">
        <v>0.25</v>
      </c>
      <c r="G417" s="31"/>
      <c r="H417" s="31"/>
      <c r="I417" s="31"/>
      <c r="J417" s="31"/>
      <c r="K417" s="31"/>
    </row>
    <row r="418" spans="1:11" ht="14.4" x14ac:dyDescent="0.3">
      <c r="A418" s="28" t="str">
        <f>B418&amp;C418&amp;D418&amp;E418</f>
        <v>AvtotovarlarAksessuarlar va jihozlarAvtomobil uchun suvenirlarAvtomobil breloklari uchun gʻiloflar</v>
      </c>
      <c r="B418" s="35" t="s">
        <v>39</v>
      </c>
      <c r="C418" s="35" t="s">
        <v>3585</v>
      </c>
      <c r="D418" s="35" t="s">
        <v>3611</v>
      </c>
      <c r="E418" s="35" t="s">
        <v>3644</v>
      </c>
      <c r="F418" s="36">
        <v>0.25</v>
      </c>
      <c r="G418" s="31"/>
      <c r="H418" s="31"/>
      <c r="I418" s="31"/>
      <c r="J418" s="31"/>
      <c r="K418" s="31"/>
    </row>
    <row r="419" spans="1:11" ht="14.4" x14ac:dyDescent="0.3">
      <c r="A419" s="28" t="str">
        <f>B419&amp;C419&amp;D419&amp;E419</f>
        <v>AvtotovarlarAksessuarlar va jihozlarAvtomobil kuzovi himoyasiOld bamper himoyasi</v>
      </c>
      <c r="B419" s="35" t="s">
        <v>39</v>
      </c>
      <c r="C419" s="35" t="s">
        <v>3585</v>
      </c>
      <c r="D419" s="35" t="s">
        <v>3605</v>
      </c>
      <c r="E419" s="35" t="s">
        <v>3645</v>
      </c>
      <c r="F419" s="36">
        <v>0.25</v>
      </c>
      <c r="G419" s="31"/>
      <c r="H419" s="31"/>
      <c r="I419" s="31"/>
      <c r="J419" s="31"/>
      <c r="K419" s="31"/>
    </row>
    <row r="420" spans="1:11" ht="14.4" x14ac:dyDescent="0.3">
      <c r="A420" s="28" t="str">
        <f>B420&amp;C420&amp;D420&amp;E420</f>
        <v>AvtotovarlarAksessuarlar va jihozlarJildlar va organayzerlarOrganayzerlar va sumkalar</v>
      </c>
      <c r="B420" s="35" t="s">
        <v>39</v>
      </c>
      <c r="C420" s="35" t="s">
        <v>3585</v>
      </c>
      <c r="D420" s="35" t="s">
        <v>3646</v>
      </c>
      <c r="E420" s="35" t="s">
        <v>3647</v>
      </c>
      <c r="F420" s="36">
        <v>0.25</v>
      </c>
      <c r="G420" s="31"/>
      <c r="H420" s="31"/>
      <c r="I420" s="31"/>
      <c r="J420" s="31"/>
      <c r="K420" s="31"/>
    </row>
    <row r="421" spans="1:11" ht="14.4" x14ac:dyDescent="0.3">
      <c r="A421" s="28" t="str">
        <f>B421&amp;C421&amp;D421&amp;E421</f>
        <v>AvtotovarlarAvtomobil uchun moylar va kimyoviy moddalarHavo filtri uchun shimdirgichlarHavo filtri uchun shimdirgichlar</v>
      </c>
      <c r="B421" s="35" t="s">
        <v>39</v>
      </c>
      <c r="C421" s="35" t="s">
        <v>3609</v>
      </c>
      <c r="D421" s="35" t="s">
        <v>3648</v>
      </c>
      <c r="E421" s="35" t="s">
        <v>3648</v>
      </c>
      <c r="F421" s="36">
        <v>0.25</v>
      </c>
      <c r="G421" s="31"/>
      <c r="H421" s="31"/>
      <c r="I421" s="31"/>
      <c r="J421" s="31"/>
      <c r="K421" s="31"/>
    </row>
    <row r="422" spans="1:11" ht="14.4" x14ac:dyDescent="0.3">
      <c r="A422" s="28" t="str">
        <f>B422&amp;C422&amp;D422&amp;E422</f>
        <v>AvtotovarlarAksessuarlar va jihozlarAvariya holatlari uchun zarur anjomlarAvtomobil chiroqlari</v>
      </c>
      <c r="B422" s="35" t="s">
        <v>39</v>
      </c>
      <c r="C422" s="35" t="s">
        <v>3585</v>
      </c>
      <c r="D422" s="35" t="s">
        <v>3596</v>
      </c>
      <c r="E422" s="35" t="s">
        <v>3649</v>
      </c>
      <c r="F422" s="36">
        <v>0.25</v>
      </c>
      <c r="G422" s="31"/>
      <c r="H422" s="31"/>
      <c r="I422" s="31"/>
      <c r="J422" s="31"/>
      <c r="K422" s="31"/>
    </row>
    <row r="423" spans="1:11" ht="14.4" x14ac:dyDescent="0.3">
      <c r="A423" s="28" t="str">
        <f>B423&amp;C423&amp;D423&amp;E423</f>
        <v>AvtotovarlarAksessuarlar va jihozlarTyuning va tashqi bezakBoshqa tyuning elementlari</v>
      </c>
      <c r="B423" s="35" t="s">
        <v>39</v>
      </c>
      <c r="C423" s="35" t="s">
        <v>3585</v>
      </c>
      <c r="D423" s="35" t="s">
        <v>3588</v>
      </c>
      <c r="E423" s="35" t="s">
        <v>3650</v>
      </c>
      <c r="F423" s="36">
        <v>0.25</v>
      </c>
      <c r="G423" s="31"/>
      <c r="H423" s="31"/>
      <c r="I423" s="31"/>
      <c r="J423" s="31"/>
      <c r="K423" s="31"/>
    </row>
    <row r="424" spans="1:11" ht="14.4" x14ac:dyDescent="0.3">
      <c r="A424" s="28" t="str">
        <f>B424&amp;C424&amp;D424&amp;E424</f>
        <v>AvtotovarlarAksessuarlar va jihozlarTyuning va tashqi bezakOyna va koʻzgular deflektorlari</v>
      </c>
      <c r="B424" s="35" t="s">
        <v>39</v>
      </c>
      <c r="C424" s="35" t="s">
        <v>3585</v>
      </c>
      <c r="D424" s="35" t="s">
        <v>3588</v>
      </c>
      <c r="E424" s="35" t="s">
        <v>3651</v>
      </c>
      <c r="F424" s="36">
        <v>0.25</v>
      </c>
      <c r="G424" s="31"/>
      <c r="H424" s="31"/>
      <c r="I424" s="31"/>
      <c r="J424" s="31"/>
      <c r="K424" s="31"/>
    </row>
    <row r="425" spans="1:11" ht="14.4" x14ac:dyDescent="0.3">
      <c r="A425" s="28" t="str">
        <f>B425&amp;C425&amp;D425&amp;E425</f>
        <v>AvtotovarlarAksessuarlar va jihozlarSalon uchun jihozlarTorpedo uchun gilamchalar</v>
      </c>
      <c r="B425" s="35" t="s">
        <v>39</v>
      </c>
      <c r="C425" s="35" t="s">
        <v>3585</v>
      </c>
      <c r="D425" s="35" t="s">
        <v>3586</v>
      </c>
      <c r="E425" s="35" t="s">
        <v>3652</v>
      </c>
      <c r="F425" s="36">
        <v>0.25</v>
      </c>
      <c r="G425" s="31"/>
      <c r="H425" s="31"/>
      <c r="I425" s="31"/>
      <c r="J425" s="31"/>
      <c r="K425" s="31"/>
    </row>
    <row r="426" spans="1:11" ht="14.4" x14ac:dyDescent="0.3">
      <c r="A426" s="28" t="str">
        <f>B426&amp;C426&amp;D426&amp;E426</f>
        <v>AvtotovarlarAksessuarlar va jihozlarJildlar va organayzerlarOʻrindiqlar uchun jildlar va qoplamalar</v>
      </c>
      <c r="B426" s="35" t="s">
        <v>39</v>
      </c>
      <c r="C426" s="35" t="s">
        <v>3585</v>
      </c>
      <c r="D426" s="35" t="s">
        <v>3646</v>
      </c>
      <c r="E426" s="35" t="s">
        <v>3653</v>
      </c>
      <c r="F426" s="36">
        <v>0.25</v>
      </c>
      <c r="G426" s="31"/>
      <c r="H426" s="31"/>
      <c r="I426" s="31"/>
      <c r="J426" s="31"/>
      <c r="K426" s="31"/>
    </row>
    <row r="427" spans="1:11" ht="14.4" x14ac:dyDescent="0.3">
      <c r="A427" s="28" t="str">
        <f>B427&amp;C427&amp;D427&amp;E427</f>
        <v>AvtotovarlarAvtomobil uchun moylar va kimyoviy moddalarMaxsus yogʻlarMaxsus yogʻlar</v>
      </c>
      <c r="B427" s="35" t="s">
        <v>39</v>
      </c>
      <c r="C427" s="35" t="s">
        <v>3609</v>
      </c>
      <c r="D427" s="35" t="s">
        <v>3654</v>
      </c>
      <c r="E427" s="35" t="s">
        <v>3654</v>
      </c>
      <c r="F427" s="36">
        <v>0.25</v>
      </c>
      <c r="G427" s="31"/>
      <c r="H427" s="31"/>
      <c r="I427" s="31"/>
      <c r="J427" s="31"/>
      <c r="K427" s="31"/>
    </row>
    <row r="428" spans="1:11" ht="14.4" x14ac:dyDescent="0.3">
      <c r="A428" s="28" t="str">
        <f>B428&amp;C428&amp;D428&amp;E428</f>
        <v>AvtotovarlarAvtomobilni parvarishiVosklar va polirollarVosklar va polirollar</v>
      </c>
      <c r="B428" s="35" t="s">
        <v>39</v>
      </c>
      <c r="C428" s="35" t="s">
        <v>3616</v>
      </c>
      <c r="D428" s="35" t="s">
        <v>3655</v>
      </c>
      <c r="E428" s="35" t="s">
        <v>3655</v>
      </c>
      <c r="F428" s="36">
        <v>0.25</v>
      </c>
      <c r="G428" s="31"/>
      <c r="H428" s="31"/>
      <c r="I428" s="31"/>
      <c r="J428" s="31"/>
      <c r="K428" s="31"/>
    </row>
    <row r="429" spans="1:11" ht="14.4" x14ac:dyDescent="0.3">
      <c r="A429" s="28" t="str">
        <f>B429&amp;C429&amp;D429&amp;E429</f>
        <v>AvtotovarlarAvtomobil uchun moylar va kimyoviy moddalarYuvish suyuqliklariYuvish suyuqliklari</v>
      </c>
      <c r="B429" s="35" t="s">
        <v>39</v>
      </c>
      <c r="C429" s="35" t="s">
        <v>3609</v>
      </c>
      <c r="D429" s="35" t="s">
        <v>3656</v>
      </c>
      <c r="E429" s="35" t="s">
        <v>3656</v>
      </c>
      <c r="F429" s="36">
        <v>0.25</v>
      </c>
      <c r="G429" s="31"/>
      <c r="H429" s="31"/>
      <c r="I429" s="31"/>
      <c r="J429" s="31"/>
      <c r="K429" s="31"/>
    </row>
    <row r="430" spans="1:11" ht="14.4" x14ac:dyDescent="0.3">
      <c r="A430" s="28" t="str">
        <f>B430&amp;C430&amp;D430&amp;E430</f>
        <v>AvtotovarlarAvtomobilni parvarishiAvtomobil uchun quritkichlarAvtomobil uchun quritkichlar</v>
      </c>
      <c r="B430" s="35" t="s">
        <v>39</v>
      </c>
      <c r="C430" s="35" t="s">
        <v>3616</v>
      </c>
      <c r="D430" s="35" t="s">
        <v>3657</v>
      </c>
      <c r="E430" s="35" t="s">
        <v>3657</v>
      </c>
      <c r="F430" s="36">
        <v>0.25</v>
      </c>
      <c r="G430" s="31"/>
      <c r="H430" s="31"/>
      <c r="I430" s="31"/>
      <c r="J430" s="31"/>
      <c r="K430" s="31"/>
    </row>
    <row r="431" spans="1:11" ht="14.4" x14ac:dyDescent="0.3">
      <c r="A431" s="28" t="str">
        <f>B431&amp;C431&amp;D431&amp;E431</f>
        <v>AvtotovarlarAksessuarlar va jihozlarYuk tashishTirkamalar uchun aksessuarlari</v>
      </c>
      <c r="B431" s="35" t="s">
        <v>39</v>
      </c>
      <c r="C431" s="35" t="s">
        <v>3585</v>
      </c>
      <c r="D431" s="35" t="s">
        <v>3602</v>
      </c>
      <c r="E431" s="35" t="s">
        <v>3658</v>
      </c>
      <c r="F431" s="36">
        <v>0.25</v>
      </c>
      <c r="G431" s="31"/>
      <c r="H431" s="31"/>
      <c r="I431" s="31"/>
      <c r="J431" s="31"/>
      <c r="K431" s="31"/>
    </row>
    <row r="432" spans="1:11" ht="14.4" x14ac:dyDescent="0.3">
      <c r="A432" s="28" t="str">
        <f>B432&amp;C432&amp;D432&amp;E432</f>
        <v>AvtotovarlarAvtomobilni parvarishiBoʻyoqlar va gruntovkalarBoʻyoqlar va gruntovkalar</v>
      </c>
      <c r="B432" s="35" t="s">
        <v>39</v>
      </c>
      <c r="C432" s="35" t="s">
        <v>3616</v>
      </c>
      <c r="D432" s="35" t="s">
        <v>3659</v>
      </c>
      <c r="E432" s="35" t="s">
        <v>3659</v>
      </c>
      <c r="F432" s="36">
        <v>0.25</v>
      </c>
      <c r="G432" s="31"/>
      <c r="H432" s="31"/>
      <c r="I432" s="31"/>
      <c r="J432" s="31"/>
      <c r="K432" s="31"/>
    </row>
    <row r="433" spans="1:11" ht="14.4" x14ac:dyDescent="0.3">
      <c r="A433" s="28" t="str">
        <f>B433&amp;C433&amp;D433&amp;E433</f>
        <v>AvtotovarlarAksessuarlar va jihozlarAvariya holatlari uchun zarur anjomlarShatakka olish troslari</v>
      </c>
      <c r="B433" s="35" t="s">
        <v>39</v>
      </c>
      <c r="C433" s="35" t="s">
        <v>3585</v>
      </c>
      <c r="D433" s="35" t="s">
        <v>3596</v>
      </c>
      <c r="E433" s="35" t="s">
        <v>3660</v>
      </c>
      <c r="F433" s="36">
        <v>0.25</v>
      </c>
      <c r="G433" s="31"/>
      <c r="H433" s="31"/>
      <c r="I433" s="31"/>
      <c r="J433" s="31"/>
      <c r="K433" s="31"/>
    </row>
    <row r="434" spans="1:11" ht="14.4" x14ac:dyDescent="0.3">
      <c r="A434" s="28" t="str">
        <f>B434&amp;C434&amp;D434&amp;E434</f>
        <v>AvtotovarlarAksessuarlar va jihozlarSalon uchun jihozlarAvtomobil uchun kiyim ilgichlar</v>
      </c>
      <c r="B434" s="35" t="s">
        <v>39</v>
      </c>
      <c r="C434" s="35" t="s">
        <v>3585</v>
      </c>
      <c r="D434" s="35" t="s">
        <v>3586</v>
      </c>
      <c r="E434" s="35" t="s">
        <v>3661</v>
      </c>
      <c r="F434" s="36">
        <v>0.25</v>
      </c>
      <c r="G434" s="31"/>
      <c r="H434" s="31"/>
      <c r="I434" s="31"/>
      <c r="J434" s="31"/>
      <c r="K434" s="31"/>
    </row>
    <row r="435" spans="1:11" ht="14.4" x14ac:dyDescent="0.3">
      <c r="A435" s="28" t="str">
        <f>B435&amp;C435&amp;D435&amp;E435</f>
        <v>AvtotovarlarAksessuarlar va jihozlarJildlar va organayzerlarTashish uchun aksessuarlar</v>
      </c>
      <c r="B435" s="35" t="s">
        <v>39</v>
      </c>
      <c r="C435" s="35" t="s">
        <v>3585</v>
      </c>
      <c r="D435" s="35" t="s">
        <v>3646</v>
      </c>
      <c r="E435" s="35" t="s">
        <v>3662</v>
      </c>
      <c r="F435" s="36">
        <v>0.25</v>
      </c>
      <c r="G435" s="31"/>
      <c r="H435" s="31"/>
      <c r="I435" s="31"/>
      <c r="J435" s="31"/>
      <c r="K435" s="31"/>
    </row>
    <row r="436" spans="1:11" ht="14.4" x14ac:dyDescent="0.3">
      <c r="A436" s="28" t="str">
        <f>B436&amp;C436&amp;D436&amp;E436</f>
        <v>AvtotovarlarAksessuarlar va jihozlarAvariya holatlari uchun zarur anjomlarAvariyali vaziyatlar uchun toʻplamlar</v>
      </c>
      <c r="B436" s="35" t="s">
        <v>39</v>
      </c>
      <c r="C436" s="35" t="s">
        <v>3585</v>
      </c>
      <c r="D436" s="35" t="s">
        <v>3596</v>
      </c>
      <c r="E436" s="35" t="s">
        <v>3663</v>
      </c>
      <c r="F436" s="36">
        <v>0.25</v>
      </c>
      <c r="G436" s="31"/>
      <c r="H436" s="31"/>
      <c r="I436" s="31"/>
      <c r="J436" s="31"/>
      <c r="K436" s="31"/>
    </row>
    <row r="437" spans="1:11" ht="14.4" x14ac:dyDescent="0.3">
      <c r="A437" s="28" t="str">
        <f>B437&amp;C437&amp;D437&amp;E437</f>
        <v>AvtotovarlarAvtomobilni parvarishiAvtomobil kuzovi himoyasiAvtomobil kuzovi himoyasi</v>
      </c>
      <c r="B437" s="35" t="s">
        <v>39</v>
      </c>
      <c r="C437" s="35" t="s">
        <v>3616</v>
      </c>
      <c r="D437" s="35" t="s">
        <v>3605</v>
      </c>
      <c r="E437" s="35" t="s">
        <v>3605</v>
      </c>
      <c r="F437" s="36">
        <v>0.25</v>
      </c>
      <c r="G437" s="31"/>
      <c r="H437" s="31"/>
      <c r="I437" s="31"/>
      <c r="J437" s="31"/>
      <c r="K437" s="31"/>
    </row>
    <row r="438" spans="1:11" ht="14.4" x14ac:dyDescent="0.3">
      <c r="A438" s="28" t="str">
        <f>B438&amp;C438&amp;D438&amp;E438</f>
        <v>AvtotovarlarAvtomobilni parvarishiChoʻtkalar, gubkalar, salfetkalarChoʻtkalar, gubkalar, salfetkalar</v>
      </c>
      <c r="B438" s="35" t="s">
        <v>39</v>
      </c>
      <c r="C438" s="35" t="s">
        <v>3616</v>
      </c>
      <c r="D438" s="35" t="s">
        <v>3664</v>
      </c>
      <c r="E438" s="35" t="s">
        <v>3664</v>
      </c>
      <c r="F438" s="36">
        <v>0.25</v>
      </c>
      <c r="G438" s="31"/>
      <c r="H438" s="31"/>
      <c r="I438" s="31"/>
      <c r="J438" s="31"/>
      <c r="K438" s="31"/>
    </row>
    <row r="439" spans="1:11" ht="14.4" x14ac:dyDescent="0.3">
      <c r="A439" s="28" t="str">
        <f>B439&amp;C439&amp;D439&amp;E439</f>
        <v>AvtotovarlarAksessuarlar va jihozlarSalon uchun jihozlarHimoya shishalari</v>
      </c>
      <c r="B439" s="35" t="s">
        <v>39</v>
      </c>
      <c r="C439" s="35" t="s">
        <v>3585</v>
      </c>
      <c r="D439" s="35" t="s">
        <v>3586</v>
      </c>
      <c r="E439" s="35" t="s">
        <v>3665</v>
      </c>
      <c r="F439" s="36">
        <v>0.25</v>
      </c>
      <c r="G439" s="31"/>
      <c r="H439" s="31"/>
      <c r="I439" s="31"/>
      <c r="J439" s="31"/>
      <c r="K439" s="31"/>
    </row>
    <row r="440" spans="1:11" ht="14.4" x14ac:dyDescent="0.3">
      <c r="A440" s="28" t="str">
        <f>B440&amp;C440&amp;D440&amp;E440</f>
        <v>AvtotovarlarAksessuarlar va jihozlarTyuning va tashqi bezakOrqa bamper yostiqchalari</v>
      </c>
      <c r="B440" s="35" t="s">
        <v>39</v>
      </c>
      <c r="C440" s="35" t="s">
        <v>3585</v>
      </c>
      <c r="D440" s="35" t="s">
        <v>3588</v>
      </c>
      <c r="E440" s="35" t="s">
        <v>3666</v>
      </c>
      <c r="F440" s="36">
        <v>0.25</v>
      </c>
      <c r="G440" s="31"/>
      <c r="H440" s="31"/>
      <c r="I440" s="31"/>
      <c r="J440" s="31"/>
      <c r="K440" s="31"/>
    </row>
    <row r="441" spans="1:11" ht="14.4" x14ac:dyDescent="0.3">
      <c r="A441" s="28" t="str">
        <f>B441&amp;C441&amp;D441&amp;E441</f>
        <v>AvtotovarlarAvtomobilni parvarishiQoplamalar va isitgichlarQoplamalar va isitgichlar</v>
      </c>
      <c r="B441" s="35" t="s">
        <v>39</v>
      </c>
      <c r="C441" s="35" t="s">
        <v>3616</v>
      </c>
      <c r="D441" s="35" t="s">
        <v>3667</v>
      </c>
      <c r="E441" s="35" t="s">
        <v>3667</v>
      </c>
      <c r="F441" s="36">
        <v>0.25</v>
      </c>
      <c r="G441" s="31"/>
      <c r="H441" s="31"/>
      <c r="I441" s="31"/>
      <c r="J441" s="31"/>
      <c r="K441" s="31"/>
    </row>
    <row r="442" spans="1:11" ht="14.4" x14ac:dyDescent="0.3">
      <c r="A442" s="28" t="str">
        <f>B442&amp;C442&amp;D442&amp;E442</f>
        <v>AvtotovarlarAvtomobilni parvarishiAvtomobil aromatizatorlariAvtomobil aromatizatorlari</v>
      </c>
      <c r="B442" s="35" t="s">
        <v>39</v>
      </c>
      <c r="C442" s="35" t="s">
        <v>3616</v>
      </c>
      <c r="D442" s="35" t="s">
        <v>3668</v>
      </c>
      <c r="E442" s="35" t="s">
        <v>3668</v>
      </c>
      <c r="F442" s="36">
        <v>0.25</v>
      </c>
      <c r="G442" s="31"/>
      <c r="H442" s="31"/>
      <c r="I442" s="31"/>
      <c r="J442" s="31"/>
      <c r="K442" s="31"/>
    </row>
    <row r="443" spans="1:11" ht="14.4" x14ac:dyDescent="0.3">
      <c r="A443" s="28" t="str">
        <f>B443&amp;C443&amp;D443&amp;E443</f>
        <v>AvtotovarlarAvtomobil uchun moylar va kimyoviy moddalarYuvish va tozalash vositalariYuvish va tozalash vositalari</v>
      </c>
      <c r="B443" s="35" t="s">
        <v>39</v>
      </c>
      <c r="C443" s="35" t="s">
        <v>3609</v>
      </c>
      <c r="D443" s="35" t="s">
        <v>3669</v>
      </c>
      <c r="E443" s="35" t="s">
        <v>3669</v>
      </c>
      <c r="F443" s="36">
        <v>0.25</v>
      </c>
      <c r="G443" s="31"/>
      <c r="H443" s="31"/>
      <c r="I443" s="31"/>
      <c r="J443" s="31"/>
      <c r="K443" s="31"/>
    </row>
    <row r="444" spans="1:11" ht="14.4" x14ac:dyDescent="0.3">
      <c r="A444" s="28" t="str">
        <f>B444&amp;C444&amp;D444&amp;E444</f>
        <v>AvtotovarlarAksessuarlar va jihozlarYuk tashishMahkamlagichlar va toʻrlar</v>
      </c>
      <c r="B444" s="35" t="s">
        <v>39</v>
      </c>
      <c r="C444" s="35" t="s">
        <v>3585</v>
      </c>
      <c r="D444" s="35" t="s">
        <v>3602</v>
      </c>
      <c r="E444" s="35" t="s">
        <v>3670</v>
      </c>
      <c r="F444" s="36">
        <v>0.25</v>
      </c>
      <c r="G444" s="31"/>
      <c r="H444" s="31"/>
      <c r="I444" s="31"/>
      <c r="J444" s="31"/>
      <c r="K444" s="31"/>
    </row>
    <row r="445" spans="1:11" ht="14.4" x14ac:dyDescent="0.3">
      <c r="A445" s="28" t="str">
        <f>B445&amp;C445&amp;D445&amp;E445</f>
        <v>AvtotovarlarAvtomobil uchun moylar va kimyoviy moddalarMoylash materiallariMoylash materiallari</v>
      </c>
      <c r="B445" s="35" t="s">
        <v>39</v>
      </c>
      <c r="C445" s="35" t="s">
        <v>3609</v>
      </c>
      <c r="D445" s="35" t="s">
        <v>3671</v>
      </c>
      <c r="E445" s="35" t="s">
        <v>3671</v>
      </c>
      <c r="F445" s="36">
        <v>0.25</v>
      </c>
      <c r="G445" s="31"/>
      <c r="H445" s="31"/>
      <c r="I445" s="31"/>
      <c r="J445" s="31"/>
      <c r="K445" s="31"/>
    </row>
    <row r="446" spans="1:11" ht="14.4" x14ac:dyDescent="0.3">
      <c r="A446" s="28" t="str">
        <f>B446&amp;C446&amp;D446&amp;E446</f>
        <v>AvtotovarlarAksessuarlar va jihozlarAvtomobil uchun suvenirlarAvtovizitkalar</v>
      </c>
      <c r="B446" s="35" t="s">
        <v>39</v>
      </c>
      <c r="C446" s="35" t="s">
        <v>3585</v>
      </c>
      <c r="D446" s="35" t="s">
        <v>3611</v>
      </c>
      <c r="E446" s="35" t="s">
        <v>3672</v>
      </c>
      <c r="F446" s="36">
        <v>0.25</v>
      </c>
      <c r="G446" s="31"/>
      <c r="H446" s="31"/>
      <c r="I446" s="31"/>
      <c r="J446" s="31"/>
      <c r="K446" s="31"/>
    </row>
    <row r="447" spans="1:11" ht="14.4" x14ac:dyDescent="0.3">
      <c r="A447" s="28" t="str">
        <f>B447&amp;C447&amp;D447&amp;E447</f>
        <v>AvtotovarlarAksessuarlar va jihozlarSalon uchun jihozlarOʻrindiqlar orasidagi zichlagichlar</v>
      </c>
      <c r="B447" s="35" t="s">
        <v>39</v>
      </c>
      <c r="C447" s="35" t="s">
        <v>3585</v>
      </c>
      <c r="D447" s="35" t="s">
        <v>3586</v>
      </c>
      <c r="E447" s="35" t="s">
        <v>3673</v>
      </c>
      <c r="F447" s="36">
        <v>0.25</v>
      </c>
      <c r="G447" s="31"/>
      <c r="H447" s="31"/>
      <c r="I447" s="31"/>
      <c r="J447" s="31"/>
      <c r="K447" s="31"/>
    </row>
    <row r="448" spans="1:11" ht="14.4" x14ac:dyDescent="0.3">
      <c r="A448" s="28" t="str">
        <f>B448&amp;C448&amp;D448&amp;E448</f>
        <v>AvtotovarlarAksessuarlar va jihozlarSalon uchun jihozlarTirsak tagliklari</v>
      </c>
      <c r="B448" s="35" t="s">
        <v>39</v>
      </c>
      <c r="C448" s="35" t="s">
        <v>3585</v>
      </c>
      <c r="D448" s="35" t="s">
        <v>3586</v>
      </c>
      <c r="E448" s="35" t="s">
        <v>3674</v>
      </c>
      <c r="F448" s="36">
        <v>0.25</v>
      </c>
      <c r="G448" s="31"/>
      <c r="H448" s="31"/>
      <c r="I448" s="31"/>
      <c r="J448" s="31"/>
      <c r="K448" s="31"/>
    </row>
    <row r="449" spans="1:11" ht="14.4" x14ac:dyDescent="0.3">
      <c r="A449" s="28" t="str">
        <f>B449&amp;C449&amp;D449&amp;E449</f>
        <v>AvtotovarlarAksessuarlar va jihozlarBoshqa avtomobil aksessuarlariBoshqa avtomobil aksessuarlari</v>
      </c>
      <c r="B449" s="35" t="s">
        <v>39</v>
      </c>
      <c r="C449" s="35" t="s">
        <v>3585</v>
      </c>
      <c r="D449" s="35" t="s">
        <v>3675</v>
      </c>
      <c r="E449" s="35" t="s">
        <v>3675</v>
      </c>
      <c r="F449" s="36">
        <v>0.25</v>
      </c>
      <c r="G449" s="31"/>
      <c r="H449" s="31"/>
      <c r="I449" s="31"/>
      <c r="J449" s="31"/>
      <c r="K449" s="31"/>
    </row>
    <row r="450" spans="1:11" ht="14.4" x14ac:dyDescent="0.3">
      <c r="A450" s="28" t="str">
        <f>B450&amp;C450&amp;D450&amp;E450</f>
        <v>AvtotovarlarAvtomobilni parvarishiQirilgan joylarni taʼmirlash uchun vositalarQirilgan joylarni taʼmirlash uchun vositalar</v>
      </c>
      <c r="B450" s="35" t="s">
        <v>39</v>
      </c>
      <c r="C450" s="35" t="s">
        <v>3616</v>
      </c>
      <c r="D450" s="35" t="s">
        <v>3676</v>
      </c>
      <c r="E450" s="35" t="s">
        <v>3676</v>
      </c>
      <c r="F450" s="36">
        <v>0.25</v>
      </c>
      <c r="G450" s="31"/>
      <c r="H450" s="31"/>
      <c r="I450" s="31"/>
      <c r="J450" s="31"/>
      <c r="K450" s="31"/>
    </row>
    <row r="451" spans="1:11" ht="14.4" x14ac:dyDescent="0.3">
      <c r="A451" s="28" t="str">
        <f>B451&amp;C451&amp;D451&amp;E451</f>
        <v>AvtotovarlarAksessuarlar va jihozlarAvariya holatlari uchun zarur anjomlarAvariyali toʻxtash belgilari</v>
      </c>
      <c r="B451" s="35" t="s">
        <v>39</v>
      </c>
      <c r="C451" s="35" t="s">
        <v>3585</v>
      </c>
      <c r="D451" s="35" t="s">
        <v>3596</v>
      </c>
      <c r="E451" s="35" t="s">
        <v>3677</v>
      </c>
      <c r="F451" s="36">
        <v>0.25</v>
      </c>
      <c r="G451" s="31"/>
      <c r="H451" s="31"/>
      <c r="I451" s="31"/>
      <c r="J451" s="31"/>
      <c r="K451" s="31"/>
    </row>
    <row r="452" spans="1:11" ht="14.4" x14ac:dyDescent="0.3">
      <c r="A452" s="28" t="str">
        <f>B452&amp;C452&amp;D452&amp;E452</f>
        <v>AvtotovarlarAksessuarlar va jihozlarSalon uchun jihozlarAvtomobil gilamchalari</v>
      </c>
      <c r="B452" s="35" t="s">
        <v>39</v>
      </c>
      <c r="C452" s="35" t="s">
        <v>3585</v>
      </c>
      <c r="D452" s="35" t="s">
        <v>3586</v>
      </c>
      <c r="E452" s="35" t="s">
        <v>3678</v>
      </c>
      <c r="F452" s="36">
        <v>0.25</v>
      </c>
      <c r="G452" s="31"/>
      <c r="H452" s="31"/>
      <c r="I452" s="31"/>
      <c r="J452" s="31"/>
      <c r="K452" s="31"/>
    </row>
    <row r="453" spans="1:11" ht="14.4" x14ac:dyDescent="0.3">
      <c r="A453" s="28" t="str">
        <f>B453&amp;C453&amp;D453&amp;E453</f>
        <v>AvtotovarlarAksessuarlar va jihozlarAvtomobil kuzovi himoyasiTashqi qismlarni himoya qilish</v>
      </c>
      <c r="B453" s="35" t="s">
        <v>39</v>
      </c>
      <c r="C453" s="35" t="s">
        <v>3585</v>
      </c>
      <c r="D453" s="35" t="s">
        <v>3605</v>
      </c>
      <c r="E453" s="35" t="s">
        <v>3679</v>
      </c>
      <c r="F453" s="36">
        <v>0.25</v>
      </c>
      <c r="G453" s="31"/>
      <c r="H453" s="31"/>
      <c r="I453" s="31"/>
      <c r="J453" s="31"/>
      <c r="K453" s="31"/>
    </row>
    <row r="454" spans="1:11" ht="14.4" x14ac:dyDescent="0.3">
      <c r="A454" s="28" t="str">
        <f>B454&amp;C454&amp;D454&amp;E454</f>
        <v>Bolalar tovarlariBolalar sporti va faol hordiqOchiq havoda oʻynaladigan oʻyinlarVarraklar</v>
      </c>
      <c r="B454" s="35" t="s">
        <v>3153</v>
      </c>
      <c r="C454" s="35" t="s">
        <v>3680</v>
      </c>
      <c r="D454" s="35" t="s">
        <v>3681</v>
      </c>
      <c r="E454" s="35" t="s">
        <v>3682</v>
      </c>
      <c r="F454" s="36">
        <v>0.25</v>
      </c>
      <c r="G454" s="31"/>
      <c r="H454" s="31"/>
      <c r="I454" s="31"/>
      <c r="J454" s="31"/>
      <c r="K454" s="31"/>
    </row>
    <row r="455" spans="1:11" ht="14.4" x14ac:dyDescent="0.3">
      <c r="A455" s="28" t="str">
        <f>B455&amp;C455&amp;D455&amp;E455</f>
        <v>Bolalar tovarlariBolalar xonasiHimoya va xavfsizlikKrovat toʻsiqlari</v>
      </c>
      <c r="B455" s="35" t="s">
        <v>3153</v>
      </c>
      <c r="C455" s="35" t="s">
        <v>3287</v>
      </c>
      <c r="D455" s="35" t="s">
        <v>3288</v>
      </c>
      <c r="E455" s="35" t="s">
        <v>3683</v>
      </c>
      <c r="F455" s="36">
        <v>0.25</v>
      </c>
      <c r="G455" s="31"/>
      <c r="H455" s="31"/>
      <c r="I455" s="31"/>
      <c r="J455" s="31"/>
      <c r="K455" s="31"/>
    </row>
    <row r="456" spans="1:11" ht="14.4" x14ac:dyDescent="0.3">
      <c r="A456" s="28" t="str">
        <f>B456&amp;C456&amp;D456&amp;E456</f>
        <v>Bolalar tovarlariOnalar uchun mahsulotlarOnalar uchun sumkalar va ryukzaklarOnalar uchun sumkalar va ryukzaklar</v>
      </c>
      <c r="B456" s="35" t="s">
        <v>3153</v>
      </c>
      <c r="C456" s="35" t="s">
        <v>3684</v>
      </c>
      <c r="D456" s="35" t="s">
        <v>3685</v>
      </c>
      <c r="E456" s="35" t="s">
        <v>3685</v>
      </c>
      <c r="F456" s="36">
        <v>0.25</v>
      </c>
      <c r="G456" s="31"/>
      <c r="H456" s="31"/>
      <c r="I456" s="31"/>
      <c r="J456" s="31"/>
      <c r="K456" s="31"/>
    </row>
    <row r="457" spans="1:11" ht="14.4" x14ac:dyDescent="0.3">
      <c r="A457" s="28" t="str">
        <f>B457&amp;C457&amp;D457&amp;E457</f>
        <v>Bolalar tovarlariOvqatlantirish uchun tovarlarButilkachalarni isitgichlar va SterilizatorlarButilkachalarni isitgichlar va Sterilizatorlar</v>
      </c>
      <c r="B457" s="35" t="s">
        <v>3153</v>
      </c>
      <c r="C457" s="35" t="s">
        <v>3282</v>
      </c>
      <c r="D457" s="35" t="s">
        <v>3686</v>
      </c>
      <c r="E457" s="35" t="s">
        <v>3686</v>
      </c>
      <c r="F457" s="36">
        <v>0.25</v>
      </c>
      <c r="G457" s="31"/>
      <c r="H457" s="31"/>
      <c r="I457" s="31"/>
      <c r="J457" s="31"/>
      <c r="K457" s="31"/>
    </row>
    <row r="458" spans="1:11" ht="14.4" x14ac:dyDescent="0.3">
      <c r="A458" s="28" t="str">
        <f>B458&amp;C458&amp;D458&amp;E458</f>
        <v>Bolalar tovarlariBolalar sporti va faol hordiqOchiq havoda oʻynaladigan oʻyinlarFrisbi</v>
      </c>
      <c r="B458" s="35" t="s">
        <v>3153</v>
      </c>
      <c r="C458" s="35" t="s">
        <v>3680</v>
      </c>
      <c r="D458" s="35" t="s">
        <v>3681</v>
      </c>
      <c r="E458" s="35" t="s">
        <v>3687</v>
      </c>
      <c r="F458" s="36">
        <v>0.25</v>
      </c>
      <c r="G458" s="31"/>
      <c r="H458" s="31"/>
      <c r="I458" s="31"/>
      <c r="J458" s="31"/>
      <c r="K458" s="31"/>
    </row>
    <row r="459" spans="1:11" ht="14.4" x14ac:dyDescent="0.3">
      <c r="A459" s="28" t="str">
        <f>B459&amp;C459&amp;D459&amp;E459</f>
        <v>Bolalar tovarlariDam olish va oʻyin-kulgiSovun koʻpiklariSovun koʻpiklari</v>
      </c>
      <c r="B459" s="35" t="s">
        <v>3153</v>
      </c>
      <c r="C459" s="35" t="s">
        <v>3280</v>
      </c>
      <c r="D459" s="35" t="s">
        <v>3688</v>
      </c>
      <c r="E459" s="35" t="s">
        <v>3688</v>
      </c>
      <c r="F459" s="36">
        <v>0.25</v>
      </c>
      <c r="G459" s="31"/>
      <c r="H459" s="31"/>
      <c r="I459" s="31"/>
      <c r="J459" s="31"/>
      <c r="K459" s="31"/>
    </row>
    <row r="460" spans="1:11" ht="14.4" x14ac:dyDescent="0.3">
      <c r="A460" s="28" t="str">
        <f>B460&amp;C460&amp;D460&amp;E460</f>
        <v>Bolalar tovarlariDam olish va oʻyin-kulgiBolalar musiqa asboblariBolalar musiqa asboblari</v>
      </c>
      <c r="B460" s="35" t="s">
        <v>3153</v>
      </c>
      <c r="C460" s="35" t="s">
        <v>3280</v>
      </c>
      <c r="D460" s="35" t="s">
        <v>3689</v>
      </c>
      <c r="E460" s="35" t="s">
        <v>3689</v>
      </c>
      <c r="F460" s="36">
        <v>0.25</v>
      </c>
      <c r="G460" s="31"/>
      <c r="H460" s="31"/>
      <c r="I460" s="31"/>
      <c r="J460" s="31"/>
      <c r="K460" s="31"/>
    </row>
    <row r="461" spans="1:11" ht="14.4" x14ac:dyDescent="0.3">
      <c r="A461" s="28" t="str">
        <f>B461&amp;C461&amp;D461&amp;E461</f>
        <v>Bolalar tovarlariBolalar sporti va faol hordiqOchiq havoda oʻynaladigan oʻyinlarBumeranglar</v>
      </c>
      <c r="B461" s="35" t="s">
        <v>3153</v>
      </c>
      <c r="C461" s="35" t="s">
        <v>3680</v>
      </c>
      <c r="D461" s="35" t="s">
        <v>3681</v>
      </c>
      <c r="E461" s="35" t="s">
        <v>3690</v>
      </c>
      <c r="F461" s="36">
        <v>0.25</v>
      </c>
      <c r="G461" s="31"/>
      <c r="H461" s="31"/>
      <c r="I461" s="31"/>
      <c r="J461" s="31"/>
      <c r="K461" s="31"/>
    </row>
    <row r="462" spans="1:11" ht="14.4" x14ac:dyDescent="0.3">
      <c r="A462" s="28" t="str">
        <f>B462&amp;C462&amp;D462&amp;E462</f>
        <v>Bolalar tovarlariBolalar xonasiDekoratsiya va chiroqlarBolalar uchun gilamchalar</v>
      </c>
      <c r="B462" s="35" t="s">
        <v>3153</v>
      </c>
      <c r="C462" s="35" t="s">
        <v>3287</v>
      </c>
      <c r="D462" s="35" t="s">
        <v>3691</v>
      </c>
      <c r="E462" s="35" t="s">
        <v>3692</v>
      </c>
      <c r="F462" s="36">
        <v>0.25</v>
      </c>
      <c r="G462" s="31"/>
      <c r="H462" s="31"/>
      <c r="I462" s="31"/>
      <c r="J462" s="31"/>
      <c r="K462" s="31"/>
    </row>
    <row r="463" spans="1:11" ht="14.4" x14ac:dyDescent="0.3">
      <c r="A463" s="28" t="str">
        <f>B463&amp;C463&amp;D463&amp;E463</f>
        <v>Bolalar tovarlariOvqatlantirish uchun tovarlarOshxoʻraklarOshxoʻraklar</v>
      </c>
      <c r="B463" s="35" t="s">
        <v>3153</v>
      </c>
      <c r="C463" s="35" t="s">
        <v>3282</v>
      </c>
      <c r="D463" s="35" t="s">
        <v>3693</v>
      </c>
      <c r="E463" s="35" t="s">
        <v>3693</v>
      </c>
      <c r="F463" s="36">
        <v>0.25</v>
      </c>
      <c r="G463" s="31"/>
      <c r="H463" s="31"/>
      <c r="I463" s="31"/>
      <c r="J463" s="31"/>
      <c r="K463" s="31"/>
    </row>
    <row r="464" spans="1:11" ht="14.4" x14ac:dyDescent="0.3">
      <c r="A464" s="28" t="str">
        <f>B464&amp;C464&amp;D464&amp;E464</f>
        <v>Bolalar tovarlariAravachalar va avtomobil uchun oʻrindiqlarAravachalar va avtomobil o'rindiqlari uchun aksessuarlarAravachalar va avtomobil o'rindiqlari uchun aksessuarlar</v>
      </c>
      <c r="B464" s="35" t="s">
        <v>3153</v>
      </c>
      <c r="C464" s="35" t="s">
        <v>3694</v>
      </c>
      <c r="D464" s="35" t="s">
        <v>3695</v>
      </c>
      <c r="E464" s="35" t="s">
        <v>3695</v>
      </c>
      <c r="F464" s="36">
        <v>0.25</v>
      </c>
      <c r="G464" s="31"/>
      <c r="H464" s="31"/>
      <c r="I464" s="31"/>
      <c r="J464" s="31"/>
      <c r="K464" s="31"/>
    </row>
    <row r="465" spans="1:11" ht="14.4" x14ac:dyDescent="0.3">
      <c r="A465" s="28" t="str">
        <f>B465&amp;C465&amp;D465&amp;E465</f>
        <v>Bolalar tovarlariBolalar xonasiHimoya va xavfsizlikBlokiratorlar</v>
      </c>
      <c r="B465" s="35" t="s">
        <v>3153</v>
      </c>
      <c r="C465" s="35" t="s">
        <v>3287</v>
      </c>
      <c r="D465" s="35" t="s">
        <v>3288</v>
      </c>
      <c r="E465" s="35" t="s">
        <v>3696</v>
      </c>
      <c r="F465" s="36">
        <v>0.25</v>
      </c>
      <c r="G465" s="31"/>
      <c r="H465" s="31"/>
      <c r="I465" s="31"/>
      <c r="J465" s="31"/>
      <c r="K465" s="31"/>
    </row>
    <row r="466" spans="1:11" ht="14.4" x14ac:dyDescent="0.3">
      <c r="A466" s="28" t="str">
        <f>B466&amp;C466&amp;D466&amp;E466</f>
        <v>Dacha, bogʻ va tomorqaBogʻ asboblariHudud parvarishiSugʻorish uchun tovarlar</v>
      </c>
      <c r="B466" s="35" t="s">
        <v>3157</v>
      </c>
      <c r="C466" s="35" t="s">
        <v>3296</v>
      </c>
      <c r="D466" s="35" t="s">
        <v>3697</v>
      </c>
      <c r="E466" s="35" t="s">
        <v>3698</v>
      </c>
      <c r="F466" s="36">
        <v>0.25</v>
      </c>
      <c r="G466" s="31"/>
      <c r="H466" s="31"/>
      <c r="I466" s="31"/>
      <c r="J466" s="31"/>
      <c r="K466" s="31"/>
    </row>
    <row r="467" spans="1:11" ht="14.4" x14ac:dyDescent="0.3">
      <c r="A467" s="28" t="str">
        <f>B467&amp;C467&amp;D467&amp;E467</f>
        <v>Dacha, bogʻ va tomorqaBogʻ asboblariAksessuarlar va sarflov materiallariBogʻ uchun qoʻlqoplar</v>
      </c>
      <c r="B467" s="35" t="s">
        <v>3157</v>
      </c>
      <c r="C467" s="35" t="s">
        <v>3296</v>
      </c>
      <c r="D467" s="35" t="s">
        <v>3297</v>
      </c>
      <c r="E467" s="35" t="s">
        <v>3699</v>
      </c>
      <c r="F467" s="36">
        <v>0.25</v>
      </c>
      <c r="G467" s="31"/>
      <c r="H467" s="31"/>
      <c r="I467" s="31"/>
      <c r="J467" s="31"/>
      <c r="K467" s="31"/>
    </row>
    <row r="468" spans="1:11" ht="14.4" x14ac:dyDescent="0.3">
      <c r="A468" s="28" t="str">
        <f>B468&amp;C468&amp;D468&amp;E468</f>
        <v>Dacha, bogʻ va tomorqaUrugʻlar va koʻchatlarUrugʻlarUrugʻlar</v>
      </c>
      <c r="B468" s="35" t="s">
        <v>3157</v>
      </c>
      <c r="C468" s="35" t="s">
        <v>3700</v>
      </c>
      <c r="D468" s="35" t="s">
        <v>3701</v>
      </c>
      <c r="E468" s="35" t="s">
        <v>3701</v>
      </c>
      <c r="F468" s="36">
        <v>0.25</v>
      </c>
      <c r="G468" s="31"/>
      <c r="H468" s="31"/>
      <c r="I468" s="31"/>
      <c r="J468" s="31"/>
      <c r="K468" s="31"/>
    </row>
    <row r="469" spans="1:11" ht="14.4" x14ac:dyDescent="0.3">
      <c r="A469" s="28" t="str">
        <f>B469&amp;C469&amp;D469&amp;E469</f>
        <v>Dacha, bogʻ va tomorqaUrugʻlar va koʻchatlarUrugʻ oʻstirish moslamalariUrugʻ oʻstirish moslamalari</v>
      </c>
      <c r="B469" s="35" t="s">
        <v>3157</v>
      </c>
      <c r="C469" s="35" t="s">
        <v>3700</v>
      </c>
      <c r="D469" s="35" t="s">
        <v>3702</v>
      </c>
      <c r="E469" s="35" t="s">
        <v>3702</v>
      </c>
      <c r="F469" s="36">
        <v>0.25</v>
      </c>
      <c r="G469" s="31"/>
      <c r="H469" s="31"/>
      <c r="I469" s="31"/>
      <c r="J469" s="31"/>
      <c r="K469" s="31"/>
    </row>
    <row r="470" spans="1:11" ht="14.4" x14ac:dyDescent="0.3">
      <c r="A470" s="28" t="str">
        <f>B470&amp;C470&amp;D470&amp;E470</f>
        <v>Dacha, bogʻ va tomorqaUrugʻlar va koʻchatlarKo'chatlarKo'chatlar</v>
      </c>
      <c r="B470" s="35" t="s">
        <v>3157</v>
      </c>
      <c r="C470" s="35" t="s">
        <v>3700</v>
      </c>
      <c r="D470" s="35" t="s">
        <v>3703</v>
      </c>
      <c r="E470" s="35" t="s">
        <v>3703</v>
      </c>
      <c r="F470" s="36">
        <v>0.25</v>
      </c>
      <c r="G470" s="31"/>
      <c r="H470" s="31"/>
      <c r="I470" s="31"/>
      <c r="J470" s="31"/>
      <c r="K470" s="31"/>
    </row>
    <row r="471" spans="1:11" ht="14.4" x14ac:dyDescent="0.3">
      <c r="A471" s="28" t="str">
        <f>B471&amp;C471&amp;D471&amp;E471</f>
        <v>Dacha, bogʻ va tomorqaBogʻ asboblariYerga ishlov berishAyrilar, kirkalar, kultivatorlar</v>
      </c>
      <c r="B471" s="35" t="s">
        <v>3157</v>
      </c>
      <c r="C471" s="35" t="s">
        <v>3296</v>
      </c>
      <c r="D471" s="35" t="s">
        <v>3704</v>
      </c>
      <c r="E471" s="35" t="s">
        <v>3705</v>
      </c>
      <c r="F471" s="36">
        <v>0.25</v>
      </c>
      <c r="G471" s="31"/>
      <c r="H471" s="31"/>
      <c r="I471" s="31"/>
      <c r="J471" s="31"/>
      <c r="K471" s="31"/>
    </row>
    <row r="472" spans="1:11" ht="14.4" x14ac:dyDescent="0.3">
      <c r="A472" s="28" t="str">
        <f>B472&amp;C472&amp;D472&amp;E472</f>
        <v>Dacha, bogʻ va tomorqaOʻgʻitlar va oʻsimliklar parvarishiTuproq va oʻgʻitTuproq va oʻgʻit</v>
      </c>
      <c r="B472" s="35" t="s">
        <v>3157</v>
      </c>
      <c r="C472" s="35" t="s">
        <v>3706</v>
      </c>
      <c r="D472" s="35" t="s">
        <v>3707</v>
      </c>
      <c r="E472" s="35" t="s">
        <v>3707</v>
      </c>
      <c r="F472" s="36">
        <v>0.25</v>
      </c>
      <c r="G472" s="31"/>
      <c r="H472" s="31"/>
      <c r="I472" s="31"/>
      <c r="J472" s="31"/>
      <c r="K472" s="31"/>
    </row>
    <row r="473" spans="1:11" ht="14.4" x14ac:dyDescent="0.3">
      <c r="A473" s="28" t="str">
        <f>B473&amp;C473&amp;D473&amp;E473</f>
        <v>Dacha, bogʻ va tomorqaPiknik, barbekyu, grillBarbekyu uchun anjomlarBarbekyu uchun anjomlar</v>
      </c>
      <c r="B473" s="35" t="s">
        <v>3157</v>
      </c>
      <c r="C473" s="35" t="s">
        <v>3708</v>
      </c>
      <c r="D473" s="35" t="s">
        <v>3709</v>
      </c>
      <c r="E473" s="35" t="s">
        <v>3709</v>
      </c>
      <c r="F473" s="36">
        <v>0.25</v>
      </c>
      <c r="G473" s="31"/>
      <c r="H473" s="31"/>
      <c r="I473" s="31"/>
      <c r="J473" s="31"/>
      <c r="K473" s="31"/>
    </row>
    <row r="474" spans="1:11" ht="14.4" x14ac:dyDescent="0.3">
      <c r="A474" s="28" t="str">
        <f>B474&amp;C474&amp;D474&amp;E474</f>
        <v>Dacha, bogʻ va tomorqaOʻgʻitlar va oʻsimliklar parvarishiYovvoyi oʻtlarga qarshi vositalarYovvoyi oʻtlarga qarshi vositalar</v>
      </c>
      <c r="B474" s="35" t="s">
        <v>3157</v>
      </c>
      <c r="C474" s="35" t="s">
        <v>3706</v>
      </c>
      <c r="D474" s="35" t="s">
        <v>3710</v>
      </c>
      <c r="E474" s="37" t="s">
        <v>3710</v>
      </c>
      <c r="F474" s="36">
        <v>0.25</v>
      </c>
      <c r="G474" s="31"/>
      <c r="H474" s="31"/>
      <c r="I474" s="31"/>
      <c r="J474" s="31"/>
      <c r="K474" s="31"/>
    </row>
    <row r="475" spans="1:11" ht="14.4" x14ac:dyDescent="0.3">
      <c r="A475" s="28" t="str">
        <f>B475&amp;C475&amp;D475&amp;E475</f>
        <v>Dacha, bogʻ va tomorqaBogʻ mebellari va dekoratsiyasiSkameykalarSkameykalar</v>
      </c>
      <c r="B475" s="35" t="s">
        <v>3157</v>
      </c>
      <c r="C475" s="35" t="s">
        <v>3711</v>
      </c>
      <c r="D475" s="35" t="s">
        <v>3712</v>
      </c>
      <c r="E475" s="35" t="s">
        <v>3712</v>
      </c>
      <c r="F475" s="36">
        <v>0.25</v>
      </c>
      <c r="G475" s="31"/>
      <c r="H475" s="31"/>
      <c r="I475" s="31"/>
      <c r="J475" s="31"/>
      <c r="K475" s="31"/>
    </row>
    <row r="476" spans="1:11" ht="14.4" x14ac:dyDescent="0.3">
      <c r="A476" s="28" t="str">
        <f>B476&amp;C476&amp;D476&amp;E476</f>
        <v>Dacha, bogʻ va tomorqaPiknik, barbekyu, grillPiknik uchun toʻplamlarPiknik uchun toʻplamlar</v>
      </c>
      <c r="B476" s="35" t="s">
        <v>3157</v>
      </c>
      <c r="C476" s="35" t="s">
        <v>3708</v>
      </c>
      <c r="D476" s="35" t="s">
        <v>3713</v>
      </c>
      <c r="E476" s="37" t="s">
        <v>3713</v>
      </c>
      <c r="F476" s="36">
        <v>0.25</v>
      </c>
      <c r="G476" s="31"/>
      <c r="H476" s="31"/>
      <c r="I476" s="31"/>
      <c r="J476" s="31"/>
      <c r="K476" s="31"/>
    </row>
    <row r="477" spans="1:11" ht="14.4" x14ac:dyDescent="0.3">
      <c r="A477" s="28" t="str">
        <f>B477&amp;C477&amp;D477&amp;E477</f>
        <v>Dacha, bogʻ va tomorqaUrugʻlar va koʻchatlarOʻsimliklarni oʻstirish uchun toʻplamlarOʻsimliklarni oʻstirish uchun toʻplamlar</v>
      </c>
      <c r="B477" s="35" t="s">
        <v>3157</v>
      </c>
      <c r="C477" s="35" t="s">
        <v>3700</v>
      </c>
      <c r="D477" s="35" t="s">
        <v>3714</v>
      </c>
      <c r="E477" s="35" t="s">
        <v>3714</v>
      </c>
      <c r="F477" s="36">
        <v>0.25</v>
      </c>
      <c r="G477" s="31"/>
      <c r="H477" s="31"/>
      <c r="I477" s="31"/>
      <c r="J477" s="31"/>
      <c r="K477" s="31"/>
    </row>
    <row r="478" spans="1:11" ht="14.4" x14ac:dyDescent="0.3">
      <c r="A478" s="28" t="str">
        <f>B478&amp;C478&amp;D478&amp;E478</f>
        <v>Dacha, bogʻ va tomorqaOʻgʻitlar va oʻsimliklar parvarishiOʻsimliklarni zararkunandalar va kasalliklardan himoyalashOʻsimliklarni zararkunandalar va kasalliklardan himoyalash</v>
      </c>
      <c r="B478" s="35" t="s">
        <v>3157</v>
      </c>
      <c r="C478" s="35" t="s">
        <v>3706</v>
      </c>
      <c r="D478" s="35" t="s">
        <v>3715</v>
      </c>
      <c r="E478" s="35" t="s">
        <v>3715</v>
      </c>
      <c r="F478" s="36">
        <v>0.25</v>
      </c>
      <c r="G478" s="31"/>
      <c r="H478" s="31"/>
      <c r="I478" s="31"/>
      <c r="J478" s="31"/>
      <c r="K478" s="31"/>
    </row>
    <row r="479" spans="1:11" ht="14.4" x14ac:dyDescent="0.3">
      <c r="A479" s="28" t="str">
        <f>B479&amp;C479&amp;D479&amp;E479</f>
        <v>Dacha, bogʻ va tomorqaBogʻ asboblariAksessuarlar va sarflov materiallariArqonlar, kanop iplar</v>
      </c>
      <c r="B479" s="35" t="s">
        <v>3157</v>
      </c>
      <c r="C479" s="35" t="s">
        <v>3296</v>
      </c>
      <c r="D479" s="35" t="s">
        <v>3297</v>
      </c>
      <c r="E479" s="35" t="s">
        <v>3716</v>
      </c>
      <c r="F479" s="36">
        <v>0.25</v>
      </c>
      <c r="G479" s="31"/>
      <c r="H479" s="31"/>
      <c r="I479" s="31"/>
      <c r="J479" s="31"/>
      <c r="K479" s="31"/>
    </row>
    <row r="480" spans="1:11" ht="14.4" x14ac:dyDescent="0.3">
      <c r="A480" s="28" t="str">
        <f>B480&amp;C480&amp;D480&amp;E480</f>
        <v>Dacha, bogʻ va tomorqaPiknik, barbekyu, grillKoʻmirKoʻmir</v>
      </c>
      <c r="B480" s="35" t="s">
        <v>3157</v>
      </c>
      <c r="C480" s="35" t="s">
        <v>3708</v>
      </c>
      <c r="D480" s="35" t="s">
        <v>3717</v>
      </c>
      <c r="E480" s="35" t="s">
        <v>3717</v>
      </c>
      <c r="F480" s="36">
        <v>0.25</v>
      </c>
      <c r="G480" s="31"/>
      <c r="H480" s="31"/>
      <c r="I480" s="31"/>
      <c r="J480" s="31"/>
      <c r="K480" s="31"/>
    </row>
    <row r="481" spans="1:11" ht="14.4" x14ac:dyDescent="0.3">
      <c r="A481" s="28" t="str">
        <f>B481&amp;C481&amp;D481&amp;E481</f>
        <v>Dacha, bogʻ va tomorqaPiknik, barbekyu, grillMangal, koptilni uchun panjaralar va aksessuarlarMangal, koptilni uchun panjaralar va aksessuarlar</v>
      </c>
      <c r="B481" s="35" t="s">
        <v>3157</v>
      </c>
      <c r="C481" s="35" t="s">
        <v>3708</v>
      </c>
      <c r="D481" s="35" t="s">
        <v>3718</v>
      </c>
      <c r="E481" s="35" t="s">
        <v>3718</v>
      </c>
      <c r="F481" s="36">
        <v>0.25</v>
      </c>
      <c r="G481" s="31"/>
      <c r="H481" s="31"/>
      <c r="I481" s="31"/>
      <c r="J481" s="31"/>
      <c r="K481" s="31"/>
    </row>
    <row r="482" spans="1:11" ht="14.4" x14ac:dyDescent="0.3">
      <c r="A482" s="28" t="str">
        <f>B482&amp;C482&amp;D482&amp;E482</f>
        <v>Dacha, bogʻ va tomorqaBogʻ asboblariDaraxtlar va butalarni kesishButaqirqqichlar, shoxqirqqichlar, toqqaychilar</v>
      </c>
      <c r="B482" s="35" t="s">
        <v>3157</v>
      </c>
      <c r="C482" s="35" t="s">
        <v>3296</v>
      </c>
      <c r="D482" s="35" t="s">
        <v>3719</v>
      </c>
      <c r="E482" s="35" t="s">
        <v>3720</v>
      </c>
      <c r="F482" s="36">
        <v>0.25</v>
      </c>
      <c r="G482" s="31"/>
      <c r="H482" s="31"/>
      <c r="I482" s="31"/>
      <c r="J482" s="31"/>
      <c r="K482" s="31"/>
    </row>
    <row r="483" spans="1:11" ht="14.4" x14ac:dyDescent="0.3">
      <c r="A483" s="28" t="str">
        <f>B483&amp;C483&amp;D483&amp;E483</f>
        <v>Dacha, bogʻ va tomorqaBogʻ asboblariBogʻ uchun boshqa asboblarUrugʻlar uchun seyalkalar</v>
      </c>
      <c r="B483" s="35" t="s">
        <v>3157</v>
      </c>
      <c r="C483" s="35" t="s">
        <v>3296</v>
      </c>
      <c r="D483" s="35" t="s">
        <v>3721</v>
      </c>
      <c r="E483" s="35" t="s">
        <v>3722</v>
      </c>
      <c r="F483" s="36">
        <v>0.25</v>
      </c>
      <c r="G483" s="31"/>
      <c r="H483" s="31"/>
      <c r="I483" s="31"/>
      <c r="J483" s="31"/>
      <c r="K483" s="31"/>
    </row>
    <row r="484" spans="1:11" ht="14.4" x14ac:dyDescent="0.3">
      <c r="A484" s="28" t="str">
        <f>B484&amp;C484&amp;D484&amp;E484</f>
        <v>Dacha, bogʻ va tomorqaPiknik, barbekyu, grillPiknik uchun koʻrpa va yopinchiqlarPiknik uchun koʻrpa va yopinchiqlar</v>
      </c>
      <c r="B484" s="35" t="s">
        <v>3157</v>
      </c>
      <c r="C484" s="35" t="s">
        <v>3708</v>
      </c>
      <c r="D484" s="35" t="s">
        <v>3723</v>
      </c>
      <c r="E484" s="37" t="s">
        <v>3723</v>
      </c>
      <c r="F484" s="36">
        <v>0.25</v>
      </c>
      <c r="G484" s="31"/>
      <c r="H484" s="31"/>
      <c r="I484" s="31"/>
      <c r="J484" s="31"/>
      <c r="K484" s="31"/>
    </row>
    <row r="485" spans="1:11" ht="14.4" x14ac:dyDescent="0.3">
      <c r="A485" s="28" t="str">
        <f>B485&amp;C485&amp;D485&amp;E485</f>
        <v>Dacha, bogʻ va tomorqaBogʻ asboblariYerga ishlov berishBogʻ ishlari uchun chopqilar, ketmonlar, kurakchalar</v>
      </c>
      <c r="B485" s="35" t="s">
        <v>3157</v>
      </c>
      <c r="C485" s="35" t="s">
        <v>3296</v>
      </c>
      <c r="D485" s="35" t="s">
        <v>3704</v>
      </c>
      <c r="E485" s="35" t="s">
        <v>3724</v>
      </c>
      <c r="F485" s="36">
        <v>0.25</v>
      </c>
      <c r="G485" s="31"/>
      <c r="H485" s="31"/>
      <c r="I485" s="31"/>
      <c r="J485" s="31"/>
      <c r="K485" s="31"/>
    </row>
    <row r="486" spans="1:11" ht="14.4" x14ac:dyDescent="0.3">
      <c r="A486" s="28" t="str">
        <f>B486&amp;C486&amp;D486&amp;E486</f>
        <v>Dacha, bogʻ va tomorqaBogʻ asboblariBogʻ uchun boshqa asboblarMeva teruvchilar</v>
      </c>
      <c r="B486" s="35" t="s">
        <v>3157</v>
      </c>
      <c r="C486" s="35" t="s">
        <v>3296</v>
      </c>
      <c r="D486" s="35" t="s">
        <v>3721</v>
      </c>
      <c r="E486" s="35" t="s">
        <v>3725</v>
      </c>
      <c r="F486" s="36">
        <v>0.25</v>
      </c>
      <c r="G486" s="31"/>
      <c r="H486" s="31"/>
      <c r="I486" s="31"/>
      <c r="J486" s="31"/>
      <c r="K486" s="31"/>
    </row>
    <row r="487" spans="1:11" ht="14.4" x14ac:dyDescent="0.3">
      <c r="A487" s="28" t="str">
        <f>B487&amp;C487&amp;D487&amp;E487</f>
        <v>Dacha, bogʻ va tomorqaBogʻ asboblariAksessuarlar va sarflov materiallariFartuklar va kamarlar</v>
      </c>
      <c r="B487" s="35" t="s">
        <v>3157</v>
      </c>
      <c r="C487" s="35" t="s">
        <v>3296</v>
      </c>
      <c r="D487" s="35" t="s">
        <v>3297</v>
      </c>
      <c r="E487" s="35" t="s">
        <v>3726</v>
      </c>
      <c r="F487" s="36">
        <v>0.25</v>
      </c>
      <c r="G487" s="31"/>
      <c r="H487" s="31"/>
      <c r="I487" s="31"/>
      <c r="J487" s="31"/>
      <c r="K487" s="31"/>
    </row>
    <row r="488" spans="1:11" ht="14.4" x14ac:dyDescent="0.3">
      <c r="A488" s="28" t="str">
        <f>B488&amp;C488&amp;D488&amp;E488</f>
        <v>Dacha, bogʻ va tomorqaOʻgʻitlar va oʻsimliklar parvarishiPurkagichlar va aksessuarlarPurkagichlar va aksessuarlar</v>
      </c>
      <c r="B488" s="35" t="s">
        <v>3157</v>
      </c>
      <c r="C488" s="35" t="s">
        <v>3706</v>
      </c>
      <c r="D488" s="35" t="s">
        <v>3727</v>
      </c>
      <c r="E488" s="35" t="s">
        <v>3727</v>
      </c>
      <c r="F488" s="36">
        <v>0.25</v>
      </c>
      <c r="G488" s="31"/>
      <c r="H488" s="31"/>
      <c r="I488" s="31"/>
      <c r="J488" s="31"/>
      <c r="K488" s="31"/>
    </row>
    <row r="489" spans="1:11" ht="14.4" x14ac:dyDescent="0.3">
      <c r="A489" s="28" t="str">
        <f>B489&amp;C489&amp;D489&amp;E489</f>
        <v>Dacha, bogʻ va tomorqaBogʻ asboblariDaraxtlar va butalarni kesishBogʻ pichoqlari va qaychilari</v>
      </c>
      <c r="B489" s="35" t="s">
        <v>3157</v>
      </c>
      <c r="C489" s="35" t="s">
        <v>3296</v>
      </c>
      <c r="D489" s="35" t="s">
        <v>3719</v>
      </c>
      <c r="E489" s="35" t="s">
        <v>3728</v>
      </c>
      <c r="F489" s="36">
        <v>0.25</v>
      </c>
      <c r="G489" s="31"/>
      <c r="H489" s="31"/>
      <c r="I489" s="31"/>
      <c r="J489" s="31"/>
      <c r="K489" s="31"/>
    </row>
    <row r="490" spans="1:11" ht="14.4" x14ac:dyDescent="0.3">
      <c r="A490" s="28" t="str">
        <f>B490&amp;C490&amp;D490&amp;E490</f>
        <v>Dacha, bogʻ va tomorqaDacha va bogʻlarni dekorativ parvarishlashDekoratsiya uchun boshqa tovarlarDekoratsiya uchun boshqa tovarlar</v>
      </c>
      <c r="B490" s="35" t="s">
        <v>3157</v>
      </c>
      <c r="C490" s="35" t="s">
        <v>3293</v>
      </c>
      <c r="D490" s="35" t="s">
        <v>3729</v>
      </c>
      <c r="E490" s="35" t="s">
        <v>3729</v>
      </c>
      <c r="F490" s="36">
        <v>0.25</v>
      </c>
      <c r="G490" s="31"/>
      <c r="H490" s="31"/>
      <c r="I490" s="31"/>
      <c r="J490" s="31"/>
      <c r="K490" s="31"/>
    </row>
    <row r="491" spans="1:11" ht="14.4" x14ac:dyDescent="0.3">
      <c r="A491" s="28" t="str">
        <f>B491&amp;C491&amp;D491&amp;E491</f>
        <v>Dacha, bogʻ va tomorqaPiknik, barbekyu, grillTermosumkalar, izotermik konteynerlarTermosumkalar, izotermik konteynerlar</v>
      </c>
      <c r="B491" s="35" t="s">
        <v>3157</v>
      </c>
      <c r="C491" s="35" t="s">
        <v>3708</v>
      </c>
      <c r="D491" s="35" t="s">
        <v>3730</v>
      </c>
      <c r="E491" s="35" t="s">
        <v>3730</v>
      </c>
      <c r="F491" s="36">
        <v>0.25</v>
      </c>
      <c r="G491" s="31"/>
      <c r="H491" s="31"/>
      <c r="I491" s="31"/>
      <c r="J491" s="31"/>
      <c r="K491" s="31"/>
    </row>
    <row r="492" spans="1:11" ht="14.4" x14ac:dyDescent="0.3">
      <c r="A492" s="28" t="str">
        <f>B492&amp;C492&amp;D492&amp;E492</f>
        <v>Dacha, bogʻ va tomorqaBogʻ asboblariBogʻ asboblari toʻplamiBogʻ asboblari toʻplami</v>
      </c>
      <c r="B492" s="35" t="s">
        <v>3157</v>
      </c>
      <c r="C492" s="35" t="s">
        <v>3296</v>
      </c>
      <c r="D492" s="35" t="s">
        <v>3731</v>
      </c>
      <c r="E492" s="35" t="s">
        <v>3731</v>
      </c>
      <c r="F492" s="36">
        <v>0.25</v>
      </c>
      <c r="G492" s="31"/>
      <c r="H492" s="31"/>
      <c r="I492" s="31"/>
      <c r="J492" s="31"/>
      <c r="K492" s="31"/>
    </row>
    <row r="493" spans="1:11" ht="14.4" x14ac:dyDescent="0.3">
      <c r="A493" s="28" t="str">
        <f>B493&amp;C493&amp;D493&amp;E493</f>
        <v>Dacha, bogʻ va tomorqaBogʻ asboblariAksessuarlar va sarflov materiallariQoplar va sumkalar</v>
      </c>
      <c r="B493" s="35" t="s">
        <v>3157</v>
      </c>
      <c r="C493" s="35" t="s">
        <v>3296</v>
      </c>
      <c r="D493" s="35" t="s">
        <v>3297</v>
      </c>
      <c r="E493" s="35" t="s">
        <v>3732</v>
      </c>
      <c r="F493" s="36">
        <v>0.25</v>
      </c>
      <c r="G493" s="31"/>
      <c r="H493" s="31"/>
      <c r="I493" s="31"/>
      <c r="J493" s="31"/>
      <c r="K493" s="31"/>
    </row>
    <row r="494" spans="1:11" ht="14.4" x14ac:dyDescent="0.3">
      <c r="A494" s="28" t="str">
        <f>B494&amp;C494&amp;D494&amp;E494</f>
        <v>Dacha, bogʻ va tomorqaOʻgʻitlar va oʻsimliklar parvarishiOʻsimliklar uchun tayanchlar va bogʻichlarOʻsimliklar uchun tayanchlar va bogʻichlar</v>
      </c>
      <c r="B494" s="35" t="s">
        <v>3157</v>
      </c>
      <c r="C494" s="35" t="s">
        <v>3706</v>
      </c>
      <c r="D494" s="35" t="s">
        <v>3733</v>
      </c>
      <c r="E494" s="35" t="s">
        <v>3733</v>
      </c>
      <c r="F494" s="36">
        <v>0.25</v>
      </c>
      <c r="G494" s="31"/>
      <c r="H494" s="31"/>
      <c r="I494" s="31"/>
      <c r="J494" s="31"/>
      <c r="K494" s="31"/>
    </row>
    <row r="495" spans="1:11" ht="14.4" x14ac:dyDescent="0.3">
      <c r="A495" s="28" t="str">
        <f>B495&amp;C495&amp;D495&amp;E495</f>
        <v>Dacha, bogʻ va tomorqaPiknik, barbekyu, grillOlov yoqish uchun vositalarOlov yoqish uchun vositalar</v>
      </c>
      <c r="B495" s="35" t="s">
        <v>3157</v>
      </c>
      <c r="C495" s="35" t="s">
        <v>3708</v>
      </c>
      <c r="D495" s="35" t="s">
        <v>3734</v>
      </c>
      <c r="E495" s="35" t="s">
        <v>3734</v>
      </c>
      <c r="F495" s="36">
        <v>0.25</v>
      </c>
      <c r="G495" s="31"/>
      <c r="H495" s="31"/>
      <c r="I495" s="31"/>
      <c r="J495" s="31"/>
      <c r="K495" s="31"/>
    </row>
    <row r="496" spans="1:11" ht="14.4" x14ac:dyDescent="0.3">
      <c r="A496" s="28" t="str">
        <f>B496&amp;C496&amp;D496&amp;E496</f>
        <v>Dacha, bogʻ va tomorqaBogʻ asboblariHudud parvarishiOʻroqlar va chalgʻilar</v>
      </c>
      <c r="B496" s="35" t="s">
        <v>3157</v>
      </c>
      <c r="C496" s="35" t="s">
        <v>3296</v>
      </c>
      <c r="D496" s="35" t="s">
        <v>3697</v>
      </c>
      <c r="E496" s="35" t="s">
        <v>3735</v>
      </c>
      <c r="F496" s="36">
        <v>0.25</v>
      </c>
      <c r="G496" s="31"/>
      <c r="H496" s="31"/>
      <c r="I496" s="31"/>
      <c r="J496" s="31"/>
      <c r="K496" s="31"/>
    </row>
    <row r="497" spans="1:11" ht="14.4" x14ac:dyDescent="0.3">
      <c r="A497" s="28" t="str">
        <f>B497&amp;C497&amp;D497&amp;E497</f>
        <v>Dacha, bogʻ va tomorqaBogʻ asboblariYerga ishlov berishBelkuraklar</v>
      </c>
      <c r="B497" s="35" t="s">
        <v>3157</v>
      </c>
      <c r="C497" s="35" t="s">
        <v>3296</v>
      </c>
      <c r="D497" s="35" t="s">
        <v>3704</v>
      </c>
      <c r="E497" s="35" t="s">
        <v>3736</v>
      </c>
      <c r="F497" s="36">
        <v>0.25</v>
      </c>
      <c r="G497" s="31"/>
      <c r="H497" s="31"/>
      <c r="I497" s="31"/>
      <c r="J497" s="31"/>
      <c r="K497" s="31"/>
    </row>
    <row r="498" spans="1:11" ht="14.4" x14ac:dyDescent="0.3">
      <c r="A498" s="28" t="str">
        <f>B498&amp;C498&amp;D498&amp;E498</f>
        <v>Dacha, bogʻ va tomorqaBogʻ mebellari va dekoratsiyasiBogʻ dekoratsiyasiBogʻ dekoratsiyasi</v>
      </c>
      <c r="B498" s="35" t="s">
        <v>3157</v>
      </c>
      <c r="C498" s="35" t="s">
        <v>3711</v>
      </c>
      <c r="D498" s="35" t="s">
        <v>3737</v>
      </c>
      <c r="E498" s="35" t="s">
        <v>3737</v>
      </c>
      <c r="F498" s="36">
        <v>0.25</v>
      </c>
      <c r="G498" s="31"/>
      <c r="H498" s="31"/>
      <c r="I498" s="31"/>
      <c r="J498" s="31"/>
      <c r="K498" s="31"/>
    </row>
    <row r="499" spans="1:11" ht="14.4" x14ac:dyDescent="0.3">
      <c r="A499" s="28" t="str">
        <f>B499&amp;C499&amp;D499&amp;E499</f>
        <v>Dacha, bogʻ va tomorqaUrugʻlar va koʻchatlarQoʻziqorin urugʻlariQoʻziqorin urugʻlari</v>
      </c>
      <c r="B499" s="35" t="s">
        <v>3157</v>
      </c>
      <c r="C499" s="35" t="s">
        <v>3700</v>
      </c>
      <c r="D499" s="35" t="s">
        <v>3738</v>
      </c>
      <c r="E499" s="35" t="s">
        <v>3738</v>
      </c>
      <c r="F499" s="36">
        <v>0.25</v>
      </c>
      <c r="G499" s="31"/>
      <c r="H499" s="31"/>
      <c r="I499" s="31"/>
      <c r="J499" s="31"/>
      <c r="K499" s="31"/>
    </row>
    <row r="500" spans="1:11" ht="14.4" x14ac:dyDescent="0.3">
      <c r="A500" s="28" t="str">
        <f>B500&amp;C500&amp;D500&amp;E500</f>
        <v>ElektronikaKompyuter texnikasiKompyuterning tashqi qurilmalariTarmoqli ekranlar va shlyuzlar</v>
      </c>
      <c r="B500" s="35" t="s">
        <v>3161</v>
      </c>
      <c r="C500" s="35" t="s">
        <v>3311</v>
      </c>
      <c r="D500" s="35" t="s">
        <v>3388</v>
      </c>
      <c r="E500" s="35" t="s">
        <v>3739</v>
      </c>
      <c r="F500" s="36">
        <v>0.25</v>
      </c>
      <c r="G500" s="31"/>
      <c r="H500" s="31"/>
      <c r="I500" s="31"/>
      <c r="J500" s="31"/>
      <c r="K500" s="31"/>
    </row>
    <row r="501" spans="1:11" ht="14.4" x14ac:dyDescent="0.3">
      <c r="A501" s="28" t="str">
        <f>B501&amp;C501&amp;D501&amp;E501</f>
        <v>ElektronikaSmartfonlar va telefonlarSmartfonlar uchun aksessuarlarTashqi akkumulyatorlar</v>
      </c>
      <c r="B501" s="35" t="s">
        <v>3161</v>
      </c>
      <c r="C501" s="35" t="s">
        <v>3303</v>
      </c>
      <c r="D501" s="35" t="s">
        <v>3304</v>
      </c>
      <c r="E501" s="35" t="s">
        <v>3740</v>
      </c>
      <c r="F501" s="36">
        <v>0.25</v>
      </c>
      <c r="G501" s="31"/>
      <c r="H501" s="31"/>
      <c r="I501" s="31"/>
      <c r="J501" s="31"/>
      <c r="K501" s="31"/>
    </row>
    <row r="502" spans="1:11" ht="14.4" x14ac:dyDescent="0.3">
      <c r="A502" s="28" t="str">
        <f>B502&amp;C502&amp;D502&amp;E502</f>
        <v>ElektronikaKompyuter texnikasiKompyuter aksessuarlariKlaviatura va sichqoncha toʻplamlari</v>
      </c>
      <c r="B502" s="35" t="s">
        <v>3161</v>
      </c>
      <c r="C502" s="35" t="s">
        <v>3311</v>
      </c>
      <c r="D502" s="35" t="s">
        <v>3354</v>
      </c>
      <c r="E502" s="35" t="s">
        <v>3741</v>
      </c>
      <c r="F502" s="36">
        <v>0.25</v>
      </c>
      <c r="G502" s="31"/>
      <c r="H502" s="31"/>
      <c r="I502" s="31"/>
      <c r="J502" s="31"/>
      <c r="K502" s="31"/>
    </row>
    <row r="503" spans="1:11" ht="14.4" x14ac:dyDescent="0.3">
      <c r="A503" s="28" t="str">
        <f>B503&amp;C503&amp;D503&amp;E503</f>
        <v>ElektronikaKompyuter texnikasiKompyuter aksessuarlariGrafik planshetlar va aksessuarlar</v>
      </c>
      <c r="B503" s="35" t="s">
        <v>3161</v>
      </c>
      <c r="C503" s="35" t="s">
        <v>3311</v>
      </c>
      <c r="D503" s="35" t="s">
        <v>3354</v>
      </c>
      <c r="E503" s="35" t="s">
        <v>3742</v>
      </c>
      <c r="F503" s="36">
        <v>0.25</v>
      </c>
      <c r="G503" s="31"/>
      <c r="H503" s="31"/>
      <c r="I503" s="31"/>
      <c r="J503" s="31"/>
      <c r="K503" s="31"/>
    </row>
    <row r="504" spans="1:11" ht="14.4" x14ac:dyDescent="0.3">
      <c r="A504" s="28" t="str">
        <f>B504&amp;C504&amp;D504&amp;E504</f>
        <v>ElektronikaFoto va video texnikaFoto va video kameralarBolalar fotoapparatlari</v>
      </c>
      <c r="B504" s="35" t="s">
        <v>3161</v>
      </c>
      <c r="C504" s="35" t="s">
        <v>3347</v>
      </c>
      <c r="D504" s="35" t="s">
        <v>3743</v>
      </c>
      <c r="E504" s="35" t="s">
        <v>3744</v>
      </c>
      <c r="F504" s="36">
        <v>0.25</v>
      </c>
      <c r="G504" s="31"/>
      <c r="H504" s="31"/>
      <c r="I504" s="31"/>
      <c r="J504" s="31"/>
      <c r="K504" s="31"/>
    </row>
    <row r="505" spans="1:11" ht="14.4" x14ac:dyDescent="0.3">
      <c r="A505" s="28" t="str">
        <f>B505&amp;C505&amp;D505&amp;E505</f>
        <v>ElektronikaFoto va video texnikaFoto va video kameralarIxcham fotoapparatlar</v>
      </c>
      <c r="B505" s="35" t="s">
        <v>3161</v>
      </c>
      <c r="C505" s="35" t="s">
        <v>3347</v>
      </c>
      <c r="D505" s="35" t="s">
        <v>3743</v>
      </c>
      <c r="E505" s="35" t="s">
        <v>3745</v>
      </c>
      <c r="F505" s="36">
        <v>0.25</v>
      </c>
      <c r="G505" s="31"/>
      <c r="H505" s="31"/>
      <c r="I505" s="31"/>
      <c r="J505" s="31"/>
      <c r="K505" s="31"/>
    </row>
    <row r="506" spans="1:11" ht="14.4" x14ac:dyDescent="0.3">
      <c r="A506" s="28" t="str">
        <f>B506&amp;C506&amp;D506&amp;E506</f>
        <v>ElektronikaAqlli soatlar va fitnes bilaguzuklarAqlli gadjetlarAqlli gadjetlar</v>
      </c>
      <c r="B506" s="35" t="s">
        <v>3161</v>
      </c>
      <c r="C506" s="35" t="s">
        <v>3336</v>
      </c>
      <c r="D506" s="35" t="s">
        <v>3746</v>
      </c>
      <c r="E506" s="35" t="s">
        <v>3746</v>
      </c>
      <c r="F506" s="36">
        <v>0.25</v>
      </c>
      <c r="G506" s="31"/>
      <c r="H506" s="31"/>
      <c r="I506" s="31"/>
      <c r="J506" s="31"/>
      <c r="K506" s="31"/>
    </row>
    <row r="507" spans="1:11" ht="14.4" x14ac:dyDescent="0.3">
      <c r="A507" s="28" t="str">
        <f>B507&amp;C507&amp;D507&amp;E507</f>
        <v>ElektronikaKompyuter texnikasiMaʼlumotlarni saqlashXotira kartalari va flesh-disklar</v>
      </c>
      <c r="B507" s="35" t="s">
        <v>3161</v>
      </c>
      <c r="C507" s="35" t="s">
        <v>3311</v>
      </c>
      <c r="D507" s="35" t="s">
        <v>3312</v>
      </c>
      <c r="E507" s="35" t="s">
        <v>3747</v>
      </c>
      <c r="F507" s="36">
        <v>0.25</v>
      </c>
      <c r="G507" s="31"/>
      <c r="H507" s="31"/>
      <c r="I507" s="31"/>
      <c r="J507" s="31"/>
      <c r="K507" s="31"/>
    </row>
    <row r="508" spans="1:11" ht="14.4" x14ac:dyDescent="0.3">
      <c r="A508" s="28" t="str">
        <f>B508&amp;C508&amp;D508&amp;E508</f>
        <v>ElektronikaFoto va video texnikaFotosuratchilar uchun uskunalarShtativlar</v>
      </c>
      <c r="B508" s="35" t="s">
        <v>3161</v>
      </c>
      <c r="C508" s="35" t="s">
        <v>3347</v>
      </c>
      <c r="D508" s="35" t="s">
        <v>3748</v>
      </c>
      <c r="E508" s="35" t="s">
        <v>3749</v>
      </c>
      <c r="F508" s="36">
        <v>0.25</v>
      </c>
      <c r="G508" s="31"/>
      <c r="H508" s="31"/>
      <c r="I508" s="31"/>
      <c r="J508" s="31"/>
      <c r="K508" s="31"/>
    </row>
    <row r="509" spans="1:11" ht="14.4" x14ac:dyDescent="0.3">
      <c r="A509" s="28" t="str">
        <f>B509&amp;C509&amp;D509&amp;E509</f>
        <v>ElektronikaKompyuter texnikasiKompyuterning tashqi qurilmalariTarmoq adapterlari va PoE-injektorlari</v>
      </c>
      <c r="B509" s="35" t="s">
        <v>3161</v>
      </c>
      <c r="C509" s="35" t="s">
        <v>3311</v>
      </c>
      <c r="D509" s="35" t="s">
        <v>3388</v>
      </c>
      <c r="E509" s="35" t="s">
        <v>3750</v>
      </c>
      <c r="F509" s="36">
        <v>0.25</v>
      </c>
      <c r="G509" s="31"/>
      <c r="H509" s="31"/>
      <c r="I509" s="31"/>
      <c r="J509" s="31"/>
      <c r="K509" s="31"/>
    </row>
    <row r="510" spans="1:11" ht="14.4" x14ac:dyDescent="0.3">
      <c r="A510" s="28" t="str">
        <f>B510&amp;C510&amp;D510&amp;E510</f>
        <v>ElektronikaKvadrokopterlar va aksessuarlarKvadrokopterlarKvadrokopterlar</v>
      </c>
      <c r="B510" s="35" t="s">
        <v>3161</v>
      </c>
      <c r="C510" s="35" t="s">
        <v>3320</v>
      </c>
      <c r="D510" s="35" t="s">
        <v>3751</v>
      </c>
      <c r="E510" s="35" t="s">
        <v>3751</v>
      </c>
      <c r="F510" s="36">
        <v>0.25</v>
      </c>
      <c r="G510" s="31"/>
      <c r="H510" s="31"/>
      <c r="I510" s="31"/>
      <c r="J510" s="31"/>
      <c r="K510" s="31"/>
    </row>
    <row r="511" spans="1:11" ht="14.4" x14ac:dyDescent="0.3">
      <c r="A511" s="28" t="str">
        <f>B511&amp;C511&amp;D511&amp;E511</f>
        <v>ElektronikaFoto va video texnikaFoto va video kameralarOynasiz fotoapparatlar</v>
      </c>
      <c r="B511" s="35" t="s">
        <v>3161</v>
      </c>
      <c r="C511" s="35" t="s">
        <v>3347</v>
      </c>
      <c r="D511" s="35" t="s">
        <v>3743</v>
      </c>
      <c r="E511" s="35" t="s">
        <v>3752</v>
      </c>
      <c r="F511" s="36">
        <v>0.25</v>
      </c>
      <c r="G511" s="31"/>
      <c r="H511" s="31"/>
      <c r="I511" s="31"/>
      <c r="J511" s="31"/>
      <c r="K511" s="31"/>
    </row>
    <row r="512" spans="1:11" ht="14.4" x14ac:dyDescent="0.3">
      <c r="A512" s="28" t="str">
        <f>B512&amp;C512&amp;D512&amp;E512</f>
        <v>ElektronikaSoatlar va elektron budilniklarElektron budilniklarElektron budilniklar</v>
      </c>
      <c r="B512" s="35" t="s">
        <v>3161</v>
      </c>
      <c r="C512" s="35" t="s">
        <v>3753</v>
      </c>
      <c r="D512" s="35" t="s">
        <v>3754</v>
      </c>
      <c r="E512" s="35" t="s">
        <v>3754</v>
      </c>
      <c r="F512" s="36">
        <v>0.25</v>
      </c>
      <c r="G512" s="31"/>
      <c r="H512" s="31"/>
      <c r="I512" s="31"/>
      <c r="J512" s="31"/>
      <c r="K512" s="31"/>
    </row>
    <row r="513" spans="1:11" ht="14.4" x14ac:dyDescent="0.3">
      <c r="A513" s="28" t="str">
        <f>B513&amp;C513&amp;D513&amp;E513</f>
        <v>ElektronikaSoatlar va elektron budilniklarProyeksiya soatlariProyeksiya soatlari</v>
      </c>
      <c r="B513" s="35" t="s">
        <v>3161</v>
      </c>
      <c r="C513" s="35" t="s">
        <v>3753</v>
      </c>
      <c r="D513" s="35" t="s">
        <v>3755</v>
      </c>
      <c r="E513" s="35" t="s">
        <v>3755</v>
      </c>
      <c r="F513" s="36">
        <v>0.25</v>
      </c>
      <c r="G513" s="31"/>
      <c r="H513" s="31"/>
      <c r="I513" s="31"/>
      <c r="J513" s="31"/>
      <c r="K513" s="31"/>
    </row>
    <row r="514" spans="1:11" ht="14.4" x14ac:dyDescent="0.3">
      <c r="A514" s="28" t="str">
        <f>B514&amp;C514&amp;D514&amp;E514</f>
        <v>ElektronikaSmartfonlar va telefonlarSmartfonlar uchun aksessuarlarMobil VR-garnituralar</v>
      </c>
      <c r="B514" s="35" t="s">
        <v>3161</v>
      </c>
      <c r="C514" s="35" t="s">
        <v>3303</v>
      </c>
      <c r="D514" s="35" t="s">
        <v>3304</v>
      </c>
      <c r="E514" s="35" t="s">
        <v>3756</v>
      </c>
      <c r="F514" s="36">
        <v>0.25</v>
      </c>
      <c r="G514" s="31"/>
      <c r="H514" s="31"/>
      <c r="I514" s="31"/>
      <c r="J514" s="31"/>
      <c r="K514" s="31"/>
    </row>
    <row r="515" spans="1:11" ht="14.4" x14ac:dyDescent="0.3">
      <c r="A515" s="28" t="str">
        <f>B515&amp;C515&amp;D515&amp;E515</f>
        <v>ElektronikaKompyuter texnikasiKompyuter aksessuarlariKlaviaturalar</v>
      </c>
      <c r="B515" s="35" t="s">
        <v>3161</v>
      </c>
      <c r="C515" s="35" t="s">
        <v>3311</v>
      </c>
      <c r="D515" s="35" t="s">
        <v>3354</v>
      </c>
      <c r="E515" s="35" t="s">
        <v>3757</v>
      </c>
      <c r="F515" s="36">
        <v>0.25</v>
      </c>
      <c r="G515" s="31"/>
      <c r="H515" s="31"/>
      <c r="I515" s="31"/>
      <c r="J515" s="31"/>
      <c r="K515" s="31"/>
    </row>
    <row r="516" spans="1:11" ht="14.4" x14ac:dyDescent="0.3">
      <c r="A516" s="28" t="str">
        <f>B516&amp;C516&amp;D516&amp;E516</f>
        <v>ElektronikaFoto va video texnikaFoto va video kameralar uchun aksessuarlarSelfi uchun monopodlar</v>
      </c>
      <c r="B516" s="35" t="s">
        <v>3161</v>
      </c>
      <c r="C516" s="35" t="s">
        <v>3347</v>
      </c>
      <c r="D516" s="35" t="s">
        <v>3348</v>
      </c>
      <c r="E516" s="35" t="s">
        <v>3758</v>
      </c>
      <c r="F516" s="36">
        <v>0.25</v>
      </c>
      <c r="G516" s="31"/>
      <c r="H516" s="31"/>
      <c r="I516" s="31"/>
      <c r="J516" s="31"/>
      <c r="K516" s="31"/>
    </row>
    <row r="517" spans="1:11" ht="14.4" x14ac:dyDescent="0.3">
      <c r="A517" s="28" t="str">
        <f>B517&amp;C517&amp;D517&amp;E517</f>
        <v>ElektronikaKompyuter texnikasiKompyuter aksessuarlariSichqoncha</v>
      </c>
      <c r="B517" s="35" t="s">
        <v>3161</v>
      </c>
      <c r="C517" s="35" t="s">
        <v>3311</v>
      </c>
      <c r="D517" s="35" t="s">
        <v>3354</v>
      </c>
      <c r="E517" s="35" t="s">
        <v>3759</v>
      </c>
      <c r="F517" s="36">
        <v>0.25</v>
      </c>
      <c r="G517" s="31"/>
      <c r="H517" s="31"/>
      <c r="I517" s="31"/>
      <c r="J517" s="31"/>
      <c r="K517" s="31"/>
    </row>
    <row r="518" spans="1:11" ht="14.4" x14ac:dyDescent="0.3">
      <c r="A518" s="28" t="str">
        <f>B518&amp;C518&amp;D518&amp;E518</f>
        <v>ElektronikaFoto va video texnikaFoto va video kameralar uchun aksessuarlarMahkamlagichlar</v>
      </c>
      <c r="B518" s="35" t="s">
        <v>3161</v>
      </c>
      <c r="C518" s="35" t="s">
        <v>3347</v>
      </c>
      <c r="D518" s="35" t="s">
        <v>3348</v>
      </c>
      <c r="E518" s="35" t="s">
        <v>3330</v>
      </c>
      <c r="F518" s="36">
        <v>0.25</v>
      </c>
      <c r="G518" s="31"/>
      <c r="H518" s="31"/>
      <c r="I518" s="31"/>
      <c r="J518" s="31"/>
      <c r="K518" s="31"/>
    </row>
    <row r="519" spans="1:11" ht="14.4" x14ac:dyDescent="0.3">
      <c r="A519" s="28" t="str">
        <f>B519&amp;C519&amp;D519&amp;E519</f>
        <v>Goʻzallik va parvarishTana parvarishiTana parvarishi uchun aksessuarlarQuruq massaj uchun choʻtkalar</v>
      </c>
      <c r="B519" s="35" t="s">
        <v>3165</v>
      </c>
      <c r="C519" s="35" t="s">
        <v>3760</v>
      </c>
      <c r="D519" s="35" t="s">
        <v>3761</v>
      </c>
      <c r="E519" s="35" t="s">
        <v>3762</v>
      </c>
      <c r="F519" s="36">
        <v>0.25</v>
      </c>
      <c r="G519" s="31"/>
      <c r="H519" s="31"/>
      <c r="I519" s="31"/>
      <c r="J519" s="31"/>
      <c r="K519" s="31"/>
    </row>
    <row r="520" spans="1:11" ht="14.4" x14ac:dyDescent="0.3">
      <c r="A520" s="28" t="str">
        <f>B520&amp;C520&amp;D520&amp;E520</f>
        <v>Goʻzallik va parvarishTatuirovka saloni uchun uskunalar va materiallarKartrijlarKartrijlar</v>
      </c>
      <c r="B520" s="35" t="s">
        <v>3165</v>
      </c>
      <c r="C520" s="35" t="s">
        <v>3763</v>
      </c>
      <c r="D520" s="35" t="s">
        <v>3324</v>
      </c>
      <c r="E520" s="35" t="s">
        <v>3324</v>
      </c>
      <c r="F520" s="36">
        <v>0.25</v>
      </c>
      <c r="G520" s="31"/>
      <c r="H520" s="31"/>
      <c r="I520" s="31"/>
      <c r="J520" s="31"/>
      <c r="K520" s="31"/>
    </row>
    <row r="521" spans="1:11" ht="14.4" x14ac:dyDescent="0.3">
      <c r="A521" s="28" t="str">
        <f>B521&amp;C521&amp;D521&amp;E521</f>
        <v>Goʻzallik va parvarishParfyumeriyaOdekolonlarOdekolonlar</v>
      </c>
      <c r="B521" s="35" t="s">
        <v>3165</v>
      </c>
      <c r="C521" s="35" t="s">
        <v>3764</v>
      </c>
      <c r="D521" s="35" t="s">
        <v>3765</v>
      </c>
      <c r="E521" s="35" t="s">
        <v>3765</v>
      </c>
      <c r="F521" s="36">
        <v>0.25</v>
      </c>
      <c r="G521" s="31"/>
      <c r="H521" s="31"/>
      <c r="I521" s="31"/>
      <c r="J521" s="31"/>
      <c r="K521" s="31"/>
    </row>
    <row r="522" spans="1:11" ht="14.4" x14ac:dyDescent="0.3">
      <c r="A522" s="28" t="str">
        <f>B522&amp;C522&amp;D522&amp;E522</f>
        <v>Goʻzallik va parvarishParfyumeriyaAtirlarAtirlar</v>
      </c>
      <c r="B522" s="35" t="s">
        <v>3165</v>
      </c>
      <c r="C522" s="35" t="s">
        <v>3764</v>
      </c>
      <c r="D522" s="35" t="s">
        <v>3766</v>
      </c>
      <c r="E522" s="35" t="s">
        <v>3766</v>
      </c>
      <c r="F522" s="36">
        <v>0.25</v>
      </c>
      <c r="G522" s="31"/>
      <c r="H522" s="31"/>
      <c r="I522" s="31"/>
      <c r="J522" s="31"/>
      <c r="K522" s="31"/>
    </row>
    <row r="523" spans="1:11" ht="14.4" x14ac:dyDescent="0.3">
      <c r="A523" s="28" t="str">
        <f>B523&amp;C523&amp;D523&amp;E523</f>
        <v>Goʻzallik va parvarishManikyur va pedikyurLaklarLaklar</v>
      </c>
      <c r="B523" s="35" t="s">
        <v>3165</v>
      </c>
      <c r="C523" s="35" t="s">
        <v>3767</v>
      </c>
      <c r="D523" s="35" t="s">
        <v>3768</v>
      </c>
      <c r="E523" s="35" t="s">
        <v>3768</v>
      </c>
      <c r="F523" s="36">
        <v>0.25</v>
      </c>
      <c r="G523" s="31"/>
      <c r="H523" s="31"/>
      <c r="I523" s="31"/>
      <c r="J523" s="31"/>
      <c r="K523" s="31"/>
    </row>
    <row r="524" spans="1:11" ht="14.4" x14ac:dyDescent="0.3">
      <c r="A524" s="28" t="str">
        <f>B524&amp;C524&amp;D524&amp;E524</f>
        <v>Goʻzallik va parvarishTatuirovka saloni uchun uskunalar va materiallarTatuirovka parvarishiTatuirovka parvarishi</v>
      </c>
      <c r="B524" s="35" t="s">
        <v>3165</v>
      </c>
      <c r="C524" s="35" t="s">
        <v>3763</v>
      </c>
      <c r="D524" s="35" t="s">
        <v>3769</v>
      </c>
      <c r="E524" s="35" t="s">
        <v>3769</v>
      </c>
      <c r="F524" s="36">
        <v>0.25</v>
      </c>
      <c r="G524" s="31"/>
      <c r="H524" s="31"/>
      <c r="I524" s="31"/>
      <c r="J524" s="31"/>
      <c r="K524" s="31"/>
    </row>
    <row r="525" spans="1:11" ht="14.4" x14ac:dyDescent="0.3">
      <c r="A525" s="28" t="str">
        <f>B525&amp;C525&amp;D525&amp;E525</f>
        <v>Goʻzallik va parvarishTana parvarishiTana parvarishi uchun aksessuarlarTirsak yostiqchalari, qoʻlqoplar, paypoqlar</v>
      </c>
      <c r="B525" s="35" t="s">
        <v>3165</v>
      </c>
      <c r="C525" s="35" t="s">
        <v>3760</v>
      </c>
      <c r="D525" s="35" t="s">
        <v>3761</v>
      </c>
      <c r="E525" s="35" t="s">
        <v>3770</v>
      </c>
      <c r="F525" s="36">
        <v>0.25</v>
      </c>
      <c r="G525" s="31"/>
      <c r="H525" s="31"/>
      <c r="I525" s="31"/>
      <c r="J525" s="31"/>
      <c r="K525" s="31"/>
    </row>
    <row r="526" spans="1:11" ht="14.4" x14ac:dyDescent="0.3">
      <c r="A526" s="28" t="str">
        <f>B526&amp;C526&amp;D526&amp;E526</f>
        <v>Goʻzallik va parvarishParfyumeriyaXushbo'ylangan suvXushbo'ylangan suv</v>
      </c>
      <c r="B526" s="35" t="s">
        <v>3165</v>
      </c>
      <c r="C526" s="35" t="s">
        <v>3764</v>
      </c>
      <c r="D526" s="35" t="s">
        <v>3771</v>
      </c>
      <c r="E526" s="35" t="s">
        <v>3771</v>
      </c>
      <c r="F526" s="36">
        <v>0.25</v>
      </c>
      <c r="G526" s="31"/>
      <c r="H526" s="31"/>
      <c r="I526" s="31"/>
      <c r="J526" s="31"/>
      <c r="K526" s="31"/>
    </row>
    <row r="527" spans="1:11" ht="14.4" x14ac:dyDescent="0.3">
      <c r="A527" s="28" t="str">
        <f>B527&amp;C527&amp;D527&amp;E527</f>
        <v>Goʻzallik va parvarishParfyumeriyaYogʻli atirlarYogʻli atirlar</v>
      </c>
      <c r="B527" s="35" t="s">
        <v>3165</v>
      </c>
      <c r="C527" s="35" t="s">
        <v>3764</v>
      </c>
      <c r="D527" s="35" t="s">
        <v>3772</v>
      </c>
      <c r="E527" s="35" t="s">
        <v>3772</v>
      </c>
      <c r="F527" s="36">
        <v>0.25</v>
      </c>
      <c r="G527" s="31"/>
      <c r="H527" s="31"/>
      <c r="I527" s="31"/>
      <c r="J527" s="31"/>
      <c r="K527" s="31"/>
    </row>
    <row r="528" spans="1:11" ht="14.4" x14ac:dyDescent="0.3">
      <c r="A528" s="28" t="str">
        <f>B528&amp;C528&amp;D528&amp;E528</f>
        <v>Goʻzallik va parvarishManikyur va pedikyurTirnoq boʻyogʻini tozalash vositalariTirnoq boʻyogʻini tozalash vositalari</v>
      </c>
      <c r="B528" s="35" t="s">
        <v>3165</v>
      </c>
      <c r="C528" s="35" t="s">
        <v>3767</v>
      </c>
      <c r="D528" s="35" t="s">
        <v>3773</v>
      </c>
      <c r="E528" s="35" t="s">
        <v>3773</v>
      </c>
      <c r="F528" s="36">
        <v>0.25</v>
      </c>
      <c r="G528" s="31"/>
      <c r="H528" s="31"/>
      <c r="I528" s="31"/>
      <c r="J528" s="31"/>
      <c r="K528" s="31"/>
    </row>
    <row r="529" spans="1:11" ht="14.4" x14ac:dyDescent="0.3">
      <c r="A529" s="28" t="str">
        <f>B529&amp;C529&amp;D529&amp;E529</f>
        <v>Goʻzallik va parvarishParfyumeriyaMiniatyuralar va tiqinlarMiniatyuralar va tiqinlar</v>
      </c>
      <c r="B529" s="35" t="s">
        <v>3165</v>
      </c>
      <c r="C529" s="35" t="s">
        <v>3764</v>
      </c>
      <c r="D529" s="35" t="s">
        <v>3774</v>
      </c>
      <c r="E529" s="35" t="s">
        <v>3774</v>
      </c>
      <c r="F529" s="36">
        <v>0.25</v>
      </c>
      <c r="G529" s="31"/>
      <c r="H529" s="31"/>
      <c r="I529" s="31"/>
      <c r="J529" s="31"/>
      <c r="K529" s="31"/>
    </row>
    <row r="530" spans="1:11" ht="14.4" x14ac:dyDescent="0.3">
      <c r="A530" s="28" t="str">
        <f>B530&amp;C530&amp;D530&amp;E530</f>
        <v>Goʻzallik va parvarishTana parvarishiTana parvarishi uchun aksessuarlarParafin terapiyasi uchun qoʻlqoplar</v>
      </c>
      <c r="B530" s="35" t="s">
        <v>3165</v>
      </c>
      <c r="C530" s="35" t="s">
        <v>3760</v>
      </c>
      <c r="D530" s="35" t="s">
        <v>3761</v>
      </c>
      <c r="E530" s="35" t="s">
        <v>3775</v>
      </c>
      <c r="F530" s="36">
        <v>0.25</v>
      </c>
      <c r="G530" s="31"/>
      <c r="H530" s="31"/>
      <c r="I530" s="31"/>
      <c r="J530" s="31"/>
      <c r="K530" s="31"/>
    </row>
    <row r="531" spans="1:11" ht="14.4" x14ac:dyDescent="0.3">
      <c r="A531" s="28" t="str">
        <f>B531&amp;C531&amp;D531&amp;E531</f>
        <v>Goʻzallik va parvarishManikyur va pedikyurTirnoqlar dizayniTirnoqlar dizayni</v>
      </c>
      <c r="B531" s="35" t="s">
        <v>3165</v>
      </c>
      <c r="C531" s="35" t="s">
        <v>3767</v>
      </c>
      <c r="D531" s="35" t="s">
        <v>3776</v>
      </c>
      <c r="E531" s="35" t="s">
        <v>3776</v>
      </c>
      <c r="F531" s="36">
        <v>0.25</v>
      </c>
      <c r="G531" s="31"/>
      <c r="H531" s="31"/>
      <c r="I531" s="31"/>
      <c r="J531" s="31"/>
      <c r="K531" s="31"/>
    </row>
    <row r="532" spans="1:11" ht="14.4" x14ac:dyDescent="0.3">
      <c r="A532" s="28" t="str">
        <f>B532&amp;C532&amp;D532&amp;E532</f>
        <v>Goʻzallik va parvarishParfyumeriyaQuruq atirlarQuruq atirlar</v>
      </c>
      <c r="B532" s="35" t="s">
        <v>3165</v>
      </c>
      <c r="C532" s="35" t="s">
        <v>3764</v>
      </c>
      <c r="D532" s="35" t="s">
        <v>3777</v>
      </c>
      <c r="E532" s="35" t="s">
        <v>3777</v>
      </c>
      <c r="F532" s="36">
        <v>0.25</v>
      </c>
      <c r="G532" s="31"/>
      <c r="H532" s="31"/>
      <c r="I532" s="31"/>
      <c r="J532" s="31"/>
      <c r="K532" s="31"/>
    </row>
    <row r="533" spans="1:11" ht="14.4" x14ac:dyDescent="0.3">
      <c r="A533" s="28" t="str">
        <f>B533&amp;C533&amp;D533&amp;E533</f>
        <v>Goʻzallik va parvarishManikyur va pedikyurGel-laklarGel-laklar</v>
      </c>
      <c r="B533" s="35" t="s">
        <v>3165</v>
      </c>
      <c r="C533" s="35" t="s">
        <v>3767</v>
      </c>
      <c r="D533" s="35" t="s">
        <v>3778</v>
      </c>
      <c r="E533" s="35" t="s">
        <v>3778</v>
      </c>
      <c r="F533" s="36">
        <v>0.25</v>
      </c>
      <c r="G533" s="31"/>
      <c r="H533" s="31"/>
      <c r="I533" s="31"/>
      <c r="J533" s="31"/>
      <c r="K533" s="31"/>
    </row>
    <row r="534" spans="1:11" ht="14.4" x14ac:dyDescent="0.3">
      <c r="A534" s="28" t="str">
        <f>B534&amp;C534&amp;D534&amp;E534</f>
        <v>Goʻzallik va parvarishManikyur va pedikyurManikyur anjomlariTirnoq olgichlar</v>
      </c>
      <c r="B534" s="35" t="s">
        <v>3165</v>
      </c>
      <c r="C534" s="35" t="s">
        <v>3767</v>
      </c>
      <c r="D534" s="35" t="s">
        <v>3779</v>
      </c>
      <c r="E534" s="35" t="s">
        <v>3780</v>
      </c>
      <c r="F534" s="36">
        <v>0.25</v>
      </c>
      <c r="G534" s="31"/>
      <c r="H534" s="31"/>
      <c r="I534" s="31"/>
      <c r="J534" s="31"/>
      <c r="K534" s="31"/>
    </row>
    <row r="535" spans="1:11" ht="14.4" x14ac:dyDescent="0.3">
      <c r="A535" s="28" t="str">
        <f>B535&amp;C535&amp;D535&amp;E535</f>
        <v>Goʻzallik va parvarishTana parvarishiTana parvarishi uchun aksessuarlarMochalkalar</v>
      </c>
      <c r="B535" s="35" t="s">
        <v>3165</v>
      </c>
      <c r="C535" s="35" t="s">
        <v>3760</v>
      </c>
      <c r="D535" s="35" t="s">
        <v>3761</v>
      </c>
      <c r="E535" s="35" t="s">
        <v>3781</v>
      </c>
      <c r="F535" s="36">
        <v>0.25</v>
      </c>
      <c r="G535" s="31"/>
      <c r="H535" s="31"/>
      <c r="I535" s="31"/>
      <c r="J535" s="31"/>
      <c r="K535" s="31"/>
    </row>
    <row r="536" spans="1:11" ht="14.4" x14ac:dyDescent="0.3">
      <c r="A536" s="28" t="str">
        <f>B536&amp;C536&amp;D536&amp;E536</f>
        <v>Goʻzallik va parvarishManikyur va pedikyurManikyur anjomlariPemza, qirgich</v>
      </c>
      <c r="B536" s="35" t="s">
        <v>3165</v>
      </c>
      <c r="C536" s="35" t="s">
        <v>3767</v>
      </c>
      <c r="D536" s="35" t="s">
        <v>3779</v>
      </c>
      <c r="E536" s="35" t="s">
        <v>3782</v>
      </c>
      <c r="F536" s="36">
        <v>0.25</v>
      </c>
      <c r="G536" s="31"/>
      <c r="H536" s="31"/>
      <c r="I536" s="31"/>
      <c r="J536" s="31"/>
      <c r="K536" s="31"/>
    </row>
    <row r="537" spans="1:11" ht="14.4" x14ac:dyDescent="0.3">
      <c r="A537" s="28" t="str">
        <f>B537&amp;C537&amp;D537&amp;E537</f>
        <v>Goʻzallik va parvarishManikyur va pedikyurManikyur anjomlariChoʻtkalar</v>
      </c>
      <c r="B537" s="35" t="s">
        <v>3165</v>
      </c>
      <c r="C537" s="35" t="s">
        <v>3767</v>
      </c>
      <c r="D537" s="35" t="s">
        <v>3779</v>
      </c>
      <c r="E537" s="35" t="s">
        <v>3783</v>
      </c>
      <c r="F537" s="36">
        <v>0.25</v>
      </c>
      <c r="G537" s="31"/>
      <c r="H537" s="31"/>
      <c r="I537" s="31"/>
      <c r="J537" s="31"/>
      <c r="K537" s="31"/>
    </row>
    <row r="538" spans="1:11" ht="14.4" x14ac:dyDescent="0.3">
      <c r="A538" s="28" t="str">
        <f>B538&amp;C538&amp;D538&amp;E538</f>
        <v>Goʻzallik va parvarishTatuirovka saloni uchun uskunalar va materiallarTatuirovka mashinalari va aksessuarlariTatuirovka mashinalari va aksessuarlari</v>
      </c>
      <c r="B538" s="35" t="s">
        <v>3165</v>
      </c>
      <c r="C538" s="35" t="s">
        <v>3763</v>
      </c>
      <c r="D538" s="35" t="s">
        <v>3784</v>
      </c>
      <c r="E538" s="35" t="s">
        <v>3784</v>
      </c>
      <c r="F538" s="36">
        <v>0.25</v>
      </c>
      <c r="G538" s="31"/>
      <c r="H538" s="31"/>
      <c r="I538" s="31"/>
      <c r="J538" s="31"/>
      <c r="K538" s="31"/>
    </row>
    <row r="539" spans="1:11" ht="14.4" x14ac:dyDescent="0.3">
      <c r="A539" s="28" t="str">
        <f>B539&amp;C539&amp;D539&amp;E539</f>
        <v>Goʻzallik va parvarishSochlar parvarishiSoch parvarishi uchun aksessuarlarBigudi</v>
      </c>
      <c r="B539" s="35" t="s">
        <v>3165</v>
      </c>
      <c r="C539" s="35" t="s">
        <v>3785</v>
      </c>
      <c r="D539" s="35" t="s">
        <v>3786</v>
      </c>
      <c r="E539" s="35" t="s">
        <v>3787</v>
      </c>
      <c r="F539" s="36">
        <v>0.25</v>
      </c>
      <c r="G539" s="31"/>
      <c r="H539" s="31"/>
      <c r="I539" s="31"/>
      <c r="J539" s="31"/>
      <c r="K539" s="31"/>
    </row>
    <row r="540" spans="1:11" ht="14.4" x14ac:dyDescent="0.3">
      <c r="A540" s="28" t="str">
        <f>B540&amp;C540&amp;D540&amp;E540</f>
        <v>Goʻzallik va parvarishManikyur va pedikyurManikyur anjomlariManikyur va pedikyur uchun aksessuarlar</v>
      </c>
      <c r="B540" s="35" t="s">
        <v>3165</v>
      </c>
      <c r="C540" s="35" t="s">
        <v>3767</v>
      </c>
      <c r="D540" s="35" t="s">
        <v>3779</v>
      </c>
      <c r="E540" s="35" t="s">
        <v>3788</v>
      </c>
      <c r="F540" s="36">
        <v>0.25</v>
      </c>
      <c r="G540" s="31"/>
      <c r="H540" s="31"/>
      <c r="I540" s="31"/>
      <c r="J540" s="31"/>
      <c r="K540" s="31"/>
    </row>
    <row r="541" spans="1:11" ht="14.4" x14ac:dyDescent="0.3">
      <c r="A541" s="28" t="str">
        <f>B541&amp;C541&amp;D541&amp;E541</f>
        <v>Goʻzallik va parvarishSochlar parvarishiSoch parvarishi uchun aksessuarlarDush uchun qalpoqchalar</v>
      </c>
      <c r="B541" s="35" t="s">
        <v>3165</v>
      </c>
      <c r="C541" s="35" t="s">
        <v>3785</v>
      </c>
      <c r="D541" s="35" t="s">
        <v>3786</v>
      </c>
      <c r="E541" s="35" t="s">
        <v>3789</v>
      </c>
      <c r="F541" s="36">
        <v>0.25</v>
      </c>
      <c r="G541" s="31"/>
      <c r="H541" s="31"/>
      <c r="I541" s="31"/>
      <c r="J541" s="31"/>
      <c r="K541" s="31"/>
    </row>
    <row r="542" spans="1:11" ht="14.4" x14ac:dyDescent="0.3">
      <c r="A542" s="28" t="str">
        <f>B542&amp;C542&amp;D542&amp;E542</f>
        <v>Goʻzallik va parvarishSochlar parvarishiSoch parvarishi uchun aksessuarlarTaroqlar va choʻtkalar</v>
      </c>
      <c r="B542" s="35" t="s">
        <v>3165</v>
      </c>
      <c r="C542" s="35" t="s">
        <v>3785</v>
      </c>
      <c r="D542" s="35" t="s">
        <v>3786</v>
      </c>
      <c r="E542" s="35" t="s">
        <v>3790</v>
      </c>
      <c r="F542" s="36">
        <v>0.25</v>
      </c>
      <c r="G542" s="31"/>
      <c r="H542" s="31"/>
      <c r="I542" s="31"/>
      <c r="J542" s="31"/>
      <c r="K542" s="31"/>
    </row>
    <row r="543" spans="1:11" ht="14.4" x14ac:dyDescent="0.3">
      <c r="A543" s="28" t="str">
        <f>B543&amp;C543&amp;D543&amp;E543</f>
        <v>Goʻzallik va parvarishSochlar parvarishiSoch parvarishi uchun aksessuarlarOlib yuriladigan flakonlar</v>
      </c>
      <c r="B543" s="35" t="s">
        <v>3165</v>
      </c>
      <c r="C543" s="35" t="s">
        <v>3785</v>
      </c>
      <c r="D543" s="35" t="s">
        <v>3786</v>
      </c>
      <c r="E543" s="35" t="s">
        <v>3791</v>
      </c>
      <c r="F543" s="36">
        <v>0.25</v>
      </c>
      <c r="G543" s="31"/>
      <c r="H543" s="31"/>
      <c r="I543" s="31"/>
      <c r="J543" s="31"/>
      <c r="K543" s="31"/>
    </row>
    <row r="544" spans="1:11" ht="14.4" x14ac:dyDescent="0.3">
      <c r="A544" s="28" t="str">
        <f>B544&amp;C544&amp;D544&amp;E544</f>
        <v>Goʻzallik va parvarishManikyur va pedikyurTirnoq yopishtirish uchun materiallarTirnoq yopishtirish uchun materiallar</v>
      </c>
      <c r="B544" s="35" t="s">
        <v>3165</v>
      </c>
      <c r="C544" s="35" t="s">
        <v>3767</v>
      </c>
      <c r="D544" s="35" t="s">
        <v>3792</v>
      </c>
      <c r="E544" s="35" t="s">
        <v>3792</v>
      </c>
      <c r="F544" s="36">
        <v>0.25</v>
      </c>
      <c r="G544" s="31"/>
      <c r="H544" s="31"/>
      <c r="I544" s="31"/>
      <c r="J544" s="31"/>
      <c r="K544" s="31"/>
    </row>
    <row r="545" spans="1:11" ht="14.4" x14ac:dyDescent="0.3">
      <c r="A545" s="28" t="str">
        <f>B545&amp;C545&amp;D545&amp;E545</f>
        <v>Goʻzallik va parvarishSochlar parvarishiSoch parvarishi uchun aksessuarlarPariklar va shinyonlar</v>
      </c>
      <c r="B545" s="35" t="s">
        <v>3165</v>
      </c>
      <c r="C545" s="35" t="s">
        <v>3785</v>
      </c>
      <c r="D545" s="35" t="s">
        <v>3786</v>
      </c>
      <c r="E545" s="35" t="s">
        <v>3793</v>
      </c>
      <c r="F545" s="36">
        <v>0.25</v>
      </c>
      <c r="G545" s="31"/>
      <c r="H545" s="31"/>
      <c r="I545" s="31"/>
      <c r="J545" s="31"/>
      <c r="K545" s="31"/>
    </row>
    <row r="546" spans="1:11" ht="14.4" x14ac:dyDescent="0.3">
      <c r="A546" s="28" t="str">
        <f>B546&amp;C546&amp;D546&amp;E546</f>
        <v>Goʻzallik va parvarishManikyur va pedikyurManikyur anjomlariQaychilar</v>
      </c>
      <c r="B546" s="35" t="s">
        <v>3165</v>
      </c>
      <c r="C546" s="35" t="s">
        <v>3767</v>
      </c>
      <c r="D546" s="35" t="s">
        <v>3779</v>
      </c>
      <c r="E546" s="35" t="s">
        <v>3794</v>
      </c>
      <c r="F546" s="36">
        <v>0.25</v>
      </c>
      <c r="G546" s="31"/>
      <c r="H546" s="31"/>
      <c r="I546" s="31"/>
      <c r="J546" s="31"/>
      <c r="K546" s="31"/>
    </row>
    <row r="547" spans="1:11" ht="14.4" x14ac:dyDescent="0.3">
      <c r="A547" s="28" t="str">
        <f>B547&amp;C547&amp;D547&amp;E547</f>
        <v>Goʻzallik va parvarishTatuirovka saloni uchun uskunalar va materiallarPirsing uchun uskunalarPirsing uchun uskunalar</v>
      </c>
      <c r="B547" s="35" t="s">
        <v>3165</v>
      </c>
      <c r="C547" s="35" t="s">
        <v>3763</v>
      </c>
      <c r="D547" s="35" t="s">
        <v>3795</v>
      </c>
      <c r="E547" s="35" t="s">
        <v>3795</v>
      </c>
      <c r="F547" s="36">
        <v>0.25</v>
      </c>
      <c r="G547" s="31"/>
      <c r="H547" s="31"/>
      <c r="I547" s="31"/>
      <c r="J547" s="31"/>
      <c r="K547" s="31"/>
    </row>
    <row r="548" spans="1:11" ht="14.4" x14ac:dyDescent="0.3">
      <c r="A548" s="28" t="str">
        <f>B548&amp;C548&amp;D548&amp;E548</f>
        <v>Goʻzallik va parvarishManikyur va pedikyurBazalar va toplarBazalar va toplar</v>
      </c>
      <c r="B548" s="35" t="s">
        <v>3165</v>
      </c>
      <c r="C548" s="35" t="s">
        <v>3767</v>
      </c>
      <c r="D548" s="35" t="s">
        <v>3796</v>
      </c>
      <c r="E548" s="35" t="s">
        <v>3796</v>
      </c>
      <c r="F548" s="36">
        <v>0.25</v>
      </c>
      <c r="G548" s="31"/>
      <c r="H548" s="31"/>
      <c r="I548" s="31"/>
      <c r="J548" s="31"/>
      <c r="K548" s="31"/>
    </row>
    <row r="549" spans="1:11" ht="14.4" x14ac:dyDescent="0.3">
      <c r="A549" s="28" t="str">
        <f>B549&amp;C549&amp;D549&amp;E549</f>
        <v>Goʻzallik va parvarishManikyur va pedikyurPraymerlar va yogʻlarni yoʻqotuvchi moddalarPraymerlar va yogʻlarni yoʻqotuvchi moddalar</v>
      </c>
      <c r="B549" s="35" t="s">
        <v>3165</v>
      </c>
      <c r="C549" s="35" t="s">
        <v>3767</v>
      </c>
      <c r="D549" s="35" t="s">
        <v>3797</v>
      </c>
      <c r="E549" s="35" t="s">
        <v>3797</v>
      </c>
      <c r="F549" s="36">
        <v>0.25</v>
      </c>
      <c r="G549" s="31"/>
      <c r="H549" s="31"/>
      <c r="I549" s="31"/>
      <c r="J549" s="31"/>
      <c r="K549" s="31"/>
    </row>
    <row r="550" spans="1:11" ht="14.4" x14ac:dyDescent="0.3">
      <c r="A550" s="28" t="str">
        <f>B550&amp;C550&amp;D550&amp;E550</f>
        <v>Goʻzallik va parvarishTatuirovka saloni uchun uskunalar va materiallarTatuirovka toʻplamlariTatuirovka toʻplamlari</v>
      </c>
      <c r="B550" s="35" t="s">
        <v>3165</v>
      </c>
      <c r="C550" s="35" t="s">
        <v>3763</v>
      </c>
      <c r="D550" s="35" t="s">
        <v>3798</v>
      </c>
      <c r="E550" s="35" t="s">
        <v>3798</v>
      </c>
      <c r="F550" s="36">
        <v>0.25</v>
      </c>
      <c r="G550" s="31"/>
      <c r="H550" s="31"/>
      <c r="I550" s="31"/>
      <c r="J550" s="31"/>
      <c r="K550" s="31"/>
    </row>
    <row r="551" spans="1:11" ht="14.4" x14ac:dyDescent="0.3">
      <c r="A551" s="28" t="str">
        <f>B551&amp;C551&amp;D551&amp;E551</f>
        <v>Goʻzallik va parvarishParfyumeriyaParfyumlangan suvParfyumlangan suv</v>
      </c>
      <c r="B551" s="35" t="s">
        <v>3165</v>
      </c>
      <c r="C551" s="35" t="s">
        <v>3764</v>
      </c>
      <c r="D551" s="35" t="s">
        <v>3799</v>
      </c>
      <c r="E551" s="35" t="s">
        <v>3799</v>
      </c>
      <c r="F551" s="36">
        <v>0.25</v>
      </c>
      <c r="G551" s="31"/>
      <c r="H551" s="31"/>
      <c r="I551" s="31"/>
      <c r="J551" s="31"/>
      <c r="K551" s="31"/>
    </row>
    <row r="552" spans="1:11" ht="14.4" x14ac:dyDescent="0.3">
      <c r="A552" s="28" t="str">
        <f>B552&amp;C552&amp;D552&amp;E552</f>
        <v>Hayvonlar uchun tovarlarQushlar uchunQafaslar va narvonlarQafaslar uchun gʻiloflar va gʻildiraklar</v>
      </c>
      <c r="B552" s="35" t="s">
        <v>3168</v>
      </c>
      <c r="C552" s="35" t="s">
        <v>3800</v>
      </c>
      <c r="D552" s="35" t="s">
        <v>3801</v>
      </c>
      <c r="E552" s="35" t="s">
        <v>3802</v>
      </c>
      <c r="F552" s="36">
        <v>0.25</v>
      </c>
      <c r="G552" s="31"/>
      <c r="H552" s="31"/>
      <c r="I552" s="31"/>
      <c r="J552" s="31"/>
      <c r="K552" s="31"/>
    </row>
    <row r="553" spans="1:11" ht="14.4" x14ac:dyDescent="0.3">
      <c r="A553" s="28" t="str">
        <f>B553&amp;C553&amp;D553&amp;E553</f>
        <v>Hayvonlar uchun tovarlarItlar uchunOzuqa va ShirinliklarOziqatlantirish uchun aksessuarlar</v>
      </c>
      <c r="B553" s="35" t="s">
        <v>3168</v>
      </c>
      <c r="C553" s="35" t="s">
        <v>3419</v>
      </c>
      <c r="D553" s="35" t="s">
        <v>3803</v>
      </c>
      <c r="E553" s="35" t="s">
        <v>3804</v>
      </c>
      <c r="F553" s="36">
        <v>0.25</v>
      </c>
      <c r="G553" s="31"/>
      <c r="H553" s="31"/>
      <c r="I553" s="31"/>
      <c r="J553" s="31"/>
      <c r="K553" s="31"/>
    </row>
    <row r="554" spans="1:11" ht="14.4" x14ac:dyDescent="0.3">
      <c r="A554" s="28" t="str">
        <f>B554&amp;C554&amp;D554&amp;E554</f>
        <v>Hayvonlar uchun tovarlarQushlar uchunQafaslar va narvonlarNarvonlar</v>
      </c>
      <c r="B554" s="35" t="s">
        <v>3168</v>
      </c>
      <c r="C554" s="35" t="s">
        <v>3800</v>
      </c>
      <c r="D554" s="35" t="s">
        <v>3801</v>
      </c>
      <c r="E554" s="35" t="s">
        <v>3805</v>
      </c>
      <c r="F554" s="36">
        <v>0.25</v>
      </c>
      <c r="G554" s="31"/>
      <c r="H554" s="31"/>
      <c r="I554" s="31"/>
      <c r="J554" s="31"/>
      <c r="K554" s="31"/>
    </row>
    <row r="555" spans="1:11" ht="14.4" x14ac:dyDescent="0.3">
      <c r="A555" s="28" t="str">
        <f>B555&amp;C555&amp;D555&amp;E555</f>
        <v>Hayvonlar uchun tovarlarKemiruvchilar uchunKemiruvchilar uchun tashish moslamalari va boʻyinbogʻlarTashish moslamalari kemiruvchilar uchun</v>
      </c>
      <c r="B555" s="35" t="s">
        <v>3168</v>
      </c>
      <c r="C555" s="35" t="s">
        <v>3806</v>
      </c>
      <c r="D555" s="35" t="s">
        <v>3807</v>
      </c>
      <c r="E555" s="35" t="s">
        <v>3808</v>
      </c>
      <c r="F555" s="36">
        <v>0.25</v>
      </c>
      <c r="G555" s="31"/>
      <c r="H555" s="31"/>
      <c r="I555" s="31"/>
      <c r="J555" s="31"/>
      <c r="K555" s="31"/>
    </row>
    <row r="556" spans="1:11" ht="14.4" x14ac:dyDescent="0.3">
      <c r="A556" s="28" t="str">
        <f>B556&amp;C556&amp;D556&amp;E556</f>
        <v>Hayvonlar uchun tovarlarItlar uchunIdishlarAvtomatik oziqlantiruvchilar va suv ichiruvchilar</v>
      </c>
      <c r="B556" s="35" t="s">
        <v>3168</v>
      </c>
      <c r="C556" s="35" t="s">
        <v>3419</v>
      </c>
      <c r="D556" s="35" t="s">
        <v>3809</v>
      </c>
      <c r="E556" s="35" t="s">
        <v>3810</v>
      </c>
      <c r="F556" s="36">
        <v>0.25</v>
      </c>
      <c r="G556" s="31"/>
      <c r="H556" s="31"/>
      <c r="I556" s="31"/>
      <c r="J556" s="31"/>
      <c r="K556" s="31"/>
    </row>
    <row r="557" spans="1:11" ht="14.4" x14ac:dyDescent="0.3">
      <c r="A557" s="28" t="str">
        <f>B557&amp;C557&amp;D557&amp;E557</f>
        <v>Hayvonlar uchun tovarlarQishloq xoʻjaligi hayvonlari uchunOtlar uchunOtlar uchun</v>
      </c>
      <c r="B557" s="35" t="s">
        <v>3168</v>
      </c>
      <c r="C557" s="35" t="s">
        <v>3811</v>
      </c>
      <c r="D557" s="35" t="s">
        <v>3812</v>
      </c>
      <c r="E557" s="35" t="s">
        <v>3812</v>
      </c>
      <c r="F557" s="36">
        <v>0.25</v>
      </c>
      <c r="G557" s="31"/>
      <c r="H557" s="31"/>
      <c r="I557" s="31"/>
      <c r="J557" s="31"/>
      <c r="K557" s="31"/>
    </row>
    <row r="558" spans="1:11" ht="14.4" x14ac:dyDescent="0.3">
      <c r="A558" s="28" t="str">
        <f>B558&amp;C558&amp;D558&amp;E558</f>
        <v>Hayvonlar uchun tovarlarKemiruvchilar uchunQafaslar va uylarQafaslar</v>
      </c>
      <c r="B558" s="35" t="s">
        <v>3168</v>
      </c>
      <c r="C558" s="35" t="s">
        <v>3806</v>
      </c>
      <c r="D558" s="35" t="s">
        <v>3813</v>
      </c>
      <c r="E558" s="35" t="s">
        <v>3814</v>
      </c>
      <c r="F558" s="36">
        <v>0.25</v>
      </c>
      <c r="G558" s="31"/>
      <c r="H558" s="31"/>
      <c r="I558" s="31"/>
      <c r="J558" s="31"/>
      <c r="K558" s="31"/>
    </row>
    <row r="559" spans="1:11" ht="14.4" x14ac:dyDescent="0.3">
      <c r="A559" s="28" t="str">
        <f>B559&amp;C559&amp;D559&amp;E559</f>
        <v>Hayvonlar uchun tovarlarGigiyenaHayvonlar uchun kosmetikaSovun</v>
      </c>
      <c r="B559" s="35" t="s">
        <v>3168</v>
      </c>
      <c r="C559" s="35" t="s">
        <v>3421</v>
      </c>
      <c r="D559" s="35" t="s">
        <v>3422</v>
      </c>
      <c r="E559" s="35" t="s">
        <v>3815</v>
      </c>
      <c r="F559" s="36">
        <v>0.25</v>
      </c>
      <c r="G559" s="31"/>
      <c r="H559" s="31"/>
      <c r="I559" s="31"/>
      <c r="J559" s="31"/>
      <c r="K559" s="31"/>
    </row>
    <row r="560" spans="1:11" ht="14.4" x14ac:dyDescent="0.3">
      <c r="A560" s="28" t="str">
        <f>B560&amp;C560&amp;D560&amp;E560</f>
        <v>Hayvonlar uchun tovarlarQushlar uchunChoʻmilish kiyimlari va qumChoʻmilish kiyimlari va qum</v>
      </c>
      <c r="B560" s="35" t="s">
        <v>3168</v>
      </c>
      <c r="C560" s="35" t="s">
        <v>3800</v>
      </c>
      <c r="D560" s="35" t="s">
        <v>3816</v>
      </c>
      <c r="E560" s="35" t="s">
        <v>3816</v>
      </c>
      <c r="F560" s="36">
        <v>0.25</v>
      </c>
      <c r="G560" s="31"/>
      <c r="H560" s="31"/>
      <c r="I560" s="31"/>
      <c r="J560" s="31"/>
      <c r="K560" s="31"/>
    </row>
    <row r="561" spans="1:11" ht="14.4" x14ac:dyDescent="0.3">
      <c r="A561" s="28" t="str">
        <f>B561&amp;C561&amp;D561&amp;E561</f>
        <v>Hayvonlar uchun tovarlarKemiruvchilar uchunKemiruvchilar uchun tovoqchalar, suv idishlari va ovqatlantirish idishlariOvqat beradigan idishlar</v>
      </c>
      <c r="B561" s="35" t="s">
        <v>3168</v>
      </c>
      <c r="C561" s="35" t="s">
        <v>3806</v>
      </c>
      <c r="D561" s="35" t="s">
        <v>3817</v>
      </c>
      <c r="E561" s="35" t="s">
        <v>3818</v>
      </c>
      <c r="F561" s="36">
        <v>0.25</v>
      </c>
      <c r="G561" s="31"/>
      <c r="H561" s="31"/>
      <c r="I561" s="31"/>
      <c r="J561" s="31"/>
      <c r="K561" s="31"/>
    </row>
    <row r="562" spans="1:11" ht="14.4" x14ac:dyDescent="0.3">
      <c r="A562" s="28" t="str">
        <f>B562&amp;C562&amp;D562&amp;E562</f>
        <v>Kanselyariya tovarlariYozuv qurollariPyerolarPyerolar</v>
      </c>
      <c r="B562" s="35" t="s">
        <v>3170</v>
      </c>
      <c r="C562" s="35" t="s">
        <v>3819</v>
      </c>
      <c r="D562" s="35" t="s">
        <v>3820</v>
      </c>
      <c r="E562" s="35" t="s">
        <v>3820</v>
      </c>
      <c r="F562" s="36">
        <v>0.25</v>
      </c>
      <c r="G562" s="31"/>
      <c r="H562" s="31"/>
      <c r="I562" s="31"/>
      <c r="J562" s="31"/>
      <c r="K562" s="31"/>
    </row>
    <row r="563" spans="1:11" ht="14.4" x14ac:dyDescent="0.3">
      <c r="A563" s="28" t="str">
        <f>B563&amp;C563&amp;D563&amp;E563</f>
        <v>Kanselyariya tovarlariQogʻoz mahsulotlariTelefon kitoblariTelefon kitoblari</v>
      </c>
      <c r="B563" s="35" t="s">
        <v>3170</v>
      </c>
      <c r="C563" s="35" t="s">
        <v>3821</v>
      </c>
      <c r="D563" s="35" t="s">
        <v>3822</v>
      </c>
      <c r="E563" s="35" t="s">
        <v>3822</v>
      </c>
      <c r="F563" s="36">
        <v>0.25</v>
      </c>
      <c r="G563" s="31"/>
      <c r="H563" s="31"/>
      <c r="I563" s="31"/>
      <c r="J563" s="31"/>
      <c r="K563" s="31"/>
    </row>
    <row r="564" spans="1:11" ht="14.4" x14ac:dyDescent="0.3">
      <c r="A564" s="28" t="str">
        <f>B564&amp;C564&amp;D564&amp;E564</f>
        <v>Kanselyariya tovarlariQogʻoz mahsulotlariXatchoʻplarSahifa ushlagichlar</v>
      </c>
      <c r="B564" s="35" t="s">
        <v>3170</v>
      </c>
      <c r="C564" s="35" t="s">
        <v>3821</v>
      </c>
      <c r="D564" s="35" t="s">
        <v>3823</v>
      </c>
      <c r="E564" s="35" t="s">
        <v>3824</v>
      </c>
      <c r="F564" s="36">
        <v>0.25</v>
      </c>
      <c r="G564" s="31"/>
      <c r="H564" s="31"/>
      <c r="I564" s="31"/>
      <c r="J564" s="31"/>
      <c r="K564" s="31"/>
    </row>
    <row r="565" spans="1:11" ht="14.4" x14ac:dyDescent="0.3">
      <c r="A565" s="28" t="str">
        <f>B565&amp;C565&amp;D565&amp;E565</f>
        <v>KiyimErkaklar kiyimiPaypoqlar va getrlarPaypoqlar</v>
      </c>
      <c r="B565" s="35" t="s">
        <v>3175</v>
      </c>
      <c r="C565" s="35" t="s">
        <v>3825</v>
      </c>
      <c r="D565" s="35" t="s">
        <v>3826</v>
      </c>
      <c r="E565" s="35" t="s">
        <v>3827</v>
      </c>
      <c r="F565" s="36">
        <v>0.25</v>
      </c>
      <c r="G565" s="31"/>
      <c r="H565" s="31"/>
      <c r="I565" s="31"/>
      <c r="J565" s="31"/>
      <c r="K565" s="31"/>
    </row>
    <row r="566" spans="1:11" ht="14.4" x14ac:dyDescent="0.3">
      <c r="A566" s="28" t="str">
        <f>B566&amp;C566&amp;D566&amp;E566</f>
        <v>KiyimAyollar kiyimiLiboslar va sarafanlarKo'ylak o'ramali</v>
      </c>
      <c r="B566" s="35" t="s">
        <v>3175</v>
      </c>
      <c r="C566" s="35" t="s">
        <v>3828</v>
      </c>
      <c r="D566" s="35" t="s">
        <v>3829</v>
      </c>
      <c r="E566" s="35" t="s">
        <v>3830</v>
      </c>
      <c r="F566" s="36">
        <v>0.25</v>
      </c>
      <c r="G566" s="31"/>
      <c r="H566" s="31"/>
      <c r="I566" s="31"/>
      <c r="J566" s="31"/>
      <c r="K566" s="31"/>
    </row>
    <row r="567" spans="1:11" ht="14.4" x14ac:dyDescent="0.3">
      <c r="A567" s="28" t="str">
        <f>B567&amp;C567&amp;D567&amp;E567</f>
        <v>KiyimAyollar kiyimiBluzkalar va rubashkalarBluzkalar</v>
      </c>
      <c r="B567" s="35" t="s">
        <v>3175</v>
      </c>
      <c r="C567" s="35" t="s">
        <v>3828</v>
      </c>
      <c r="D567" s="35" t="s">
        <v>3831</v>
      </c>
      <c r="E567" s="35" t="s">
        <v>3832</v>
      </c>
      <c r="F567" s="36">
        <v>0.25</v>
      </c>
      <c r="G567" s="31"/>
      <c r="H567" s="31"/>
      <c r="I567" s="31"/>
      <c r="J567" s="31"/>
      <c r="K567" s="31"/>
    </row>
    <row r="568" spans="1:11" ht="14.4" x14ac:dyDescent="0.3">
      <c r="A568" s="28" t="str">
        <f>B568&amp;C568&amp;D568&amp;E568</f>
        <v>KiyimAyollar kiyimiKatta o'lchamli kiyimlarTop va maykalar</v>
      </c>
      <c r="B568" s="35" t="s">
        <v>3175</v>
      </c>
      <c r="C568" s="35" t="s">
        <v>3828</v>
      </c>
      <c r="D568" s="35" t="s">
        <v>3833</v>
      </c>
      <c r="E568" s="35" t="s">
        <v>3834</v>
      </c>
      <c r="F568" s="36">
        <v>0.25</v>
      </c>
      <c r="G568" s="31"/>
      <c r="H568" s="31"/>
      <c r="I568" s="31"/>
      <c r="J568" s="31"/>
      <c r="K568" s="31"/>
    </row>
    <row r="569" spans="1:11" ht="14.4" x14ac:dyDescent="0.3">
      <c r="A569" s="28" t="str">
        <f>B569&amp;C569&amp;D569&amp;E569</f>
        <v>KiyimErkaklar kiyimiUstki kiyimYomgʻirpoʻshlar</v>
      </c>
      <c r="B569" s="35" t="s">
        <v>3175</v>
      </c>
      <c r="C569" s="35" t="s">
        <v>3825</v>
      </c>
      <c r="D569" s="35" t="s">
        <v>3835</v>
      </c>
      <c r="E569" s="35" t="s">
        <v>3836</v>
      </c>
      <c r="F569" s="36">
        <v>0.25</v>
      </c>
      <c r="G569" s="31"/>
      <c r="H569" s="31"/>
      <c r="I569" s="31"/>
      <c r="J569" s="31"/>
      <c r="K569" s="31"/>
    </row>
    <row r="570" spans="1:11" ht="14.4" x14ac:dyDescent="0.3">
      <c r="A570" s="28" t="str">
        <f>B570&amp;C570&amp;D570&amp;E570</f>
        <v>KiyimErkaklar kiyimiKatta o'lchamli kiyimlarJinsilar</v>
      </c>
      <c r="B570" s="35" t="s">
        <v>3175</v>
      </c>
      <c r="C570" s="35" t="s">
        <v>3825</v>
      </c>
      <c r="D570" s="35" t="s">
        <v>3833</v>
      </c>
      <c r="E570" s="35" t="s">
        <v>3837</v>
      </c>
      <c r="F570" s="36">
        <v>0.25</v>
      </c>
      <c r="G570" s="31"/>
      <c r="H570" s="31"/>
      <c r="I570" s="31"/>
      <c r="J570" s="31"/>
      <c r="K570" s="31"/>
    </row>
    <row r="571" spans="1:11" ht="14.4" x14ac:dyDescent="0.3">
      <c r="A571" s="28" t="str">
        <f>B571&amp;C571&amp;D571&amp;E571</f>
        <v>KiyimAyollar kiyimiChoʻmilish va plyaj kiyimlariIkki qismli choʻmilish kiyimlari</v>
      </c>
      <c r="B571" s="35" t="s">
        <v>3175</v>
      </c>
      <c r="C571" s="35" t="s">
        <v>3828</v>
      </c>
      <c r="D571" s="35" t="s">
        <v>3838</v>
      </c>
      <c r="E571" s="35" t="s">
        <v>3839</v>
      </c>
      <c r="F571" s="36">
        <v>0.25</v>
      </c>
      <c r="G571" s="31"/>
      <c r="H571" s="31"/>
      <c r="I571" s="31"/>
      <c r="J571" s="31"/>
      <c r="K571" s="31"/>
    </row>
    <row r="572" spans="1:11" ht="14.4" x14ac:dyDescent="0.3">
      <c r="A572" s="28" t="str">
        <f>B572&amp;C572&amp;D572&amp;E572</f>
        <v>KiyimErkaklar kiyimiShimlarQalinlashtirilgan shimlar</v>
      </c>
      <c r="B572" s="35" t="s">
        <v>3175</v>
      </c>
      <c r="C572" s="35" t="s">
        <v>3825</v>
      </c>
      <c r="D572" s="35" t="s">
        <v>3840</v>
      </c>
      <c r="E572" s="35" t="s">
        <v>3841</v>
      </c>
      <c r="F572" s="36">
        <v>0.25</v>
      </c>
      <c r="G572" s="31"/>
      <c r="H572" s="31"/>
      <c r="I572" s="31"/>
      <c r="J572" s="31"/>
      <c r="K572" s="31"/>
    </row>
    <row r="573" spans="1:11" ht="14.4" x14ac:dyDescent="0.3">
      <c r="A573" s="28" t="str">
        <f>B573&amp;C573&amp;D573&amp;E573</f>
        <v>KiyimAyollar kiyimiTop va maykalarIchki kiyim uslubidagi toplar</v>
      </c>
      <c r="B573" s="35" t="s">
        <v>3175</v>
      </c>
      <c r="C573" s="35" t="s">
        <v>3828</v>
      </c>
      <c r="D573" s="35" t="s">
        <v>3834</v>
      </c>
      <c r="E573" s="35" t="s">
        <v>3842</v>
      </c>
      <c r="F573" s="36">
        <v>0.25</v>
      </c>
      <c r="G573" s="31"/>
      <c r="H573" s="31"/>
      <c r="I573" s="31"/>
      <c r="J573" s="31"/>
      <c r="K573" s="31"/>
    </row>
    <row r="574" spans="1:11" ht="14.4" x14ac:dyDescent="0.3">
      <c r="A574" s="28" t="str">
        <f>B574&amp;C574&amp;D574&amp;E574</f>
        <v>KiyimAyollar kiyimiYubkalarTrapezoid va keng yubkalar</v>
      </c>
      <c r="B574" s="35" t="s">
        <v>3175</v>
      </c>
      <c r="C574" s="35" t="s">
        <v>3828</v>
      </c>
      <c r="D574" s="35" t="s">
        <v>3843</v>
      </c>
      <c r="E574" s="35" t="s">
        <v>3844</v>
      </c>
      <c r="F574" s="36">
        <v>0.25</v>
      </c>
      <c r="G574" s="31"/>
      <c r="H574" s="31"/>
      <c r="I574" s="31"/>
      <c r="J574" s="31"/>
      <c r="K574" s="31"/>
    </row>
    <row r="575" spans="1:11" ht="14.4" x14ac:dyDescent="0.3">
      <c r="A575" s="28" t="str">
        <f>B575&amp;C575&amp;D575&amp;E575</f>
        <v>KiyimErkaklar kiyimiShortilarBriji</v>
      </c>
      <c r="B575" s="35" t="s">
        <v>3175</v>
      </c>
      <c r="C575" s="35" t="s">
        <v>3825</v>
      </c>
      <c r="D575" s="35" t="s">
        <v>3845</v>
      </c>
      <c r="E575" s="35" t="s">
        <v>3846</v>
      </c>
      <c r="F575" s="36">
        <v>0.25</v>
      </c>
      <c r="G575" s="31"/>
      <c r="H575" s="31"/>
      <c r="I575" s="31"/>
      <c r="J575" s="31"/>
      <c r="K575" s="31"/>
    </row>
    <row r="576" spans="1:11" ht="14.4" x14ac:dyDescent="0.3">
      <c r="A576" s="28" t="str">
        <f>B576&amp;C576&amp;D576&amp;E576</f>
        <v>KiyimAyollar kiyimiKatta o'lchamli kiyimlarUy kiyimi</v>
      </c>
      <c r="B576" s="35" t="s">
        <v>3175</v>
      </c>
      <c r="C576" s="35" t="s">
        <v>3828</v>
      </c>
      <c r="D576" s="35" t="s">
        <v>3833</v>
      </c>
      <c r="E576" s="35" t="s">
        <v>3847</v>
      </c>
      <c r="F576" s="36">
        <v>0.25</v>
      </c>
      <c r="G576" s="31"/>
      <c r="H576" s="31"/>
      <c r="I576" s="31"/>
      <c r="J576" s="31"/>
      <c r="K576" s="31"/>
    </row>
    <row r="577" spans="1:11" ht="14.4" x14ac:dyDescent="0.3">
      <c r="A577" s="28" t="str">
        <f>B577&amp;C577&amp;D577&amp;E577</f>
        <v>KiyimAyollar kiyimiShimlarKlassik shimlar</v>
      </c>
      <c r="B577" s="35" t="s">
        <v>3175</v>
      </c>
      <c r="C577" s="35" t="s">
        <v>3828</v>
      </c>
      <c r="D577" s="35" t="s">
        <v>3840</v>
      </c>
      <c r="E577" s="35" t="s">
        <v>3848</v>
      </c>
      <c r="F577" s="36">
        <v>0.25</v>
      </c>
      <c r="G577" s="31"/>
      <c r="H577" s="31"/>
      <c r="I577" s="31"/>
      <c r="J577" s="31"/>
      <c r="K577" s="31"/>
    </row>
    <row r="578" spans="1:11" ht="14.4" x14ac:dyDescent="0.3">
      <c r="A578" s="28" t="str">
        <f>B578&amp;C578&amp;D578&amp;E578</f>
        <v>KiyimAyollar kiyimiSport kiyimlariSport kostyumlari</v>
      </c>
      <c r="B578" s="35" t="s">
        <v>3175</v>
      </c>
      <c r="C578" s="35" t="s">
        <v>3828</v>
      </c>
      <c r="D578" s="35" t="s">
        <v>3849</v>
      </c>
      <c r="E578" s="35" t="s">
        <v>3850</v>
      </c>
      <c r="F578" s="36">
        <v>0.25</v>
      </c>
      <c r="G578" s="31"/>
      <c r="H578" s="31"/>
      <c r="I578" s="31"/>
      <c r="J578" s="31"/>
      <c r="K578" s="31"/>
    </row>
    <row r="579" spans="1:11" ht="14.4" x14ac:dyDescent="0.3">
      <c r="A579" s="28" t="str">
        <f>B579&amp;C579&amp;D579&amp;E579</f>
        <v>KiyimAyollar kiyimiTop va maykalarKrop-toplar</v>
      </c>
      <c r="B579" s="35" t="s">
        <v>3175</v>
      </c>
      <c r="C579" s="35" t="s">
        <v>3828</v>
      </c>
      <c r="D579" s="35" t="s">
        <v>3834</v>
      </c>
      <c r="E579" s="35" t="s">
        <v>3851</v>
      </c>
      <c r="F579" s="36">
        <v>0.25</v>
      </c>
      <c r="G579" s="31"/>
      <c r="H579" s="31"/>
      <c r="I579" s="31"/>
      <c r="J579" s="31"/>
      <c r="K579" s="31"/>
    </row>
    <row r="580" spans="1:11" ht="14.4" x14ac:dyDescent="0.3">
      <c r="A580" s="28" t="str">
        <f>B580&amp;C580&amp;D580&amp;E580</f>
        <v>KiyimAyollar kiyimiUstki kiyimPoncholar va keyplar</v>
      </c>
      <c r="B580" s="35" t="s">
        <v>3175</v>
      </c>
      <c r="C580" s="35" t="s">
        <v>3828</v>
      </c>
      <c r="D580" s="35" t="s">
        <v>3835</v>
      </c>
      <c r="E580" s="35" t="s">
        <v>3852</v>
      </c>
      <c r="F580" s="36">
        <v>0.25</v>
      </c>
      <c r="G580" s="31"/>
      <c r="H580" s="31"/>
      <c r="I580" s="31"/>
      <c r="J580" s="31"/>
      <c r="K580" s="31"/>
    </row>
    <row r="581" spans="1:11" ht="14.4" x14ac:dyDescent="0.3">
      <c r="A581" s="28" t="str">
        <f>B581&amp;C581&amp;D581&amp;E581</f>
        <v>KiyimErkaklar kiyimiKatta o'lchamli kiyimlarSport kostyumlari</v>
      </c>
      <c r="B581" s="35" t="s">
        <v>3175</v>
      </c>
      <c r="C581" s="35" t="s">
        <v>3825</v>
      </c>
      <c r="D581" s="35" t="s">
        <v>3833</v>
      </c>
      <c r="E581" s="35" t="s">
        <v>3850</v>
      </c>
      <c r="F581" s="36">
        <v>0.25</v>
      </c>
      <c r="G581" s="31"/>
      <c r="H581" s="31"/>
      <c r="I581" s="31"/>
      <c r="J581" s="31"/>
      <c r="K581" s="31"/>
    </row>
    <row r="582" spans="1:11" ht="14.4" x14ac:dyDescent="0.3">
      <c r="A582" s="28" t="str">
        <f>B582&amp;C582&amp;D582&amp;E582</f>
        <v>KiyimErkaklar kiyimiPidjaklar va kostyumlarPidjaklar</v>
      </c>
      <c r="B582" s="35" t="s">
        <v>3175</v>
      </c>
      <c r="C582" s="35" t="s">
        <v>3825</v>
      </c>
      <c r="D582" s="35" t="s">
        <v>3853</v>
      </c>
      <c r="E582" s="35" t="s">
        <v>3854</v>
      </c>
      <c r="F582" s="36">
        <v>0.25</v>
      </c>
      <c r="G582" s="31"/>
      <c r="H582" s="31"/>
      <c r="I582" s="31"/>
      <c r="J582" s="31"/>
      <c r="K582" s="31"/>
    </row>
    <row r="583" spans="1:11" ht="14.4" x14ac:dyDescent="0.3">
      <c r="A583" s="28" t="str">
        <f>B583&amp;C583&amp;D583&amp;E583</f>
        <v>KiyimAyollar kiyimiLiboslar va sarafanlarFutbolka-liboslar</v>
      </c>
      <c r="B583" s="35" t="s">
        <v>3175</v>
      </c>
      <c r="C583" s="35" t="s">
        <v>3828</v>
      </c>
      <c r="D583" s="35" t="s">
        <v>3829</v>
      </c>
      <c r="E583" s="35" t="s">
        <v>3855</v>
      </c>
      <c r="F583" s="36">
        <v>0.25</v>
      </c>
      <c r="G583" s="31"/>
      <c r="H583" s="31"/>
      <c r="I583" s="31"/>
      <c r="J583" s="31"/>
      <c r="K583" s="31"/>
    </row>
    <row r="584" spans="1:11" ht="14.4" x14ac:dyDescent="0.3">
      <c r="A584" s="28" t="str">
        <f>B584&amp;C584&amp;D584&amp;E584</f>
        <v>KiyimAyollar kiyimiKombinezonlarJinsi kombinezonlar</v>
      </c>
      <c r="B584" s="35" t="s">
        <v>3175</v>
      </c>
      <c r="C584" s="35" t="s">
        <v>3828</v>
      </c>
      <c r="D584" s="35" t="s">
        <v>3856</v>
      </c>
      <c r="E584" s="35" t="s">
        <v>3857</v>
      </c>
      <c r="F584" s="36">
        <v>0.25</v>
      </c>
      <c r="G584" s="31"/>
      <c r="H584" s="31"/>
      <c r="I584" s="31"/>
      <c r="J584" s="31"/>
      <c r="K584" s="31"/>
    </row>
    <row r="585" spans="1:11" ht="14.4" x14ac:dyDescent="0.3">
      <c r="A585" s="28" t="str">
        <f>B585&amp;C585&amp;D585&amp;E585</f>
        <v>KiyimAyollar kiyimiShortilarBermudlar</v>
      </c>
      <c r="B585" s="35" t="s">
        <v>3175</v>
      </c>
      <c r="C585" s="35" t="s">
        <v>3828</v>
      </c>
      <c r="D585" s="35" t="s">
        <v>3845</v>
      </c>
      <c r="E585" s="35" t="s">
        <v>3858</v>
      </c>
      <c r="F585" s="36">
        <v>0.25</v>
      </c>
      <c r="G585" s="31"/>
      <c r="H585" s="31"/>
      <c r="I585" s="31"/>
      <c r="J585" s="31"/>
      <c r="K585" s="31"/>
    </row>
    <row r="586" spans="1:11" ht="14.4" x14ac:dyDescent="0.3">
      <c r="A586" s="28" t="str">
        <f>B586&amp;C586&amp;D586&amp;E586</f>
        <v>KiyimErkaklar kiyimiJemperlar, sviterlar va kardiganlarSviterlar</v>
      </c>
      <c r="B586" s="35" t="s">
        <v>3175</v>
      </c>
      <c r="C586" s="35" t="s">
        <v>3825</v>
      </c>
      <c r="D586" s="35" t="s">
        <v>3859</v>
      </c>
      <c r="E586" s="35" t="s">
        <v>3860</v>
      </c>
      <c r="F586" s="36">
        <v>0.25</v>
      </c>
      <c r="G586" s="31"/>
      <c r="H586" s="31"/>
      <c r="I586" s="31"/>
      <c r="J586" s="31"/>
      <c r="K586" s="31"/>
    </row>
    <row r="587" spans="1:11" ht="14.4" x14ac:dyDescent="0.3">
      <c r="A587" s="28" t="str">
        <f>B587&amp;C587&amp;D587&amp;E587</f>
        <v>KiyimErkaklar kiyimiKo'ylaklarUzun yengli ko'ylaklar</v>
      </c>
      <c r="B587" s="35" t="s">
        <v>3175</v>
      </c>
      <c r="C587" s="35" t="s">
        <v>3825</v>
      </c>
      <c r="D587" s="35" t="s">
        <v>3861</v>
      </c>
      <c r="E587" s="35" t="s">
        <v>3862</v>
      </c>
      <c r="F587" s="36">
        <v>0.25</v>
      </c>
      <c r="G587" s="31"/>
      <c r="H587" s="31"/>
      <c r="I587" s="31"/>
      <c r="J587" s="31"/>
      <c r="K587" s="31"/>
    </row>
    <row r="588" spans="1:11" ht="14.4" x14ac:dyDescent="0.3">
      <c r="A588" s="28" t="str">
        <f>B588&amp;C588&amp;D588&amp;E588</f>
        <v>KiyimAyollar kiyimiIchki kiyimTrusiklar</v>
      </c>
      <c r="B588" s="35" t="s">
        <v>3175</v>
      </c>
      <c r="C588" s="35" t="s">
        <v>3828</v>
      </c>
      <c r="D588" s="35" t="s">
        <v>3863</v>
      </c>
      <c r="E588" s="35" t="s">
        <v>3864</v>
      </c>
      <c r="F588" s="36">
        <v>0.25</v>
      </c>
      <c r="G588" s="31"/>
      <c r="H588" s="31"/>
      <c r="I588" s="31"/>
      <c r="J588" s="31"/>
      <c r="K588" s="31"/>
    </row>
    <row r="589" spans="1:11" ht="14.4" x14ac:dyDescent="0.3">
      <c r="A589" s="28" t="str">
        <f>B589&amp;C589&amp;D589&amp;E589</f>
        <v>KiyimAyollar kiyimiKostyumlar va toʻplamlarKlassik kostyumlar</v>
      </c>
      <c r="B589" s="35" t="s">
        <v>3175</v>
      </c>
      <c r="C589" s="35" t="s">
        <v>3828</v>
      </c>
      <c r="D589" s="35" t="s">
        <v>3865</v>
      </c>
      <c r="E589" s="35" t="s">
        <v>3866</v>
      </c>
      <c r="F589" s="36">
        <v>0.25</v>
      </c>
      <c r="G589" s="31"/>
      <c r="H589" s="31"/>
      <c r="I589" s="31"/>
      <c r="J589" s="31"/>
      <c r="K589" s="31"/>
    </row>
    <row r="590" spans="1:11" ht="14.4" x14ac:dyDescent="0.3">
      <c r="A590" s="28" t="str">
        <f>B590&amp;C590&amp;D590&amp;E590</f>
        <v>KiyimErkaklar kiyimiSport kiyimlariSport kurtkalari</v>
      </c>
      <c r="B590" s="35" t="s">
        <v>3175</v>
      </c>
      <c r="C590" s="35" t="s">
        <v>3825</v>
      </c>
      <c r="D590" s="35" t="s">
        <v>3849</v>
      </c>
      <c r="E590" s="35" t="s">
        <v>3867</v>
      </c>
      <c r="F590" s="36">
        <v>0.25</v>
      </c>
      <c r="G590" s="31"/>
      <c r="H590" s="31"/>
      <c r="I590" s="31"/>
      <c r="J590" s="31"/>
      <c r="K590" s="31"/>
    </row>
    <row r="591" spans="1:11" ht="14.4" x14ac:dyDescent="0.3">
      <c r="A591" s="28" t="str">
        <f>B591&amp;C591&amp;D591&amp;E591</f>
        <v>KiyimAyollar kiyimiShortilarJinsi shortilar</v>
      </c>
      <c r="B591" s="35" t="s">
        <v>3175</v>
      </c>
      <c r="C591" s="35" t="s">
        <v>3828</v>
      </c>
      <c r="D591" s="35" t="s">
        <v>3845</v>
      </c>
      <c r="E591" s="35" t="s">
        <v>3868</v>
      </c>
      <c r="F591" s="36">
        <v>0.25</v>
      </c>
      <c r="G591" s="31"/>
      <c r="H591" s="31"/>
      <c r="I591" s="31"/>
      <c r="J591" s="31"/>
      <c r="K591" s="31"/>
    </row>
    <row r="592" spans="1:11" ht="14.4" x14ac:dyDescent="0.3">
      <c r="A592" s="28" t="str">
        <f>B592&amp;C592&amp;D592&amp;E592</f>
        <v>KiyimAyollar kiyimiYubkalarTor yubkalar</v>
      </c>
      <c r="B592" s="35" t="s">
        <v>3175</v>
      </c>
      <c r="C592" s="35" t="s">
        <v>3828</v>
      </c>
      <c r="D592" s="35" t="s">
        <v>3843</v>
      </c>
      <c r="E592" s="35" t="s">
        <v>3869</v>
      </c>
      <c r="F592" s="36">
        <v>0.25</v>
      </c>
      <c r="G592" s="31"/>
      <c r="H592" s="31"/>
      <c r="I592" s="31"/>
      <c r="J592" s="31"/>
      <c r="K592" s="31"/>
    </row>
    <row r="593" spans="1:11" ht="14.4" x14ac:dyDescent="0.3">
      <c r="A593" s="28" t="str">
        <f>B593&amp;C593&amp;D593&amp;E593</f>
        <v>KiyimErkaklar kiyimiKo'ylaklarKalta yengli ko'ylaklar</v>
      </c>
      <c r="B593" s="35" t="s">
        <v>3175</v>
      </c>
      <c r="C593" s="35" t="s">
        <v>3825</v>
      </c>
      <c r="D593" s="35" t="s">
        <v>3861</v>
      </c>
      <c r="E593" s="35" t="s">
        <v>3870</v>
      </c>
      <c r="F593" s="36">
        <v>0.25</v>
      </c>
      <c r="G593" s="31"/>
      <c r="H593" s="31"/>
      <c r="I593" s="31"/>
      <c r="J593" s="31"/>
      <c r="K593" s="31"/>
    </row>
    <row r="594" spans="1:11" ht="14.4" x14ac:dyDescent="0.3">
      <c r="A594" s="28" t="str">
        <f>B594&amp;C594&amp;D594&amp;E594</f>
        <v>KiyimAyollar kiyimiLiboslar va sarafanlarKo'ylak liboslari</v>
      </c>
      <c r="B594" s="35" t="s">
        <v>3175</v>
      </c>
      <c r="C594" s="35" t="s">
        <v>3828</v>
      </c>
      <c r="D594" s="35" t="s">
        <v>3829</v>
      </c>
      <c r="E594" s="35" t="s">
        <v>3871</v>
      </c>
      <c r="F594" s="36">
        <v>0.25</v>
      </c>
      <c r="G594" s="31"/>
      <c r="H594" s="31"/>
      <c r="I594" s="31"/>
      <c r="J594" s="31"/>
      <c r="K594" s="31"/>
    </row>
    <row r="595" spans="1:11" ht="14.4" x14ac:dyDescent="0.3">
      <c r="A595" s="28" t="str">
        <f>B595&amp;C595&amp;D595&amp;E595</f>
        <v>KiyimAyollar kiyimiSport kiyimlariSport liboslar va yubkalar</v>
      </c>
      <c r="B595" s="35" t="s">
        <v>3175</v>
      </c>
      <c r="C595" s="35" t="s">
        <v>3828</v>
      </c>
      <c r="D595" s="35" t="s">
        <v>3849</v>
      </c>
      <c r="E595" s="35" t="s">
        <v>3872</v>
      </c>
      <c r="F595" s="36">
        <v>0.25</v>
      </c>
      <c r="G595" s="31"/>
      <c r="H595" s="31"/>
      <c r="I595" s="31"/>
      <c r="J595" s="31"/>
      <c r="K595" s="31"/>
    </row>
    <row r="596" spans="1:11" ht="14.4" x14ac:dyDescent="0.3">
      <c r="A596" s="28" t="str">
        <f>B596&amp;C596&amp;D596&amp;E596</f>
        <v>KiyimAyollar kiyimiMilliy kiyimlarMilliy liboslar va xalatlar</v>
      </c>
      <c r="B596" s="35" t="s">
        <v>3175</v>
      </c>
      <c r="C596" s="35" t="s">
        <v>3828</v>
      </c>
      <c r="D596" s="35" t="s">
        <v>3873</v>
      </c>
      <c r="E596" s="35" t="s">
        <v>3874</v>
      </c>
      <c r="F596" s="36">
        <v>0.25</v>
      </c>
      <c r="G596" s="31"/>
      <c r="H596" s="31"/>
      <c r="I596" s="31"/>
      <c r="J596" s="31"/>
      <c r="K596" s="31"/>
    </row>
    <row r="597" spans="1:11" ht="14.4" x14ac:dyDescent="0.3">
      <c r="A597" s="28" t="str">
        <f>B597&amp;C597&amp;D597&amp;E597</f>
        <v>KiyimAyollar kiyimiTop va maykalarYelkalari pastga tushirilgan toplar</v>
      </c>
      <c r="B597" s="35" t="s">
        <v>3175</v>
      </c>
      <c r="C597" s="35" t="s">
        <v>3828</v>
      </c>
      <c r="D597" s="35" t="s">
        <v>3834</v>
      </c>
      <c r="E597" s="35" t="s">
        <v>3875</v>
      </c>
      <c r="F597" s="36">
        <v>0.25</v>
      </c>
      <c r="G597" s="31"/>
      <c r="H597" s="31"/>
      <c r="I597" s="31"/>
      <c r="J597" s="31"/>
      <c r="K597" s="31"/>
    </row>
    <row r="598" spans="1:11" ht="14.4" x14ac:dyDescent="0.3">
      <c r="A598" s="28" t="str">
        <f>B598&amp;C598&amp;D598&amp;E598</f>
        <v>KiyimAyollar kiyimiLiboslar va sarafanlarFutlyar-liboslar</v>
      </c>
      <c r="B598" s="35" t="s">
        <v>3175</v>
      </c>
      <c r="C598" s="35" t="s">
        <v>3828</v>
      </c>
      <c r="D598" s="35" t="s">
        <v>3829</v>
      </c>
      <c r="E598" s="35" t="s">
        <v>3876</v>
      </c>
      <c r="F598" s="36">
        <v>0.25</v>
      </c>
      <c r="G598" s="31"/>
      <c r="H598" s="31"/>
      <c r="I598" s="31"/>
      <c r="J598" s="31"/>
      <c r="K598" s="31"/>
    </row>
    <row r="599" spans="1:11" ht="14.4" x14ac:dyDescent="0.3">
      <c r="A599" s="28" t="str">
        <f>B599&amp;C599&amp;D599&amp;E599</f>
        <v>KiyimErkaklar kiyimiMaxsus kiyimlarMaxsus kiyimlar aksessuarlari</v>
      </c>
      <c r="B599" s="35" t="s">
        <v>3175</v>
      </c>
      <c r="C599" s="35" t="s">
        <v>3825</v>
      </c>
      <c r="D599" s="35" t="s">
        <v>3877</v>
      </c>
      <c r="E599" s="35" t="s">
        <v>3878</v>
      </c>
      <c r="F599" s="36">
        <v>0.25</v>
      </c>
      <c r="G599" s="31"/>
      <c r="H599" s="31"/>
      <c r="I599" s="31"/>
      <c r="J599" s="31"/>
      <c r="K599" s="31"/>
    </row>
    <row r="600" spans="1:11" ht="14.4" x14ac:dyDescent="0.3">
      <c r="A600" s="28" t="str">
        <f>B600&amp;C600&amp;D600&amp;E600</f>
        <v>KiyimErkaklar kiyimiSport kiyimlariSport tolstovkalari</v>
      </c>
      <c r="B600" s="35" t="s">
        <v>3175</v>
      </c>
      <c r="C600" s="35" t="s">
        <v>3825</v>
      </c>
      <c r="D600" s="35" t="s">
        <v>3849</v>
      </c>
      <c r="E600" s="35" t="s">
        <v>3879</v>
      </c>
      <c r="F600" s="36">
        <v>0.25</v>
      </c>
      <c r="G600" s="31"/>
      <c r="H600" s="31"/>
      <c r="I600" s="31"/>
      <c r="J600" s="31"/>
      <c r="K600" s="31"/>
    </row>
    <row r="601" spans="1:11" ht="14.4" x14ac:dyDescent="0.3">
      <c r="A601" s="28" t="str">
        <f>B601&amp;C601&amp;D601&amp;E601</f>
        <v>KiyimErkaklar kiyimiXudi va svitshotlarSvitshotlar</v>
      </c>
      <c r="B601" s="35" t="s">
        <v>3175</v>
      </c>
      <c r="C601" s="35" t="s">
        <v>3825</v>
      </c>
      <c r="D601" s="35" t="s">
        <v>3880</v>
      </c>
      <c r="E601" s="35" t="s">
        <v>3881</v>
      </c>
      <c r="F601" s="36">
        <v>0.25</v>
      </c>
      <c r="G601" s="31"/>
      <c r="H601" s="31"/>
      <c r="I601" s="31"/>
      <c r="J601" s="31"/>
      <c r="K601" s="31"/>
    </row>
    <row r="602" spans="1:11" ht="14.4" x14ac:dyDescent="0.3">
      <c r="A602" s="28" t="str">
        <f>B602&amp;C602&amp;D602&amp;E602</f>
        <v>KiyimAyollar kiyimiIchki kiyimKorsetlar</v>
      </c>
      <c r="B602" s="35" t="s">
        <v>3175</v>
      </c>
      <c r="C602" s="35" t="s">
        <v>3828</v>
      </c>
      <c r="D602" s="35" t="s">
        <v>3863</v>
      </c>
      <c r="E602" s="35" t="s">
        <v>3882</v>
      </c>
      <c r="F602" s="36">
        <v>0.25</v>
      </c>
      <c r="G602" s="31"/>
      <c r="H602" s="31"/>
      <c r="I602" s="31"/>
      <c r="J602" s="31"/>
      <c r="K602" s="31"/>
    </row>
    <row r="603" spans="1:11" ht="14.4" x14ac:dyDescent="0.3">
      <c r="A603" s="28" t="str">
        <f>B603&amp;C603&amp;D603&amp;E603</f>
        <v>KiyimErkaklar kiyimiSport kiyimlariRashgardlar</v>
      </c>
      <c r="B603" s="35" t="s">
        <v>3175</v>
      </c>
      <c r="C603" s="35" t="s">
        <v>3825</v>
      </c>
      <c r="D603" s="35" t="s">
        <v>3849</v>
      </c>
      <c r="E603" s="35" t="s">
        <v>3883</v>
      </c>
      <c r="F603" s="36">
        <v>0.25</v>
      </c>
      <c r="G603" s="31"/>
      <c r="H603" s="31"/>
      <c r="I603" s="31"/>
      <c r="J603" s="31"/>
      <c r="K603" s="31"/>
    </row>
    <row r="604" spans="1:11" ht="14.4" x14ac:dyDescent="0.3">
      <c r="A604" s="28" t="str">
        <f>B604&amp;C604&amp;D604&amp;E604</f>
        <v>KiyimAyollar kiyimiFutbolkalar va poloLongslivlar</v>
      </c>
      <c r="B604" s="35" t="s">
        <v>3175</v>
      </c>
      <c r="C604" s="35" t="s">
        <v>3828</v>
      </c>
      <c r="D604" s="35" t="s">
        <v>3884</v>
      </c>
      <c r="E604" s="35" t="s">
        <v>3885</v>
      </c>
      <c r="F604" s="36">
        <v>0.25</v>
      </c>
      <c r="G604" s="31"/>
      <c r="H604" s="31"/>
      <c r="I604" s="31"/>
      <c r="J604" s="31"/>
      <c r="K604" s="31"/>
    </row>
    <row r="605" spans="1:11" ht="14.4" x14ac:dyDescent="0.3">
      <c r="A605" s="28" t="str">
        <f>B605&amp;C605&amp;D605&amp;E605</f>
        <v>KiyimAyollar kiyimiShimlarBriji va kaprilar</v>
      </c>
      <c r="B605" s="35" t="s">
        <v>3175</v>
      </c>
      <c r="C605" s="35" t="s">
        <v>3828</v>
      </c>
      <c r="D605" s="35" t="s">
        <v>3840</v>
      </c>
      <c r="E605" s="35" t="s">
        <v>3886</v>
      </c>
      <c r="F605" s="36">
        <v>0.25</v>
      </c>
      <c r="G605" s="31"/>
      <c r="H605" s="31"/>
      <c r="I605" s="31"/>
      <c r="J605" s="31"/>
      <c r="K605" s="31"/>
    </row>
    <row r="606" spans="1:11" ht="14.4" x14ac:dyDescent="0.3">
      <c r="A606" s="28" t="str">
        <f>B606&amp;C606&amp;D606&amp;E606</f>
        <v>KiyimErkaklar kiyimiKatta o'lchamli kiyimlarUstki kiyim</v>
      </c>
      <c r="B606" s="35" t="s">
        <v>3175</v>
      </c>
      <c r="C606" s="35" t="s">
        <v>3825</v>
      </c>
      <c r="D606" s="35" t="s">
        <v>3833</v>
      </c>
      <c r="E606" s="35" t="s">
        <v>3835</v>
      </c>
      <c r="F606" s="36">
        <v>0.25</v>
      </c>
      <c r="G606" s="31"/>
      <c r="H606" s="31"/>
      <c r="I606" s="31"/>
      <c r="J606" s="31"/>
      <c r="K606" s="31"/>
    </row>
    <row r="607" spans="1:11" ht="14.4" x14ac:dyDescent="0.3">
      <c r="A607" s="28" t="str">
        <f>B607&amp;C607&amp;D607&amp;E607</f>
        <v>KiyimErkaklar kiyimiUy kiyimiUy uchun to'plamlar</v>
      </c>
      <c r="B607" s="35" t="s">
        <v>3175</v>
      </c>
      <c r="C607" s="35" t="s">
        <v>3825</v>
      </c>
      <c r="D607" s="35" t="s">
        <v>3847</v>
      </c>
      <c r="E607" s="35" t="s">
        <v>3887</v>
      </c>
      <c r="F607" s="36">
        <v>0.25</v>
      </c>
      <c r="G607" s="31"/>
      <c r="H607" s="31"/>
      <c r="I607" s="31"/>
      <c r="J607" s="31"/>
      <c r="K607" s="31"/>
    </row>
    <row r="608" spans="1:11" ht="14.4" x14ac:dyDescent="0.3">
      <c r="A608" s="28" t="str">
        <f>B608&amp;C608&amp;D608&amp;E608</f>
        <v>KiyimAyollar kiyimiKostyumlar va toʻplamlarToʻplamlar</v>
      </c>
      <c r="B608" s="35" t="s">
        <v>3175</v>
      </c>
      <c r="C608" s="35" t="s">
        <v>3828</v>
      </c>
      <c r="D608" s="35" t="s">
        <v>3865</v>
      </c>
      <c r="E608" s="35" t="s">
        <v>3888</v>
      </c>
      <c r="F608" s="36">
        <v>0.25</v>
      </c>
      <c r="G608" s="31"/>
      <c r="H608" s="31"/>
      <c r="I608" s="31"/>
      <c r="J608" s="31"/>
      <c r="K608" s="31"/>
    </row>
    <row r="609" spans="1:11" ht="14.4" x14ac:dyDescent="0.3">
      <c r="A609" s="28" t="str">
        <f>B609&amp;C609&amp;D609&amp;E609</f>
        <v>KiyimAyollar kiyimiPaypoqlar, kolgotkilar va chulkilarGolflar va getrlar</v>
      </c>
      <c r="B609" s="35" t="s">
        <v>3175</v>
      </c>
      <c r="C609" s="35" t="s">
        <v>3828</v>
      </c>
      <c r="D609" s="35" t="s">
        <v>3889</v>
      </c>
      <c r="E609" s="35" t="s">
        <v>3890</v>
      </c>
      <c r="F609" s="36">
        <v>0.25</v>
      </c>
      <c r="G609" s="31"/>
      <c r="H609" s="31"/>
      <c r="I609" s="31"/>
      <c r="J609" s="31"/>
      <c r="K609" s="31"/>
    </row>
    <row r="610" spans="1:11" ht="14.4" x14ac:dyDescent="0.3">
      <c r="A610" s="28" t="str">
        <f>B610&amp;C610&amp;D610&amp;E610</f>
        <v>KiyimAyollar kiyimiIchki kiyimByustgalterlar</v>
      </c>
      <c r="B610" s="35" t="s">
        <v>3175</v>
      </c>
      <c r="C610" s="35" t="s">
        <v>3828</v>
      </c>
      <c r="D610" s="35" t="s">
        <v>3863</v>
      </c>
      <c r="E610" s="35" t="s">
        <v>3891</v>
      </c>
      <c r="F610" s="36">
        <v>0.25</v>
      </c>
      <c r="G610" s="31"/>
      <c r="H610" s="31"/>
      <c r="I610" s="31"/>
      <c r="J610" s="31"/>
      <c r="K610" s="31"/>
    </row>
    <row r="611" spans="1:11" ht="14.4" x14ac:dyDescent="0.3">
      <c r="A611" s="28" t="str">
        <f>B611&amp;C611&amp;D611&amp;E611</f>
        <v>KiyimAyollar kiyimiLiboslar va sarafanlarTolstovka-liboslar</v>
      </c>
      <c r="B611" s="35" t="s">
        <v>3175</v>
      </c>
      <c r="C611" s="35" t="s">
        <v>3828</v>
      </c>
      <c r="D611" s="35" t="s">
        <v>3829</v>
      </c>
      <c r="E611" s="35" t="s">
        <v>3892</v>
      </c>
      <c r="F611" s="36">
        <v>0.25</v>
      </c>
      <c r="G611" s="31"/>
      <c r="H611" s="31"/>
      <c r="I611" s="31"/>
      <c r="J611" s="31"/>
      <c r="K611" s="31"/>
    </row>
    <row r="612" spans="1:11" ht="14.4" x14ac:dyDescent="0.3">
      <c r="A612" s="28" t="str">
        <f>B612&amp;C612&amp;D612&amp;E612</f>
        <v>KiyimAyollar kiyimiJinsilarKeng va klesh jinsi shimlar</v>
      </c>
      <c r="B612" s="35" t="s">
        <v>3175</v>
      </c>
      <c r="C612" s="35" t="s">
        <v>3828</v>
      </c>
      <c r="D612" s="35" t="s">
        <v>3837</v>
      </c>
      <c r="E612" s="35" t="s">
        <v>3893</v>
      </c>
      <c r="F612" s="36">
        <v>0.25</v>
      </c>
      <c r="G612" s="31"/>
      <c r="H612" s="31"/>
      <c r="I612" s="31"/>
      <c r="J612" s="31"/>
      <c r="K612" s="31"/>
    </row>
    <row r="613" spans="1:11" ht="14.4" x14ac:dyDescent="0.3">
      <c r="A613" s="28" t="str">
        <f>B613&amp;C613&amp;D613&amp;E613</f>
        <v>KiyimAyollar kiyimiTop va maykalarBogʻichli toplar</v>
      </c>
      <c r="B613" s="35" t="s">
        <v>3175</v>
      </c>
      <c r="C613" s="35" t="s">
        <v>3828</v>
      </c>
      <c r="D613" s="35" t="s">
        <v>3834</v>
      </c>
      <c r="E613" s="35" t="s">
        <v>3894</v>
      </c>
      <c r="F613" s="36">
        <v>0.25</v>
      </c>
      <c r="G613" s="31"/>
      <c r="H613" s="31"/>
      <c r="I613" s="31"/>
      <c r="J613" s="31"/>
      <c r="K613" s="31"/>
    </row>
    <row r="614" spans="1:11" ht="14.4" x14ac:dyDescent="0.3">
      <c r="A614" s="28" t="str">
        <f>B614&amp;C614&amp;D614&amp;E614</f>
        <v>KiyimAyollar kiyimiSport kiyimlariSport kurtkalari</v>
      </c>
      <c r="B614" s="35" t="s">
        <v>3175</v>
      </c>
      <c r="C614" s="35" t="s">
        <v>3828</v>
      </c>
      <c r="D614" s="35" t="s">
        <v>3849</v>
      </c>
      <c r="E614" s="35" t="s">
        <v>3867</v>
      </c>
      <c r="F614" s="36">
        <v>0.25</v>
      </c>
      <c r="G614" s="31"/>
      <c r="H614" s="31"/>
      <c r="I614" s="31"/>
      <c r="J614" s="31"/>
      <c r="K614" s="31"/>
    </row>
    <row r="615" spans="1:11" ht="14.4" x14ac:dyDescent="0.3">
      <c r="A615" s="28" t="str">
        <f>B615&amp;C615&amp;D615&amp;E615</f>
        <v>KiyimAyollar kiyimiSport kiyimlariSport toplari</v>
      </c>
      <c r="B615" s="35" t="s">
        <v>3175</v>
      </c>
      <c r="C615" s="35" t="s">
        <v>3828</v>
      </c>
      <c r="D615" s="35" t="s">
        <v>3849</v>
      </c>
      <c r="E615" s="35" t="s">
        <v>3895</v>
      </c>
      <c r="F615" s="36">
        <v>0.25</v>
      </c>
      <c r="G615" s="31"/>
      <c r="H615" s="31"/>
      <c r="I615" s="31"/>
      <c r="J615" s="31"/>
      <c r="K615" s="31"/>
    </row>
    <row r="616" spans="1:11" ht="14.4" x14ac:dyDescent="0.3">
      <c r="A616" s="28" t="str">
        <f>B616&amp;C616&amp;D616&amp;E616</f>
        <v>KiyimAyollar kiyimiShimlarKargo</v>
      </c>
      <c r="B616" s="35" t="s">
        <v>3175</v>
      </c>
      <c r="C616" s="35" t="s">
        <v>3828</v>
      </c>
      <c r="D616" s="35" t="s">
        <v>3840</v>
      </c>
      <c r="E616" s="35" t="s">
        <v>3896</v>
      </c>
      <c r="F616" s="36">
        <v>0.25</v>
      </c>
      <c r="G616" s="31"/>
      <c r="H616" s="31"/>
      <c r="I616" s="31"/>
      <c r="J616" s="31"/>
      <c r="K616" s="31"/>
    </row>
    <row r="617" spans="1:11" ht="14.4" x14ac:dyDescent="0.3">
      <c r="A617" s="28" t="str">
        <f>B617&amp;C617&amp;D617&amp;E617</f>
        <v>KiyimAyollar kiyimiShimlarLegginslar va losinlar</v>
      </c>
      <c r="B617" s="35" t="s">
        <v>3175</v>
      </c>
      <c r="C617" s="35" t="s">
        <v>3828</v>
      </c>
      <c r="D617" s="35" t="s">
        <v>3840</v>
      </c>
      <c r="E617" s="35" t="s">
        <v>3897</v>
      </c>
      <c r="F617" s="36">
        <v>0.25</v>
      </c>
      <c r="G617" s="31"/>
      <c r="H617" s="31"/>
      <c r="I617" s="31"/>
      <c r="J617" s="31"/>
      <c r="K617" s="31"/>
    </row>
    <row r="618" spans="1:11" ht="14.4" x14ac:dyDescent="0.3">
      <c r="A618" s="28" t="str">
        <f>B618&amp;C618&amp;D618&amp;E618</f>
        <v>KiyimErkaklar kiyimiSport kiyimlariTermal paypoqlar</v>
      </c>
      <c r="B618" s="35" t="s">
        <v>3175</v>
      </c>
      <c r="C618" s="35" t="s">
        <v>3825</v>
      </c>
      <c r="D618" s="35" t="s">
        <v>3849</v>
      </c>
      <c r="E618" s="35" t="s">
        <v>3898</v>
      </c>
      <c r="F618" s="36">
        <v>0.25</v>
      </c>
      <c r="G618" s="31"/>
      <c r="H618" s="31"/>
      <c r="I618" s="31"/>
      <c r="J618" s="31"/>
      <c r="K618" s="31"/>
    </row>
    <row r="619" spans="1:11" ht="14.4" x14ac:dyDescent="0.3">
      <c r="A619" s="28" t="str">
        <f>B619&amp;C619&amp;D619&amp;E619</f>
        <v>KiyimErkaklar kiyimiMaxsus kiyimlarSuv oʻtkazmaydigan kiyim</v>
      </c>
      <c r="B619" s="35" t="s">
        <v>3175</v>
      </c>
      <c r="C619" s="35" t="s">
        <v>3825</v>
      </c>
      <c r="D619" s="35" t="s">
        <v>3877</v>
      </c>
      <c r="E619" s="35" t="s">
        <v>3899</v>
      </c>
      <c r="F619" s="36">
        <v>0.25</v>
      </c>
      <c r="G619" s="31"/>
      <c r="H619" s="31"/>
      <c r="I619" s="31"/>
      <c r="J619" s="31"/>
      <c r="K619" s="31"/>
    </row>
    <row r="620" spans="1:11" ht="14.4" x14ac:dyDescent="0.3">
      <c r="A620" s="28" t="str">
        <f>B620&amp;C620&amp;D620&amp;E620</f>
        <v>KiyimErkaklar kiyimiPidjaklar va kostyumlarKostyumlar</v>
      </c>
      <c r="B620" s="35" t="s">
        <v>3175</v>
      </c>
      <c r="C620" s="35" t="s">
        <v>3825</v>
      </c>
      <c r="D620" s="35" t="s">
        <v>3853</v>
      </c>
      <c r="E620" s="35" t="s">
        <v>3900</v>
      </c>
      <c r="F620" s="36">
        <v>0.25</v>
      </c>
      <c r="G620" s="31"/>
      <c r="H620" s="31"/>
      <c r="I620" s="31"/>
      <c r="J620" s="31"/>
      <c r="K620" s="31"/>
    </row>
    <row r="621" spans="1:11" ht="14.4" x14ac:dyDescent="0.3">
      <c r="A621" s="28" t="str">
        <f>B621&amp;C621&amp;D621&amp;E621</f>
        <v>KiyimAyollar kiyimiKombinezonlarHar kunli kombinezonlar</v>
      </c>
      <c r="B621" s="35" t="s">
        <v>3175</v>
      </c>
      <c r="C621" s="35" t="s">
        <v>3828</v>
      </c>
      <c r="D621" s="35" t="s">
        <v>3856</v>
      </c>
      <c r="E621" s="35" t="s">
        <v>3901</v>
      </c>
      <c r="F621" s="36">
        <v>0.25</v>
      </c>
      <c r="G621" s="31"/>
      <c r="H621" s="31"/>
      <c r="I621" s="31"/>
      <c r="J621" s="31"/>
      <c r="K621" s="31"/>
    </row>
    <row r="622" spans="1:11" ht="14.4" x14ac:dyDescent="0.3">
      <c r="A622" s="28" t="str">
        <f>B622&amp;C622&amp;D622&amp;E622</f>
        <v>KiyimAyollar kiyimiJemperlar, sviterlar va kardiganlarJemperlar va pulloverlar</v>
      </c>
      <c r="B622" s="35" t="s">
        <v>3175</v>
      </c>
      <c r="C622" s="35" t="s">
        <v>3828</v>
      </c>
      <c r="D622" s="35" t="s">
        <v>3859</v>
      </c>
      <c r="E622" s="35" t="s">
        <v>3902</v>
      </c>
      <c r="F622" s="36">
        <v>0.25</v>
      </c>
      <c r="G622" s="31"/>
      <c r="H622" s="31"/>
      <c r="I622" s="31"/>
      <c r="J622" s="31"/>
      <c r="K622" s="31"/>
    </row>
    <row r="623" spans="1:11" ht="14.4" x14ac:dyDescent="0.3">
      <c r="A623" s="28" t="str">
        <f>B623&amp;C623&amp;D623&amp;E623</f>
        <v>KiyimAyollar kiyimiYubkalarTekkis yubkalar</v>
      </c>
      <c r="B623" s="35" t="s">
        <v>3175</v>
      </c>
      <c r="C623" s="35" t="s">
        <v>3828</v>
      </c>
      <c r="D623" s="35" t="s">
        <v>3843</v>
      </c>
      <c r="E623" s="35" t="s">
        <v>3903</v>
      </c>
      <c r="F623" s="36">
        <v>0.25</v>
      </c>
      <c r="G623" s="31"/>
      <c r="H623" s="31"/>
      <c r="I623" s="31"/>
      <c r="J623" s="31"/>
      <c r="K623" s="31"/>
    </row>
    <row r="624" spans="1:11" ht="14.4" x14ac:dyDescent="0.3">
      <c r="A624" s="28" t="str">
        <f>B624&amp;C624&amp;D624&amp;E624</f>
        <v>KiyimAyollar kiyimiUstki kiyimPalto</v>
      </c>
      <c r="B624" s="35" t="s">
        <v>3175</v>
      </c>
      <c r="C624" s="35" t="s">
        <v>3828</v>
      </c>
      <c r="D624" s="35" t="s">
        <v>3835</v>
      </c>
      <c r="E624" s="35" t="s">
        <v>3904</v>
      </c>
      <c r="F624" s="36">
        <v>0.25</v>
      </c>
      <c r="G624" s="31"/>
      <c r="H624" s="31"/>
      <c r="I624" s="31"/>
      <c r="J624" s="31"/>
      <c r="K624" s="31"/>
    </row>
    <row r="625" spans="1:11" ht="14.4" x14ac:dyDescent="0.3">
      <c r="A625" s="28" t="str">
        <f>B625&amp;C625&amp;D625&amp;E625</f>
        <v>KiyimAyollar kiyimiJemperlar, sviterlar va kardiganlarJiletlar</v>
      </c>
      <c r="B625" s="35" t="s">
        <v>3175</v>
      </c>
      <c r="C625" s="35" t="s">
        <v>3828</v>
      </c>
      <c r="D625" s="35" t="s">
        <v>3859</v>
      </c>
      <c r="E625" s="35" t="s">
        <v>3905</v>
      </c>
      <c r="F625" s="36">
        <v>0.25</v>
      </c>
      <c r="G625" s="31"/>
      <c r="H625" s="31"/>
      <c r="I625" s="31"/>
      <c r="J625" s="31"/>
      <c r="K625" s="31"/>
    </row>
    <row r="626" spans="1:11" ht="14.4" x14ac:dyDescent="0.3">
      <c r="A626" s="28" t="str">
        <f>B626&amp;C626&amp;D626&amp;E626</f>
        <v>KiyimAyollar kiyimiShortilarVelosipedkalar</v>
      </c>
      <c r="B626" s="35" t="s">
        <v>3175</v>
      </c>
      <c r="C626" s="35" t="s">
        <v>3828</v>
      </c>
      <c r="D626" s="35" t="s">
        <v>3845</v>
      </c>
      <c r="E626" s="35" t="s">
        <v>3906</v>
      </c>
      <c r="F626" s="36">
        <v>0.25</v>
      </c>
      <c r="G626" s="31"/>
      <c r="H626" s="31"/>
      <c r="I626" s="31"/>
      <c r="J626" s="31"/>
      <c r="K626" s="31"/>
    </row>
    <row r="627" spans="1:11" ht="14.4" x14ac:dyDescent="0.3">
      <c r="A627" s="28" t="str">
        <f>B627&amp;C627&amp;D627&amp;E627</f>
        <v>KiyimAyollar kiyimiHomiladorlar uchun kiyimlarKolgotkilar</v>
      </c>
      <c r="B627" s="35" t="s">
        <v>3175</v>
      </c>
      <c r="C627" s="35" t="s">
        <v>3828</v>
      </c>
      <c r="D627" s="35" t="s">
        <v>3907</v>
      </c>
      <c r="E627" s="35" t="s">
        <v>3908</v>
      </c>
      <c r="F627" s="36">
        <v>0.25</v>
      </c>
      <c r="G627" s="31"/>
      <c r="H627" s="31"/>
      <c r="I627" s="31"/>
      <c r="J627" s="31"/>
      <c r="K627" s="31"/>
    </row>
    <row r="628" spans="1:11" ht="14.4" x14ac:dyDescent="0.3">
      <c r="A628" s="28" t="str">
        <f>B628&amp;C628&amp;D628&amp;E628</f>
        <v>KiyimAyollar kiyimiSport kiyimlariSport kombinezonlari</v>
      </c>
      <c r="B628" s="35" t="s">
        <v>3175</v>
      </c>
      <c r="C628" s="35" t="s">
        <v>3828</v>
      </c>
      <c r="D628" s="35" t="s">
        <v>3849</v>
      </c>
      <c r="E628" s="35" t="s">
        <v>3909</v>
      </c>
      <c r="F628" s="36">
        <v>0.25</v>
      </c>
      <c r="G628" s="31"/>
      <c r="H628" s="31"/>
      <c r="I628" s="31"/>
      <c r="J628" s="31"/>
      <c r="K628" s="31"/>
    </row>
    <row r="629" spans="1:11" ht="14.4" x14ac:dyDescent="0.3">
      <c r="A629" s="28" t="str">
        <f>B629&amp;C629&amp;D629&amp;E629</f>
        <v>KiyimAyollar kiyimiUstki kiyimDublyonkalar va shubalar</v>
      </c>
      <c r="B629" s="35" t="s">
        <v>3175</v>
      </c>
      <c r="C629" s="35" t="s">
        <v>3828</v>
      </c>
      <c r="D629" s="35" t="s">
        <v>3835</v>
      </c>
      <c r="E629" s="35" t="s">
        <v>3910</v>
      </c>
      <c r="F629" s="36">
        <v>0.25</v>
      </c>
      <c r="G629" s="31"/>
      <c r="H629" s="31"/>
      <c r="I629" s="31"/>
      <c r="J629" s="31"/>
      <c r="K629" s="31"/>
    </row>
    <row r="630" spans="1:11" ht="14.4" x14ac:dyDescent="0.3">
      <c r="A630" s="28" t="str">
        <f>B630&amp;C630&amp;D630&amp;E630</f>
        <v>KiyimAyollar kiyimiYubkalarCharm yubkalar</v>
      </c>
      <c r="B630" s="35" t="s">
        <v>3175</v>
      </c>
      <c r="C630" s="35" t="s">
        <v>3828</v>
      </c>
      <c r="D630" s="35" t="s">
        <v>3843</v>
      </c>
      <c r="E630" s="35" t="s">
        <v>3911</v>
      </c>
      <c r="F630" s="36">
        <v>0.25</v>
      </c>
      <c r="G630" s="31"/>
      <c r="H630" s="31"/>
      <c r="I630" s="31"/>
      <c r="J630" s="31"/>
      <c r="K630" s="31"/>
    </row>
    <row r="631" spans="1:11" ht="14.4" x14ac:dyDescent="0.3">
      <c r="A631" s="28" t="str">
        <f>B631&amp;C631&amp;D631&amp;E631</f>
        <v>KiyimAyollar kiyimiShimlarKyulotlar</v>
      </c>
      <c r="B631" s="35" t="s">
        <v>3175</v>
      </c>
      <c r="C631" s="35" t="s">
        <v>3828</v>
      </c>
      <c r="D631" s="35" t="s">
        <v>3840</v>
      </c>
      <c r="E631" s="35" t="s">
        <v>3912</v>
      </c>
      <c r="F631" s="36">
        <v>0.25</v>
      </c>
      <c r="G631" s="31"/>
      <c r="H631" s="31"/>
      <c r="I631" s="31"/>
      <c r="J631" s="31"/>
      <c r="K631" s="31"/>
    </row>
    <row r="632" spans="1:11" ht="14.4" x14ac:dyDescent="0.3">
      <c r="A632" s="28" t="str">
        <f>B632&amp;C632&amp;D632&amp;E632</f>
        <v>KiyimAyollar kiyimiIchki kiyimTermal ichki kiyim</v>
      </c>
      <c r="B632" s="35" t="s">
        <v>3175</v>
      </c>
      <c r="C632" s="35" t="s">
        <v>3828</v>
      </c>
      <c r="D632" s="35" t="s">
        <v>3863</v>
      </c>
      <c r="E632" s="35" t="s">
        <v>3913</v>
      </c>
      <c r="F632" s="36">
        <v>0.25</v>
      </c>
      <c r="G632" s="31"/>
      <c r="H632" s="31"/>
      <c r="I632" s="31"/>
      <c r="J632" s="31"/>
      <c r="K632" s="31"/>
    </row>
    <row r="633" spans="1:11" ht="14.4" x14ac:dyDescent="0.3">
      <c r="A633" s="28" t="str">
        <f>B633&amp;C633&amp;D633&amp;E633</f>
        <v>KiyimAyollar kiyimiBodiBodi-toplar</v>
      </c>
      <c r="B633" s="35" t="s">
        <v>3175</v>
      </c>
      <c r="C633" s="35" t="s">
        <v>3828</v>
      </c>
      <c r="D633" s="35" t="s">
        <v>3914</v>
      </c>
      <c r="E633" s="35" t="s">
        <v>3915</v>
      </c>
      <c r="F633" s="36">
        <v>0.25</v>
      </c>
      <c r="G633" s="31"/>
      <c r="H633" s="31"/>
      <c r="I633" s="31"/>
      <c r="J633" s="31"/>
      <c r="K633" s="31"/>
    </row>
    <row r="634" spans="1:11" ht="14.4" x14ac:dyDescent="0.3">
      <c r="A634" s="28" t="str">
        <f>B634&amp;C634&amp;D634&amp;E634</f>
        <v>KiyimErkaklar kiyimiShimlarChinos</v>
      </c>
      <c r="B634" s="35" t="s">
        <v>3175</v>
      </c>
      <c r="C634" s="35" t="s">
        <v>3825</v>
      </c>
      <c r="D634" s="35" t="s">
        <v>3840</v>
      </c>
      <c r="E634" s="35" t="s">
        <v>3916</v>
      </c>
      <c r="F634" s="36">
        <v>0.25</v>
      </c>
      <c r="G634" s="31"/>
      <c r="H634" s="31"/>
      <c r="I634" s="31"/>
      <c r="J634" s="31"/>
      <c r="K634" s="31"/>
    </row>
    <row r="635" spans="1:11" ht="14.4" x14ac:dyDescent="0.3">
      <c r="A635" s="28" t="str">
        <f>B635&amp;C635&amp;D635&amp;E635</f>
        <v>KiyimAyollar kiyimiKatta o'lchamli kiyimlarLiboslar va sarafanlar</v>
      </c>
      <c r="B635" s="35" t="s">
        <v>3175</v>
      </c>
      <c r="C635" s="35" t="s">
        <v>3828</v>
      </c>
      <c r="D635" s="35" t="s">
        <v>3833</v>
      </c>
      <c r="E635" s="35" t="s">
        <v>3829</v>
      </c>
      <c r="F635" s="36">
        <v>0.25</v>
      </c>
      <c r="G635" s="31"/>
      <c r="H635" s="31"/>
      <c r="I635" s="31"/>
      <c r="J635" s="31"/>
      <c r="K635" s="31"/>
    </row>
    <row r="636" spans="1:11" ht="14.4" x14ac:dyDescent="0.3">
      <c r="A636" s="28" t="str">
        <f>B636&amp;C636&amp;D636&amp;E636</f>
        <v>KiyimAyollar kiyimiJinsilarToraytirilgan jinsilar</v>
      </c>
      <c r="B636" s="35" t="s">
        <v>3175</v>
      </c>
      <c r="C636" s="35" t="s">
        <v>3828</v>
      </c>
      <c r="D636" s="35" t="s">
        <v>3837</v>
      </c>
      <c r="E636" s="35" t="s">
        <v>3917</v>
      </c>
      <c r="F636" s="36">
        <v>0.25</v>
      </c>
      <c r="G636" s="31"/>
      <c r="H636" s="31"/>
      <c r="I636" s="31"/>
      <c r="J636" s="31"/>
      <c r="K636" s="31"/>
    </row>
    <row r="637" spans="1:11" ht="14.4" x14ac:dyDescent="0.3">
      <c r="A637" s="28" t="str">
        <f>B637&amp;C637&amp;D637&amp;E637</f>
        <v>KiyimAyollar kiyimiChoʻmilish va plyaj kiyimlariBir qismli сhoʻmilish kiyimlari va monokinilar</v>
      </c>
      <c r="B637" s="35" t="s">
        <v>3175</v>
      </c>
      <c r="C637" s="35" t="s">
        <v>3828</v>
      </c>
      <c r="D637" s="35" t="s">
        <v>3838</v>
      </c>
      <c r="E637" s="35" t="s">
        <v>3918</v>
      </c>
      <c r="F637" s="36">
        <v>0.25</v>
      </c>
      <c r="G637" s="31"/>
      <c r="H637" s="31"/>
      <c r="I637" s="31"/>
      <c r="J637" s="31"/>
      <c r="K637" s="31"/>
    </row>
    <row r="638" spans="1:11" ht="14.4" x14ac:dyDescent="0.3">
      <c r="A638" s="28" t="str">
        <f>B638&amp;C638&amp;D638&amp;E638</f>
        <v>KiyimAyollar kiyimiSport kiyimlariSport tolstovkalari</v>
      </c>
      <c r="B638" s="35" t="s">
        <v>3175</v>
      </c>
      <c r="C638" s="35" t="s">
        <v>3828</v>
      </c>
      <c r="D638" s="35" t="s">
        <v>3849</v>
      </c>
      <c r="E638" s="35" t="s">
        <v>3879</v>
      </c>
      <c r="F638" s="36">
        <v>0.25</v>
      </c>
      <c r="G638" s="31"/>
      <c r="H638" s="31"/>
      <c r="I638" s="31"/>
      <c r="J638" s="31"/>
      <c r="K638" s="31"/>
    </row>
    <row r="639" spans="1:11" ht="14.4" x14ac:dyDescent="0.3">
      <c r="A639" s="28" t="str">
        <f>B639&amp;C639&amp;D639&amp;E639</f>
        <v>KiyimAyollar kiyimiUstki kiyimDemi-mavsum kurtkalari</v>
      </c>
      <c r="B639" s="35" t="s">
        <v>3175</v>
      </c>
      <c r="C639" s="35" t="s">
        <v>3828</v>
      </c>
      <c r="D639" s="35" t="s">
        <v>3835</v>
      </c>
      <c r="E639" s="35" t="s">
        <v>3919</v>
      </c>
      <c r="F639" s="36">
        <v>0.25</v>
      </c>
      <c r="G639" s="31"/>
      <c r="H639" s="31"/>
      <c r="I639" s="31"/>
      <c r="J639" s="31"/>
      <c r="K639" s="31"/>
    </row>
    <row r="640" spans="1:11" ht="14.4" x14ac:dyDescent="0.3">
      <c r="A640" s="28" t="str">
        <f>B640&amp;C640&amp;D640&amp;E640</f>
        <v>KiyimErkaklar kiyimiTermal ichki kiyimlarTermal ichki kiyimlarni pastki qismi</v>
      </c>
      <c r="B640" s="35" t="s">
        <v>3175</v>
      </c>
      <c r="C640" s="35" t="s">
        <v>3825</v>
      </c>
      <c r="D640" s="35" t="s">
        <v>3920</v>
      </c>
      <c r="E640" s="35" t="s">
        <v>3921</v>
      </c>
      <c r="F640" s="36">
        <v>0.25</v>
      </c>
      <c r="G640" s="31"/>
      <c r="H640" s="31"/>
      <c r="I640" s="31"/>
      <c r="J640" s="31"/>
      <c r="K640" s="31"/>
    </row>
    <row r="641" spans="1:11" ht="14.4" x14ac:dyDescent="0.3">
      <c r="A641" s="28" t="str">
        <f>B641&amp;C641&amp;D641&amp;E641</f>
        <v>KiyimErkaklar kiyimiJinsilarErkin jinsilar</v>
      </c>
      <c r="B641" s="35" t="s">
        <v>3175</v>
      </c>
      <c r="C641" s="35" t="s">
        <v>3825</v>
      </c>
      <c r="D641" s="35" t="s">
        <v>3837</v>
      </c>
      <c r="E641" s="35" t="s">
        <v>3922</v>
      </c>
      <c r="F641" s="36">
        <v>0.25</v>
      </c>
      <c r="G641" s="31"/>
      <c r="H641" s="31"/>
      <c r="I641" s="31"/>
      <c r="J641" s="31"/>
      <c r="K641" s="31"/>
    </row>
    <row r="642" spans="1:11" ht="14.4" x14ac:dyDescent="0.3">
      <c r="A642" s="28" t="str">
        <f>B642&amp;C642&amp;D642&amp;E642</f>
        <v>KiyimErkaklar kiyimiUstki kiyimDublyonkalar va shubalar</v>
      </c>
      <c r="B642" s="35" t="s">
        <v>3175</v>
      </c>
      <c r="C642" s="35" t="s">
        <v>3825</v>
      </c>
      <c r="D642" s="35" t="s">
        <v>3835</v>
      </c>
      <c r="E642" s="35" t="s">
        <v>3910</v>
      </c>
      <c r="F642" s="36">
        <v>0.25</v>
      </c>
      <c r="G642" s="31"/>
      <c r="H642" s="31"/>
      <c r="I642" s="31"/>
      <c r="J642" s="31"/>
      <c r="K642" s="31"/>
    </row>
    <row r="643" spans="1:11" ht="14.4" x14ac:dyDescent="0.3">
      <c r="A643" s="28" t="str">
        <f>B643&amp;C643&amp;D643&amp;E643</f>
        <v>KiyimAyollar kiyimiUstki kiyimJiletlar</v>
      </c>
      <c r="B643" s="35" t="s">
        <v>3175</v>
      </c>
      <c r="C643" s="35" t="s">
        <v>3828</v>
      </c>
      <c r="D643" s="35" t="s">
        <v>3835</v>
      </c>
      <c r="E643" s="35" t="s">
        <v>3905</v>
      </c>
      <c r="F643" s="36">
        <v>0.25</v>
      </c>
      <c r="G643" s="31"/>
      <c r="H643" s="31"/>
      <c r="I643" s="31"/>
      <c r="J643" s="31"/>
      <c r="K643" s="31"/>
    </row>
    <row r="644" spans="1:11" ht="14.4" x14ac:dyDescent="0.3">
      <c r="A644" s="28" t="str">
        <f>B644&amp;C644&amp;D644&amp;E644</f>
        <v>KiyimAyollar kiyimiKatta o'lchamli kiyimlarShimlar</v>
      </c>
      <c r="B644" s="35" t="s">
        <v>3175</v>
      </c>
      <c r="C644" s="35" t="s">
        <v>3828</v>
      </c>
      <c r="D644" s="35" t="s">
        <v>3833</v>
      </c>
      <c r="E644" s="35" t="s">
        <v>3840</v>
      </c>
      <c r="F644" s="36">
        <v>0.25</v>
      </c>
      <c r="G644" s="31"/>
      <c r="H644" s="31"/>
      <c r="I644" s="31"/>
      <c r="J644" s="31"/>
      <c r="K644" s="31"/>
    </row>
    <row r="645" spans="1:11" ht="14.4" x14ac:dyDescent="0.3">
      <c r="A645" s="28" t="str">
        <f>B645&amp;C645&amp;D645&amp;E645</f>
        <v>KiyimErkaklar kiyimiSport kiyimlariSport kostyumlari</v>
      </c>
      <c r="B645" s="35" t="s">
        <v>3175</v>
      </c>
      <c r="C645" s="35" t="s">
        <v>3825</v>
      </c>
      <c r="D645" s="35" t="s">
        <v>3849</v>
      </c>
      <c r="E645" s="35" t="s">
        <v>3850</v>
      </c>
      <c r="F645" s="36">
        <v>0.25</v>
      </c>
      <c r="G645" s="31"/>
      <c r="H645" s="31"/>
      <c r="I645" s="31"/>
      <c r="J645" s="31"/>
      <c r="K645" s="31"/>
    </row>
    <row r="646" spans="1:11" ht="14.4" x14ac:dyDescent="0.3">
      <c r="A646" s="28" t="str">
        <f>B646&amp;C646&amp;D646&amp;E646</f>
        <v>KiyimErkaklar kiyimiSport kiyimlariSuzish uchun sport kiyimi</v>
      </c>
      <c r="B646" s="35" t="s">
        <v>3175</v>
      </c>
      <c r="C646" s="35" t="s">
        <v>3825</v>
      </c>
      <c r="D646" s="35" t="s">
        <v>3849</v>
      </c>
      <c r="E646" s="35" t="s">
        <v>3923</v>
      </c>
      <c r="F646" s="36">
        <v>0.25</v>
      </c>
      <c r="G646" s="31"/>
      <c r="H646" s="31"/>
      <c r="I646" s="31"/>
      <c r="J646" s="31"/>
      <c r="K646" s="31"/>
    </row>
    <row r="647" spans="1:11" ht="14.4" x14ac:dyDescent="0.3">
      <c r="A647" s="28" t="str">
        <f>B647&amp;C647&amp;D647&amp;E647</f>
        <v>KiyimAyollar kiyimiLiboslar va sarafanlarYelkalari pastga tushirilgan liboslar</v>
      </c>
      <c r="B647" s="35" t="s">
        <v>3175</v>
      </c>
      <c r="C647" s="35" t="s">
        <v>3828</v>
      </c>
      <c r="D647" s="35" t="s">
        <v>3829</v>
      </c>
      <c r="E647" s="35" t="s">
        <v>3924</v>
      </c>
      <c r="F647" s="36">
        <v>0.25</v>
      </c>
      <c r="G647" s="31"/>
      <c r="H647" s="31"/>
      <c r="I647" s="31"/>
      <c r="J647" s="31"/>
      <c r="K647" s="31"/>
    </row>
    <row r="648" spans="1:11" ht="14.4" x14ac:dyDescent="0.3">
      <c r="A648" s="28" t="str">
        <f>B648&amp;C648&amp;D648&amp;E648</f>
        <v>KiyimErkaklar kiyimiPidjaklar va kostyumlarKlassik jiletlar</v>
      </c>
      <c r="B648" s="35" t="s">
        <v>3175</v>
      </c>
      <c r="C648" s="35" t="s">
        <v>3825</v>
      </c>
      <c r="D648" s="35" t="s">
        <v>3853</v>
      </c>
      <c r="E648" s="35" t="s">
        <v>3925</v>
      </c>
      <c r="F648" s="36">
        <v>0.25</v>
      </c>
      <c r="G648" s="31"/>
      <c r="H648" s="31"/>
      <c r="I648" s="31"/>
      <c r="J648" s="31"/>
      <c r="K648" s="31"/>
    </row>
    <row r="649" spans="1:11" ht="14.4" x14ac:dyDescent="0.3">
      <c r="A649" s="28" t="str">
        <f>B649&amp;C649&amp;D649&amp;E649</f>
        <v>KiyimAyollar kiyimiShimlarSovuq oʻtkazmaydigan shimlar</v>
      </c>
      <c r="B649" s="35" t="s">
        <v>3175</v>
      </c>
      <c r="C649" s="35" t="s">
        <v>3828</v>
      </c>
      <c r="D649" s="35" t="s">
        <v>3840</v>
      </c>
      <c r="E649" s="35" t="s">
        <v>3926</v>
      </c>
      <c r="F649" s="36">
        <v>0.25</v>
      </c>
      <c r="G649" s="31"/>
      <c r="H649" s="31"/>
      <c r="I649" s="31"/>
      <c r="J649" s="31"/>
      <c r="K649" s="31"/>
    </row>
    <row r="650" spans="1:11" ht="14.4" x14ac:dyDescent="0.3">
      <c r="A650" s="28" t="str">
        <f>B650&amp;C650&amp;D650&amp;E650</f>
        <v>KiyimAyollar kiyimiUy kiyimiPijamalar</v>
      </c>
      <c r="B650" s="35" t="s">
        <v>3175</v>
      </c>
      <c r="C650" s="35" t="s">
        <v>3828</v>
      </c>
      <c r="D650" s="35" t="s">
        <v>3847</v>
      </c>
      <c r="E650" s="35" t="s">
        <v>3927</v>
      </c>
      <c r="F650" s="36">
        <v>0.25</v>
      </c>
      <c r="G650" s="31"/>
      <c r="H650" s="31"/>
      <c r="I650" s="31"/>
      <c r="J650" s="31"/>
      <c r="K650" s="31"/>
    </row>
    <row r="651" spans="1:11" ht="14.4" x14ac:dyDescent="0.3">
      <c r="A651" s="28" t="str">
        <f>B651&amp;C651&amp;D651&amp;E651</f>
        <v>KiyimAyollar kiyimiJemperlar, sviterlar va kardiganlarVodolazkalar</v>
      </c>
      <c r="B651" s="35" t="s">
        <v>3175</v>
      </c>
      <c r="C651" s="35" t="s">
        <v>3828</v>
      </c>
      <c r="D651" s="35" t="s">
        <v>3859</v>
      </c>
      <c r="E651" s="35" t="s">
        <v>3928</v>
      </c>
      <c r="F651" s="36">
        <v>0.25</v>
      </c>
      <c r="G651" s="31"/>
      <c r="H651" s="31"/>
      <c r="I651" s="31"/>
      <c r="J651" s="31"/>
      <c r="K651" s="31"/>
    </row>
    <row r="652" spans="1:11" ht="14.4" x14ac:dyDescent="0.3">
      <c r="A652" s="28" t="str">
        <f>B652&amp;C652&amp;D652&amp;E652</f>
        <v>KiyimAyollar kiyimiTop va maykalarTo'qima toplar</v>
      </c>
      <c r="B652" s="35" t="s">
        <v>3175</v>
      </c>
      <c r="C652" s="35" t="s">
        <v>3828</v>
      </c>
      <c r="D652" s="35" t="s">
        <v>3834</v>
      </c>
      <c r="E652" s="35" t="s">
        <v>3929</v>
      </c>
      <c r="F652" s="36">
        <v>0.25</v>
      </c>
      <c r="G652" s="31"/>
      <c r="H652" s="31"/>
      <c r="I652" s="31"/>
      <c r="J652" s="31"/>
      <c r="K652" s="31"/>
    </row>
    <row r="653" spans="1:11" ht="14.4" x14ac:dyDescent="0.3">
      <c r="A653" s="28" t="str">
        <f>B653&amp;C653&amp;D653&amp;E653</f>
        <v>KiyimAyollar kiyimiShimlarJoggerlar</v>
      </c>
      <c r="B653" s="35" t="s">
        <v>3175</v>
      </c>
      <c r="C653" s="35" t="s">
        <v>3828</v>
      </c>
      <c r="D653" s="35" t="s">
        <v>3840</v>
      </c>
      <c r="E653" s="35" t="s">
        <v>3930</v>
      </c>
      <c r="F653" s="36">
        <v>0.25</v>
      </c>
      <c r="G653" s="31"/>
      <c r="H653" s="31"/>
      <c r="I653" s="31"/>
      <c r="J653" s="31"/>
      <c r="K653" s="31"/>
    </row>
    <row r="654" spans="1:11" ht="14.4" x14ac:dyDescent="0.3">
      <c r="A654" s="28" t="str">
        <f>B654&amp;C654&amp;D654&amp;E654</f>
        <v>KiyimAyollar kiyimiYubkalarQat-qat burma solingan yubkalar</v>
      </c>
      <c r="B654" s="35" t="s">
        <v>3175</v>
      </c>
      <c r="C654" s="35" t="s">
        <v>3828</v>
      </c>
      <c r="D654" s="35" t="s">
        <v>3843</v>
      </c>
      <c r="E654" s="35" t="s">
        <v>3931</v>
      </c>
      <c r="F654" s="36">
        <v>0.25</v>
      </c>
      <c r="G654" s="31"/>
      <c r="H654" s="31"/>
      <c r="I654" s="31"/>
      <c r="J654" s="31"/>
      <c r="K654" s="31"/>
    </row>
    <row r="655" spans="1:11" ht="14.4" x14ac:dyDescent="0.3">
      <c r="A655" s="28" t="str">
        <f>B655&amp;C655&amp;D655&amp;E655</f>
        <v>KiyimErkaklar kiyimiKatta o'lchamli kiyimlarKoʻylaklar</v>
      </c>
      <c r="B655" s="35" t="s">
        <v>3175</v>
      </c>
      <c r="C655" s="35" t="s">
        <v>3825</v>
      </c>
      <c r="D655" s="35" t="s">
        <v>3833</v>
      </c>
      <c r="E655" s="35" t="s">
        <v>3932</v>
      </c>
      <c r="F655" s="36">
        <v>0.25</v>
      </c>
      <c r="G655" s="31"/>
      <c r="H655" s="31"/>
      <c r="I655" s="31"/>
      <c r="J655" s="31"/>
      <c r="K655" s="31"/>
    </row>
    <row r="656" spans="1:11" ht="14.4" x14ac:dyDescent="0.3">
      <c r="A656" s="28" t="str">
        <f>B656&amp;C656&amp;D656&amp;E656</f>
        <v>KiyimAyollar kiyimiHomiladorlar uchun kiyimlarShimlar va kombinezonlar</v>
      </c>
      <c r="B656" s="35" t="s">
        <v>3175</v>
      </c>
      <c r="C656" s="35" t="s">
        <v>3828</v>
      </c>
      <c r="D656" s="35" t="s">
        <v>3907</v>
      </c>
      <c r="E656" s="35" t="s">
        <v>3933</v>
      </c>
      <c r="F656" s="36">
        <v>0.25</v>
      </c>
      <c r="G656" s="31"/>
      <c r="H656" s="31"/>
      <c r="I656" s="31"/>
      <c r="J656" s="31"/>
      <c r="K656" s="31"/>
    </row>
    <row r="657" spans="1:11" ht="14.4" x14ac:dyDescent="0.3">
      <c r="A657" s="28" t="str">
        <f>B657&amp;C657&amp;D657&amp;E657</f>
        <v>KiyimErkaklar kiyimiMaxsus kiyimlarTibbiyot kiyimi</v>
      </c>
      <c r="B657" s="35" t="s">
        <v>3175</v>
      </c>
      <c r="C657" s="35" t="s">
        <v>3825</v>
      </c>
      <c r="D657" s="35" t="s">
        <v>3877</v>
      </c>
      <c r="E657" s="35" t="s">
        <v>3934</v>
      </c>
      <c r="F657" s="36">
        <v>0.25</v>
      </c>
      <c r="G657" s="31"/>
      <c r="H657" s="31"/>
      <c r="I657" s="31"/>
      <c r="J657" s="31"/>
      <c r="K657" s="31"/>
    </row>
    <row r="658" spans="1:11" ht="14.4" x14ac:dyDescent="0.3">
      <c r="A658" s="28" t="str">
        <f>B658&amp;C658&amp;D658&amp;E658</f>
        <v>KiyimErkaklar kiyimiXudi va svitshotlarFlislar</v>
      </c>
      <c r="B658" s="35" t="s">
        <v>3175</v>
      </c>
      <c r="C658" s="35" t="s">
        <v>3825</v>
      </c>
      <c r="D658" s="35" t="s">
        <v>3880</v>
      </c>
      <c r="E658" s="35" t="s">
        <v>3935</v>
      </c>
      <c r="F658" s="36">
        <v>0.25</v>
      </c>
      <c r="G658" s="31"/>
      <c r="H658" s="31"/>
      <c r="I658" s="31"/>
      <c r="J658" s="31"/>
      <c r="K658" s="31"/>
    </row>
    <row r="659" spans="1:11" ht="14.4" x14ac:dyDescent="0.3">
      <c r="A659" s="28" t="str">
        <f>B659&amp;C659&amp;D659&amp;E659</f>
        <v>KiyimAyollar kiyimiDiniy kiyimDiniy kiyim</v>
      </c>
      <c r="B659" s="35" t="s">
        <v>3175</v>
      </c>
      <c r="C659" s="35" t="s">
        <v>3828</v>
      </c>
      <c r="D659" s="35" t="s">
        <v>3936</v>
      </c>
      <c r="E659" s="35" t="s">
        <v>3936</v>
      </c>
      <c r="F659" s="36">
        <v>0.25</v>
      </c>
      <c r="G659" s="31"/>
      <c r="H659" s="31"/>
      <c r="I659" s="31"/>
      <c r="J659" s="31"/>
      <c r="K659" s="31"/>
    </row>
    <row r="660" spans="1:11" ht="14.4" x14ac:dyDescent="0.3">
      <c r="A660" s="28" t="str">
        <f>B660&amp;C660&amp;D660&amp;E660</f>
        <v>KiyimAyollar kiyimiLiboslar va sarafanlarJinsi matodan liboslar</v>
      </c>
      <c r="B660" s="35" t="s">
        <v>3175</v>
      </c>
      <c r="C660" s="35" t="s">
        <v>3828</v>
      </c>
      <c r="D660" s="35" t="s">
        <v>3829</v>
      </c>
      <c r="E660" s="35" t="s">
        <v>3937</v>
      </c>
      <c r="F660" s="36">
        <v>0.25</v>
      </c>
      <c r="G660" s="31"/>
      <c r="H660" s="31"/>
      <c r="I660" s="31"/>
      <c r="J660" s="31"/>
      <c r="K660" s="31"/>
    </row>
    <row r="661" spans="1:11" ht="14.4" x14ac:dyDescent="0.3">
      <c r="A661" s="28" t="str">
        <f>B661&amp;C661&amp;D661&amp;E661</f>
        <v>KiyimAyollar kiyimiKatta o'lchamli kiyimlarJemperlar va kardiganlar</v>
      </c>
      <c r="B661" s="35" t="s">
        <v>3175</v>
      </c>
      <c r="C661" s="35" t="s">
        <v>3828</v>
      </c>
      <c r="D661" s="35" t="s">
        <v>3833</v>
      </c>
      <c r="E661" s="35" t="s">
        <v>3938</v>
      </c>
      <c r="F661" s="36">
        <v>0.25</v>
      </c>
      <c r="G661" s="31"/>
      <c r="H661" s="31"/>
      <c r="I661" s="31"/>
      <c r="J661" s="31"/>
      <c r="K661" s="31"/>
    </row>
    <row r="662" spans="1:11" ht="14.4" x14ac:dyDescent="0.3">
      <c r="A662" s="28" t="str">
        <f>B662&amp;C662&amp;D662&amp;E662</f>
        <v>KiyimAyollar kiyimiPidjaklar va kostyumlarKlassik jiletlar</v>
      </c>
      <c r="B662" s="35" t="s">
        <v>3175</v>
      </c>
      <c r="C662" s="35" t="s">
        <v>3828</v>
      </c>
      <c r="D662" s="35" t="s">
        <v>3853</v>
      </c>
      <c r="E662" s="35" t="s">
        <v>3925</v>
      </c>
      <c r="F662" s="36">
        <v>0.25</v>
      </c>
      <c r="G662" s="31"/>
      <c r="H662" s="31"/>
      <c r="I662" s="31"/>
      <c r="J662" s="31"/>
      <c r="K662" s="31"/>
    </row>
    <row r="663" spans="1:11" ht="14.4" x14ac:dyDescent="0.3">
      <c r="A663" s="28" t="str">
        <f>B663&amp;C663&amp;D663&amp;E663</f>
        <v>KiyimErkaklar kiyimiMaxsus kiyimlarForma kiyimlar</v>
      </c>
      <c r="B663" s="35" t="s">
        <v>3175</v>
      </c>
      <c r="C663" s="35" t="s">
        <v>3825</v>
      </c>
      <c r="D663" s="35" t="s">
        <v>3877</v>
      </c>
      <c r="E663" s="35" t="s">
        <v>3939</v>
      </c>
      <c r="F663" s="36">
        <v>0.25</v>
      </c>
      <c r="G663" s="31"/>
      <c r="H663" s="31"/>
      <c r="I663" s="31"/>
      <c r="J663" s="31"/>
      <c r="K663" s="31"/>
    </row>
    <row r="664" spans="1:11" ht="14.4" x14ac:dyDescent="0.3">
      <c r="A664" s="28" t="str">
        <f>B664&amp;C664&amp;D664&amp;E664</f>
        <v>KiyimErkaklar kiyimiUstki kiyimDemi-mavsum kurtkalari</v>
      </c>
      <c r="B664" s="35" t="s">
        <v>3175</v>
      </c>
      <c r="C664" s="35" t="s">
        <v>3825</v>
      </c>
      <c r="D664" s="35" t="s">
        <v>3835</v>
      </c>
      <c r="E664" s="35" t="s">
        <v>3919</v>
      </c>
      <c r="F664" s="36">
        <v>0.25</v>
      </c>
      <c r="G664" s="31"/>
      <c r="H664" s="31"/>
      <c r="I664" s="31"/>
      <c r="J664" s="31"/>
      <c r="K664" s="31"/>
    </row>
    <row r="665" spans="1:11" ht="14.4" x14ac:dyDescent="0.3">
      <c r="A665" s="28" t="str">
        <f>B665&amp;C665&amp;D665&amp;E665</f>
        <v>KiyimErkaklar kiyimiShimlarKlassik shimlar</v>
      </c>
      <c r="B665" s="35" t="s">
        <v>3175</v>
      </c>
      <c r="C665" s="35" t="s">
        <v>3825</v>
      </c>
      <c r="D665" s="35" t="s">
        <v>3840</v>
      </c>
      <c r="E665" s="35" t="s">
        <v>3848</v>
      </c>
      <c r="F665" s="36">
        <v>0.25</v>
      </c>
      <c r="G665" s="31"/>
      <c r="H665" s="31"/>
      <c r="I665" s="31"/>
      <c r="J665" s="31"/>
      <c r="K665" s="31"/>
    </row>
    <row r="666" spans="1:11" ht="14.4" x14ac:dyDescent="0.3">
      <c r="A666" s="28" t="str">
        <f>B666&amp;C666&amp;D666&amp;E666</f>
        <v>KiyimAyollar kiyimiJemperlar, sviterlar va kardiganlarKardiganlar</v>
      </c>
      <c r="B666" s="35" t="s">
        <v>3175</v>
      </c>
      <c r="C666" s="35" t="s">
        <v>3828</v>
      </c>
      <c r="D666" s="35" t="s">
        <v>3859</v>
      </c>
      <c r="E666" s="35" t="s">
        <v>3940</v>
      </c>
      <c r="F666" s="36">
        <v>0.25</v>
      </c>
      <c r="G666" s="31"/>
      <c r="H666" s="31"/>
      <c r="I666" s="31"/>
      <c r="J666" s="31"/>
      <c r="K666" s="31"/>
    </row>
    <row r="667" spans="1:11" ht="14.4" x14ac:dyDescent="0.3">
      <c r="A667" s="28" t="str">
        <f>B667&amp;C667&amp;D667&amp;E667</f>
        <v>KiyimAyollar kiyimiKatta o'lchamli kiyimlarSport kostyumlari</v>
      </c>
      <c r="B667" s="35" t="s">
        <v>3175</v>
      </c>
      <c r="C667" s="35" t="s">
        <v>3828</v>
      </c>
      <c r="D667" s="35" t="s">
        <v>3833</v>
      </c>
      <c r="E667" s="35" t="s">
        <v>3850</v>
      </c>
      <c r="F667" s="36">
        <v>0.25</v>
      </c>
      <c r="G667" s="31"/>
      <c r="H667" s="31"/>
      <c r="I667" s="31"/>
      <c r="J667" s="31"/>
      <c r="K667" s="31"/>
    </row>
    <row r="668" spans="1:11" ht="14.4" x14ac:dyDescent="0.3">
      <c r="A668" s="28" t="str">
        <f>B668&amp;C668&amp;D668&amp;E668</f>
        <v>KiyimAyollar kiyimiIchki kiyimOchiq ichki kiyimlar va kostyumlar</v>
      </c>
      <c r="B668" s="35" t="s">
        <v>3175</v>
      </c>
      <c r="C668" s="35" t="s">
        <v>3828</v>
      </c>
      <c r="D668" s="35" t="s">
        <v>3863</v>
      </c>
      <c r="E668" s="35" t="s">
        <v>3941</v>
      </c>
      <c r="F668" s="36">
        <v>0.25</v>
      </c>
      <c r="G668" s="31"/>
      <c r="H668" s="31"/>
      <c r="I668" s="31"/>
      <c r="J668" s="31"/>
      <c r="K668" s="31"/>
    </row>
    <row r="669" spans="1:11" ht="14.4" x14ac:dyDescent="0.3">
      <c r="A669" s="28" t="str">
        <f>B669&amp;C669&amp;D669&amp;E669</f>
        <v>KiyimAyollar kiyimiShimlarHar kunlik shimlar</v>
      </c>
      <c r="B669" s="35" t="s">
        <v>3175</v>
      </c>
      <c r="C669" s="35" t="s">
        <v>3828</v>
      </c>
      <c r="D669" s="35" t="s">
        <v>3840</v>
      </c>
      <c r="E669" s="35" t="s">
        <v>3942</v>
      </c>
      <c r="F669" s="36">
        <v>0.25</v>
      </c>
      <c r="G669" s="31"/>
      <c r="H669" s="31"/>
      <c r="I669" s="31"/>
      <c r="J669" s="31"/>
      <c r="K669" s="31"/>
    </row>
    <row r="670" spans="1:11" ht="14.4" x14ac:dyDescent="0.3">
      <c r="A670" s="28" t="str">
        <f>B670&amp;C670&amp;D670&amp;E670</f>
        <v>KiyimErkaklar kiyimiJemperlar, sviterlar va kardiganlarVodolazkalar</v>
      </c>
      <c r="B670" s="35" t="s">
        <v>3175</v>
      </c>
      <c r="C670" s="35" t="s">
        <v>3825</v>
      </c>
      <c r="D670" s="35" t="s">
        <v>3859</v>
      </c>
      <c r="E670" s="35" t="s">
        <v>3928</v>
      </c>
      <c r="F670" s="36">
        <v>0.25</v>
      </c>
      <c r="G670" s="31"/>
      <c r="H670" s="31"/>
      <c r="I670" s="31"/>
      <c r="J670" s="31"/>
      <c r="K670" s="31"/>
    </row>
    <row r="671" spans="1:11" ht="14.4" x14ac:dyDescent="0.3">
      <c r="A671" s="28" t="str">
        <f>B671&amp;C671&amp;D671&amp;E671</f>
        <v>KiyimErkaklar kiyimiShimlarKargo</v>
      </c>
      <c r="B671" s="35" t="s">
        <v>3175</v>
      </c>
      <c r="C671" s="35" t="s">
        <v>3825</v>
      </c>
      <c r="D671" s="35" t="s">
        <v>3840</v>
      </c>
      <c r="E671" s="35" t="s">
        <v>3896</v>
      </c>
      <c r="F671" s="36">
        <v>0.25</v>
      </c>
      <c r="G671" s="31"/>
      <c r="H671" s="31"/>
      <c r="I671" s="31"/>
      <c r="J671" s="31"/>
      <c r="K671" s="31"/>
    </row>
    <row r="672" spans="1:11" ht="14.4" x14ac:dyDescent="0.3">
      <c r="A672" s="28" t="str">
        <f>B672&amp;C672&amp;D672&amp;E672</f>
        <v>KiyimErkaklar kiyimiJinsilarToraytirilgan jinsilar</v>
      </c>
      <c r="B672" s="35" t="s">
        <v>3175</v>
      </c>
      <c r="C672" s="35" t="s">
        <v>3825</v>
      </c>
      <c r="D672" s="35" t="s">
        <v>3837</v>
      </c>
      <c r="E672" s="35" t="s">
        <v>3917</v>
      </c>
      <c r="F672" s="36">
        <v>0.25</v>
      </c>
      <c r="G672" s="31"/>
      <c r="H672" s="31"/>
      <c r="I672" s="31"/>
      <c r="J672" s="31"/>
      <c r="K672" s="31"/>
    </row>
    <row r="673" spans="1:11" ht="14.4" x14ac:dyDescent="0.3">
      <c r="A673" s="28" t="str">
        <f>B673&amp;C673&amp;D673&amp;E673</f>
        <v>KiyimAyollar kiyimiHomiladorlar uchun kiyimlarYubkalar</v>
      </c>
      <c r="B673" s="35" t="s">
        <v>3175</v>
      </c>
      <c r="C673" s="35" t="s">
        <v>3828</v>
      </c>
      <c r="D673" s="35" t="s">
        <v>3907</v>
      </c>
      <c r="E673" s="35" t="s">
        <v>3843</v>
      </c>
      <c r="F673" s="36">
        <v>0.25</v>
      </c>
      <c r="G673" s="31"/>
      <c r="H673" s="31"/>
      <c r="I673" s="31"/>
      <c r="J673" s="31"/>
      <c r="K673" s="31"/>
    </row>
    <row r="674" spans="1:11" ht="14.4" x14ac:dyDescent="0.3">
      <c r="A674" s="28" t="str">
        <f>B674&amp;C674&amp;D674&amp;E674</f>
        <v>KiyimAyollar kiyimiSport kiyimlariSport suzish kiyimlari</v>
      </c>
      <c r="B674" s="35" t="s">
        <v>3175</v>
      </c>
      <c r="C674" s="35" t="s">
        <v>3828</v>
      </c>
      <c r="D674" s="35" t="s">
        <v>3849</v>
      </c>
      <c r="E674" s="35" t="s">
        <v>3943</v>
      </c>
      <c r="F674" s="36">
        <v>0.25</v>
      </c>
      <c r="G674" s="31"/>
      <c r="H674" s="31"/>
      <c r="I674" s="31"/>
      <c r="J674" s="31"/>
      <c r="K674" s="31"/>
    </row>
    <row r="675" spans="1:11" ht="14.4" x14ac:dyDescent="0.3">
      <c r="A675" s="28" t="str">
        <f>B675&amp;C675&amp;D675&amp;E675</f>
        <v>KiyimAyollar kiyimiUstki kiyimJinsi kurtkalar</v>
      </c>
      <c r="B675" s="35" t="s">
        <v>3175</v>
      </c>
      <c r="C675" s="35" t="s">
        <v>3828</v>
      </c>
      <c r="D675" s="35" t="s">
        <v>3835</v>
      </c>
      <c r="E675" s="35" t="s">
        <v>3944</v>
      </c>
      <c r="F675" s="36">
        <v>0.25</v>
      </c>
      <c r="G675" s="31"/>
      <c r="H675" s="31"/>
      <c r="I675" s="31"/>
      <c r="J675" s="31"/>
      <c r="K675" s="31"/>
    </row>
    <row r="676" spans="1:11" ht="14.4" x14ac:dyDescent="0.3">
      <c r="A676" s="28" t="str">
        <f>B676&amp;C676&amp;D676&amp;E676</f>
        <v>KiyimAyollar kiyimiLiboslar va sarafanlarOfis liboslari</v>
      </c>
      <c r="B676" s="35" t="s">
        <v>3175</v>
      </c>
      <c r="C676" s="35" t="s">
        <v>3828</v>
      </c>
      <c r="D676" s="35" t="s">
        <v>3829</v>
      </c>
      <c r="E676" s="35" t="s">
        <v>3945</v>
      </c>
      <c r="F676" s="36">
        <v>0.25</v>
      </c>
      <c r="G676" s="31"/>
      <c r="H676" s="31"/>
      <c r="I676" s="31"/>
      <c r="J676" s="31"/>
      <c r="K676" s="31"/>
    </row>
    <row r="677" spans="1:11" ht="14.4" x14ac:dyDescent="0.3">
      <c r="A677" s="28" t="str">
        <f>B677&amp;C677&amp;D677&amp;E677</f>
        <v>KiyimAyollar kiyimiHomiladorlar uchun kiyimlarIchki kiyim</v>
      </c>
      <c r="B677" s="35" t="s">
        <v>3175</v>
      </c>
      <c r="C677" s="35" t="s">
        <v>3828</v>
      </c>
      <c r="D677" s="35" t="s">
        <v>3907</v>
      </c>
      <c r="E677" s="35" t="s">
        <v>3863</v>
      </c>
      <c r="F677" s="36">
        <v>0.25</v>
      </c>
      <c r="G677" s="31"/>
      <c r="H677" s="31"/>
      <c r="I677" s="31"/>
      <c r="J677" s="31"/>
      <c r="K677" s="31"/>
    </row>
    <row r="678" spans="1:11" ht="14.4" x14ac:dyDescent="0.3">
      <c r="A678" s="28" t="str">
        <f>B678&amp;C678&amp;D678&amp;E678</f>
        <v>KiyimAyollar kiyimiPaypoqlar, kolgotkilar va chulkilarPaypoqlar</v>
      </c>
      <c r="B678" s="35" t="s">
        <v>3175</v>
      </c>
      <c r="C678" s="35" t="s">
        <v>3828</v>
      </c>
      <c r="D678" s="35" t="s">
        <v>3889</v>
      </c>
      <c r="E678" s="35" t="s">
        <v>3827</v>
      </c>
      <c r="F678" s="36">
        <v>0.25</v>
      </c>
      <c r="G678" s="31"/>
      <c r="H678" s="31"/>
      <c r="I678" s="31"/>
      <c r="J678" s="31"/>
      <c r="K678" s="31"/>
    </row>
    <row r="679" spans="1:11" ht="14.4" x14ac:dyDescent="0.3">
      <c r="A679" s="28" t="str">
        <f>B679&amp;C679&amp;D679&amp;E679</f>
        <v>KiyimAyollar kiyimiFutbolkalar va poloFutbolkalar va polo to'plamlari</v>
      </c>
      <c r="B679" s="35" t="s">
        <v>3175</v>
      </c>
      <c r="C679" s="35" t="s">
        <v>3828</v>
      </c>
      <c r="D679" s="35" t="s">
        <v>3884</v>
      </c>
      <c r="E679" s="35" t="s">
        <v>3946</v>
      </c>
      <c r="F679" s="36">
        <v>0.25</v>
      </c>
      <c r="G679" s="31"/>
      <c r="H679" s="31"/>
      <c r="I679" s="31"/>
      <c r="J679" s="31"/>
      <c r="K679" s="31"/>
    </row>
    <row r="680" spans="1:11" ht="14.4" x14ac:dyDescent="0.3">
      <c r="A680" s="28" t="str">
        <f>B680&amp;C680&amp;D680&amp;E680</f>
        <v>KiyimErkaklar kiyimiShimlarTaytlar</v>
      </c>
      <c r="B680" s="35" t="s">
        <v>3175</v>
      </c>
      <c r="C680" s="35" t="s">
        <v>3825</v>
      </c>
      <c r="D680" s="35" t="s">
        <v>3840</v>
      </c>
      <c r="E680" s="35" t="s">
        <v>3947</v>
      </c>
      <c r="F680" s="36">
        <v>0.25</v>
      </c>
      <c r="G680" s="31"/>
      <c r="H680" s="31"/>
      <c r="I680" s="31"/>
      <c r="J680" s="31"/>
      <c r="K680" s="31"/>
    </row>
    <row r="681" spans="1:11" ht="14.4" x14ac:dyDescent="0.3">
      <c r="A681" s="28" t="str">
        <f>B681&amp;C681&amp;D681&amp;E681</f>
        <v>KiyimAyollar kiyimiTunikalarTunikalar</v>
      </c>
      <c r="B681" s="35" t="s">
        <v>3175</v>
      </c>
      <c r="C681" s="35" t="s">
        <v>3828</v>
      </c>
      <c r="D681" s="35" t="s">
        <v>3948</v>
      </c>
      <c r="E681" s="35" t="s">
        <v>3948</v>
      </c>
      <c r="F681" s="36">
        <v>0.25</v>
      </c>
      <c r="G681" s="31"/>
      <c r="H681" s="31"/>
      <c r="I681" s="31"/>
      <c r="J681" s="31"/>
      <c r="K681" s="31"/>
    </row>
    <row r="682" spans="1:11" ht="14.4" x14ac:dyDescent="0.3">
      <c r="A682" s="28" t="str">
        <f>B682&amp;C682&amp;D682&amp;E682</f>
        <v>KiyimAyollar kiyimiBodiBodi-bluzkalar</v>
      </c>
      <c r="B682" s="35" t="s">
        <v>3175</v>
      </c>
      <c r="C682" s="35" t="s">
        <v>3828</v>
      </c>
      <c r="D682" s="35" t="s">
        <v>3914</v>
      </c>
      <c r="E682" s="35" t="s">
        <v>3949</v>
      </c>
      <c r="F682" s="36">
        <v>0.25</v>
      </c>
      <c r="G682" s="31"/>
      <c r="H682" s="31"/>
      <c r="I682" s="31"/>
      <c r="J682" s="31"/>
      <c r="K682" s="31"/>
    </row>
    <row r="683" spans="1:11" ht="14.4" x14ac:dyDescent="0.3">
      <c r="A683" s="28" t="str">
        <f>B683&amp;C683&amp;D683&amp;E683</f>
        <v>KiyimAyollar kiyimiIchki kiyimIchki kiyim toʻplamlari</v>
      </c>
      <c r="B683" s="35" t="s">
        <v>3175</v>
      </c>
      <c r="C683" s="35" t="s">
        <v>3828</v>
      </c>
      <c r="D683" s="35" t="s">
        <v>3863</v>
      </c>
      <c r="E683" s="35" t="s">
        <v>3950</v>
      </c>
      <c r="F683" s="36">
        <v>0.25</v>
      </c>
      <c r="G683" s="31"/>
      <c r="H683" s="31"/>
      <c r="I683" s="31"/>
      <c r="J683" s="31"/>
      <c r="K683" s="31"/>
    </row>
    <row r="684" spans="1:11" ht="14.4" x14ac:dyDescent="0.3">
      <c r="A684" s="28" t="str">
        <f>B684&amp;C684&amp;D684&amp;E684</f>
        <v>KiyimErkaklar kiyimiKo'ylaklarJinsi ko'ylaklar</v>
      </c>
      <c r="B684" s="35" t="s">
        <v>3175</v>
      </c>
      <c r="C684" s="35" t="s">
        <v>3825</v>
      </c>
      <c r="D684" s="35" t="s">
        <v>3861</v>
      </c>
      <c r="E684" s="35" t="s">
        <v>3951</v>
      </c>
      <c r="F684" s="36">
        <v>0.25</v>
      </c>
      <c r="G684" s="31"/>
      <c r="H684" s="31"/>
      <c r="I684" s="31"/>
      <c r="J684" s="31"/>
      <c r="K684" s="31"/>
    </row>
    <row r="685" spans="1:11" ht="14.4" x14ac:dyDescent="0.3">
      <c r="A685" s="28" t="str">
        <f>B685&amp;C685&amp;D685&amp;E685</f>
        <v>KiyimErkaklar kiyimiShimlarTekis shimlar</v>
      </c>
      <c r="B685" s="35" t="s">
        <v>3175</v>
      </c>
      <c r="C685" s="35" t="s">
        <v>3825</v>
      </c>
      <c r="D685" s="35" t="s">
        <v>3840</v>
      </c>
      <c r="E685" s="35" t="s">
        <v>3952</v>
      </c>
      <c r="F685" s="36">
        <v>0.25</v>
      </c>
      <c r="G685" s="31"/>
      <c r="H685" s="31"/>
      <c r="I685" s="31"/>
      <c r="J685" s="31"/>
      <c r="K685" s="31"/>
    </row>
    <row r="686" spans="1:11" ht="14.4" x14ac:dyDescent="0.3">
      <c r="A686" s="28" t="str">
        <f>B686&amp;C686&amp;D686&amp;E686</f>
        <v>KiyimAyollar kiyimiChoʻmilish va plyaj kiyimlariPareo</v>
      </c>
      <c r="B686" s="35" t="s">
        <v>3175</v>
      </c>
      <c r="C686" s="35" t="s">
        <v>3828</v>
      </c>
      <c r="D686" s="35" t="s">
        <v>3838</v>
      </c>
      <c r="E686" s="35" t="s">
        <v>3953</v>
      </c>
      <c r="F686" s="36">
        <v>0.25</v>
      </c>
      <c r="G686" s="31"/>
      <c r="H686" s="31"/>
      <c r="I686" s="31"/>
      <c r="J686" s="31"/>
      <c r="K686" s="31"/>
    </row>
    <row r="687" spans="1:11" ht="14.4" x14ac:dyDescent="0.3">
      <c r="A687" s="28" t="str">
        <f>B687&amp;C687&amp;D687&amp;E687</f>
        <v>KiyimAyollar kiyimiSport kiyimlariSport maykalari</v>
      </c>
      <c r="B687" s="35" t="s">
        <v>3175</v>
      </c>
      <c r="C687" s="35" t="s">
        <v>3828</v>
      </c>
      <c r="D687" s="35" t="s">
        <v>3849</v>
      </c>
      <c r="E687" s="35" t="s">
        <v>3954</v>
      </c>
      <c r="F687" s="36">
        <v>0.25</v>
      </c>
      <c r="G687" s="31"/>
      <c r="H687" s="31"/>
      <c r="I687" s="31"/>
      <c r="J687" s="31"/>
      <c r="K687" s="31"/>
    </row>
    <row r="688" spans="1:11" ht="14.4" x14ac:dyDescent="0.3">
      <c r="A688" s="28" t="str">
        <f>B688&amp;C688&amp;D688&amp;E688</f>
        <v>KiyimErkaklar kiyimiUy kiyimiPijamalar</v>
      </c>
      <c r="B688" s="35" t="s">
        <v>3175</v>
      </c>
      <c r="C688" s="35" t="s">
        <v>3825</v>
      </c>
      <c r="D688" s="35" t="s">
        <v>3847</v>
      </c>
      <c r="E688" s="35" t="s">
        <v>3927</v>
      </c>
      <c r="F688" s="36">
        <v>0.25</v>
      </c>
      <c r="G688" s="31"/>
      <c r="H688" s="31"/>
      <c r="I688" s="31"/>
      <c r="J688" s="31"/>
      <c r="K688" s="31"/>
    </row>
    <row r="689" spans="1:11" ht="14.4" x14ac:dyDescent="0.3">
      <c r="A689" s="28" t="str">
        <f>B689&amp;C689&amp;D689&amp;E689</f>
        <v>KiyimErkaklar kiyimiUstki kiyimYengil kurtka va vetrovkalar</v>
      </c>
      <c r="B689" s="35" t="s">
        <v>3175</v>
      </c>
      <c r="C689" s="35" t="s">
        <v>3825</v>
      </c>
      <c r="D689" s="35" t="s">
        <v>3835</v>
      </c>
      <c r="E689" s="35" t="s">
        <v>3955</v>
      </c>
      <c r="F689" s="36">
        <v>0.25</v>
      </c>
      <c r="G689" s="31"/>
      <c r="H689" s="31"/>
      <c r="I689" s="31"/>
      <c r="J689" s="31"/>
      <c r="K689" s="31"/>
    </row>
    <row r="690" spans="1:11" ht="14.4" x14ac:dyDescent="0.3">
      <c r="A690" s="28" t="str">
        <f>B690&amp;C690&amp;D690&amp;E690</f>
        <v>KiyimErkaklar kiyimiTermal ichki kiyimlarTermal ichki kiyimlarni to'plamlari</v>
      </c>
      <c r="B690" s="35" t="s">
        <v>3175</v>
      </c>
      <c r="C690" s="35" t="s">
        <v>3825</v>
      </c>
      <c r="D690" s="35" t="s">
        <v>3920</v>
      </c>
      <c r="E690" s="35" t="s">
        <v>3956</v>
      </c>
      <c r="F690" s="36">
        <v>0.25</v>
      </c>
      <c r="G690" s="31"/>
      <c r="H690" s="31"/>
      <c r="I690" s="31"/>
      <c r="J690" s="31"/>
      <c r="K690" s="31"/>
    </row>
    <row r="691" spans="1:11" ht="14.4" x14ac:dyDescent="0.3">
      <c r="A691" s="28" t="str">
        <f>B691&amp;C691&amp;D691&amp;E691</f>
        <v>KiyimAyollar kiyimiMaxsus kiyimlarMaxsus kiyimlar aksessuarlari</v>
      </c>
      <c r="B691" s="35" t="s">
        <v>3175</v>
      </c>
      <c r="C691" s="35" t="s">
        <v>3828</v>
      </c>
      <c r="D691" s="35" t="s">
        <v>3877</v>
      </c>
      <c r="E691" s="35" t="s">
        <v>3878</v>
      </c>
      <c r="F691" s="36">
        <v>0.25</v>
      </c>
      <c r="G691" s="31"/>
      <c r="H691" s="31"/>
      <c r="I691" s="31"/>
      <c r="J691" s="31"/>
      <c r="K691" s="31"/>
    </row>
    <row r="692" spans="1:11" ht="14.4" x14ac:dyDescent="0.3">
      <c r="A692" s="28" t="str">
        <f>B692&amp;C692&amp;D692&amp;E692</f>
        <v>KiyimAyollar kiyimiUstki kiyimPlashlar va trenchlar</v>
      </c>
      <c r="B692" s="35" t="s">
        <v>3175</v>
      </c>
      <c r="C692" s="35" t="s">
        <v>3828</v>
      </c>
      <c r="D692" s="35" t="s">
        <v>3835</v>
      </c>
      <c r="E692" s="35" t="s">
        <v>3957</v>
      </c>
      <c r="F692" s="36">
        <v>0.25</v>
      </c>
      <c r="G692" s="31"/>
      <c r="H692" s="31"/>
      <c r="I692" s="31"/>
      <c r="J692" s="31"/>
      <c r="K692" s="31"/>
    </row>
    <row r="693" spans="1:11" ht="14.4" x14ac:dyDescent="0.3">
      <c r="A693" s="28" t="str">
        <f>B693&amp;C693&amp;D693&amp;E693</f>
        <v>KiyimErkaklar kiyimiShimlarJoggerlar</v>
      </c>
      <c r="B693" s="35" t="s">
        <v>3175</v>
      </c>
      <c r="C693" s="35" t="s">
        <v>3825</v>
      </c>
      <c r="D693" s="35" t="s">
        <v>3840</v>
      </c>
      <c r="E693" s="35" t="s">
        <v>3930</v>
      </c>
      <c r="F693" s="36">
        <v>0.25</v>
      </c>
      <c r="G693" s="31"/>
      <c r="H693" s="31"/>
      <c r="I693" s="31"/>
      <c r="J693" s="31"/>
      <c r="K693" s="31"/>
    </row>
    <row r="694" spans="1:11" ht="14.4" x14ac:dyDescent="0.3">
      <c r="A694" s="28" t="str">
        <f>B694&amp;C694&amp;D694&amp;E694</f>
        <v>KiyimErkaklar kiyimiErkaklar uchun diniy kiyimErkaklar uchun diniy kiyim</v>
      </c>
      <c r="B694" s="35" t="s">
        <v>3175</v>
      </c>
      <c r="C694" s="35" t="s">
        <v>3825</v>
      </c>
      <c r="D694" s="35" t="s">
        <v>3958</v>
      </c>
      <c r="E694" s="35" t="s">
        <v>3958</v>
      </c>
      <c r="F694" s="36">
        <v>0.25</v>
      </c>
      <c r="G694" s="31"/>
      <c r="H694" s="31"/>
      <c r="I694" s="31"/>
      <c r="J694" s="31"/>
      <c r="K694" s="31"/>
    </row>
    <row r="695" spans="1:11" ht="14.4" x14ac:dyDescent="0.3">
      <c r="A695" s="28" t="str">
        <f>B695&amp;C695&amp;D695&amp;E695</f>
        <v>KiyimAyollar kiyimiKatta o'lchamli kiyimlarFutbolkalar</v>
      </c>
      <c r="B695" s="35" t="s">
        <v>3175</v>
      </c>
      <c r="C695" s="35" t="s">
        <v>3828</v>
      </c>
      <c r="D695" s="35" t="s">
        <v>3833</v>
      </c>
      <c r="E695" s="35" t="s">
        <v>3959</v>
      </c>
      <c r="F695" s="36">
        <v>0.25</v>
      </c>
      <c r="G695" s="31"/>
      <c r="H695" s="31"/>
      <c r="I695" s="31"/>
      <c r="J695" s="31"/>
      <c r="K695" s="31"/>
    </row>
    <row r="696" spans="1:11" ht="14.4" x14ac:dyDescent="0.3">
      <c r="A696" s="28" t="str">
        <f>B696&amp;C696&amp;D696&amp;E696</f>
        <v>KiyimAyollar kiyimiIchki kiyimBodi</v>
      </c>
      <c r="B696" s="35" t="s">
        <v>3175</v>
      </c>
      <c r="C696" s="35" t="s">
        <v>3828</v>
      </c>
      <c r="D696" s="35" t="s">
        <v>3863</v>
      </c>
      <c r="E696" s="35" t="s">
        <v>3914</v>
      </c>
      <c r="F696" s="36">
        <v>0.25</v>
      </c>
      <c r="G696" s="31"/>
      <c r="H696" s="31"/>
      <c r="I696" s="31"/>
      <c r="J696" s="31"/>
      <c r="K696" s="31"/>
    </row>
    <row r="697" spans="1:11" ht="14.4" x14ac:dyDescent="0.3">
      <c r="A697" s="28" t="str">
        <f>B697&amp;C697&amp;D697&amp;E697</f>
        <v>KiyimAyollar kiyimiPaypoqlar, kolgotkilar va chulkilarChulkilar</v>
      </c>
      <c r="B697" s="35" t="s">
        <v>3175</v>
      </c>
      <c r="C697" s="35" t="s">
        <v>3828</v>
      </c>
      <c r="D697" s="35" t="s">
        <v>3889</v>
      </c>
      <c r="E697" s="35" t="s">
        <v>3960</v>
      </c>
      <c r="F697" s="36">
        <v>0.25</v>
      </c>
      <c r="G697" s="31"/>
      <c r="H697" s="31"/>
      <c r="I697" s="31"/>
      <c r="J697" s="31"/>
      <c r="K697" s="31"/>
    </row>
    <row r="698" spans="1:11" ht="14.4" x14ac:dyDescent="0.3">
      <c r="A698" s="28" t="str">
        <f>B698&amp;C698&amp;D698&amp;E698</f>
        <v>KiyimAyollar kiyimiJinsilarJeggingslar</v>
      </c>
      <c r="B698" s="35" t="s">
        <v>3175</v>
      </c>
      <c r="C698" s="35" t="s">
        <v>3828</v>
      </c>
      <c r="D698" s="35" t="s">
        <v>3837</v>
      </c>
      <c r="E698" s="35" t="s">
        <v>3961</v>
      </c>
      <c r="F698" s="36">
        <v>0.25</v>
      </c>
      <c r="G698" s="31"/>
      <c r="H698" s="31"/>
      <c r="I698" s="31"/>
      <c r="J698" s="31"/>
      <c r="K698" s="31"/>
    </row>
    <row r="699" spans="1:11" ht="14.4" x14ac:dyDescent="0.3">
      <c r="A699" s="28" t="str">
        <f>B699&amp;C699&amp;D699&amp;E699</f>
        <v>KiyimErkaklar kiyimiSport kiyimlariSport shortilari</v>
      </c>
      <c r="B699" s="35" t="s">
        <v>3175</v>
      </c>
      <c r="C699" s="35" t="s">
        <v>3825</v>
      </c>
      <c r="D699" s="35" t="s">
        <v>3849</v>
      </c>
      <c r="E699" s="35" t="s">
        <v>3962</v>
      </c>
      <c r="F699" s="36">
        <v>0.25</v>
      </c>
      <c r="G699" s="31"/>
      <c r="H699" s="31"/>
      <c r="I699" s="31"/>
      <c r="J699" s="31"/>
      <c r="K699" s="31"/>
    </row>
    <row r="700" spans="1:11" ht="14.4" x14ac:dyDescent="0.3">
      <c r="A700" s="28" t="str">
        <f>B700&amp;C700&amp;D700&amp;E700</f>
        <v>KiyimErkaklar kiyimiJinsilarTekis jinsilar</v>
      </c>
      <c r="B700" s="35" t="s">
        <v>3175</v>
      </c>
      <c r="C700" s="35" t="s">
        <v>3825</v>
      </c>
      <c r="D700" s="35" t="s">
        <v>3837</v>
      </c>
      <c r="E700" s="35" t="s">
        <v>3963</v>
      </c>
      <c r="F700" s="36">
        <v>0.25</v>
      </c>
      <c r="G700" s="31"/>
      <c r="H700" s="31"/>
      <c r="I700" s="31"/>
      <c r="J700" s="31"/>
      <c r="K700" s="31"/>
    </row>
    <row r="701" spans="1:11" ht="14.4" x14ac:dyDescent="0.3">
      <c r="A701" s="28" t="str">
        <f>B701&amp;C701&amp;D701&amp;E701</f>
        <v>KiyimErkaklar kiyimiSport kiyimlariSport paypoqlari va golfilari</v>
      </c>
      <c r="B701" s="35" t="s">
        <v>3175</v>
      </c>
      <c r="C701" s="35" t="s">
        <v>3825</v>
      </c>
      <c r="D701" s="35" t="s">
        <v>3849</v>
      </c>
      <c r="E701" s="35" t="s">
        <v>3964</v>
      </c>
      <c r="F701" s="36">
        <v>0.25</v>
      </c>
      <c r="G701" s="31"/>
      <c r="H701" s="31"/>
      <c r="I701" s="31"/>
      <c r="J701" s="31"/>
      <c r="K701" s="31"/>
    </row>
    <row r="702" spans="1:11" ht="14.4" x14ac:dyDescent="0.3">
      <c r="A702" s="28" t="str">
        <f>B702&amp;C702&amp;D702&amp;E702</f>
        <v>KiyimErkaklar kiyimiPaypoqlar va getrlarGolflar va getrlar</v>
      </c>
      <c r="B702" s="35" t="s">
        <v>3175</v>
      </c>
      <c r="C702" s="35" t="s">
        <v>3825</v>
      </c>
      <c r="D702" s="35" t="s">
        <v>3826</v>
      </c>
      <c r="E702" s="35" t="s">
        <v>3890</v>
      </c>
      <c r="F702" s="36">
        <v>0.25</v>
      </c>
      <c r="G702" s="31"/>
      <c r="H702" s="31"/>
      <c r="I702" s="31"/>
      <c r="J702" s="31"/>
      <c r="K702" s="31"/>
    </row>
    <row r="703" spans="1:11" ht="14.4" x14ac:dyDescent="0.3">
      <c r="A703" s="28" t="str">
        <f>B703&amp;C703&amp;D703&amp;E703</f>
        <v>KiyimAyollar kiyimiUstki kiyimParklar</v>
      </c>
      <c r="B703" s="35" t="s">
        <v>3175</v>
      </c>
      <c r="C703" s="35" t="s">
        <v>3828</v>
      </c>
      <c r="D703" s="35" t="s">
        <v>3835</v>
      </c>
      <c r="E703" s="35" t="s">
        <v>3965</v>
      </c>
      <c r="F703" s="36">
        <v>0.25</v>
      </c>
      <c r="G703" s="31"/>
      <c r="H703" s="31"/>
      <c r="I703" s="31"/>
      <c r="J703" s="31"/>
      <c r="K703" s="31"/>
    </row>
    <row r="704" spans="1:11" ht="14.4" x14ac:dyDescent="0.3">
      <c r="A704" s="28" t="str">
        <f>B704&amp;C704&amp;D704&amp;E704</f>
        <v>KiyimErkaklar kiyimiShortilarJinsi shortilar</v>
      </c>
      <c r="B704" s="35" t="s">
        <v>3175</v>
      </c>
      <c r="C704" s="35" t="s">
        <v>3825</v>
      </c>
      <c r="D704" s="35" t="s">
        <v>3845</v>
      </c>
      <c r="E704" s="35" t="s">
        <v>3868</v>
      </c>
      <c r="F704" s="36">
        <v>0.25</v>
      </c>
      <c r="G704" s="31"/>
      <c r="H704" s="31"/>
      <c r="I704" s="31"/>
      <c r="J704" s="31"/>
      <c r="K704" s="31"/>
    </row>
    <row r="705" spans="1:11" ht="14.4" x14ac:dyDescent="0.3">
      <c r="A705" s="28" t="str">
        <f>B705&amp;C705&amp;D705&amp;E705</f>
        <v>KiyimAyollar kiyimiMaxsus kiyimlarSuv oʻtkazmaydigan kiyim</v>
      </c>
      <c r="B705" s="35" t="s">
        <v>3175</v>
      </c>
      <c r="C705" s="35" t="s">
        <v>3828</v>
      </c>
      <c r="D705" s="35" t="s">
        <v>3877</v>
      </c>
      <c r="E705" s="35" t="s">
        <v>3899</v>
      </c>
      <c r="F705" s="36">
        <v>0.25</v>
      </c>
      <c r="G705" s="31"/>
      <c r="H705" s="31"/>
      <c r="I705" s="31"/>
      <c r="J705" s="31"/>
      <c r="K705" s="31"/>
    </row>
    <row r="706" spans="1:11" ht="14.4" x14ac:dyDescent="0.3">
      <c r="A706" s="28" t="str">
        <f>B706&amp;C706&amp;D706&amp;E706</f>
        <v>KiyimErkaklar kiyimiMaxsus kiyimlarIshchilar uchun maxsus kiyim</v>
      </c>
      <c r="B706" s="35" t="s">
        <v>3175</v>
      </c>
      <c r="C706" s="35" t="s">
        <v>3825</v>
      </c>
      <c r="D706" s="35" t="s">
        <v>3877</v>
      </c>
      <c r="E706" s="35" t="s">
        <v>3966</v>
      </c>
      <c r="F706" s="36">
        <v>0.25</v>
      </c>
      <c r="G706" s="31"/>
      <c r="H706" s="31"/>
      <c r="I706" s="31"/>
      <c r="J706" s="31"/>
      <c r="K706" s="31"/>
    </row>
    <row r="707" spans="1:11" ht="14.4" x14ac:dyDescent="0.3">
      <c r="A707" s="28" t="str">
        <f>B707&amp;C707&amp;D707&amp;E707</f>
        <v>KiyimAyollar kiyimiXudi va svitshotlarTolstovkalar</v>
      </c>
      <c r="B707" s="35" t="s">
        <v>3175</v>
      </c>
      <c r="C707" s="35" t="s">
        <v>3828</v>
      </c>
      <c r="D707" s="35" t="s">
        <v>3880</v>
      </c>
      <c r="E707" s="35" t="s">
        <v>3967</v>
      </c>
      <c r="F707" s="36">
        <v>0.25</v>
      </c>
      <c r="G707" s="31"/>
      <c r="H707" s="31"/>
      <c r="I707" s="31"/>
      <c r="J707" s="31"/>
      <c r="K707" s="31"/>
    </row>
    <row r="708" spans="1:11" ht="14.4" x14ac:dyDescent="0.3">
      <c r="A708" s="28" t="str">
        <f>B708&amp;C708&amp;D708&amp;E708</f>
        <v>KiyimAyollar kiyimiUy kiyimiUy uchun toʻplamlar</v>
      </c>
      <c r="B708" s="35" t="s">
        <v>3175</v>
      </c>
      <c r="C708" s="35" t="s">
        <v>3828</v>
      </c>
      <c r="D708" s="35" t="s">
        <v>3847</v>
      </c>
      <c r="E708" s="35" t="s">
        <v>3968</v>
      </c>
      <c r="F708" s="36">
        <v>0.25</v>
      </c>
      <c r="G708" s="31"/>
      <c r="H708" s="31"/>
      <c r="I708" s="31"/>
      <c r="J708" s="31"/>
      <c r="K708" s="31"/>
    </row>
    <row r="709" spans="1:11" ht="14.4" x14ac:dyDescent="0.3">
      <c r="A709" s="28" t="str">
        <f>B709&amp;C709&amp;D709&amp;E709</f>
        <v>KiyimAyollar kiyimiPidjaklar va kostyumlarBolero</v>
      </c>
      <c r="B709" s="35" t="s">
        <v>3175</v>
      </c>
      <c r="C709" s="35" t="s">
        <v>3828</v>
      </c>
      <c r="D709" s="35" t="s">
        <v>3853</v>
      </c>
      <c r="E709" s="35" t="s">
        <v>3969</v>
      </c>
      <c r="F709" s="36">
        <v>0.25</v>
      </c>
      <c r="G709" s="31"/>
      <c r="H709" s="31"/>
      <c r="I709" s="31"/>
      <c r="J709" s="31"/>
      <c r="K709" s="31"/>
    </row>
    <row r="710" spans="1:11" ht="14.4" x14ac:dyDescent="0.3">
      <c r="A710" s="28" t="str">
        <f>B710&amp;C710&amp;D710&amp;E710</f>
        <v>KiyimErkaklar kiyimiShortilarKundalik shortilar</v>
      </c>
      <c r="B710" s="35" t="s">
        <v>3175</v>
      </c>
      <c r="C710" s="35" t="s">
        <v>3825</v>
      </c>
      <c r="D710" s="35" t="s">
        <v>3845</v>
      </c>
      <c r="E710" s="35" t="s">
        <v>3970</v>
      </c>
      <c r="F710" s="36">
        <v>0.25</v>
      </c>
      <c r="G710" s="31"/>
      <c r="H710" s="31"/>
      <c r="I710" s="31"/>
      <c r="J710" s="31"/>
      <c r="K710" s="31"/>
    </row>
    <row r="711" spans="1:11" ht="14.4" x14ac:dyDescent="0.3">
      <c r="A711" s="28" t="str">
        <f>B711&amp;C711&amp;D711&amp;E711</f>
        <v>KiyimErkaklar kiyimiSport kiyimlariSport futbolkalari va longslivlar</v>
      </c>
      <c r="B711" s="35" t="s">
        <v>3175</v>
      </c>
      <c r="C711" s="35" t="s">
        <v>3825</v>
      </c>
      <c r="D711" s="35" t="s">
        <v>3849</v>
      </c>
      <c r="E711" s="35" t="s">
        <v>3971</v>
      </c>
      <c r="F711" s="36">
        <v>0.25</v>
      </c>
      <c r="G711" s="31"/>
      <c r="H711" s="31"/>
      <c r="I711" s="31"/>
      <c r="J711" s="31"/>
      <c r="K711" s="31"/>
    </row>
    <row r="712" spans="1:11" ht="14.4" x14ac:dyDescent="0.3">
      <c r="A712" s="28" t="str">
        <f>B712&amp;C712&amp;D712&amp;E712</f>
        <v>KiyimAyollar kiyimiJinsilarBoyfriend jinsi shimlari</v>
      </c>
      <c r="B712" s="35" t="s">
        <v>3175</v>
      </c>
      <c r="C712" s="35" t="s">
        <v>3828</v>
      </c>
      <c r="D712" s="35" t="s">
        <v>3837</v>
      </c>
      <c r="E712" s="35" t="s">
        <v>3972</v>
      </c>
      <c r="F712" s="36">
        <v>0.25</v>
      </c>
      <c r="G712" s="31"/>
      <c r="H712" s="31"/>
      <c r="I712" s="31"/>
      <c r="J712" s="31"/>
      <c r="K712" s="31"/>
    </row>
    <row r="713" spans="1:11" ht="14.4" x14ac:dyDescent="0.3">
      <c r="A713" s="28" t="str">
        <f>B713&amp;C713&amp;D713&amp;E713</f>
        <v>KiyimErkaklar kiyimiUy kiyimiUy uchun xalatlar</v>
      </c>
      <c r="B713" s="35" t="s">
        <v>3175</v>
      </c>
      <c r="C713" s="35" t="s">
        <v>3825</v>
      </c>
      <c r="D713" s="35" t="s">
        <v>3847</v>
      </c>
      <c r="E713" s="35" t="s">
        <v>3973</v>
      </c>
      <c r="F713" s="36">
        <v>0.25</v>
      </c>
      <c r="G713" s="31"/>
      <c r="H713" s="31"/>
      <c r="I713" s="31"/>
      <c r="J713" s="31"/>
      <c r="K713" s="31"/>
    </row>
    <row r="714" spans="1:11" ht="14.4" x14ac:dyDescent="0.3">
      <c r="A714" s="28" t="str">
        <f>B714&amp;C714&amp;D714&amp;E714</f>
        <v>KiyimAyollar kiyimiIchki kiyimMaykalar va ichki kiyimli toplar</v>
      </c>
      <c r="B714" s="35" t="s">
        <v>3175</v>
      </c>
      <c r="C714" s="35" t="s">
        <v>3828</v>
      </c>
      <c r="D714" s="35" t="s">
        <v>3863</v>
      </c>
      <c r="E714" s="35" t="s">
        <v>3974</v>
      </c>
      <c r="F714" s="36">
        <v>0.25</v>
      </c>
      <c r="G714" s="31"/>
      <c r="H714" s="31"/>
      <c r="I714" s="31"/>
      <c r="J714" s="31"/>
      <c r="K714" s="31"/>
    </row>
    <row r="715" spans="1:11" ht="14.4" x14ac:dyDescent="0.3">
      <c r="A715" s="28" t="str">
        <f>B715&amp;C715&amp;D715&amp;E715</f>
        <v>KiyimAyollar kiyimiSport kiyimlariSport shimlari</v>
      </c>
      <c r="B715" s="35" t="s">
        <v>3175</v>
      </c>
      <c r="C715" s="35" t="s">
        <v>3828</v>
      </c>
      <c r="D715" s="35" t="s">
        <v>3849</v>
      </c>
      <c r="E715" s="35" t="s">
        <v>3975</v>
      </c>
      <c r="F715" s="36">
        <v>0.25</v>
      </c>
      <c r="G715" s="31"/>
      <c r="H715" s="31"/>
      <c r="I715" s="31"/>
      <c r="J715" s="31"/>
      <c r="K715" s="31"/>
    </row>
    <row r="716" spans="1:11" ht="14.4" x14ac:dyDescent="0.3">
      <c r="A716" s="28" t="str">
        <f>B716&amp;C716&amp;D716&amp;E716</f>
        <v>KiyimErkaklar kiyimiIchki kiyimlarTrusiklar</v>
      </c>
      <c r="B716" s="35" t="s">
        <v>3175</v>
      </c>
      <c r="C716" s="35" t="s">
        <v>3825</v>
      </c>
      <c r="D716" s="35" t="s">
        <v>3976</v>
      </c>
      <c r="E716" s="35" t="s">
        <v>3864</v>
      </c>
      <c r="F716" s="36">
        <v>0.25</v>
      </c>
      <c r="G716" s="31"/>
      <c r="H716" s="31"/>
      <c r="I716" s="31"/>
      <c r="J716" s="31"/>
      <c r="K716" s="31"/>
    </row>
    <row r="717" spans="1:11" ht="14.4" x14ac:dyDescent="0.3">
      <c r="A717" s="28" t="str">
        <f>B717&amp;C717&amp;D717&amp;E717</f>
        <v>KiyimErkaklar kiyimiUstki kiyimTeridan bo'lgan matodan kurtkalar</v>
      </c>
      <c r="B717" s="35" t="s">
        <v>3175</v>
      </c>
      <c r="C717" s="35" t="s">
        <v>3825</v>
      </c>
      <c r="D717" s="35" t="s">
        <v>3835</v>
      </c>
      <c r="E717" s="35" t="s">
        <v>3977</v>
      </c>
      <c r="F717" s="36">
        <v>0.25</v>
      </c>
      <c r="G717" s="31"/>
      <c r="H717" s="31"/>
      <c r="I717" s="31"/>
      <c r="J717" s="31"/>
      <c r="K717" s="31"/>
    </row>
    <row r="718" spans="1:11" ht="14.4" x14ac:dyDescent="0.3">
      <c r="A718" s="28" t="str">
        <f>B718&amp;C718&amp;D718&amp;E718</f>
        <v>KiyimAyollar kiyimiTop va maykalarKeng bichimli toplar</v>
      </c>
      <c r="B718" s="35" t="s">
        <v>3175</v>
      </c>
      <c r="C718" s="35" t="s">
        <v>3828</v>
      </c>
      <c r="D718" s="35" t="s">
        <v>3834</v>
      </c>
      <c r="E718" s="35" t="s">
        <v>3978</v>
      </c>
      <c r="F718" s="36">
        <v>0.25</v>
      </c>
      <c r="G718" s="31"/>
      <c r="H718" s="31"/>
      <c r="I718" s="31"/>
      <c r="J718" s="31"/>
      <c r="K718" s="31"/>
    </row>
    <row r="719" spans="1:11" ht="14.4" x14ac:dyDescent="0.3">
      <c r="A719" s="28" t="str">
        <f>B719&amp;C719&amp;D719&amp;E719</f>
        <v>KiyimAyollar kiyimiJinsilarMom-jinsi shimlari</v>
      </c>
      <c r="B719" s="35" t="s">
        <v>3175</v>
      </c>
      <c r="C719" s="35" t="s">
        <v>3828</v>
      </c>
      <c r="D719" s="35" t="s">
        <v>3837</v>
      </c>
      <c r="E719" s="35" t="s">
        <v>3979</v>
      </c>
      <c r="F719" s="36">
        <v>0.25</v>
      </c>
      <c r="G719" s="31"/>
      <c r="H719" s="31"/>
      <c r="I719" s="31"/>
      <c r="J719" s="31"/>
      <c r="K719" s="31"/>
    </row>
    <row r="720" spans="1:11" ht="14.4" x14ac:dyDescent="0.3">
      <c r="A720" s="28" t="str">
        <f>B720&amp;C720&amp;D720&amp;E720</f>
        <v>KiyimErkaklar kiyimiXudi va svitshotlarOlimpiykalar</v>
      </c>
      <c r="B720" s="35" t="s">
        <v>3175</v>
      </c>
      <c r="C720" s="35" t="s">
        <v>3825</v>
      </c>
      <c r="D720" s="35" t="s">
        <v>3880</v>
      </c>
      <c r="E720" s="35" t="s">
        <v>3980</v>
      </c>
      <c r="F720" s="36">
        <v>0.25</v>
      </c>
      <c r="G720" s="31"/>
      <c r="H720" s="31"/>
      <c r="I720" s="31"/>
      <c r="J720" s="31"/>
      <c r="K720" s="31"/>
    </row>
    <row r="721" spans="1:11" ht="14.4" x14ac:dyDescent="0.3">
      <c r="A721" s="28" t="str">
        <f>B721&amp;C721&amp;D721&amp;E721</f>
        <v>KiyimAyollar kiyimiLiboslar va sarafanlarLibos-pidjaklar</v>
      </c>
      <c r="B721" s="35" t="s">
        <v>3175</v>
      </c>
      <c r="C721" s="35" t="s">
        <v>3828</v>
      </c>
      <c r="D721" s="35" t="s">
        <v>3829</v>
      </c>
      <c r="E721" s="35" t="s">
        <v>3981</v>
      </c>
      <c r="F721" s="36">
        <v>0.25</v>
      </c>
      <c r="G721" s="31"/>
      <c r="H721" s="31"/>
      <c r="I721" s="31"/>
      <c r="J721" s="31"/>
      <c r="K721" s="31"/>
    </row>
    <row r="722" spans="1:11" ht="14.4" x14ac:dyDescent="0.3">
      <c r="A722" s="28" t="str">
        <f>B722&amp;C722&amp;D722&amp;E722</f>
        <v>KiyimAyollar kiyimiKatta o'lchamli kiyimlarXudi va svitshotlar</v>
      </c>
      <c r="B722" s="35" t="s">
        <v>3175</v>
      </c>
      <c r="C722" s="35" t="s">
        <v>3828</v>
      </c>
      <c r="D722" s="35" t="s">
        <v>3833</v>
      </c>
      <c r="E722" s="35" t="s">
        <v>3880</v>
      </c>
      <c r="F722" s="36">
        <v>0.25</v>
      </c>
      <c r="G722" s="31"/>
      <c r="H722" s="31"/>
      <c r="I722" s="31"/>
      <c r="J722" s="31"/>
      <c r="K722" s="31"/>
    </row>
    <row r="723" spans="1:11" ht="14.4" x14ac:dyDescent="0.3">
      <c r="A723" s="28" t="str">
        <f>B723&amp;C723&amp;D723&amp;E723</f>
        <v>KiyimErkaklar kiyimiKatta o'lchamli kiyimlarJemperlar, sviterlar va kardiganlar</v>
      </c>
      <c r="B723" s="35" t="s">
        <v>3175</v>
      </c>
      <c r="C723" s="35" t="s">
        <v>3825</v>
      </c>
      <c r="D723" s="35" t="s">
        <v>3833</v>
      </c>
      <c r="E723" s="35" t="s">
        <v>3859</v>
      </c>
      <c r="F723" s="36">
        <v>0.25</v>
      </c>
      <c r="G723" s="31"/>
      <c r="H723" s="31"/>
      <c r="I723" s="31"/>
      <c r="J723" s="31"/>
      <c r="K723" s="31"/>
    </row>
    <row r="724" spans="1:11" ht="14.4" x14ac:dyDescent="0.3">
      <c r="A724" s="28" t="str">
        <f>B724&amp;C724&amp;D724&amp;E724</f>
        <v>KiyimAyollar kiyimiHomiladorlar uchun kiyimlarLiboslar</v>
      </c>
      <c r="B724" s="35" t="s">
        <v>3175</v>
      </c>
      <c r="C724" s="35" t="s">
        <v>3828</v>
      </c>
      <c r="D724" s="35" t="s">
        <v>3907</v>
      </c>
      <c r="E724" s="35" t="s">
        <v>3982</v>
      </c>
      <c r="F724" s="36">
        <v>0.25</v>
      </c>
      <c r="G724" s="31"/>
      <c r="H724" s="31"/>
      <c r="I724" s="31"/>
      <c r="J724" s="31"/>
      <c r="K724" s="31"/>
    </row>
    <row r="725" spans="1:11" ht="14.4" x14ac:dyDescent="0.3">
      <c r="A725" s="28" t="str">
        <f>B725&amp;C725&amp;D725&amp;E725</f>
        <v>KiyimErkaklar kiyimiShimlarHar kunlik shimlar</v>
      </c>
      <c r="B725" s="35" t="s">
        <v>3175</v>
      </c>
      <c r="C725" s="35" t="s">
        <v>3825</v>
      </c>
      <c r="D725" s="35" t="s">
        <v>3840</v>
      </c>
      <c r="E725" s="35" t="s">
        <v>3942</v>
      </c>
      <c r="F725" s="36">
        <v>0.25</v>
      </c>
      <c r="G725" s="31"/>
      <c r="H725" s="31"/>
      <c r="I725" s="31"/>
      <c r="J725" s="31"/>
      <c r="K725" s="31"/>
    </row>
    <row r="726" spans="1:11" ht="14.4" x14ac:dyDescent="0.3">
      <c r="A726" s="28" t="str">
        <f>B726&amp;C726&amp;D726&amp;E726</f>
        <v>KiyimAyollar kiyimiXudi va svitshotlarXudilar</v>
      </c>
      <c r="B726" s="35" t="s">
        <v>3175</v>
      </c>
      <c r="C726" s="35" t="s">
        <v>3828</v>
      </c>
      <c r="D726" s="35" t="s">
        <v>3880</v>
      </c>
      <c r="E726" s="35" t="s">
        <v>3983</v>
      </c>
      <c r="F726" s="36">
        <v>0.25</v>
      </c>
      <c r="G726" s="31"/>
      <c r="H726" s="31"/>
      <c r="I726" s="31"/>
      <c r="J726" s="31"/>
      <c r="K726" s="31"/>
    </row>
    <row r="727" spans="1:11" ht="14.4" x14ac:dyDescent="0.3">
      <c r="A727" s="28" t="str">
        <f>B727&amp;C727&amp;D727&amp;E727</f>
        <v>KiyimAyollar kiyimiUy kiyimiUy uchun liboslar va tunikalar</v>
      </c>
      <c r="B727" s="35" t="s">
        <v>3175</v>
      </c>
      <c r="C727" s="35" t="s">
        <v>3828</v>
      </c>
      <c r="D727" s="35" t="s">
        <v>3847</v>
      </c>
      <c r="E727" s="35" t="s">
        <v>3984</v>
      </c>
      <c r="F727" s="36">
        <v>0.25</v>
      </c>
      <c r="G727" s="31"/>
      <c r="H727" s="31"/>
      <c r="I727" s="31"/>
      <c r="J727" s="31"/>
      <c r="K727" s="31"/>
    </row>
    <row r="728" spans="1:11" ht="14.4" x14ac:dyDescent="0.3">
      <c r="A728" s="28" t="str">
        <f>B728&amp;C728&amp;D728&amp;E728</f>
        <v>KiyimAyollar kiyimiHomiladorlar uchun kiyimlarBluzkalar va rubashkalar</v>
      </c>
      <c r="B728" s="35" t="s">
        <v>3175</v>
      </c>
      <c r="C728" s="35" t="s">
        <v>3828</v>
      </c>
      <c r="D728" s="35" t="s">
        <v>3907</v>
      </c>
      <c r="E728" s="35" t="s">
        <v>3831</v>
      </c>
      <c r="F728" s="36">
        <v>0.25</v>
      </c>
      <c r="G728" s="31"/>
      <c r="H728" s="31"/>
      <c r="I728" s="31"/>
      <c r="J728" s="31"/>
      <c r="K728" s="31"/>
    </row>
    <row r="729" spans="1:11" ht="14.4" x14ac:dyDescent="0.3">
      <c r="A729" s="28" t="str">
        <f>B729&amp;C729&amp;D729&amp;E729</f>
        <v>KiyimAyollar kiyimiBluzkalar va rubashkalarRubashkalar</v>
      </c>
      <c r="B729" s="35" t="s">
        <v>3175</v>
      </c>
      <c r="C729" s="35" t="s">
        <v>3828</v>
      </c>
      <c r="D729" s="35" t="s">
        <v>3831</v>
      </c>
      <c r="E729" s="35" t="s">
        <v>3985</v>
      </c>
      <c r="F729" s="36">
        <v>0.25</v>
      </c>
      <c r="G729" s="31"/>
      <c r="H729" s="31"/>
      <c r="I729" s="31"/>
      <c r="J729" s="31"/>
      <c r="K729" s="31"/>
    </row>
    <row r="730" spans="1:11" ht="14.4" x14ac:dyDescent="0.3">
      <c r="A730" s="28" t="str">
        <f>B730&amp;C730&amp;D730&amp;E730</f>
        <v>KiyimErkaklar kiyimiXudi va svitshotlarTolstovkalar</v>
      </c>
      <c r="B730" s="35" t="s">
        <v>3175</v>
      </c>
      <c r="C730" s="35" t="s">
        <v>3825</v>
      </c>
      <c r="D730" s="35" t="s">
        <v>3880</v>
      </c>
      <c r="E730" s="35" t="s">
        <v>3967</v>
      </c>
      <c r="F730" s="36">
        <v>0.25</v>
      </c>
      <c r="G730" s="31"/>
      <c r="H730" s="31"/>
      <c r="I730" s="31"/>
      <c r="J730" s="31"/>
      <c r="K730" s="31"/>
    </row>
    <row r="731" spans="1:11" ht="14.4" x14ac:dyDescent="0.3">
      <c r="A731" s="28" t="str">
        <f>B731&amp;C731&amp;D731&amp;E731</f>
        <v>KiyimErkaklar kiyimiKatta o'lchamli kiyimlarMaykalar</v>
      </c>
      <c r="B731" s="35" t="s">
        <v>3175</v>
      </c>
      <c r="C731" s="35" t="s">
        <v>3825</v>
      </c>
      <c r="D731" s="35" t="s">
        <v>3833</v>
      </c>
      <c r="E731" s="35" t="s">
        <v>3986</v>
      </c>
      <c r="F731" s="36">
        <v>0.25</v>
      </c>
      <c r="G731" s="31"/>
      <c r="H731" s="31"/>
      <c r="I731" s="31"/>
      <c r="J731" s="31"/>
      <c r="K731" s="31"/>
    </row>
    <row r="732" spans="1:11" ht="14.4" x14ac:dyDescent="0.3">
      <c r="A732" s="28" t="str">
        <f>B732&amp;C732&amp;D732&amp;E732</f>
        <v>KiyimAyollar kiyimiSport kiyimlariSport paypoqlari va golfilari</v>
      </c>
      <c r="B732" s="35" t="s">
        <v>3175</v>
      </c>
      <c r="C732" s="35" t="s">
        <v>3828</v>
      </c>
      <c r="D732" s="35" t="s">
        <v>3849</v>
      </c>
      <c r="E732" s="35" t="s">
        <v>3964</v>
      </c>
      <c r="F732" s="36">
        <v>0.25</v>
      </c>
      <c r="G732" s="31"/>
      <c r="H732" s="31"/>
      <c r="I732" s="31"/>
      <c r="J732" s="31"/>
      <c r="K732" s="32"/>
    </row>
    <row r="733" spans="1:11" ht="14.4" x14ac:dyDescent="0.3">
      <c r="A733" s="28" t="str">
        <f>B733&amp;C733&amp;D733&amp;E733</f>
        <v>KiyimAyollar kiyimiIchki kiyimKapron paypoqlar uchun bogʻichlar va poyaslar</v>
      </c>
      <c r="B733" s="35" t="s">
        <v>3175</v>
      </c>
      <c r="C733" s="35" t="s">
        <v>3828</v>
      </c>
      <c r="D733" s="35" t="s">
        <v>3863</v>
      </c>
      <c r="E733" s="35" t="s">
        <v>3987</v>
      </c>
      <c r="F733" s="36">
        <v>0.25</v>
      </c>
      <c r="G733" s="31"/>
      <c r="H733" s="31"/>
      <c r="I733" s="31"/>
      <c r="J733" s="31"/>
      <c r="K733" s="33"/>
    </row>
    <row r="734" spans="1:11" ht="14.4" x14ac:dyDescent="0.3">
      <c r="A734" s="28" t="str">
        <f>B734&amp;C734&amp;D734&amp;E734</f>
        <v>KiyimErkaklar kiyimiUstki kiyimPlashlar va trenchlar</v>
      </c>
      <c r="B734" s="35" t="s">
        <v>3175</v>
      </c>
      <c r="C734" s="35" t="s">
        <v>3825</v>
      </c>
      <c r="D734" s="35" t="s">
        <v>3835</v>
      </c>
      <c r="E734" s="35" t="s">
        <v>3957</v>
      </c>
      <c r="F734" s="36">
        <v>0.25</v>
      </c>
      <c r="G734" s="31"/>
      <c r="H734" s="31"/>
      <c r="I734" s="31"/>
      <c r="J734" s="31"/>
      <c r="K734" s="31"/>
    </row>
    <row r="735" spans="1:11" ht="14.4" x14ac:dyDescent="0.3">
      <c r="A735" s="28" t="str">
        <f>B735&amp;C735&amp;D735&amp;E735</f>
        <v>KiyimAyollar kiyimiJemperlar, sviterlar va kardiganlarSviterlar</v>
      </c>
      <c r="B735" s="35" t="s">
        <v>3175</v>
      </c>
      <c r="C735" s="35" t="s">
        <v>3828</v>
      </c>
      <c r="D735" s="35" t="s">
        <v>3859</v>
      </c>
      <c r="E735" s="35" t="s">
        <v>3860</v>
      </c>
      <c r="F735" s="36">
        <v>0.25</v>
      </c>
      <c r="G735" s="31"/>
      <c r="H735" s="31"/>
      <c r="I735" s="31"/>
      <c r="J735" s="31"/>
      <c r="K735" s="31"/>
    </row>
    <row r="736" spans="1:11" ht="14.4" x14ac:dyDescent="0.3">
      <c r="A736" s="28" t="str">
        <f>B736&amp;C736&amp;D736&amp;E736</f>
        <v>KiyimAyollar kiyimiYubkalarJinsi yubkalar</v>
      </c>
      <c r="B736" s="35" t="s">
        <v>3175</v>
      </c>
      <c r="C736" s="35" t="s">
        <v>3828</v>
      </c>
      <c r="D736" s="35" t="s">
        <v>3843</v>
      </c>
      <c r="E736" s="35" t="s">
        <v>3988</v>
      </c>
      <c r="F736" s="36">
        <v>0.25</v>
      </c>
      <c r="G736" s="31"/>
      <c r="H736" s="31"/>
      <c r="I736" s="31"/>
      <c r="J736" s="31"/>
      <c r="K736" s="31"/>
    </row>
    <row r="737" spans="1:11" ht="14.4" x14ac:dyDescent="0.3">
      <c r="A737" s="28" t="str">
        <f>B737&amp;C737&amp;D737&amp;E737</f>
        <v>KiyimAyollar kiyimiLiboslar va sarafanlarToʻy liboslari</v>
      </c>
      <c r="B737" s="35" t="s">
        <v>3175</v>
      </c>
      <c r="C737" s="35" t="s">
        <v>3828</v>
      </c>
      <c r="D737" s="35" t="s">
        <v>3829</v>
      </c>
      <c r="E737" s="35" t="s">
        <v>3989</v>
      </c>
      <c r="F737" s="36">
        <v>0.25</v>
      </c>
      <c r="G737" s="31"/>
      <c r="H737" s="31"/>
      <c r="I737" s="31"/>
      <c r="J737" s="31"/>
      <c r="K737" s="31"/>
    </row>
    <row r="738" spans="1:11" ht="14.4" x14ac:dyDescent="0.3">
      <c r="A738" s="28" t="str">
        <f>B738&amp;C738&amp;D738&amp;E738</f>
        <v>KiyimErkaklar kiyimiIchki kiyimlarKalsonlar</v>
      </c>
      <c r="B738" s="35" t="s">
        <v>3175</v>
      </c>
      <c r="C738" s="35" t="s">
        <v>3825</v>
      </c>
      <c r="D738" s="35" t="s">
        <v>3976</v>
      </c>
      <c r="E738" s="35" t="s">
        <v>3990</v>
      </c>
      <c r="F738" s="36">
        <v>0.25</v>
      </c>
      <c r="G738" s="31"/>
      <c r="H738" s="31"/>
      <c r="I738" s="31"/>
      <c r="J738" s="31"/>
      <c r="K738" s="31"/>
    </row>
    <row r="739" spans="1:11" ht="14.4" x14ac:dyDescent="0.3">
      <c r="A739" s="28" t="str">
        <f>B739&amp;C739&amp;D739&amp;E739</f>
        <v>KiyimAyollar kiyimiKatta o'lchamli kiyimlarPidjaklar va kostyumlar</v>
      </c>
      <c r="B739" s="35" t="s">
        <v>3175</v>
      </c>
      <c r="C739" s="35" t="s">
        <v>3828</v>
      </c>
      <c r="D739" s="35" t="s">
        <v>3833</v>
      </c>
      <c r="E739" s="35" t="s">
        <v>3853</v>
      </c>
      <c r="F739" s="36">
        <v>0.25</v>
      </c>
      <c r="G739" s="31"/>
      <c r="H739" s="31"/>
      <c r="I739" s="31"/>
      <c r="J739" s="31"/>
      <c r="K739" s="31"/>
    </row>
    <row r="740" spans="1:11" ht="14.4" x14ac:dyDescent="0.3">
      <c r="A740" s="28" t="str">
        <f>B740&amp;C740&amp;D740&amp;E740</f>
        <v>KiyimAyollar kiyimiTop va maykalarMaykalar</v>
      </c>
      <c r="B740" s="35" t="s">
        <v>3175</v>
      </c>
      <c r="C740" s="35" t="s">
        <v>3828</v>
      </c>
      <c r="D740" s="35" t="s">
        <v>3834</v>
      </c>
      <c r="E740" s="35" t="s">
        <v>3986</v>
      </c>
      <c r="F740" s="36">
        <v>0.25</v>
      </c>
      <c r="G740" s="31"/>
      <c r="H740" s="31"/>
      <c r="I740" s="31"/>
      <c r="J740" s="31"/>
      <c r="K740" s="31"/>
    </row>
    <row r="741" spans="1:11" ht="14.4" x14ac:dyDescent="0.3">
      <c r="A741" s="28" t="str">
        <f>B741&amp;C741&amp;D741&amp;E741</f>
        <v>KiyimErkaklar kiyimiSport kiyimlariSport shimlari</v>
      </c>
      <c r="B741" s="35" t="s">
        <v>3175</v>
      </c>
      <c r="C741" s="35" t="s">
        <v>3825</v>
      </c>
      <c r="D741" s="35" t="s">
        <v>3849</v>
      </c>
      <c r="E741" s="35" t="s">
        <v>3975</v>
      </c>
      <c r="F741" s="36">
        <v>0.25</v>
      </c>
      <c r="G741" s="31"/>
      <c r="H741" s="31"/>
      <c r="I741" s="31"/>
      <c r="J741" s="31"/>
      <c r="K741" s="31"/>
    </row>
    <row r="742" spans="1:11" ht="14.4" x14ac:dyDescent="0.3">
      <c r="A742" s="28" t="str">
        <f>B742&amp;C742&amp;D742&amp;E742</f>
        <v>KiyimErkaklar kiyimiUy kiyimiUy uchun shimlar va shortilar</v>
      </c>
      <c r="B742" s="35" t="s">
        <v>3175</v>
      </c>
      <c r="C742" s="35" t="s">
        <v>3825</v>
      </c>
      <c r="D742" s="35" t="s">
        <v>3847</v>
      </c>
      <c r="E742" s="35" t="s">
        <v>3991</v>
      </c>
      <c r="F742" s="36">
        <v>0.25</v>
      </c>
      <c r="G742" s="31"/>
      <c r="H742" s="31"/>
      <c r="I742" s="31"/>
      <c r="J742" s="31"/>
      <c r="K742" s="31"/>
    </row>
    <row r="743" spans="1:11" ht="14.4" x14ac:dyDescent="0.3">
      <c r="A743" s="28" t="str">
        <f>B743&amp;C743&amp;D743&amp;E743</f>
        <v>KiyimAyollar kiyimiLiboslar va sarafanlarSarafanlar</v>
      </c>
      <c r="B743" s="35" t="s">
        <v>3175</v>
      </c>
      <c r="C743" s="35" t="s">
        <v>3828</v>
      </c>
      <c r="D743" s="35" t="s">
        <v>3829</v>
      </c>
      <c r="E743" s="35" t="s">
        <v>3992</v>
      </c>
      <c r="F743" s="36">
        <v>0.25</v>
      </c>
      <c r="G743" s="31"/>
      <c r="H743" s="31"/>
      <c r="I743" s="31"/>
      <c r="J743" s="31"/>
      <c r="K743" s="31"/>
    </row>
    <row r="744" spans="1:11" ht="14.4" x14ac:dyDescent="0.3">
      <c r="A744" s="28" t="str">
        <f>B744&amp;C744&amp;D744&amp;E744</f>
        <v>KiyimErkaklar kiyimiShimlarToraytirilgan shimlar</v>
      </c>
      <c r="B744" s="35" t="s">
        <v>3175</v>
      </c>
      <c r="C744" s="35" t="s">
        <v>3825</v>
      </c>
      <c r="D744" s="35" t="s">
        <v>3840</v>
      </c>
      <c r="E744" s="35" t="s">
        <v>3993</v>
      </c>
      <c r="F744" s="36">
        <v>0.25</v>
      </c>
      <c r="G744" s="31"/>
      <c r="H744" s="31"/>
      <c r="I744" s="31"/>
      <c r="J744" s="31"/>
      <c r="K744" s="31"/>
    </row>
    <row r="745" spans="1:11" ht="14.4" x14ac:dyDescent="0.3">
      <c r="A745" s="28" t="str">
        <f>B745&amp;C745&amp;D745&amp;E745</f>
        <v>KiyimErkaklar kiyimiJemperlar, sviterlar va kardiganlarJiletlar</v>
      </c>
      <c r="B745" s="35" t="s">
        <v>3175</v>
      </c>
      <c r="C745" s="35" t="s">
        <v>3825</v>
      </c>
      <c r="D745" s="35" t="s">
        <v>3859</v>
      </c>
      <c r="E745" s="35" t="s">
        <v>3905</v>
      </c>
      <c r="F745" s="36">
        <v>0.25</v>
      </c>
      <c r="G745" s="31"/>
      <c r="H745" s="31"/>
      <c r="I745" s="31"/>
      <c r="J745" s="31"/>
      <c r="K745" s="31"/>
    </row>
    <row r="746" spans="1:11" ht="14.4" x14ac:dyDescent="0.3">
      <c r="A746" s="28" t="str">
        <f>B746&amp;C746&amp;D746&amp;E746</f>
        <v>KiyimAyollar kiyimiUy kiyimiTungi kiyimlar</v>
      </c>
      <c r="B746" s="35" t="s">
        <v>3175</v>
      </c>
      <c r="C746" s="35" t="s">
        <v>3828</v>
      </c>
      <c r="D746" s="35" t="s">
        <v>3847</v>
      </c>
      <c r="E746" s="35" t="s">
        <v>3994</v>
      </c>
      <c r="F746" s="36">
        <v>0.25</v>
      </c>
      <c r="G746" s="31"/>
      <c r="H746" s="31"/>
      <c r="I746" s="31"/>
      <c r="J746" s="31"/>
      <c r="K746" s="31"/>
    </row>
    <row r="747" spans="1:11" ht="14.4" x14ac:dyDescent="0.3">
      <c r="A747" s="28" t="str">
        <f>B747&amp;C747&amp;D747&amp;E747</f>
        <v>KiyimAyollar kiyimiShortilarHar kunli shortilar</v>
      </c>
      <c r="B747" s="35" t="s">
        <v>3175</v>
      </c>
      <c r="C747" s="35" t="s">
        <v>3828</v>
      </c>
      <c r="D747" s="35" t="s">
        <v>3845</v>
      </c>
      <c r="E747" s="35" t="s">
        <v>3995</v>
      </c>
      <c r="F747" s="36">
        <v>0.25</v>
      </c>
      <c r="G747" s="31"/>
      <c r="H747" s="31"/>
      <c r="I747" s="31"/>
      <c r="J747" s="31"/>
      <c r="K747" s="31"/>
    </row>
    <row r="748" spans="1:11" ht="14.4" x14ac:dyDescent="0.3">
      <c r="A748" s="28" t="str">
        <f>B748&amp;C748&amp;D748&amp;E748</f>
        <v>KiyimErkaklar kiyimiMaxsus kiyimlarOshpazlar va ofitsiantlar uchun kiyimlar</v>
      </c>
      <c r="B748" s="35" t="s">
        <v>3175</v>
      </c>
      <c r="C748" s="35" t="s">
        <v>3825</v>
      </c>
      <c r="D748" s="35" t="s">
        <v>3877</v>
      </c>
      <c r="E748" s="35" t="s">
        <v>3996</v>
      </c>
      <c r="F748" s="36">
        <v>0.25</v>
      </c>
      <c r="G748" s="31"/>
      <c r="H748" s="31"/>
      <c r="I748" s="31"/>
      <c r="J748" s="31"/>
      <c r="K748" s="31"/>
    </row>
    <row r="749" spans="1:11" ht="14.4" x14ac:dyDescent="0.3">
      <c r="A749" s="28" t="str">
        <f>B749&amp;C749&amp;D749&amp;E749</f>
        <v>KiyimAyollar kiyimiKatta o'lchamli kiyimlarBluzkalar va koʻylaklar</v>
      </c>
      <c r="B749" s="35" t="s">
        <v>3175</v>
      </c>
      <c r="C749" s="35" t="s">
        <v>3828</v>
      </c>
      <c r="D749" s="35" t="s">
        <v>3833</v>
      </c>
      <c r="E749" s="35" t="s">
        <v>3997</v>
      </c>
      <c r="F749" s="36">
        <v>0.25</v>
      </c>
      <c r="G749" s="31"/>
      <c r="H749" s="31"/>
      <c r="I749" s="31"/>
      <c r="J749" s="31"/>
      <c r="K749" s="31"/>
    </row>
    <row r="750" spans="1:11" ht="14.4" x14ac:dyDescent="0.3">
      <c r="A750" s="28" t="str">
        <f>B750&amp;C750&amp;D750&amp;E750</f>
        <v>KiyimAyollar kiyimiLiboslar va sarafanlarOqshom liboslari</v>
      </c>
      <c r="B750" s="35" t="s">
        <v>3175</v>
      </c>
      <c r="C750" s="35" t="s">
        <v>3828</v>
      </c>
      <c r="D750" s="35" t="s">
        <v>3829</v>
      </c>
      <c r="E750" s="35" t="s">
        <v>3998</v>
      </c>
      <c r="F750" s="36">
        <v>0.25</v>
      </c>
      <c r="G750" s="31"/>
      <c r="H750" s="31"/>
      <c r="I750" s="31"/>
      <c r="J750" s="31"/>
      <c r="K750" s="31"/>
    </row>
    <row r="751" spans="1:11" ht="14.4" x14ac:dyDescent="0.3">
      <c r="A751" s="28" t="str">
        <f>B751&amp;C751&amp;D751&amp;E751</f>
        <v>KiyimAyollar kiyimiLiboslar va sarafanlarSviter-liboslar</v>
      </c>
      <c r="B751" s="35" t="s">
        <v>3175</v>
      </c>
      <c r="C751" s="35" t="s">
        <v>3828</v>
      </c>
      <c r="D751" s="35" t="s">
        <v>3829</v>
      </c>
      <c r="E751" s="35" t="s">
        <v>3999</v>
      </c>
      <c r="F751" s="36">
        <v>0.25</v>
      </c>
      <c r="G751" s="31"/>
      <c r="H751" s="31"/>
      <c r="I751" s="31"/>
      <c r="J751" s="31"/>
      <c r="K751" s="31"/>
    </row>
    <row r="752" spans="1:11" ht="14.4" x14ac:dyDescent="0.3">
      <c r="A752" s="28" t="str">
        <f>B752&amp;C752&amp;D752&amp;E752</f>
        <v>KiyimErkaklar kiyimiFutbolkalar va poloFutbolkalar va polo to'plamlari</v>
      </c>
      <c r="B752" s="35" t="s">
        <v>3175</v>
      </c>
      <c r="C752" s="35" t="s">
        <v>3825</v>
      </c>
      <c r="D752" s="35" t="s">
        <v>3884</v>
      </c>
      <c r="E752" s="35" t="s">
        <v>3946</v>
      </c>
      <c r="F752" s="36">
        <v>0.25</v>
      </c>
      <c r="G752" s="31"/>
      <c r="H752" s="31"/>
      <c r="I752" s="31"/>
      <c r="J752" s="31"/>
      <c r="K752" s="31"/>
    </row>
    <row r="753" spans="1:11" ht="14.4" x14ac:dyDescent="0.3">
      <c r="A753" s="28" t="str">
        <f>B753&amp;C753&amp;D753&amp;E753</f>
        <v>KiyimErkaklar kiyimiSport kiyimlariSport maykalari</v>
      </c>
      <c r="B753" s="35" t="s">
        <v>3175</v>
      </c>
      <c r="C753" s="35" t="s">
        <v>3825</v>
      </c>
      <c r="D753" s="35" t="s">
        <v>3849</v>
      </c>
      <c r="E753" s="35" t="s">
        <v>3954</v>
      </c>
      <c r="F753" s="36">
        <v>0.25</v>
      </c>
      <c r="G753" s="31"/>
      <c r="H753" s="31"/>
      <c r="I753" s="31"/>
      <c r="J753" s="31"/>
      <c r="K753" s="31"/>
    </row>
    <row r="754" spans="1:11" ht="14.4" x14ac:dyDescent="0.3">
      <c r="A754" s="28" t="str">
        <f>B754&amp;C754&amp;D754&amp;E754</f>
        <v>KiyimAyollar kiyimiUy kiyimiUy uchun futbolkalar va longslivlar</v>
      </c>
      <c r="B754" s="35" t="s">
        <v>3175</v>
      </c>
      <c r="C754" s="35" t="s">
        <v>3828</v>
      </c>
      <c r="D754" s="35" t="s">
        <v>3847</v>
      </c>
      <c r="E754" s="35" t="s">
        <v>4000</v>
      </c>
      <c r="F754" s="36">
        <v>0.25</v>
      </c>
      <c r="G754" s="31"/>
      <c r="H754" s="31"/>
      <c r="I754" s="31"/>
      <c r="J754" s="31"/>
      <c r="K754" s="31"/>
    </row>
    <row r="755" spans="1:11" ht="14.4" x14ac:dyDescent="0.3">
      <c r="A755" s="28" t="str">
        <f>B755&amp;C755&amp;D755&amp;E755</f>
        <v>KiyimAyollar kiyimiUstki kiyimCharmdan bo'lgan kurtkalar va kosuxalar</v>
      </c>
      <c r="B755" s="35" t="s">
        <v>3175</v>
      </c>
      <c r="C755" s="35" t="s">
        <v>3828</v>
      </c>
      <c r="D755" s="35" t="s">
        <v>3835</v>
      </c>
      <c r="E755" s="35" t="s">
        <v>4001</v>
      </c>
      <c r="F755" s="36">
        <v>0.25</v>
      </c>
      <c r="G755" s="31"/>
      <c r="H755" s="31"/>
      <c r="I755" s="31"/>
      <c r="J755" s="31"/>
      <c r="K755" s="31"/>
    </row>
    <row r="756" spans="1:11" ht="14.4" x14ac:dyDescent="0.3">
      <c r="A756" s="28" t="str">
        <f>B756&amp;C756&amp;D756&amp;E756</f>
        <v>KiyimAyollar kiyimiKarnaval uchun kiyimlarKarnaval uchun kiyimlar</v>
      </c>
      <c r="B756" s="35" t="s">
        <v>3175</v>
      </c>
      <c r="C756" s="35" t="s">
        <v>3828</v>
      </c>
      <c r="D756" s="35" t="s">
        <v>4002</v>
      </c>
      <c r="E756" s="35" t="s">
        <v>4002</v>
      </c>
      <c r="F756" s="36">
        <v>0.25</v>
      </c>
      <c r="G756" s="31"/>
      <c r="H756" s="31"/>
      <c r="I756" s="31"/>
      <c r="J756" s="31"/>
      <c r="K756" s="31"/>
    </row>
    <row r="757" spans="1:11" ht="14.4" x14ac:dyDescent="0.3">
      <c r="A757" s="28" t="str">
        <f>B757&amp;C757&amp;D757&amp;E757</f>
        <v>KiyimAyollar kiyimiUy kiyimiUy uchun shimlar va shortilar</v>
      </c>
      <c r="B757" s="35" t="s">
        <v>3175</v>
      </c>
      <c r="C757" s="35" t="s">
        <v>3828</v>
      </c>
      <c r="D757" s="35" t="s">
        <v>3847</v>
      </c>
      <c r="E757" s="35" t="s">
        <v>3991</v>
      </c>
      <c r="F757" s="36">
        <v>0.25</v>
      </c>
      <c r="G757" s="31"/>
      <c r="H757" s="31"/>
      <c r="I757" s="31"/>
      <c r="J757" s="31"/>
      <c r="K757" s="31"/>
    </row>
    <row r="758" spans="1:11" ht="14.4" x14ac:dyDescent="0.3">
      <c r="A758" s="28" t="str">
        <f>B758&amp;C758&amp;D758&amp;E758</f>
        <v>KiyimErkaklar kiyimiJemperlar, sviterlar va kardiganlarKardiganlar</v>
      </c>
      <c r="B758" s="35" t="s">
        <v>3175</v>
      </c>
      <c r="C758" s="35" t="s">
        <v>3825</v>
      </c>
      <c r="D758" s="35" t="s">
        <v>3859</v>
      </c>
      <c r="E758" s="35" t="s">
        <v>3940</v>
      </c>
      <c r="F758" s="36">
        <v>0.25</v>
      </c>
      <c r="G758" s="31"/>
      <c r="H758" s="31"/>
      <c r="I758" s="31"/>
      <c r="J758" s="31"/>
      <c r="K758" s="31"/>
    </row>
    <row r="759" spans="1:11" ht="14.4" x14ac:dyDescent="0.3">
      <c r="A759" s="28" t="str">
        <f>B759&amp;C759&amp;D759&amp;E759</f>
        <v>KiyimErkaklar kiyimiJemperlar, sviterlar va kardiganlarJemperlar va pulloverlar</v>
      </c>
      <c r="B759" s="35" t="s">
        <v>3175</v>
      </c>
      <c r="C759" s="35" t="s">
        <v>3825</v>
      </c>
      <c r="D759" s="35" t="s">
        <v>3859</v>
      </c>
      <c r="E759" s="35" t="s">
        <v>3902</v>
      </c>
      <c r="F759" s="36">
        <v>0.25</v>
      </c>
      <c r="G759" s="31"/>
      <c r="H759" s="31"/>
      <c r="I759" s="31"/>
      <c r="J759" s="31"/>
      <c r="K759" s="31"/>
    </row>
    <row r="760" spans="1:11" ht="14.4" x14ac:dyDescent="0.3">
      <c r="A760" s="28" t="str">
        <f>B760&amp;C760&amp;D760&amp;E760</f>
        <v>KiyimAyollar kiyimiJinsilarTekis jinsilar</v>
      </c>
      <c r="B760" s="35" t="s">
        <v>3175</v>
      </c>
      <c r="C760" s="35" t="s">
        <v>3828</v>
      </c>
      <c r="D760" s="35" t="s">
        <v>3837</v>
      </c>
      <c r="E760" s="35" t="s">
        <v>3963</v>
      </c>
      <c r="F760" s="36">
        <v>0.25</v>
      </c>
      <c r="G760" s="31"/>
      <c r="H760" s="31"/>
      <c r="I760" s="31"/>
      <c r="J760" s="31"/>
      <c r="K760" s="31"/>
    </row>
    <row r="761" spans="1:11" ht="14.4" x14ac:dyDescent="0.3">
      <c r="A761" s="28" t="str">
        <f>B761&amp;C761&amp;D761&amp;E761</f>
        <v>KiyimAyollar kiyimiYubkalarShortik-yubkalar</v>
      </c>
      <c r="B761" s="35" t="s">
        <v>3175</v>
      </c>
      <c r="C761" s="35" t="s">
        <v>3828</v>
      </c>
      <c r="D761" s="35" t="s">
        <v>3843</v>
      </c>
      <c r="E761" s="35" t="s">
        <v>4003</v>
      </c>
      <c r="F761" s="36">
        <v>0.25</v>
      </c>
      <c r="G761" s="31"/>
      <c r="H761" s="31"/>
      <c r="I761" s="31"/>
      <c r="J761" s="31"/>
      <c r="K761" s="31"/>
    </row>
    <row r="762" spans="1:11" ht="14.4" x14ac:dyDescent="0.3">
      <c r="A762" s="28" t="str">
        <f>B762&amp;C762&amp;D762&amp;E762</f>
        <v>KiyimErkaklar kiyimiTermal ichki kiyimlarTermal ichki kiyimlarni ustki qismi</v>
      </c>
      <c r="B762" s="35" t="s">
        <v>3175</v>
      </c>
      <c r="C762" s="35" t="s">
        <v>3825</v>
      </c>
      <c r="D762" s="35" t="s">
        <v>3920</v>
      </c>
      <c r="E762" s="35" t="s">
        <v>4004</v>
      </c>
      <c r="F762" s="36">
        <v>0.25</v>
      </c>
      <c r="G762" s="31"/>
      <c r="H762" s="31"/>
      <c r="I762" s="31"/>
      <c r="J762" s="31"/>
      <c r="K762" s="31"/>
    </row>
    <row r="763" spans="1:11" ht="14.4" x14ac:dyDescent="0.3">
      <c r="A763" s="28" t="str">
        <f>B763&amp;C763&amp;D763&amp;E763</f>
        <v>KiyimAyollar kiyimiIchki kiyimQomatni rostlovchi ichki kiyimlar</v>
      </c>
      <c r="B763" s="35" t="s">
        <v>3175</v>
      </c>
      <c r="C763" s="35" t="s">
        <v>3828</v>
      </c>
      <c r="D763" s="35" t="s">
        <v>3863</v>
      </c>
      <c r="E763" s="35" t="s">
        <v>4005</v>
      </c>
      <c r="F763" s="36">
        <v>0.25</v>
      </c>
      <c r="G763" s="31"/>
      <c r="H763" s="31"/>
      <c r="I763" s="31"/>
      <c r="J763" s="31"/>
      <c r="K763" s="31"/>
    </row>
    <row r="764" spans="1:11" ht="14.4" x14ac:dyDescent="0.3">
      <c r="A764" s="28" t="str">
        <f>B764&amp;C764&amp;D764&amp;E764</f>
        <v>KiyimAyollar kiyimiPidjaklar va kostyumlarKostyumlar shorti bilan</v>
      </c>
      <c r="B764" s="35" t="s">
        <v>3175</v>
      </c>
      <c r="C764" s="35" t="s">
        <v>3828</v>
      </c>
      <c r="D764" s="35" t="s">
        <v>3853</v>
      </c>
      <c r="E764" s="35" t="s">
        <v>4006</v>
      </c>
      <c r="F764" s="36">
        <v>0.25</v>
      </c>
      <c r="G764" s="31"/>
      <c r="H764" s="31"/>
      <c r="I764" s="31"/>
      <c r="J764" s="31"/>
      <c r="K764" s="31"/>
    </row>
    <row r="765" spans="1:11" ht="14.4" x14ac:dyDescent="0.3">
      <c r="A765" s="28" t="str">
        <f>B765&amp;C765&amp;D765&amp;E765</f>
        <v>KiyimAyollar kiyimiMaxsus kiyimlarTibbiyot kiyimi</v>
      </c>
      <c r="B765" s="35" t="s">
        <v>3175</v>
      </c>
      <c r="C765" s="35" t="s">
        <v>3828</v>
      </c>
      <c r="D765" s="35" t="s">
        <v>3877</v>
      </c>
      <c r="E765" s="35" t="s">
        <v>3934</v>
      </c>
      <c r="F765" s="36">
        <v>0.25</v>
      </c>
      <c r="G765" s="31"/>
      <c r="H765" s="31"/>
      <c r="I765" s="31"/>
      <c r="J765" s="31"/>
      <c r="K765" s="31"/>
    </row>
    <row r="766" spans="1:11" ht="14.4" x14ac:dyDescent="0.3">
      <c r="A766" s="28" t="str">
        <f>B766&amp;C766&amp;D766&amp;E766</f>
        <v>KiyimAyollar kiyimiShimlarCharmli shimlar</v>
      </c>
      <c r="B766" s="35" t="s">
        <v>3175</v>
      </c>
      <c r="C766" s="35" t="s">
        <v>3828</v>
      </c>
      <c r="D766" s="35" t="s">
        <v>3840</v>
      </c>
      <c r="E766" s="35" t="s">
        <v>4007</v>
      </c>
      <c r="F766" s="36">
        <v>0.25</v>
      </c>
      <c r="G766" s="31"/>
      <c r="H766" s="31"/>
      <c r="I766" s="31"/>
      <c r="J766" s="31"/>
      <c r="K766" s="31"/>
    </row>
    <row r="767" spans="1:11" ht="14.4" x14ac:dyDescent="0.3">
      <c r="A767" s="28" t="str">
        <f>B767&amp;C767&amp;D767&amp;E767</f>
        <v>KiyimErkaklar kiyimiMaykalarMaykalar</v>
      </c>
      <c r="B767" s="35" t="s">
        <v>3175</v>
      </c>
      <c r="C767" s="35" t="s">
        <v>3825</v>
      </c>
      <c r="D767" s="35" t="s">
        <v>3986</v>
      </c>
      <c r="E767" s="35" t="s">
        <v>3986</v>
      </c>
      <c r="F767" s="36">
        <v>0.25</v>
      </c>
      <c r="G767" s="31"/>
      <c r="H767" s="31"/>
      <c r="I767" s="31"/>
      <c r="J767" s="31"/>
      <c r="K767" s="31"/>
    </row>
    <row r="768" spans="1:11" ht="14.4" x14ac:dyDescent="0.3">
      <c r="A768" s="28" t="str">
        <f>B768&amp;C768&amp;D768&amp;E768</f>
        <v>KiyimErkaklar kiyimiFutbolkalar va poloLongslivlar</v>
      </c>
      <c r="B768" s="35" t="s">
        <v>3175</v>
      </c>
      <c r="C768" s="35" t="s">
        <v>3825</v>
      </c>
      <c r="D768" s="35" t="s">
        <v>3884</v>
      </c>
      <c r="E768" s="35" t="s">
        <v>3885</v>
      </c>
      <c r="F768" s="36">
        <v>0.25</v>
      </c>
      <c r="G768" s="31"/>
      <c r="H768" s="31"/>
      <c r="I768" s="31"/>
      <c r="J768" s="31"/>
      <c r="K768" s="31"/>
    </row>
    <row r="769" spans="1:11" ht="14.4" x14ac:dyDescent="0.3">
      <c r="A769" s="28" t="str">
        <f>B769&amp;C769&amp;D769&amp;E769</f>
        <v>KiyimErkaklar kiyimiUstki kiyimPuxli kurtkalar va qishki kurtkalar</v>
      </c>
      <c r="B769" s="35" t="s">
        <v>3175</v>
      </c>
      <c r="C769" s="35" t="s">
        <v>3825</v>
      </c>
      <c r="D769" s="35" t="s">
        <v>3835</v>
      </c>
      <c r="E769" s="35" t="s">
        <v>4008</v>
      </c>
      <c r="F769" s="36">
        <v>0.25</v>
      </c>
      <c r="G769" s="31"/>
      <c r="H769" s="31"/>
      <c r="I769" s="31"/>
      <c r="J769" s="31"/>
      <c r="K769" s="31"/>
    </row>
    <row r="770" spans="1:11" ht="14.4" x14ac:dyDescent="0.3">
      <c r="A770" s="28" t="str">
        <f>B770&amp;C770&amp;D770&amp;E770</f>
        <v>KiyimAyollar kiyimiTo`qilgan kostyumlarTo`qilgan kostyumlar</v>
      </c>
      <c r="B770" s="35" t="s">
        <v>3175</v>
      </c>
      <c r="C770" s="35" t="s">
        <v>3828</v>
      </c>
      <c r="D770" s="35" t="s">
        <v>4009</v>
      </c>
      <c r="E770" s="35" t="s">
        <v>4009</v>
      </c>
      <c r="F770" s="36">
        <v>0.25</v>
      </c>
      <c r="G770" s="31"/>
      <c r="H770" s="31"/>
      <c r="I770" s="31"/>
      <c r="J770" s="31"/>
      <c r="K770" s="31"/>
    </row>
    <row r="771" spans="1:11" ht="14.4" x14ac:dyDescent="0.3">
      <c r="A771" s="28" t="str">
        <f>B771&amp;C771&amp;D771&amp;E771</f>
        <v>KiyimAyollar kiyimiUy kiyimiUy uchun koʻylaklar</v>
      </c>
      <c r="B771" s="35" t="s">
        <v>3175</v>
      </c>
      <c r="C771" s="35" t="s">
        <v>3828</v>
      </c>
      <c r="D771" s="35" t="s">
        <v>3847</v>
      </c>
      <c r="E771" s="35" t="s">
        <v>4010</v>
      </c>
      <c r="F771" s="36">
        <v>0.25</v>
      </c>
      <c r="G771" s="31"/>
      <c r="H771" s="31"/>
      <c r="I771" s="31"/>
      <c r="J771" s="31"/>
      <c r="K771" s="31"/>
    </row>
    <row r="772" spans="1:11" ht="14.4" x14ac:dyDescent="0.3">
      <c r="A772" s="28" t="str">
        <f>B772&amp;C772&amp;D772&amp;E772</f>
        <v>KiyimAyollar kiyimiHomiladorlar uchun kiyimlarKostyumlar va jaketlar</v>
      </c>
      <c r="B772" s="35" t="s">
        <v>3175</v>
      </c>
      <c r="C772" s="35" t="s">
        <v>3828</v>
      </c>
      <c r="D772" s="35" t="s">
        <v>3907</v>
      </c>
      <c r="E772" s="35" t="s">
        <v>4011</v>
      </c>
      <c r="F772" s="36">
        <v>0.25</v>
      </c>
      <c r="G772" s="31"/>
      <c r="H772" s="31"/>
      <c r="I772" s="31"/>
      <c r="J772" s="31"/>
      <c r="K772" s="31"/>
    </row>
    <row r="773" spans="1:11" ht="14.4" x14ac:dyDescent="0.3">
      <c r="A773" s="28" t="str">
        <f>B773&amp;C773&amp;D773&amp;E773</f>
        <v>KiyimAyollar kiyimiUstki kiyimPuxli kurtkalar va qishki kurtkalar</v>
      </c>
      <c r="B773" s="35" t="s">
        <v>3175</v>
      </c>
      <c r="C773" s="35" t="s">
        <v>3828</v>
      </c>
      <c r="D773" s="35" t="s">
        <v>3835</v>
      </c>
      <c r="E773" s="35" t="s">
        <v>4008</v>
      </c>
      <c r="F773" s="36">
        <v>0.25</v>
      </c>
      <c r="G773" s="31"/>
      <c r="H773" s="31"/>
      <c r="I773" s="31"/>
      <c r="J773" s="31"/>
      <c r="K773" s="31"/>
    </row>
    <row r="774" spans="1:11" ht="14.4" x14ac:dyDescent="0.3">
      <c r="A774" s="28" t="str">
        <f>B774&amp;C774&amp;D774&amp;E774</f>
        <v>KiyimAyollar kiyimiIchki kiyimByustgalter uchun aksessuarlar</v>
      </c>
      <c r="B774" s="35" t="s">
        <v>3175</v>
      </c>
      <c r="C774" s="35" t="s">
        <v>3828</v>
      </c>
      <c r="D774" s="35" t="s">
        <v>3863</v>
      </c>
      <c r="E774" s="35" t="s">
        <v>4012</v>
      </c>
      <c r="F774" s="36">
        <v>0.25</v>
      </c>
      <c r="G774" s="31"/>
      <c r="H774" s="31"/>
      <c r="I774" s="31"/>
      <c r="J774" s="31"/>
      <c r="K774" s="31"/>
    </row>
    <row r="775" spans="1:11" ht="14.4" x14ac:dyDescent="0.3">
      <c r="A775" s="28" t="str">
        <f>B775&amp;C775&amp;D775&amp;E775</f>
        <v>KiyimAyollar kiyimiFutbolkalar va poloFutbolkalar</v>
      </c>
      <c r="B775" s="35" t="s">
        <v>3175</v>
      </c>
      <c r="C775" s="35" t="s">
        <v>3828</v>
      </c>
      <c r="D775" s="35" t="s">
        <v>3884</v>
      </c>
      <c r="E775" s="35" t="s">
        <v>3959</v>
      </c>
      <c r="F775" s="36">
        <v>0.25</v>
      </c>
      <c r="G775" s="31"/>
      <c r="H775" s="31"/>
      <c r="I775" s="31"/>
      <c r="J775" s="31"/>
      <c r="K775" s="31"/>
    </row>
    <row r="776" spans="1:11" ht="14.4" x14ac:dyDescent="0.3">
      <c r="A776" s="28" t="str">
        <f>B776&amp;C776&amp;D776&amp;E776</f>
        <v>KiyimAyollar kiyimiUstki kiyimTashqi kiyim toʻplamlari</v>
      </c>
      <c r="B776" s="35" t="s">
        <v>3175</v>
      </c>
      <c r="C776" s="35" t="s">
        <v>3828</v>
      </c>
      <c r="D776" s="35" t="s">
        <v>3835</v>
      </c>
      <c r="E776" s="35" t="s">
        <v>4013</v>
      </c>
      <c r="F776" s="36">
        <v>0.25</v>
      </c>
      <c r="G776" s="31"/>
      <c r="H776" s="31"/>
      <c r="I776" s="31"/>
      <c r="J776" s="31"/>
      <c r="K776" s="31"/>
    </row>
    <row r="777" spans="1:11" ht="14.4" x14ac:dyDescent="0.3">
      <c r="A777" s="28" t="str">
        <f>B777&amp;C777&amp;D777&amp;E777</f>
        <v>KiyimErkaklar kiyimiMaxsus kiyimlarSignalli kiyimi</v>
      </c>
      <c r="B777" s="35" t="s">
        <v>3175</v>
      </c>
      <c r="C777" s="35" t="s">
        <v>3825</v>
      </c>
      <c r="D777" s="35" t="s">
        <v>3877</v>
      </c>
      <c r="E777" s="35" t="s">
        <v>4014</v>
      </c>
      <c r="F777" s="36">
        <v>0.25</v>
      </c>
      <c r="G777" s="31"/>
      <c r="H777" s="31"/>
      <c r="I777" s="31"/>
      <c r="J777" s="31"/>
      <c r="K777" s="31"/>
    </row>
    <row r="778" spans="1:11" ht="14.4" x14ac:dyDescent="0.3">
      <c r="A778" s="28" t="str">
        <f>B778&amp;C778&amp;D778&amp;E778</f>
        <v>KiyimAyollar kiyimiPidjaklar va kostyumlarJaketlar</v>
      </c>
      <c r="B778" s="35" t="s">
        <v>3175</v>
      </c>
      <c r="C778" s="35" t="s">
        <v>3828</v>
      </c>
      <c r="D778" s="35" t="s">
        <v>3853</v>
      </c>
      <c r="E778" s="35" t="s">
        <v>4015</v>
      </c>
      <c r="F778" s="36">
        <v>0.25</v>
      </c>
      <c r="G778" s="31"/>
      <c r="H778" s="31"/>
      <c r="I778" s="31"/>
      <c r="J778" s="31"/>
      <c r="K778" s="31"/>
    </row>
    <row r="779" spans="1:11" ht="14.4" x14ac:dyDescent="0.3">
      <c r="A779" s="28" t="str">
        <f>B779&amp;C779&amp;D779&amp;E779</f>
        <v>KiyimAyollar kiyimiHomiladorlar uchun kiyimlarFutbolkalar va polo</v>
      </c>
      <c r="B779" s="35" t="s">
        <v>3175</v>
      </c>
      <c r="C779" s="35" t="s">
        <v>3828</v>
      </c>
      <c r="D779" s="35" t="s">
        <v>3907</v>
      </c>
      <c r="E779" s="35" t="s">
        <v>3884</v>
      </c>
      <c r="F779" s="36">
        <v>0.25</v>
      </c>
      <c r="G779" s="31"/>
      <c r="H779" s="31"/>
      <c r="I779" s="31"/>
      <c r="J779" s="31"/>
      <c r="K779" s="31"/>
    </row>
    <row r="780" spans="1:11" ht="14.4" x14ac:dyDescent="0.3">
      <c r="A780" s="28" t="str">
        <f>B780&amp;C780&amp;D780&amp;E780</f>
        <v>KiyimAyollar kiyimiKombinezonlarOqshom kombinezonlari</v>
      </c>
      <c r="B780" s="35" t="s">
        <v>3175</v>
      </c>
      <c r="C780" s="35" t="s">
        <v>3828</v>
      </c>
      <c r="D780" s="35" t="s">
        <v>3856</v>
      </c>
      <c r="E780" s="35" t="s">
        <v>4016</v>
      </c>
      <c r="F780" s="36">
        <v>0.25</v>
      </c>
      <c r="G780" s="31"/>
      <c r="H780" s="31"/>
      <c r="I780" s="31"/>
      <c r="J780" s="31"/>
      <c r="K780" s="31"/>
    </row>
    <row r="781" spans="1:11" ht="14.4" x14ac:dyDescent="0.3">
      <c r="A781" s="28" t="str">
        <f>B781&amp;C781&amp;D781&amp;E781</f>
        <v>KiyimAyollar kiyimiXudi va svitshotlarSvitshotlar</v>
      </c>
      <c r="B781" s="35" t="s">
        <v>3175</v>
      </c>
      <c r="C781" s="35" t="s">
        <v>3828</v>
      </c>
      <c r="D781" s="35" t="s">
        <v>3880</v>
      </c>
      <c r="E781" s="35" t="s">
        <v>3881</v>
      </c>
      <c r="F781" s="36">
        <v>0.25</v>
      </c>
      <c r="G781" s="31"/>
      <c r="H781" s="31"/>
      <c r="I781" s="31"/>
      <c r="J781" s="31"/>
      <c r="K781" s="31"/>
    </row>
    <row r="782" spans="1:11" ht="14.4" x14ac:dyDescent="0.3">
      <c r="A782" s="28" t="str">
        <f>B782&amp;C782&amp;D782&amp;E782</f>
        <v>KiyimErkaklar kiyimiChoʻmilish plavkalari va shortilariChoʻmilish uchun shortilar</v>
      </c>
      <c r="B782" s="35" t="s">
        <v>3175</v>
      </c>
      <c r="C782" s="35" t="s">
        <v>3825</v>
      </c>
      <c r="D782" s="35" t="s">
        <v>4017</v>
      </c>
      <c r="E782" s="35" t="s">
        <v>4018</v>
      </c>
      <c r="F782" s="36">
        <v>0.25</v>
      </c>
      <c r="G782" s="31"/>
      <c r="H782" s="31"/>
      <c r="I782" s="31"/>
      <c r="J782" s="31"/>
      <c r="K782" s="31"/>
    </row>
    <row r="783" spans="1:11" ht="14.4" x14ac:dyDescent="0.3">
      <c r="A783" s="28" t="str">
        <f>B783&amp;C783&amp;D783&amp;E783</f>
        <v>KiyimAyollar kiyimiHomiladorlar uchun kiyimlarUy kiyimi</v>
      </c>
      <c r="B783" s="35" t="s">
        <v>3175</v>
      </c>
      <c r="C783" s="35" t="s">
        <v>3828</v>
      </c>
      <c r="D783" s="35" t="s">
        <v>3907</v>
      </c>
      <c r="E783" s="35" t="s">
        <v>3847</v>
      </c>
      <c r="F783" s="36">
        <v>0.25</v>
      </c>
      <c r="G783" s="31"/>
      <c r="H783" s="31"/>
      <c r="I783" s="31"/>
      <c r="J783" s="31"/>
      <c r="K783" s="31"/>
    </row>
    <row r="784" spans="1:11" ht="14.4" x14ac:dyDescent="0.3">
      <c r="A784" s="28" t="str">
        <f>B784&amp;C784&amp;D784&amp;E784</f>
        <v>KiyimAyollar kiyimiJemperlar, sviterlar va kardiganlarPoncho</v>
      </c>
      <c r="B784" s="35" t="s">
        <v>3175</v>
      </c>
      <c r="C784" s="35" t="s">
        <v>3828</v>
      </c>
      <c r="D784" s="35" t="s">
        <v>3859</v>
      </c>
      <c r="E784" s="35" t="s">
        <v>4019</v>
      </c>
      <c r="F784" s="36">
        <v>0.25</v>
      </c>
      <c r="G784" s="31"/>
      <c r="H784" s="31"/>
      <c r="I784" s="31"/>
      <c r="J784" s="31"/>
      <c r="K784" s="31"/>
    </row>
    <row r="785" spans="1:11" ht="14.4" x14ac:dyDescent="0.3">
      <c r="A785" s="28" t="str">
        <f>B785&amp;C785&amp;D785&amp;E785</f>
        <v>KiyimAyollar kiyimiUy kiyimiUy uchun jemperlar va kardiganlar</v>
      </c>
      <c r="B785" s="35" t="s">
        <v>3175</v>
      </c>
      <c r="C785" s="35" t="s">
        <v>3828</v>
      </c>
      <c r="D785" s="35" t="s">
        <v>3847</v>
      </c>
      <c r="E785" s="35" t="s">
        <v>4020</v>
      </c>
      <c r="F785" s="36">
        <v>0.25</v>
      </c>
      <c r="G785" s="31"/>
      <c r="H785" s="31"/>
      <c r="I785" s="31"/>
      <c r="J785" s="31"/>
      <c r="K785" s="31"/>
    </row>
    <row r="786" spans="1:11" ht="14.4" x14ac:dyDescent="0.3">
      <c r="A786" s="28" t="str">
        <f>B786&amp;C786&amp;D786&amp;E786</f>
        <v>KiyimErkaklar kiyimiFutbolkalar va poloKalta yengli futbolkalar</v>
      </c>
      <c r="B786" s="35" t="s">
        <v>3175</v>
      </c>
      <c r="C786" s="35" t="s">
        <v>3825</v>
      </c>
      <c r="D786" s="35" t="s">
        <v>3884</v>
      </c>
      <c r="E786" s="35" t="s">
        <v>4021</v>
      </c>
      <c r="F786" s="36">
        <v>0.25</v>
      </c>
      <c r="G786" s="31"/>
      <c r="H786" s="31"/>
      <c r="I786" s="31"/>
      <c r="J786" s="31"/>
      <c r="K786" s="31"/>
    </row>
    <row r="787" spans="1:11" ht="14.4" x14ac:dyDescent="0.3">
      <c r="A787" s="28" t="str">
        <f>B787&amp;C787&amp;D787&amp;E787</f>
        <v>KiyimErkaklar kiyimiUstki kiyimPalto</v>
      </c>
      <c r="B787" s="35" t="s">
        <v>3175</v>
      </c>
      <c r="C787" s="35" t="s">
        <v>3825</v>
      </c>
      <c r="D787" s="35" t="s">
        <v>3835</v>
      </c>
      <c r="E787" s="35" t="s">
        <v>3904</v>
      </c>
      <c r="F787" s="36">
        <v>0.25</v>
      </c>
      <c r="G787" s="31"/>
      <c r="H787" s="31"/>
      <c r="I787" s="31"/>
      <c r="J787" s="31"/>
      <c r="K787" s="31"/>
    </row>
    <row r="788" spans="1:11" ht="14.4" x14ac:dyDescent="0.3">
      <c r="A788" s="28" t="str">
        <f>B788&amp;C788&amp;D788&amp;E788</f>
        <v>KiyimErkaklar kiyimiIchki kiyimlarMaykalar</v>
      </c>
      <c r="B788" s="35" t="s">
        <v>3175</v>
      </c>
      <c r="C788" s="35" t="s">
        <v>3825</v>
      </c>
      <c r="D788" s="35" t="s">
        <v>3976</v>
      </c>
      <c r="E788" s="35" t="s">
        <v>3986</v>
      </c>
      <c r="F788" s="36">
        <v>0.25</v>
      </c>
      <c r="G788" s="31"/>
      <c r="H788" s="31"/>
      <c r="I788" s="31"/>
      <c r="J788" s="31"/>
      <c r="K788" s="31"/>
    </row>
    <row r="789" spans="1:11" ht="14.4" x14ac:dyDescent="0.3">
      <c r="A789" s="28" t="str">
        <f>B789&amp;C789&amp;D789&amp;E789</f>
        <v>KiyimErkaklar kiyimiFutbolkalar va poloPolo</v>
      </c>
      <c r="B789" s="35" t="s">
        <v>3175</v>
      </c>
      <c r="C789" s="35" t="s">
        <v>3825</v>
      </c>
      <c r="D789" s="35" t="s">
        <v>3884</v>
      </c>
      <c r="E789" s="35" t="s">
        <v>4022</v>
      </c>
      <c r="F789" s="36">
        <v>0.25</v>
      </c>
      <c r="G789" s="31"/>
      <c r="H789" s="31"/>
      <c r="I789" s="31"/>
      <c r="J789" s="31"/>
      <c r="K789" s="31"/>
    </row>
    <row r="790" spans="1:11" ht="14.4" x14ac:dyDescent="0.3">
      <c r="A790" s="28" t="str">
        <f>B790&amp;C790&amp;D790&amp;E790</f>
        <v>KiyimAyollar kiyimiKatta o'lchamli kiyimlarUstki kiyim</v>
      </c>
      <c r="B790" s="35" t="s">
        <v>3175</v>
      </c>
      <c r="C790" s="35" t="s">
        <v>3828</v>
      </c>
      <c r="D790" s="35" t="s">
        <v>3833</v>
      </c>
      <c r="E790" s="35" t="s">
        <v>3835</v>
      </c>
      <c r="F790" s="36">
        <v>0.25</v>
      </c>
      <c r="G790" s="31"/>
      <c r="H790" s="31"/>
      <c r="I790" s="31"/>
      <c r="J790" s="31"/>
      <c r="K790" s="31"/>
    </row>
    <row r="791" spans="1:11" ht="14.4" x14ac:dyDescent="0.3">
      <c r="A791" s="28" t="str">
        <f>B791&amp;C791&amp;D791&amp;E791</f>
        <v>KiyimAyollar kiyimiLiboslar va sarafanlarHar kun kiyiladigan liboslar</v>
      </c>
      <c r="B791" s="35" t="s">
        <v>3175</v>
      </c>
      <c r="C791" s="35" t="s">
        <v>3828</v>
      </c>
      <c r="D791" s="35" t="s">
        <v>3829</v>
      </c>
      <c r="E791" s="35" t="s">
        <v>4023</v>
      </c>
      <c r="F791" s="36">
        <v>0.25</v>
      </c>
      <c r="G791" s="31"/>
      <c r="H791" s="31"/>
      <c r="I791" s="31"/>
      <c r="J791" s="31"/>
      <c r="K791" s="31"/>
    </row>
    <row r="792" spans="1:11" ht="14.4" x14ac:dyDescent="0.3">
      <c r="A792" s="28" t="str">
        <f>B792&amp;C792&amp;D792&amp;E792</f>
        <v>KiyimErkaklar kiyimiChoʻmilish plavkalari va shortilariPlavkalar</v>
      </c>
      <c r="B792" s="35" t="s">
        <v>3175</v>
      </c>
      <c r="C792" s="35" t="s">
        <v>3825</v>
      </c>
      <c r="D792" s="35" t="s">
        <v>4017</v>
      </c>
      <c r="E792" s="35" t="s">
        <v>4024</v>
      </c>
      <c r="F792" s="36">
        <v>0.25</v>
      </c>
      <c r="G792" s="31"/>
      <c r="H792" s="31"/>
      <c r="I792" s="31"/>
      <c r="J792" s="31"/>
      <c r="K792" s="31"/>
    </row>
    <row r="793" spans="1:11" ht="14.4" x14ac:dyDescent="0.3">
      <c r="A793" s="28" t="str">
        <f>B793&amp;C793&amp;D793&amp;E793</f>
        <v>KiyimAyollar kiyimiPaypoqlar, kolgotkilar va chulkilarKolgotkilar</v>
      </c>
      <c r="B793" s="35" t="s">
        <v>3175</v>
      </c>
      <c r="C793" s="35" t="s">
        <v>3828</v>
      </c>
      <c r="D793" s="35" t="s">
        <v>3889</v>
      </c>
      <c r="E793" s="35" t="s">
        <v>3908</v>
      </c>
      <c r="F793" s="36">
        <v>0.25</v>
      </c>
      <c r="G793" s="31"/>
      <c r="H793" s="31"/>
      <c r="I793" s="31"/>
      <c r="J793" s="31"/>
      <c r="K793" s="31"/>
    </row>
    <row r="794" spans="1:11" ht="14.4" x14ac:dyDescent="0.3">
      <c r="A794" s="28" t="str">
        <f>B794&amp;C794&amp;D794&amp;E794</f>
        <v>KiyimErkaklar kiyimiUstki kiyimBomberlar</v>
      </c>
      <c r="B794" s="35" t="s">
        <v>3175</v>
      </c>
      <c r="C794" s="35" t="s">
        <v>3825</v>
      </c>
      <c r="D794" s="35" t="s">
        <v>3835</v>
      </c>
      <c r="E794" s="35" t="s">
        <v>4025</v>
      </c>
      <c r="F794" s="36">
        <v>0.25</v>
      </c>
      <c r="G794" s="31"/>
      <c r="H794" s="31"/>
      <c r="I794" s="31"/>
      <c r="J794" s="31"/>
      <c r="K794" s="31"/>
    </row>
    <row r="795" spans="1:11" ht="14.4" x14ac:dyDescent="0.3">
      <c r="A795" s="28" t="str">
        <f>B795&amp;C795&amp;D795&amp;E795</f>
        <v>KiyimAyollar kiyimiTop va maykalarKorsetlar</v>
      </c>
      <c r="B795" s="35" t="s">
        <v>3175</v>
      </c>
      <c r="C795" s="35" t="s">
        <v>3828</v>
      </c>
      <c r="D795" s="35" t="s">
        <v>3834</v>
      </c>
      <c r="E795" s="35" t="s">
        <v>3882</v>
      </c>
      <c r="F795" s="36">
        <v>0.25</v>
      </c>
      <c r="G795" s="31"/>
      <c r="H795" s="31"/>
      <c r="I795" s="31"/>
      <c r="J795" s="31"/>
      <c r="K795" s="31"/>
    </row>
    <row r="796" spans="1:11" ht="14.4" x14ac:dyDescent="0.3">
      <c r="A796" s="28" t="str">
        <f>B796&amp;C796&amp;D796&amp;E796</f>
        <v>KiyimAyollar kiyimiSport kiyimlariTermal paypoqlar</v>
      </c>
      <c r="B796" s="35" t="s">
        <v>3175</v>
      </c>
      <c r="C796" s="35" t="s">
        <v>3828</v>
      </c>
      <c r="D796" s="35" t="s">
        <v>3849</v>
      </c>
      <c r="E796" s="35" t="s">
        <v>3898</v>
      </c>
      <c r="F796" s="36">
        <v>0.25</v>
      </c>
      <c r="G796" s="31"/>
      <c r="H796" s="31"/>
      <c r="I796" s="31"/>
      <c r="J796" s="31"/>
      <c r="K796" s="31"/>
    </row>
    <row r="797" spans="1:11" ht="14.4" x14ac:dyDescent="0.3">
      <c r="A797" s="28" t="str">
        <f>B797&amp;C797&amp;D797&amp;E797</f>
        <v>KiyimErkaklar kiyimiKatta o'lchamli kiyimlarFutbolkalar va polo</v>
      </c>
      <c r="B797" s="35" t="s">
        <v>3175</v>
      </c>
      <c r="C797" s="35" t="s">
        <v>3825</v>
      </c>
      <c r="D797" s="35" t="s">
        <v>3833</v>
      </c>
      <c r="E797" s="35" t="s">
        <v>3884</v>
      </c>
      <c r="F797" s="36">
        <v>0.25</v>
      </c>
      <c r="G797" s="31"/>
      <c r="H797" s="31"/>
      <c r="I797" s="31"/>
      <c r="J797" s="31"/>
      <c r="K797" s="31"/>
    </row>
    <row r="798" spans="1:11" ht="14.4" x14ac:dyDescent="0.3">
      <c r="A798" s="28" t="str">
        <f>B798&amp;C798&amp;D798&amp;E798</f>
        <v>KiyimErkaklar kiyimiKarnaval uchun kiyimlarKarnaval uchun kiyimlar</v>
      </c>
      <c r="B798" s="35" t="s">
        <v>3175</v>
      </c>
      <c r="C798" s="35" t="s">
        <v>3825</v>
      </c>
      <c r="D798" s="35" t="s">
        <v>4002</v>
      </c>
      <c r="E798" s="35" t="s">
        <v>4002</v>
      </c>
      <c r="F798" s="36">
        <v>0.25</v>
      </c>
      <c r="G798" s="31"/>
      <c r="H798" s="31"/>
      <c r="I798" s="31"/>
      <c r="J798" s="31"/>
      <c r="K798" s="31"/>
    </row>
    <row r="799" spans="1:11" ht="14.4" x14ac:dyDescent="0.3">
      <c r="A799" s="28" t="str">
        <f>B799&amp;C799&amp;D799&amp;E799</f>
        <v>KiyimAyollar kiyimiPidjaklar va kostyumlarKostyumlar shim bilan</v>
      </c>
      <c r="B799" s="35" t="s">
        <v>3175</v>
      </c>
      <c r="C799" s="35" t="s">
        <v>3828</v>
      </c>
      <c r="D799" s="35" t="s">
        <v>3853</v>
      </c>
      <c r="E799" s="35" t="s">
        <v>4026</v>
      </c>
      <c r="F799" s="36">
        <v>0.25</v>
      </c>
      <c r="G799" s="31"/>
      <c r="H799" s="31"/>
      <c r="I799" s="31"/>
      <c r="J799" s="31"/>
      <c r="K799" s="31"/>
    </row>
    <row r="800" spans="1:11" ht="14.4" x14ac:dyDescent="0.3">
      <c r="A800" s="28" t="str">
        <f>B800&amp;C800&amp;D800&amp;E800</f>
        <v>KiyimErkaklar kiyimiXudi va svitshotlarXudilar</v>
      </c>
      <c r="B800" s="35" t="s">
        <v>3175</v>
      </c>
      <c r="C800" s="35" t="s">
        <v>3825</v>
      </c>
      <c r="D800" s="35" t="s">
        <v>3880</v>
      </c>
      <c r="E800" s="35" t="s">
        <v>3983</v>
      </c>
      <c r="F800" s="36">
        <v>0.25</v>
      </c>
      <c r="G800" s="31"/>
      <c r="H800" s="31"/>
      <c r="I800" s="31"/>
      <c r="J800" s="31"/>
      <c r="K800" s="31"/>
    </row>
    <row r="801" spans="1:11" ht="14.4" x14ac:dyDescent="0.3">
      <c r="A801" s="28" t="str">
        <f>B801&amp;C801&amp;D801&amp;E801</f>
        <v>KiyimAyollar kiyimiUy kiyimiUy uchun xalatlar</v>
      </c>
      <c r="B801" s="35" t="s">
        <v>3175</v>
      </c>
      <c r="C801" s="35" t="s">
        <v>3828</v>
      </c>
      <c r="D801" s="35" t="s">
        <v>3847</v>
      </c>
      <c r="E801" s="35" t="s">
        <v>3973</v>
      </c>
      <c r="F801" s="36">
        <v>0.25</v>
      </c>
      <c r="G801" s="31"/>
      <c r="H801" s="31"/>
      <c r="I801" s="31"/>
      <c r="J801" s="31"/>
      <c r="K801" s="31"/>
    </row>
    <row r="802" spans="1:11" ht="14.4" x14ac:dyDescent="0.3">
      <c r="A802" s="28" t="str">
        <f>B802&amp;C802&amp;D802&amp;E802</f>
        <v>KiyimAyollar kiyimiSport kiyimlariSport futbolkalari va longslivlar</v>
      </c>
      <c r="B802" s="35" t="s">
        <v>3175</v>
      </c>
      <c r="C802" s="35" t="s">
        <v>3828</v>
      </c>
      <c r="D802" s="35" t="s">
        <v>3849</v>
      </c>
      <c r="E802" s="35" t="s">
        <v>3971</v>
      </c>
      <c r="F802" s="36">
        <v>0.25</v>
      </c>
      <c r="G802" s="31"/>
      <c r="H802" s="31"/>
      <c r="I802" s="31"/>
      <c r="J802" s="31"/>
      <c r="K802" s="31"/>
    </row>
    <row r="803" spans="1:11" ht="14.4" x14ac:dyDescent="0.3">
      <c r="A803" s="28" t="str">
        <f>B803&amp;C803&amp;D803&amp;E803</f>
        <v>KiyimErkaklar kiyimiIchki kiyimlarOchiq ichki kiyimlar va kostyumlar</v>
      </c>
      <c r="B803" s="35" t="s">
        <v>3175</v>
      </c>
      <c r="C803" s="35" t="s">
        <v>3825</v>
      </c>
      <c r="D803" s="35" t="s">
        <v>3976</v>
      </c>
      <c r="E803" s="35" t="s">
        <v>3941</v>
      </c>
      <c r="F803" s="36">
        <v>0.25</v>
      </c>
      <c r="G803" s="31"/>
      <c r="H803" s="31"/>
      <c r="I803" s="31"/>
      <c r="J803" s="31"/>
      <c r="K803" s="31"/>
    </row>
    <row r="804" spans="1:11" ht="14.4" x14ac:dyDescent="0.3">
      <c r="A804" s="28" t="str">
        <f>B804&amp;C804&amp;D804&amp;E804</f>
        <v>KiyimAyollar kiyimiXudi va svitshotlarOlimpiykalar</v>
      </c>
      <c r="B804" s="35" t="s">
        <v>3175</v>
      </c>
      <c r="C804" s="35" t="s">
        <v>3828</v>
      </c>
      <c r="D804" s="35" t="s">
        <v>3880</v>
      </c>
      <c r="E804" s="35" t="s">
        <v>3980</v>
      </c>
      <c r="F804" s="36">
        <v>0.25</v>
      </c>
      <c r="G804" s="31"/>
      <c r="H804" s="31"/>
      <c r="I804" s="31"/>
      <c r="J804" s="31"/>
      <c r="K804" s="31"/>
    </row>
    <row r="805" spans="1:11" ht="14.4" x14ac:dyDescent="0.3">
      <c r="A805" s="28" t="str">
        <f>B805&amp;C805&amp;D805&amp;E805</f>
        <v>KiyimAyollar kiyimiKatta o'lchamli kiyimlarIchki kiyim</v>
      </c>
      <c r="B805" s="35" t="s">
        <v>3175</v>
      </c>
      <c r="C805" s="35" t="s">
        <v>3828</v>
      </c>
      <c r="D805" s="35" t="s">
        <v>3833</v>
      </c>
      <c r="E805" s="35" t="s">
        <v>3863</v>
      </c>
      <c r="F805" s="36">
        <v>0.25</v>
      </c>
      <c r="G805" s="31"/>
      <c r="H805" s="31"/>
      <c r="I805" s="31"/>
      <c r="J805" s="31"/>
      <c r="K805" s="31"/>
    </row>
    <row r="806" spans="1:11" ht="14.4" x14ac:dyDescent="0.3">
      <c r="A806" s="28" t="str">
        <f>B806&amp;C806&amp;D806&amp;E806</f>
        <v>KiyimAyollar kiyimiPaypoqlar, kolgotkilar va chulkilarPyatkilar</v>
      </c>
      <c r="B806" s="35" t="s">
        <v>3175</v>
      </c>
      <c r="C806" s="35" t="s">
        <v>3828</v>
      </c>
      <c r="D806" s="35" t="s">
        <v>3889</v>
      </c>
      <c r="E806" s="35" t="s">
        <v>4027</v>
      </c>
      <c r="F806" s="36">
        <v>0.25</v>
      </c>
      <c r="G806" s="31"/>
      <c r="H806" s="31"/>
      <c r="I806" s="31"/>
      <c r="J806" s="31"/>
      <c r="K806" s="31"/>
    </row>
    <row r="807" spans="1:11" ht="14.4" x14ac:dyDescent="0.3">
      <c r="A807" s="28" t="str">
        <f>B807&amp;C807&amp;D807&amp;E807</f>
        <v>KiyimAyollar kiyimiChoʻmilish va plyaj kiyimlariPlaj liboslari va tunikalar</v>
      </c>
      <c r="B807" s="35" t="s">
        <v>3175</v>
      </c>
      <c r="C807" s="35" t="s">
        <v>3828</v>
      </c>
      <c r="D807" s="35" t="s">
        <v>3838</v>
      </c>
      <c r="E807" s="35" t="s">
        <v>4028</v>
      </c>
      <c r="F807" s="36">
        <v>0.25</v>
      </c>
      <c r="G807" s="31"/>
      <c r="H807" s="31"/>
      <c r="I807" s="31"/>
      <c r="J807" s="31"/>
      <c r="K807" s="31"/>
    </row>
    <row r="808" spans="1:11" ht="14.4" x14ac:dyDescent="0.3">
      <c r="A808" s="28" t="str">
        <f>B808&amp;C808&amp;D808&amp;E808</f>
        <v>KiyimAyollar kiyimiHomiladorlar uchun kiyimlarJemperlar va kardiganlar</v>
      </c>
      <c r="B808" s="35" t="s">
        <v>3175</v>
      </c>
      <c r="C808" s="35" t="s">
        <v>3828</v>
      </c>
      <c r="D808" s="35" t="s">
        <v>3907</v>
      </c>
      <c r="E808" s="35" t="s">
        <v>3938</v>
      </c>
      <c r="F808" s="36">
        <v>0.25</v>
      </c>
      <c r="G808" s="31"/>
      <c r="H808" s="31"/>
      <c r="I808" s="31"/>
      <c r="J808" s="31"/>
      <c r="K808" s="31"/>
    </row>
    <row r="809" spans="1:11" ht="14.4" x14ac:dyDescent="0.3">
      <c r="A809" s="28" t="str">
        <f>B809&amp;C809&amp;D809&amp;E809</f>
        <v>KiyimAyollar kiyimiSport kiyimlariSport shortilari</v>
      </c>
      <c r="B809" s="35" t="s">
        <v>3175</v>
      </c>
      <c r="C809" s="35" t="s">
        <v>3828</v>
      </c>
      <c r="D809" s="35" t="s">
        <v>3849</v>
      </c>
      <c r="E809" s="35" t="s">
        <v>3962</v>
      </c>
      <c r="F809" s="36">
        <v>0.25</v>
      </c>
      <c r="G809" s="31"/>
      <c r="H809" s="31"/>
      <c r="I809" s="31"/>
      <c r="J809" s="31"/>
      <c r="K809" s="31"/>
    </row>
    <row r="810" spans="1:11" ht="14.4" x14ac:dyDescent="0.3">
      <c r="A810" s="28" t="str">
        <f>B810&amp;C810&amp;D810&amp;E810</f>
        <v>KiyimAyollar kiyimiLiboslar va sarafanlarLibos-mayka</v>
      </c>
      <c r="B810" s="35" t="s">
        <v>3175</v>
      </c>
      <c r="C810" s="35" t="s">
        <v>3828</v>
      </c>
      <c r="D810" s="35" t="s">
        <v>3829</v>
      </c>
      <c r="E810" s="35" t="s">
        <v>4029</v>
      </c>
      <c r="F810" s="36">
        <v>0.25</v>
      </c>
      <c r="G810" s="31"/>
      <c r="H810" s="31"/>
      <c r="I810" s="31"/>
      <c r="J810" s="31"/>
      <c r="K810" s="31"/>
    </row>
    <row r="811" spans="1:11" ht="14.4" x14ac:dyDescent="0.3">
      <c r="A811" s="28" t="str">
        <f>B811&amp;C811&amp;D811&amp;E811</f>
        <v>KiyimAyollar kiyimiSport kiyimlariSport legginslari</v>
      </c>
      <c r="B811" s="35" t="s">
        <v>3175</v>
      </c>
      <c r="C811" s="35" t="s">
        <v>3828</v>
      </c>
      <c r="D811" s="35" t="s">
        <v>3849</v>
      </c>
      <c r="E811" s="35" t="s">
        <v>4030</v>
      </c>
      <c r="F811" s="36">
        <v>0.25</v>
      </c>
      <c r="G811" s="31"/>
      <c r="H811" s="31"/>
      <c r="I811" s="31"/>
      <c r="J811" s="31"/>
      <c r="K811" s="31"/>
    </row>
    <row r="812" spans="1:11" ht="14.4" x14ac:dyDescent="0.3">
      <c r="A812" s="28" t="str">
        <f>B812&amp;C812&amp;D812&amp;E812</f>
        <v>KiyimAyollar kiyimiUstki kiyimYengil kurtka va vetrovkalar</v>
      </c>
      <c r="B812" s="35" t="s">
        <v>3175</v>
      </c>
      <c r="C812" s="35" t="s">
        <v>3828</v>
      </c>
      <c r="D812" s="35" t="s">
        <v>3835</v>
      </c>
      <c r="E812" s="35" t="s">
        <v>3955</v>
      </c>
      <c r="F812" s="36">
        <v>0.25</v>
      </c>
      <c r="G812" s="31"/>
      <c r="H812" s="31"/>
      <c r="I812" s="31"/>
      <c r="J812" s="31"/>
      <c r="K812" s="31"/>
    </row>
    <row r="813" spans="1:11" ht="14.4" x14ac:dyDescent="0.3">
      <c r="A813" s="28" t="str">
        <f>B813&amp;C813&amp;D813&amp;E813</f>
        <v>KiyimAyollar kiyimiTop va maykalarToplar</v>
      </c>
      <c r="B813" s="35" t="s">
        <v>3175</v>
      </c>
      <c r="C813" s="35" t="s">
        <v>3828</v>
      </c>
      <c r="D813" s="35" t="s">
        <v>3834</v>
      </c>
      <c r="E813" s="35" t="s">
        <v>4031</v>
      </c>
      <c r="F813" s="36">
        <v>0.25</v>
      </c>
      <c r="G813" s="31"/>
      <c r="H813" s="31"/>
      <c r="I813" s="31"/>
      <c r="J813" s="31"/>
      <c r="K813" s="31"/>
    </row>
    <row r="814" spans="1:11" ht="14.4" x14ac:dyDescent="0.3">
      <c r="A814" s="28" t="str">
        <f>B814&amp;C814&amp;D814&amp;E814</f>
        <v>KiyimErkaklar kiyimiUstki kiyimJiletlar</v>
      </c>
      <c r="B814" s="35" t="s">
        <v>3175</v>
      </c>
      <c r="C814" s="35" t="s">
        <v>3825</v>
      </c>
      <c r="D814" s="35" t="s">
        <v>3835</v>
      </c>
      <c r="E814" s="35" t="s">
        <v>3905</v>
      </c>
      <c r="F814" s="36">
        <v>0.25</v>
      </c>
      <c r="G814" s="31"/>
      <c r="H814" s="31"/>
      <c r="I814" s="31"/>
      <c r="J814" s="31"/>
      <c r="K814" s="31"/>
    </row>
    <row r="815" spans="1:11" ht="14.4" x14ac:dyDescent="0.3">
      <c r="A815" s="28" t="str">
        <f>B815&amp;C815&amp;D815&amp;E815</f>
        <v>KiyimAyollar kiyimiUstki kiyimBomberlar</v>
      </c>
      <c r="B815" s="35" t="s">
        <v>3175</v>
      </c>
      <c r="C815" s="35" t="s">
        <v>3828</v>
      </c>
      <c r="D815" s="35" t="s">
        <v>3835</v>
      </c>
      <c r="E815" s="35" t="s">
        <v>4025</v>
      </c>
      <c r="F815" s="36">
        <v>0.25</v>
      </c>
      <c r="G815" s="31"/>
      <c r="H815" s="31"/>
      <c r="I815" s="31"/>
      <c r="J815" s="31"/>
      <c r="K815" s="31"/>
    </row>
    <row r="816" spans="1:11" ht="14.4" x14ac:dyDescent="0.3">
      <c r="A816" s="28" t="str">
        <f>B816&amp;C816&amp;D816&amp;E816</f>
        <v>KiyimAyollar kiyimiUstki kiyimYomgʻirpoʻshlar</v>
      </c>
      <c r="B816" s="35" t="s">
        <v>3175</v>
      </c>
      <c r="C816" s="35" t="s">
        <v>3828</v>
      </c>
      <c r="D816" s="35" t="s">
        <v>3835</v>
      </c>
      <c r="E816" s="35" t="s">
        <v>3836</v>
      </c>
      <c r="F816" s="36">
        <v>0.25</v>
      </c>
      <c r="G816" s="31"/>
      <c r="H816" s="31"/>
      <c r="I816" s="31"/>
      <c r="J816" s="31"/>
      <c r="K816" s="31"/>
    </row>
    <row r="817" spans="1:11" ht="14.4" x14ac:dyDescent="0.3">
      <c r="A817" s="28" t="str">
        <f>B817&amp;C817&amp;D817&amp;E817</f>
        <v>KiyimErkaklar kiyimiShortilarKargo</v>
      </c>
      <c r="B817" s="35" t="s">
        <v>3175</v>
      </c>
      <c r="C817" s="35" t="s">
        <v>3825</v>
      </c>
      <c r="D817" s="35" t="s">
        <v>3845</v>
      </c>
      <c r="E817" s="35" t="s">
        <v>3896</v>
      </c>
      <c r="F817" s="36">
        <v>0.25</v>
      </c>
      <c r="G817" s="31"/>
      <c r="H817" s="31"/>
      <c r="I817" s="31"/>
      <c r="J817" s="31"/>
      <c r="K817" s="31"/>
    </row>
    <row r="818" spans="1:11" ht="14.4" x14ac:dyDescent="0.3">
      <c r="A818" s="28" t="str">
        <f>B818&amp;C818&amp;D818&amp;E818</f>
        <v>KiyimAyollar kiyimiFutbolkalar va poloPolo</v>
      </c>
      <c r="B818" s="35" t="s">
        <v>3175</v>
      </c>
      <c r="C818" s="35" t="s">
        <v>3828</v>
      </c>
      <c r="D818" s="35" t="s">
        <v>3884</v>
      </c>
      <c r="E818" s="35" t="s">
        <v>4022</v>
      </c>
      <c r="F818" s="36">
        <v>0.25</v>
      </c>
      <c r="G818" s="31"/>
      <c r="H818" s="31"/>
      <c r="I818" s="31"/>
      <c r="J818" s="31"/>
      <c r="K818" s="31"/>
    </row>
    <row r="819" spans="1:11" ht="14.4" x14ac:dyDescent="0.3">
      <c r="A819" s="28" t="str">
        <f>B819&amp;C819&amp;D819&amp;E819</f>
        <v>KiyimAyollar kiyimiMilliy kiyimlarMilliy kiyimlar to'plami</v>
      </c>
      <c r="B819" s="35" t="s">
        <v>3175</v>
      </c>
      <c r="C819" s="35" t="s">
        <v>3828</v>
      </c>
      <c r="D819" s="35" t="s">
        <v>3873</v>
      </c>
      <c r="E819" s="35" t="s">
        <v>4032</v>
      </c>
      <c r="F819" s="36">
        <v>0.25</v>
      </c>
      <c r="G819" s="31"/>
      <c r="H819" s="31"/>
      <c r="I819" s="31"/>
      <c r="J819" s="31"/>
      <c r="K819" s="31"/>
    </row>
    <row r="820" spans="1:11" ht="14.4" x14ac:dyDescent="0.3">
      <c r="A820" s="28" t="str">
        <f>B820&amp;C820&amp;D820&amp;E820</f>
        <v>KiyimErkaklar kiyimiUy kiyimiUy uchun jemperlar va kardiganlar</v>
      </c>
      <c r="B820" s="35" t="s">
        <v>3175</v>
      </c>
      <c r="C820" s="35" t="s">
        <v>3825</v>
      </c>
      <c r="D820" s="35" t="s">
        <v>3847</v>
      </c>
      <c r="E820" s="35" t="s">
        <v>4020</v>
      </c>
      <c r="F820" s="36">
        <v>0.25</v>
      </c>
      <c r="G820" s="31"/>
      <c r="H820" s="31"/>
      <c r="I820" s="31"/>
      <c r="J820" s="31"/>
      <c r="K820" s="31"/>
    </row>
    <row r="821" spans="1:11" ht="14.4" x14ac:dyDescent="0.3">
      <c r="A821" s="28" t="str">
        <f>B821&amp;C821&amp;D821&amp;E821</f>
        <v>KiyimAyollar kiyimiPidjaklar va kostyumlarPidjaklar</v>
      </c>
      <c r="B821" s="35" t="s">
        <v>3175</v>
      </c>
      <c r="C821" s="35" t="s">
        <v>3828</v>
      </c>
      <c r="D821" s="35" t="s">
        <v>3853</v>
      </c>
      <c r="E821" s="35" t="s">
        <v>3854</v>
      </c>
      <c r="F821" s="36">
        <v>0.25</v>
      </c>
      <c r="G821" s="31"/>
      <c r="H821" s="31"/>
      <c r="I821" s="31"/>
      <c r="J821" s="31"/>
      <c r="K821" s="31"/>
    </row>
    <row r="822" spans="1:11" ht="14.4" x14ac:dyDescent="0.3">
      <c r="A822" s="28" t="str">
        <f>B822&amp;C822&amp;D822&amp;E822</f>
        <v>Maishiy texnikaIqlim texnikasiVentilyatorlarStol ventilyatorlari</v>
      </c>
      <c r="B822" s="35" t="s">
        <v>48</v>
      </c>
      <c r="C822" s="35" t="s">
        <v>3447</v>
      </c>
      <c r="D822" s="35" t="s">
        <v>4033</v>
      </c>
      <c r="E822" s="35" t="s">
        <v>4034</v>
      </c>
      <c r="F822" s="36">
        <v>0.25</v>
      </c>
      <c r="G822" s="31"/>
      <c r="H822" s="31"/>
      <c r="I822" s="31"/>
      <c r="J822" s="31"/>
      <c r="K822" s="31"/>
    </row>
    <row r="823" spans="1:11" ht="14.4" x14ac:dyDescent="0.3">
      <c r="A823" s="28" t="str">
        <f>B823&amp;C823&amp;D823&amp;E823</f>
        <v>Maishiy texnikaIqlim texnikasiVentilyatorlarMini-Ventilyatorlar</v>
      </c>
      <c r="B823" s="35" t="s">
        <v>48</v>
      </c>
      <c r="C823" s="35" t="s">
        <v>3447</v>
      </c>
      <c r="D823" s="35" t="s">
        <v>4033</v>
      </c>
      <c r="E823" s="35" t="s">
        <v>4035</v>
      </c>
      <c r="F823" s="36">
        <v>0.25</v>
      </c>
      <c r="G823" s="31"/>
      <c r="H823" s="31"/>
      <c r="I823" s="31"/>
      <c r="J823" s="31"/>
      <c r="K823" s="31"/>
    </row>
    <row r="824" spans="1:11" ht="14.4" x14ac:dyDescent="0.3">
      <c r="A824" s="28" t="str">
        <f>B824&amp;C824&amp;D824&amp;E824</f>
        <v>Maishiy texnikaOshxona buyumlariKofe tayyorlashQahva mashinalarini tozalash vositalari</v>
      </c>
      <c r="B824" s="35" t="s">
        <v>48</v>
      </c>
      <c r="C824" s="35" t="s">
        <v>3443</v>
      </c>
      <c r="D824" s="35" t="s">
        <v>4036</v>
      </c>
      <c r="E824" s="35" t="s">
        <v>4037</v>
      </c>
      <c r="F824" s="36">
        <v>0.25</v>
      </c>
      <c r="G824" s="31"/>
      <c r="H824" s="31"/>
      <c r="I824" s="31"/>
      <c r="J824" s="31"/>
      <c r="K824" s="31"/>
    </row>
    <row r="825" spans="1:11" ht="14.4" x14ac:dyDescent="0.3">
      <c r="A825" s="28" t="str">
        <f>B825&amp;C825&amp;D825&amp;E825</f>
        <v>Maishiy texnikaIqlim texnikasiVentilyatorlarPolda turadigan ventiyatorlar</v>
      </c>
      <c r="B825" s="35" t="s">
        <v>48</v>
      </c>
      <c r="C825" s="35" t="s">
        <v>3447</v>
      </c>
      <c r="D825" s="35" t="s">
        <v>4033</v>
      </c>
      <c r="E825" s="35" t="s">
        <v>4038</v>
      </c>
      <c r="F825" s="36">
        <v>0.25</v>
      </c>
      <c r="G825" s="31"/>
      <c r="H825" s="31"/>
      <c r="I825" s="31"/>
      <c r="J825" s="31"/>
      <c r="K825" s="31"/>
    </row>
    <row r="826" spans="1:11" ht="14.4" x14ac:dyDescent="0.3">
      <c r="A826" s="28" t="str">
        <f>B826&amp;C826&amp;D826&amp;E826</f>
        <v>PoyabzallarAyollar poyabzaliUyda kiyish uchun poyabzallarUyda kiyish uchun poyabzallar</v>
      </c>
      <c r="B826" s="35" t="s">
        <v>3183</v>
      </c>
      <c r="C826" s="35" t="s">
        <v>4039</v>
      </c>
      <c r="D826" s="35" t="s">
        <v>4040</v>
      </c>
      <c r="E826" s="35" t="s">
        <v>4040</v>
      </c>
      <c r="F826" s="36">
        <v>0.25</v>
      </c>
      <c r="G826" s="31"/>
      <c r="H826" s="31"/>
      <c r="I826" s="31"/>
      <c r="J826" s="31"/>
      <c r="K826" s="31"/>
    </row>
    <row r="827" spans="1:11" ht="14.4" x14ac:dyDescent="0.3">
      <c r="A827" s="28" t="str">
        <f>B827&amp;C827&amp;D827&amp;E827</f>
        <v>Qurilish va taʼmirlashQoʻl asboblari va jihozlariUrish-dastakli asboblariKatta bolgʻa</v>
      </c>
      <c r="B827" s="35" t="s">
        <v>3184</v>
      </c>
      <c r="C827" s="35" t="s">
        <v>4041</v>
      </c>
      <c r="D827" s="35" t="s">
        <v>4042</v>
      </c>
      <c r="E827" s="35" t="s">
        <v>4043</v>
      </c>
      <c r="F827" s="36">
        <v>0.25</v>
      </c>
      <c r="G827" s="31"/>
      <c r="H827" s="31"/>
      <c r="I827" s="31"/>
      <c r="J827" s="31"/>
      <c r="K827" s="31"/>
    </row>
    <row r="828" spans="1:11" ht="14.4" x14ac:dyDescent="0.3">
      <c r="A828" s="28" t="str">
        <f>B828&amp;C828&amp;D828&amp;E828</f>
        <v>Qurilish va taʼmirlashQoʻl asboblari va jihozlariMontaj asboblariQurilish pichogʻi</v>
      </c>
      <c r="B828" s="35" t="s">
        <v>3184</v>
      </c>
      <c r="C828" s="35" t="s">
        <v>4041</v>
      </c>
      <c r="D828" s="35" t="s">
        <v>4044</v>
      </c>
      <c r="E828" s="35" t="s">
        <v>4045</v>
      </c>
      <c r="F828" s="36">
        <v>0.25</v>
      </c>
      <c r="G828" s="31"/>
      <c r="H828" s="31"/>
      <c r="I828" s="31"/>
      <c r="J828" s="31"/>
      <c r="K828" s="31"/>
    </row>
    <row r="829" spans="1:11" ht="14.4" x14ac:dyDescent="0.3">
      <c r="A829" s="28" t="str">
        <f>B829&amp;C829&amp;D829&amp;E829</f>
        <v>Qurilish va taʼmirlashVentilyatsiyaHavo kanallari va butlovchi qismlarHavo kanallari va butlovchi qismlar</v>
      </c>
      <c r="B829" s="35" t="s">
        <v>3184</v>
      </c>
      <c r="C829" s="35" t="s">
        <v>4046</v>
      </c>
      <c r="D829" s="35" t="s">
        <v>4047</v>
      </c>
      <c r="E829" s="35" t="s">
        <v>4047</v>
      </c>
      <c r="F829" s="36">
        <v>0.25</v>
      </c>
      <c r="G829" s="31"/>
      <c r="H829" s="31"/>
      <c r="I829" s="31"/>
      <c r="J829" s="31"/>
      <c r="K829" s="31"/>
    </row>
    <row r="830" spans="1:11" ht="14.4" x14ac:dyDescent="0.3">
      <c r="A830" s="28" t="str">
        <f>B830&amp;C830&amp;D830&amp;E830</f>
        <v>Qurilish va taʼmirlashAsboblarKesish va arralash asboblariShisha kesgichlar</v>
      </c>
      <c r="B830" s="35" t="s">
        <v>3184</v>
      </c>
      <c r="C830" s="35" t="s">
        <v>4048</v>
      </c>
      <c r="D830" s="35" t="s">
        <v>4049</v>
      </c>
      <c r="E830" s="35" t="s">
        <v>4050</v>
      </c>
      <c r="F830" s="36">
        <v>0.25</v>
      </c>
      <c r="G830" s="31"/>
      <c r="H830" s="31"/>
      <c r="I830" s="31"/>
      <c r="J830" s="31"/>
      <c r="K830" s="31"/>
    </row>
    <row r="831" spans="1:11" ht="14.4" x14ac:dyDescent="0.3">
      <c r="A831" s="28" t="str">
        <f>B831&amp;C831&amp;D831&amp;E831</f>
        <v>Qurilish va taʼmirlashQoʻl asboblari va jihozlariKlyuchlarYechish klyuchlari</v>
      </c>
      <c r="B831" s="35" t="s">
        <v>3184</v>
      </c>
      <c r="C831" s="35" t="s">
        <v>4041</v>
      </c>
      <c r="D831" s="35" t="s">
        <v>4051</v>
      </c>
      <c r="E831" s="35" t="s">
        <v>4052</v>
      </c>
      <c r="F831" s="36">
        <v>0.25</v>
      </c>
      <c r="G831" s="31"/>
      <c r="H831" s="31"/>
      <c r="I831" s="31"/>
      <c r="J831" s="31"/>
      <c r="K831" s="31"/>
    </row>
    <row r="832" spans="1:11" ht="14.4" x14ac:dyDescent="0.3">
      <c r="A832" s="28" t="str">
        <f>B832&amp;C832&amp;D832&amp;E832</f>
        <v>Qurilish va taʼmirlashQoʻl asboblari va jihozlariAsboblar va inventarlarni saqlashAsboblar va inventarlarni saqlash</v>
      </c>
      <c r="B832" s="35" t="s">
        <v>3184</v>
      </c>
      <c r="C832" s="35" t="s">
        <v>4041</v>
      </c>
      <c r="D832" s="35" t="s">
        <v>4053</v>
      </c>
      <c r="E832" s="35" t="s">
        <v>4053</v>
      </c>
      <c r="F832" s="36">
        <v>0.25</v>
      </c>
      <c r="G832" s="31"/>
      <c r="H832" s="31"/>
      <c r="I832" s="31"/>
      <c r="J832" s="31"/>
      <c r="K832" s="31"/>
    </row>
    <row r="833" spans="1:11" ht="14.4" x14ac:dyDescent="0.3">
      <c r="A833" s="28" t="str">
        <f>B833&amp;C833&amp;D833&amp;E833</f>
        <v>Qurilish va taʼmirlashQoʻl asboblari va jihozlariUrish-dastakli asboblariYogʻoch bolgʻa</v>
      </c>
      <c r="B833" s="35" t="s">
        <v>3184</v>
      </c>
      <c r="C833" s="35" t="s">
        <v>4041</v>
      </c>
      <c r="D833" s="35" t="s">
        <v>4042</v>
      </c>
      <c r="E833" s="35" t="s">
        <v>4054</v>
      </c>
      <c r="F833" s="36">
        <v>0.25</v>
      </c>
      <c r="G833" s="31"/>
      <c r="H833" s="31"/>
      <c r="I833" s="31"/>
      <c r="J833" s="31"/>
      <c r="K833" s="31"/>
    </row>
    <row r="834" spans="1:11" ht="14.4" x14ac:dyDescent="0.3">
      <c r="A834" s="28" t="str">
        <f>B834&amp;C834&amp;D834&amp;E834</f>
        <v>Qurilish va taʼmirlashQoʻl asboblari va jihozlariShaxsiy himoya vositalariQurilish koʻzoynaklari</v>
      </c>
      <c r="B834" s="35" t="s">
        <v>3184</v>
      </c>
      <c r="C834" s="35" t="s">
        <v>4041</v>
      </c>
      <c r="D834" s="35" t="s">
        <v>4055</v>
      </c>
      <c r="E834" s="35" t="s">
        <v>4056</v>
      </c>
      <c r="F834" s="36">
        <v>0.25</v>
      </c>
      <c r="G834" s="31"/>
      <c r="H834" s="31"/>
      <c r="I834" s="31"/>
      <c r="J834" s="31"/>
      <c r="K834" s="31"/>
    </row>
    <row r="835" spans="1:11" ht="14.4" x14ac:dyDescent="0.3">
      <c r="A835" s="28" t="str">
        <f>B835&amp;C835&amp;D835&amp;E835</f>
        <v>Qurilish va taʼmirlashQoʻl asboblari va jihozlariDuradgorlik-slesarlik asboblariMayda asboblar</v>
      </c>
      <c r="B835" s="35" t="s">
        <v>3184</v>
      </c>
      <c r="C835" s="35" t="s">
        <v>4041</v>
      </c>
      <c r="D835" s="35" t="s">
        <v>4057</v>
      </c>
      <c r="E835" s="35" t="s">
        <v>4058</v>
      </c>
      <c r="F835" s="36">
        <v>0.25</v>
      </c>
      <c r="G835" s="31"/>
      <c r="H835" s="31"/>
      <c r="I835" s="31"/>
      <c r="J835" s="31"/>
      <c r="K835" s="31"/>
    </row>
    <row r="836" spans="1:11" ht="14.4" x14ac:dyDescent="0.3">
      <c r="A836" s="28" t="str">
        <f>B836&amp;C836&amp;D836&amp;E836</f>
        <v>Qurilish va taʼmirlashQoʻl asboblari va jihozlariSarflov materiallarQurilish tasmalari</v>
      </c>
      <c r="B836" s="35" t="s">
        <v>3184</v>
      </c>
      <c r="C836" s="35" t="s">
        <v>4041</v>
      </c>
      <c r="D836" s="35" t="s">
        <v>3475</v>
      </c>
      <c r="E836" s="35" t="s">
        <v>4059</v>
      </c>
      <c r="F836" s="36">
        <v>0.25</v>
      </c>
      <c r="G836" s="31"/>
      <c r="H836" s="31"/>
      <c r="I836" s="31"/>
      <c r="J836" s="31"/>
      <c r="K836" s="31"/>
    </row>
    <row r="837" spans="1:11" ht="14.4" x14ac:dyDescent="0.3">
      <c r="A837" s="28" t="str">
        <f>B837&amp;C837&amp;D837&amp;E837</f>
        <v>Qurilish va taʼmirlashQoʻl asboblari va jihozlariBo'yash va pardozlash uchun asboblarBoʻyoqchilik tasmalari</v>
      </c>
      <c r="B837" s="35" t="s">
        <v>3184</v>
      </c>
      <c r="C837" s="35" t="s">
        <v>4041</v>
      </c>
      <c r="D837" s="35" t="s">
        <v>4060</v>
      </c>
      <c r="E837" s="35" t="s">
        <v>4061</v>
      </c>
      <c r="F837" s="36">
        <v>0.25</v>
      </c>
      <c r="G837" s="31"/>
      <c r="H837" s="31"/>
      <c r="I837" s="31"/>
      <c r="J837" s="31"/>
      <c r="K837" s="31"/>
    </row>
    <row r="838" spans="1:11" ht="14.4" x14ac:dyDescent="0.3">
      <c r="A838" s="28" t="str">
        <f>B838&amp;C838&amp;D838&amp;E838</f>
        <v>Qurilish va taʼmirlashQoʻl asboblari va jihozlariKlyuchlarGayka kalitlar</v>
      </c>
      <c r="B838" s="35" t="s">
        <v>3184</v>
      </c>
      <c r="C838" s="35" t="s">
        <v>4041</v>
      </c>
      <c r="D838" s="35" t="s">
        <v>4051</v>
      </c>
      <c r="E838" s="35" t="s">
        <v>4062</v>
      </c>
      <c r="F838" s="36">
        <v>0.25</v>
      </c>
      <c r="G838" s="31"/>
      <c r="H838" s="31"/>
      <c r="I838" s="31"/>
      <c r="J838" s="31"/>
      <c r="K838" s="31"/>
    </row>
    <row r="839" spans="1:11" ht="14.4" x14ac:dyDescent="0.3">
      <c r="A839" s="28" t="str">
        <f>B839&amp;C839&amp;D839&amp;E839</f>
        <v>Qurilish va taʼmirlashVentilyatsiyaKanalli ventilyatorlarKanalli ventilyatorlar</v>
      </c>
      <c r="B839" s="35" t="s">
        <v>3184</v>
      </c>
      <c r="C839" s="35" t="s">
        <v>4046</v>
      </c>
      <c r="D839" s="35" t="s">
        <v>4063</v>
      </c>
      <c r="E839" s="35" t="s">
        <v>4063</v>
      </c>
      <c r="F839" s="36">
        <v>0.25</v>
      </c>
      <c r="G839" s="31"/>
      <c r="H839" s="31"/>
      <c r="I839" s="31"/>
      <c r="J839" s="31"/>
      <c r="K839" s="31"/>
    </row>
    <row r="840" spans="1:11" ht="14.4" x14ac:dyDescent="0.3">
      <c r="A840" s="28" t="str">
        <f>B840&amp;C840&amp;D840&amp;E840</f>
        <v>Qurilish va taʼmirlashQoʻl asboblari va jihozlariFurnituraEshik furnituralari</v>
      </c>
      <c r="B840" s="35" t="s">
        <v>3184</v>
      </c>
      <c r="C840" s="35" t="s">
        <v>4041</v>
      </c>
      <c r="D840" s="35" t="s">
        <v>4064</v>
      </c>
      <c r="E840" s="35" t="s">
        <v>4065</v>
      </c>
      <c r="F840" s="36">
        <v>0.25</v>
      </c>
      <c r="G840" s="31"/>
      <c r="H840" s="31"/>
      <c r="I840" s="31"/>
      <c r="J840" s="31"/>
      <c r="K840" s="31"/>
    </row>
    <row r="841" spans="1:11" ht="14.4" x14ac:dyDescent="0.3">
      <c r="A841" s="28" t="str">
        <f>B841&amp;C841&amp;D841&amp;E841</f>
        <v>Qurilish va taʼmirlashQoʻl asboblari va jihozlariQisqich uskunalariStrubnitsa va tiskalar</v>
      </c>
      <c r="B841" s="35" t="s">
        <v>3184</v>
      </c>
      <c r="C841" s="35" t="s">
        <v>4041</v>
      </c>
      <c r="D841" s="35" t="s">
        <v>4066</v>
      </c>
      <c r="E841" s="35" t="s">
        <v>4067</v>
      </c>
      <c r="F841" s="36">
        <v>0.25</v>
      </c>
      <c r="G841" s="31"/>
      <c r="H841" s="31"/>
      <c r="I841" s="31"/>
      <c r="J841" s="31"/>
      <c r="K841" s="31"/>
    </row>
    <row r="842" spans="1:11" ht="14.4" x14ac:dyDescent="0.3">
      <c r="A842" s="28" t="str">
        <f>B842&amp;C842&amp;D842&amp;E842</f>
        <v>Qurilish va taʼmirlashQoʻl asboblari va jihozlariQisqich uskunalariShishalar uchun domkrat</v>
      </c>
      <c r="B842" s="35" t="s">
        <v>3184</v>
      </c>
      <c r="C842" s="35" t="s">
        <v>4041</v>
      </c>
      <c r="D842" s="35" t="s">
        <v>4066</v>
      </c>
      <c r="E842" s="35" t="s">
        <v>4068</v>
      </c>
      <c r="F842" s="36">
        <v>0.25</v>
      </c>
      <c r="G842" s="31"/>
      <c r="H842" s="31"/>
      <c r="I842" s="31"/>
      <c r="J842" s="31"/>
      <c r="K842" s="31"/>
    </row>
    <row r="843" spans="1:11" ht="14.4" x14ac:dyDescent="0.3">
      <c r="A843" s="28" t="str">
        <f>B843&amp;C843&amp;D843&amp;E843</f>
        <v>Qurilish va taʼmirlashAsboblarEhtiyot qismlarPerexodniklar va adapterlar</v>
      </c>
      <c r="B843" s="35" t="s">
        <v>3184</v>
      </c>
      <c r="C843" s="35" t="s">
        <v>4048</v>
      </c>
      <c r="D843" s="35" t="s">
        <v>4069</v>
      </c>
      <c r="E843" s="35" t="s">
        <v>4070</v>
      </c>
      <c r="F843" s="36">
        <v>0.25</v>
      </c>
      <c r="G843" s="31"/>
      <c r="H843" s="31"/>
      <c r="I843" s="31"/>
      <c r="J843" s="31"/>
      <c r="K843" s="31"/>
    </row>
    <row r="844" spans="1:11" ht="14.4" x14ac:dyDescent="0.3">
      <c r="A844" s="28" t="str">
        <f>B844&amp;C844&amp;D844&amp;E844</f>
        <v>Qurilish va taʼmirlashQoʻl asboblari va jihozlariSarflov materiallarAbraziv moddalar</v>
      </c>
      <c r="B844" s="35" t="s">
        <v>3184</v>
      </c>
      <c r="C844" s="35" t="s">
        <v>4041</v>
      </c>
      <c r="D844" s="35" t="s">
        <v>3475</v>
      </c>
      <c r="E844" s="35" t="s">
        <v>4071</v>
      </c>
      <c r="F844" s="36">
        <v>0.25</v>
      </c>
      <c r="G844" s="31"/>
      <c r="H844" s="31"/>
      <c r="I844" s="31"/>
      <c r="J844" s="31"/>
      <c r="K844" s="31"/>
    </row>
    <row r="845" spans="1:11" ht="14.4" x14ac:dyDescent="0.3">
      <c r="A845" s="28" t="str">
        <f>B845&amp;C845&amp;D845&amp;E845</f>
        <v>Qurilish va taʼmirlashAsboblarEhtiyot qismlarKoronkalar</v>
      </c>
      <c r="B845" s="35" t="s">
        <v>3184</v>
      </c>
      <c r="C845" s="35" t="s">
        <v>4048</v>
      </c>
      <c r="D845" s="35" t="s">
        <v>4069</v>
      </c>
      <c r="E845" s="35" t="s">
        <v>4072</v>
      </c>
      <c r="F845" s="36">
        <v>0.25</v>
      </c>
      <c r="G845" s="31"/>
      <c r="H845" s="31"/>
      <c r="I845" s="31"/>
      <c r="J845" s="31"/>
      <c r="K845" s="31"/>
    </row>
    <row r="846" spans="1:11" ht="14.4" x14ac:dyDescent="0.3">
      <c r="A846" s="28" t="str">
        <f>B846&amp;C846&amp;D846&amp;E846</f>
        <v>Qurilish va taʼmirlashQoʻl asboblari va jihozlariKlyuchlarTeshikli klyuchlar</v>
      </c>
      <c r="B846" s="35" t="s">
        <v>3184</v>
      </c>
      <c r="C846" s="35" t="s">
        <v>4041</v>
      </c>
      <c r="D846" s="35" t="s">
        <v>4051</v>
      </c>
      <c r="E846" s="35" t="s">
        <v>4073</v>
      </c>
      <c r="F846" s="36">
        <v>0.25</v>
      </c>
      <c r="G846" s="31"/>
      <c r="H846" s="31"/>
      <c r="I846" s="31"/>
      <c r="J846" s="31"/>
      <c r="K846" s="31"/>
    </row>
    <row r="847" spans="1:11" ht="14.4" x14ac:dyDescent="0.3">
      <c r="A847" s="28" t="str">
        <f>B847&amp;C847&amp;D847&amp;E847</f>
        <v>Qurilish va taʼmirlashAsboblarPayvandlash uskunalariPayvandchining niqoblar va qo'lqoplar</v>
      </c>
      <c r="B847" s="35" t="s">
        <v>3184</v>
      </c>
      <c r="C847" s="35" t="s">
        <v>4048</v>
      </c>
      <c r="D847" s="35" t="s">
        <v>4074</v>
      </c>
      <c r="E847" s="35" t="s">
        <v>4075</v>
      </c>
      <c r="F847" s="36">
        <v>0.25</v>
      </c>
      <c r="G847" s="31"/>
      <c r="H847" s="31"/>
      <c r="I847" s="31"/>
      <c r="J847" s="31"/>
      <c r="K847" s="31"/>
    </row>
    <row r="848" spans="1:11" ht="14.4" x14ac:dyDescent="0.3">
      <c r="A848" s="28" t="str">
        <f>B848&amp;C848&amp;D848&amp;E848</f>
        <v>Qurilish va taʼmirlashYoritishBogʻni yoritishBogʻni yoritish</v>
      </c>
      <c r="B848" s="35" t="s">
        <v>3184</v>
      </c>
      <c r="C848" s="35" t="s">
        <v>4076</v>
      </c>
      <c r="D848" s="35" t="s">
        <v>4077</v>
      </c>
      <c r="E848" s="35" t="s">
        <v>4077</v>
      </c>
      <c r="F848" s="36">
        <v>0.25</v>
      </c>
      <c r="G848" s="31"/>
      <c r="H848" s="31"/>
      <c r="I848" s="31"/>
      <c r="J848" s="31"/>
      <c r="K848" s="31"/>
    </row>
    <row r="849" spans="1:11" ht="14.4" x14ac:dyDescent="0.3">
      <c r="A849" s="28" t="str">
        <f>B849&amp;C849&amp;D849&amp;E849</f>
        <v>Qurilish va taʼmirlashAsboblarKesish va arralash asboblariRandalar</v>
      </c>
      <c r="B849" s="35" t="s">
        <v>3184</v>
      </c>
      <c r="C849" s="35" t="s">
        <v>4048</v>
      </c>
      <c r="D849" s="35" t="s">
        <v>4049</v>
      </c>
      <c r="E849" s="35" t="s">
        <v>4078</v>
      </c>
      <c r="F849" s="36">
        <v>0.25</v>
      </c>
      <c r="G849" s="31"/>
      <c r="H849" s="31"/>
      <c r="I849" s="31"/>
      <c r="J849" s="31"/>
      <c r="K849" s="31"/>
    </row>
    <row r="850" spans="1:11" ht="14.4" x14ac:dyDescent="0.3">
      <c r="A850" s="28" t="str">
        <f>B850&amp;C850&amp;D850&amp;E850</f>
        <v>Qurilish va taʼmirlashQoʻl asboblari va jihozlariDuradgorlik-slesarlik asboblariMetchiklar</v>
      </c>
      <c r="B850" s="35" t="s">
        <v>3184</v>
      </c>
      <c r="C850" s="35" t="s">
        <v>4041</v>
      </c>
      <c r="D850" s="35" t="s">
        <v>4057</v>
      </c>
      <c r="E850" s="35" t="s">
        <v>4079</v>
      </c>
      <c r="F850" s="36">
        <v>0.25</v>
      </c>
      <c r="G850" s="31"/>
      <c r="H850" s="31"/>
      <c r="I850" s="31"/>
      <c r="J850" s="31"/>
      <c r="K850" s="31"/>
    </row>
    <row r="851" spans="1:11" ht="14.4" x14ac:dyDescent="0.3">
      <c r="A851" s="28" t="str">
        <f>B851&amp;C851&amp;D851&amp;E851</f>
        <v>Qurilish va taʼmirlashYoritishLampochkalarLampochkalar</v>
      </c>
      <c r="B851" s="35" t="s">
        <v>3184</v>
      </c>
      <c r="C851" s="35" t="s">
        <v>4076</v>
      </c>
      <c r="D851" s="35" t="s">
        <v>4080</v>
      </c>
      <c r="E851" s="35" t="s">
        <v>4080</v>
      </c>
      <c r="F851" s="36">
        <v>0.25</v>
      </c>
      <c r="G851" s="31"/>
      <c r="H851" s="31"/>
      <c r="I851" s="31"/>
      <c r="J851" s="31"/>
      <c r="K851" s="31"/>
    </row>
    <row r="852" spans="1:11" ht="14.4" x14ac:dyDescent="0.3">
      <c r="A852" s="28" t="str">
        <f>B852&amp;C852&amp;D852&amp;E852</f>
        <v>Qurilish va taʼmirlashQoʻl asboblari va jihozlariFurnituraOyna furnituralari</v>
      </c>
      <c r="B852" s="35" t="s">
        <v>3184</v>
      </c>
      <c r="C852" s="35" t="s">
        <v>4041</v>
      </c>
      <c r="D852" s="35" t="s">
        <v>4064</v>
      </c>
      <c r="E852" s="35" t="s">
        <v>4081</v>
      </c>
      <c r="F852" s="36">
        <v>0.25</v>
      </c>
      <c r="G852" s="31"/>
      <c r="H852" s="31"/>
      <c r="I852" s="31"/>
      <c r="J852" s="31"/>
      <c r="K852" s="31"/>
    </row>
    <row r="853" spans="1:11" ht="14.4" x14ac:dyDescent="0.3">
      <c r="A853" s="28" t="str">
        <f>B853&amp;C853&amp;D853&amp;E853</f>
        <v>Qurilish va taʼmirlashQoʻl asboblari va jihozlariMahkamlagichlarVintlar va murvatlar</v>
      </c>
      <c r="B853" s="35" t="s">
        <v>3184</v>
      </c>
      <c r="C853" s="35" t="s">
        <v>4041</v>
      </c>
      <c r="D853" s="35" t="s">
        <v>3330</v>
      </c>
      <c r="E853" s="35" t="s">
        <v>4082</v>
      </c>
      <c r="F853" s="36">
        <v>0.25</v>
      </c>
      <c r="G853" s="31"/>
      <c r="H853" s="31"/>
      <c r="I853" s="31"/>
      <c r="J853" s="31"/>
      <c r="K853" s="31"/>
    </row>
    <row r="854" spans="1:11" ht="14.4" x14ac:dyDescent="0.3">
      <c r="A854" s="28" t="str">
        <f>B854&amp;C854&amp;D854&amp;E854</f>
        <v>Qurilish va taʼmirlashSantexnikaDush kabinalari uchun butlovchi qismlarDush kabinalari uchun butlovchi qismlar</v>
      </c>
      <c r="B854" s="35" t="s">
        <v>3184</v>
      </c>
      <c r="C854" s="35" t="s">
        <v>4083</v>
      </c>
      <c r="D854" s="35" t="s">
        <v>4084</v>
      </c>
      <c r="E854" s="35" t="s">
        <v>4084</v>
      </c>
      <c r="F854" s="36">
        <v>0.25</v>
      </c>
      <c r="G854" s="31"/>
      <c r="H854" s="31"/>
      <c r="I854" s="31"/>
      <c r="J854" s="31"/>
      <c r="K854" s="31"/>
    </row>
    <row r="855" spans="1:11" ht="14.4" x14ac:dyDescent="0.3">
      <c r="A855" s="28" t="str">
        <f>B855&amp;C855&amp;D855&amp;E855</f>
        <v>Qurilish va taʼmirlashQoʻl asboblari va jihozlariBo'yash va pardozlash uchun asboblarBoʻyoqchilik choʻtkalari</v>
      </c>
      <c r="B855" s="35" t="s">
        <v>3184</v>
      </c>
      <c r="C855" s="35" t="s">
        <v>4041</v>
      </c>
      <c r="D855" s="35" t="s">
        <v>4060</v>
      </c>
      <c r="E855" s="35" t="s">
        <v>4085</v>
      </c>
      <c r="F855" s="36">
        <v>0.25</v>
      </c>
      <c r="G855" s="31"/>
      <c r="H855" s="31"/>
      <c r="I855" s="31"/>
      <c r="J855" s="31"/>
      <c r="K855" s="31"/>
    </row>
    <row r="856" spans="1:11" ht="14.4" x14ac:dyDescent="0.3">
      <c r="A856" s="28" t="str">
        <f>B856&amp;C856&amp;D856&amp;E856</f>
        <v>Qurilish va taʼmirlashQoʻl asboblari va jihozlariDuradgorlik-slesarlik asboblariMetall kesish uchun qaychilar</v>
      </c>
      <c r="B856" s="35" t="s">
        <v>3184</v>
      </c>
      <c r="C856" s="35" t="s">
        <v>4041</v>
      </c>
      <c r="D856" s="35" t="s">
        <v>4057</v>
      </c>
      <c r="E856" s="35" t="s">
        <v>4086</v>
      </c>
      <c r="F856" s="36">
        <v>0.25</v>
      </c>
      <c r="G856" s="31"/>
      <c r="H856" s="31"/>
      <c r="I856" s="31"/>
      <c r="J856" s="31"/>
      <c r="K856" s="31"/>
    </row>
    <row r="857" spans="1:11" ht="14.4" x14ac:dyDescent="0.3">
      <c r="A857" s="28" t="str">
        <f>B857&amp;C857&amp;D857&amp;E857</f>
        <v>Qurilish va taʼmirlashQoʻl asboblari va jihozlariMahkamlagichlarAnker murvatlari</v>
      </c>
      <c r="B857" s="35" t="s">
        <v>3184</v>
      </c>
      <c r="C857" s="35" t="s">
        <v>4041</v>
      </c>
      <c r="D857" s="35" t="s">
        <v>3330</v>
      </c>
      <c r="E857" s="35" t="s">
        <v>4087</v>
      </c>
      <c r="F857" s="36">
        <v>0.25</v>
      </c>
      <c r="G857" s="31"/>
      <c r="H857" s="31"/>
      <c r="I857" s="31"/>
      <c r="J857" s="31"/>
      <c r="K857" s="31"/>
    </row>
    <row r="858" spans="1:11" ht="14.4" x14ac:dyDescent="0.3">
      <c r="A858" s="28" t="str">
        <f>B858&amp;C858&amp;D858&amp;E858</f>
        <v>Qurilish va taʼmirlashQoʻl asboblari va jihozlariDuradgorlik-slesarlik asboblariPlunjer shprits</v>
      </c>
      <c r="B858" s="35" t="s">
        <v>3184</v>
      </c>
      <c r="C858" s="35" t="s">
        <v>4041</v>
      </c>
      <c r="D858" s="35" t="s">
        <v>4057</v>
      </c>
      <c r="E858" s="35" t="s">
        <v>4088</v>
      </c>
      <c r="F858" s="36">
        <v>0.25</v>
      </c>
      <c r="G858" s="31"/>
      <c r="H858" s="31"/>
      <c r="I858" s="31"/>
      <c r="J858" s="31"/>
      <c r="K858" s="31"/>
    </row>
    <row r="859" spans="1:11" ht="14.4" x14ac:dyDescent="0.3">
      <c r="A859" s="28" t="str">
        <f>B859&amp;C859&amp;D859&amp;E859</f>
        <v>Qurilish va taʼmirlashQoʻl asboblari va jihozlariMahkamlagichlarDyubellar</v>
      </c>
      <c r="B859" s="35" t="s">
        <v>3184</v>
      </c>
      <c r="C859" s="35" t="s">
        <v>4041</v>
      </c>
      <c r="D859" s="35" t="s">
        <v>3330</v>
      </c>
      <c r="E859" s="35" t="s">
        <v>4089</v>
      </c>
      <c r="F859" s="36">
        <v>0.25</v>
      </c>
      <c r="G859" s="31"/>
      <c r="H859" s="31"/>
      <c r="I859" s="31"/>
      <c r="J859" s="31"/>
      <c r="K859" s="31"/>
    </row>
    <row r="860" spans="1:11" ht="14.4" x14ac:dyDescent="0.3">
      <c r="A860" s="28" t="str">
        <f>B860&amp;C860&amp;D860&amp;E860</f>
        <v>Qurilish va taʼmirlashQoʻl asboblari va jihozlariDuradgorlik-slesarlik asboblariQoʻl arra</v>
      </c>
      <c r="B860" s="35" t="s">
        <v>3184</v>
      </c>
      <c r="C860" s="35" t="s">
        <v>4041</v>
      </c>
      <c r="D860" s="35" t="s">
        <v>4057</v>
      </c>
      <c r="E860" s="35" t="s">
        <v>4090</v>
      </c>
      <c r="F860" s="36">
        <v>0.25</v>
      </c>
      <c r="G860" s="31"/>
      <c r="H860" s="31"/>
      <c r="I860" s="31"/>
      <c r="J860" s="31"/>
      <c r="K860" s="31"/>
    </row>
    <row r="861" spans="1:11" ht="14.4" x14ac:dyDescent="0.3">
      <c r="A861" s="28" t="str">
        <f>B861&amp;C861&amp;D861&amp;E861</f>
        <v>Qurilish va taʼmirlashYoritishPatronlar va perexodniklarPatronlar va perexodniklar</v>
      </c>
      <c r="B861" s="35" t="s">
        <v>3184</v>
      </c>
      <c r="C861" s="35" t="s">
        <v>4076</v>
      </c>
      <c r="D861" s="35" t="s">
        <v>4091</v>
      </c>
      <c r="E861" s="35" t="s">
        <v>4091</v>
      </c>
      <c r="F861" s="36">
        <v>0.25</v>
      </c>
      <c r="G861" s="31"/>
      <c r="H861" s="31"/>
      <c r="I861" s="31"/>
      <c r="J861" s="31"/>
      <c r="K861" s="31"/>
    </row>
    <row r="862" spans="1:11" ht="14.4" x14ac:dyDescent="0.3">
      <c r="A862" s="28" t="str">
        <f>B862&amp;C862&amp;D862&amp;E862</f>
        <v>Qurilish va taʼmirlashQoʻl asboblari va jihozlariBo'yash va pardozlash uchun asboblarKraskopultlar va aerograflari</v>
      </c>
      <c r="B862" s="35" t="s">
        <v>3184</v>
      </c>
      <c r="C862" s="35" t="s">
        <v>4041</v>
      </c>
      <c r="D862" s="35" t="s">
        <v>4060</v>
      </c>
      <c r="E862" s="35" t="s">
        <v>4092</v>
      </c>
      <c r="F862" s="36">
        <v>0.25</v>
      </c>
      <c r="G862" s="31"/>
      <c r="H862" s="31"/>
      <c r="I862" s="31"/>
      <c r="J862" s="31"/>
      <c r="K862" s="31"/>
    </row>
    <row r="863" spans="1:11" ht="14.4" x14ac:dyDescent="0.3">
      <c r="A863" s="28" t="str">
        <f>B863&amp;C863&amp;D863&amp;E863</f>
        <v>Qurilish va taʼmirlashQoʻl asboblari va jihozlariUrish-dastakli asboblariMix sugʻurgichlar</v>
      </c>
      <c r="B863" s="35" t="s">
        <v>3184</v>
      </c>
      <c r="C863" s="35" t="s">
        <v>4041</v>
      </c>
      <c r="D863" s="35" t="s">
        <v>4042</v>
      </c>
      <c r="E863" s="35" t="s">
        <v>4093</v>
      </c>
      <c r="F863" s="36">
        <v>0.25</v>
      </c>
      <c r="G863" s="31"/>
      <c r="H863" s="31"/>
      <c r="I863" s="31"/>
      <c r="J863" s="31"/>
      <c r="K863" s="31"/>
    </row>
    <row r="864" spans="1:11" ht="14.4" x14ac:dyDescent="0.3">
      <c r="A864" s="28" t="str">
        <f>B864&amp;C864&amp;D864&amp;E864</f>
        <v>Qurilish va taʼmirlashQoʻl asboblari va jihozlariSarflov materiallarIzolyatsiya lentalari</v>
      </c>
      <c r="B864" s="35" t="s">
        <v>3184</v>
      </c>
      <c r="C864" s="35" t="s">
        <v>4041</v>
      </c>
      <c r="D864" s="35" t="s">
        <v>3475</v>
      </c>
      <c r="E864" s="35" t="s">
        <v>4094</v>
      </c>
      <c r="F864" s="36">
        <v>0.25</v>
      </c>
      <c r="G864" s="31"/>
      <c r="H864" s="31"/>
      <c r="I864" s="31"/>
      <c r="J864" s="31"/>
      <c r="K864" s="31"/>
    </row>
    <row r="865" spans="1:11" ht="14.4" x14ac:dyDescent="0.3">
      <c r="A865" s="28" t="str">
        <f>B865&amp;C865&amp;D865&amp;E865</f>
        <v>Qurilish va taʼmirlashQoʻl asboblari va jihozlariBo'yash va pardozlash uchun asboblarQurilish ishlari uchun tekislash asboblari</v>
      </c>
      <c r="B865" s="35" t="s">
        <v>3184</v>
      </c>
      <c r="C865" s="35" t="s">
        <v>4041</v>
      </c>
      <c r="D865" s="35" t="s">
        <v>4060</v>
      </c>
      <c r="E865" s="35" t="s">
        <v>4095</v>
      </c>
      <c r="F865" s="36">
        <v>0.25</v>
      </c>
      <c r="G865" s="31"/>
      <c r="H865" s="31"/>
      <c r="I865" s="31"/>
      <c r="J865" s="31"/>
      <c r="K865" s="31"/>
    </row>
    <row r="866" spans="1:11" ht="14.4" x14ac:dyDescent="0.3">
      <c r="A866" s="28" t="str">
        <f>B866&amp;C866&amp;D866&amp;E866</f>
        <v>Qurilish va taʼmirlashQoʻl asboblari va jihozlariMultitullarMultitullar</v>
      </c>
      <c r="B866" s="35" t="s">
        <v>3184</v>
      </c>
      <c r="C866" s="35" t="s">
        <v>4041</v>
      </c>
      <c r="D866" s="35" t="s">
        <v>4096</v>
      </c>
      <c r="E866" s="35" t="s">
        <v>4096</v>
      </c>
      <c r="F866" s="36">
        <v>0.25</v>
      </c>
      <c r="G866" s="31"/>
      <c r="H866" s="31"/>
      <c r="I866" s="31"/>
      <c r="J866" s="31"/>
      <c r="K866" s="31"/>
    </row>
    <row r="867" spans="1:11" ht="14.4" x14ac:dyDescent="0.3">
      <c r="A867" s="28" t="str">
        <f>B867&amp;C867&amp;D867&amp;E867</f>
        <v>Qurilish va taʼmirlashSantexnikaVanna va oshxona uchun aksessuarlarVanna va oshxona uchun aksessuarlar</v>
      </c>
      <c r="B867" s="35" t="s">
        <v>3184</v>
      </c>
      <c r="C867" s="35" t="s">
        <v>4083</v>
      </c>
      <c r="D867" s="35" t="s">
        <v>4097</v>
      </c>
      <c r="E867" s="35" t="s">
        <v>4097</v>
      </c>
      <c r="F867" s="36">
        <v>0.25</v>
      </c>
      <c r="G867" s="31"/>
      <c r="H867" s="31"/>
      <c r="I867" s="31"/>
      <c r="J867" s="31"/>
      <c r="K867" s="31"/>
    </row>
    <row r="868" spans="1:11" ht="14.4" x14ac:dyDescent="0.3">
      <c r="A868" s="28" t="str">
        <f>B868&amp;C868&amp;D868&amp;E868</f>
        <v>Qurilish va taʼmirlashVentilyatsiyaShamollatish panjaralari va revizion lyuklarShamollatish panjaralari va revizion lyuklar</v>
      </c>
      <c r="B868" s="35" t="s">
        <v>3184</v>
      </c>
      <c r="C868" s="35" t="s">
        <v>4046</v>
      </c>
      <c r="D868" s="35" t="s">
        <v>4098</v>
      </c>
      <c r="E868" s="35" t="s">
        <v>4098</v>
      </c>
      <c r="F868" s="36">
        <v>0.25</v>
      </c>
      <c r="G868" s="31"/>
      <c r="H868" s="31"/>
      <c r="I868" s="31"/>
      <c r="J868" s="31"/>
      <c r="K868" s="31"/>
    </row>
    <row r="869" spans="1:11" ht="14.4" x14ac:dyDescent="0.3">
      <c r="A869" s="28" t="str">
        <f>B869&amp;C869&amp;D869&amp;E869</f>
        <v>Qurilish va taʼmirlashQoʻl asboblari va jihozlariDuradgorlik-slesarlik asboblariMetall choʻtkalar</v>
      </c>
      <c r="B869" s="35" t="s">
        <v>3184</v>
      </c>
      <c r="C869" s="35" t="s">
        <v>4041</v>
      </c>
      <c r="D869" s="35" t="s">
        <v>4057</v>
      </c>
      <c r="E869" s="35" t="s">
        <v>4099</v>
      </c>
      <c r="F869" s="36">
        <v>0.25</v>
      </c>
      <c r="G869" s="31"/>
      <c r="H869" s="31"/>
      <c r="I869" s="31"/>
      <c r="J869" s="31"/>
      <c r="K869" s="31"/>
    </row>
    <row r="870" spans="1:11" ht="14.4" x14ac:dyDescent="0.3">
      <c r="A870" s="28" t="str">
        <f>B870&amp;C870&amp;D870&amp;E870</f>
        <v>Qurilish va taʼmirlashQoʻl asboblari va jihozlariMahkamlagichlarMahkamlash plastinalari</v>
      </c>
      <c r="B870" s="35" t="s">
        <v>3184</v>
      </c>
      <c r="C870" s="35" t="s">
        <v>4041</v>
      </c>
      <c r="D870" s="35" t="s">
        <v>3330</v>
      </c>
      <c r="E870" s="35" t="s">
        <v>4100</v>
      </c>
      <c r="F870" s="36">
        <v>0.25</v>
      </c>
      <c r="G870" s="31"/>
      <c r="H870" s="31"/>
      <c r="I870" s="31"/>
      <c r="J870" s="31"/>
      <c r="K870" s="31"/>
    </row>
    <row r="871" spans="1:11" ht="14.4" x14ac:dyDescent="0.3">
      <c r="A871" s="28" t="str">
        <f>B871&amp;C871&amp;D871&amp;E871</f>
        <v>Qurilish va taʼmirlashQoʻl asboblari va jihozlariShaxsiy himoya vositalariRespiratorlar</v>
      </c>
      <c r="B871" s="35" t="s">
        <v>3184</v>
      </c>
      <c r="C871" s="35" t="s">
        <v>4041</v>
      </c>
      <c r="D871" s="35" t="s">
        <v>4055</v>
      </c>
      <c r="E871" s="35" t="s">
        <v>4101</v>
      </c>
      <c r="F871" s="36">
        <v>0.25</v>
      </c>
      <c r="G871" s="31"/>
      <c r="H871" s="31"/>
      <c r="I871" s="31"/>
      <c r="J871" s="31"/>
      <c r="K871" s="31"/>
    </row>
    <row r="872" spans="1:11" ht="14.4" x14ac:dyDescent="0.3">
      <c r="A872" s="28" t="str">
        <f>B872&amp;C872&amp;D872&amp;E872</f>
        <v>Qurilish va taʼmirlashQoʻl asboblari va jihozlariBo'yash va pardozlash uchun asboblarQurilish ishlari uchun togʻoralar va chelaklar</v>
      </c>
      <c r="B872" s="35" t="s">
        <v>3184</v>
      </c>
      <c r="C872" s="35" t="s">
        <v>4041</v>
      </c>
      <c r="D872" s="35" t="s">
        <v>4060</v>
      </c>
      <c r="E872" s="35" t="s">
        <v>4102</v>
      </c>
      <c r="F872" s="36">
        <v>0.25</v>
      </c>
      <c r="G872" s="31"/>
      <c r="H872" s="31"/>
      <c r="I872" s="31"/>
      <c r="J872" s="31"/>
      <c r="K872" s="31"/>
    </row>
    <row r="873" spans="1:11" ht="14.4" x14ac:dyDescent="0.3">
      <c r="A873" s="28" t="str">
        <f>B873&amp;C873&amp;D873&amp;E873</f>
        <v>Qurilish va taʼmirlashAsboblarKesish va arralash asboblariArralar va qo'l arralari</v>
      </c>
      <c r="B873" s="35" t="s">
        <v>3184</v>
      </c>
      <c r="C873" s="35" t="s">
        <v>4048</v>
      </c>
      <c r="D873" s="35" t="s">
        <v>4049</v>
      </c>
      <c r="E873" s="35" t="s">
        <v>4103</v>
      </c>
      <c r="F873" s="36">
        <v>0.25</v>
      </c>
      <c r="G873" s="31"/>
      <c r="H873" s="31"/>
      <c r="I873" s="31"/>
      <c r="J873" s="31"/>
      <c r="K873" s="31"/>
    </row>
    <row r="874" spans="1:11" ht="14.4" x14ac:dyDescent="0.3">
      <c r="A874" s="28" t="str">
        <f>B874&amp;C874&amp;D874&amp;E874</f>
        <v>Qurilish va taʼmirlashQoʻl asboblari va jihozlariQisqich uskunalariYassi ombirlar</v>
      </c>
      <c r="B874" s="35" t="s">
        <v>3184</v>
      </c>
      <c r="C874" s="35" t="s">
        <v>4041</v>
      </c>
      <c r="D874" s="35" t="s">
        <v>4066</v>
      </c>
      <c r="E874" s="35" t="s">
        <v>4104</v>
      </c>
      <c r="F874" s="36">
        <v>0.25</v>
      </c>
      <c r="G874" s="31"/>
      <c r="H874" s="31"/>
      <c r="I874" s="31"/>
      <c r="J874" s="31"/>
      <c r="K874" s="31"/>
    </row>
    <row r="875" spans="1:11" ht="14.4" x14ac:dyDescent="0.3">
      <c r="A875" s="28" t="str">
        <f>B875&amp;C875&amp;D875&amp;E875</f>
        <v>Qurilish va taʼmirlashQoʻl asboblari va jihozlariDuradgorlik-slesarlik asboblariKerner</v>
      </c>
      <c r="B875" s="35" t="s">
        <v>3184</v>
      </c>
      <c r="C875" s="35" t="s">
        <v>4041</v>
      </c>
      <c r="D875" s="35" t="s">
        <v>4057</v>
      </c>
      <c r="E875" s="35" t="s">
        <v>4105</v>
      </c>
      <c r="F875" s="36">
        <v>0.25</v>
      </c>
      <c r="G875" s="31"/>
      <c r="H875" s="31"/>
      <c r="I875" s="31"/>
      <c r="J875" s="31"/>
      <c r="K875" s="31"/>
    </row>
    <row r="876" spans="1:11" ht="14.4" x14ac:dyDescent="0.3">
      <c r="A876" s="28" t="str">
        <f>B876&amp;C876&amp;D876&amp;E876</f>
        <v>Qurilish va taʼmirlashQoʻl asboblari va jihozlariMahkamlagichlarMixlar</v>
      </c>
      <c r="B876" s="35" t="s">
        <v>3184</v>
      </c>
      <c r="C876" s="35" t="s">
        <v>4041</v>
      </c>
      <c r="D876" s="35" t="s">
        <v>3330</v>
      </c>
      <c r="E876" s="35" t="s">
        <v>4106</v>
      </c>
      <c r="F876" s="36">
        <v>0.25</v>
      </c>
      <c r="G876" s="31"/>
      <c r="H876" s="31"/>
      <c r="I876" s="31"/>
      <c r="J876" s="31"/>
      <c r="K876" s="31"/>
    </row>
    <row r="877" spans="1:11" ht="14.4" x14ac:dyDescent="0.3">
      <c r="A877" s="28" t="str">
        <f>B877&amp;C877&amp;D877&amp;E877</f>
        <v>Qurilish va taʼmirlashVentilyatsiyaShamollatish moslamalariShamollatish moslamalari</v>
      </c>
      <c r="B877" s="35" t="s">
        <v>3184</v>
      </c>
      <c r="C877" s="35" t="s">
        <v>4046</v>
      </c>
      <c r="D877" s="35" t="s">
        <v>4107</v>
      </c>
      <c r="E877" s="35" t="s">
        <v>4107</v>
      </c>
      <c r="F877" s="36">
        <v>0.25</v>
      </c>
      <c r="G877" s="31"/>
      <c r="H877" s="31"/>
      <c r="I877" s="31"/>
      <c r="J877" s="31"/>
      <c r="K877" s="31"/>
    </row>
    <row r="878" spans="1:11" ht="14.4" x14ac:dyDescent="0.3">
      <c r="A878" s="28" t="str">
        <f>B878&amp;C878&amp;D878&amp;E878</f>
        <v>Qurilish va taʼmirlashQoʻl asboblari va jihozlariShaxsiy himoya vositalariHimoya qoʻlqoplari</v>
      </c>
      <c r="B878" s="35" t="s">
        <v>3184</v>
      </c>
      <c r="C878" s="35" t="s">
        <v>4041</v>
      </c>
      <c r="D878" s="35" t="s">
        <v>4055</v>
      </c>
      <c r="E878" s="35" t="s">
        <v>4108</v>
      </c>
      <c r="F878" s="36">
        <v>0.25</v>
      </c>
      <c r="G878" s="31"/>
      <c r="H878" s="31"/>
      <c r="I878" s="31"/>
      <c r="J878" s="31"/>
      <c r="K878" s="31"/>
    </row>
    <row r="879" spans="1:11" ht="14.4" x14ac:dyDescent="0.3">
      <c r="A879" s="28" t="str">
        <f>B879&amp;C879&amp;D879&amp;E879</f>
        <v>Qurilish va taʼmirlashSantexnikaTa'mirlash to'plamlari va sarf materiallariTa'mirlash to'plamlari va sarf materiallari</v>
      </c>
      <c r="B879" s="35" t="s">
        <v>3184</v>
      </c>
      <c r="C879" s="35" t="s">
        <v>4083</v>
      </c>
      <c r="D879" s="35" t="s">
        <v>4109</v>
      </c>
      <c r="E879" s="35" t="s">
        <v>4109</v>
      </c>
      <c r="F879" s="36">
        <v>0.25</v>
      </c>
      <c r="G879" s="31"/>
      <c r="H879" s="31"/>
      <c r="I879" s="31"/>
      <c r="J879" s="31"/>
      <c r="K879" s="31"/>
    </row>
    <row r="880" spans="1:11" ht="14.4" x14ac:dyDescent="0.3">
      <c r="A880" s="28" t="str">
        <f>B880&amp;C880&amp;D880&amp;E880</f>
        <v>Qurilish va taʼmirlashQoʻl asboblari va jihozlariKlyuchlarOlti burchakli klyuchlar</v>
      </c>
      <c r="B880" s="35" t="s">
        <v>3184</v>
      </c>
      <c r="C880" s="35" t="s">
        <v>4041</v>
      </c>
      <c r="D880" s="35" t="s">
        <v>4051</v>
      </c>
      <c r="E880" s="35" t="s">
        <v>4110</v>
      </c>
      <c r="F880" s="36">
        <v>0.25</v>
      </c>
      <c r="G880" s="31"/>
      <c r="H880" s="31"/>
      <c r="I880" s="31"/>
      <c r="J880" s="31"/>
      <c r="K880" s="31"/>
    </row>
    <row r="881" spans="1:11" ht="14.4" x14ac:dyDescent="0.3">
      <c r="A881" s="28" t="str">
        <f>B881&amp;C881&amp;D881&amp;E881</f>
        <v>Qurilish va taʼmirlashAsboblarEhtiyot qismlarSugʻorish nasadkalari</v>
      </c>
      <c r="B881" s="35" t="s">
        <v>3184</v>
      </c>
      <c r="C881" s="35" t="s">
        <v>4048</v>
      </c>
      <c r="D881" s="35" t="s">
        <v>4069</v>
      </c>
      <c r="E881" s="35" t="s">
        <v>4111</v>
      </c>
      <c r="F881" s="36">
        <v>0.25</v>
      </c>
      <c r="G881" s="31"/>
      <c r="H881" s="31"/>
      <c r="I881" s="31"/>
      <c r="J881" s="31"/>
      <c r="K881" s="31"/>
    </row>
    <row r="882" spans="1:11" ht="14.4" x14ac:dyDescent="0.3">
      <c r="A882" s="28" t="str">
        <f>B882&amp;C882&amp;D882&amp;E882</f>
        <v>Qurilish va taʼmirlashQoʻl asboblari va jihozlariMagnit asboblarMagnit asboblar</v>
      </c>
      <c r="B882" s="35" t="s">
        <v>3184</v>
      </c>
      <c r="C882" s="35" t="s">
        <v>4041</v>
      </c>
      <c r="D882" s="35" t="s">
        <v>4112</v>
      </c>
      <c r="E882" s="35" t="s">
        <v>4112</v>
      </c>
      <c r="F882" s="36">
        <v>0.25</v>
      </c>
      <c r="G882" s="31"/>
      <c r="H882" s="31"/>
      <c r="I882" s="31"/>
      <c r="J882" s="31"/>
      <c r="K882" s="31"/>
    </row>
    <row r="883" spans="1:11" ht="14.4" x14ac:dyDescent="0.3">
      <c r="A883" s="28" t="str">
        <f>B883&amp;C883&amp;D883&amp;E883</f>
        <v>Qurilish va taʼmirlashYoritishTexnik xonalar uchun chiroqlarTexnik xonalar uchun chiroqlar</v>
      </c>
      <c r="B883" s="35" t="s">
        <v>3184</v>
      </c>
      <c r="C883" s="35" t="s">
        <v>4076</v>
      </c>
      <c r="D883" s="35" t="s">
        <v>4113</v>
      </c>
      <c r="E883" s="35" t="s">
        <v>4113</v>
      </c>
      <c r="F883" s="36">
        <v>0.25</v>
      </c>
      <c r="G883" s="31"/>
      <c r="H883" s="31"/>
      <c r="I883" s="31"/>
      <c r="J883" s="31"/>
      <c r="K883" s="31"/>
    </row>
    <row r="884" spans="1:11" ht="14.4" x14ac:dyDescent="0.3">
      <c r="A884" s="28" t="str">
        <f>B884&amp;C884&amp;D884&amp;E884</f>
        <v>Qurilish va taʼmirlashQoʻl asboblari va jihozlariBo'yash va pardozlash uchun asboblarShpatellar</v>
      </c>
      <c r="B884" s="35" t="s">
        <v>3184</v>
      </c>
      <c r="C884" s="35" t="s">
        <v>4041</v>
      </c>
      <c r="D884" s="35" t="s">
        <v>4060</v>
      </c>
      <c r="E884" s="35" t="s">
        <v>4114</v>
      </c>
      <c r="F884" s="36">
        <v>0.25</v>
      </c>
      <c r="G884" s="31"/>
      <c r="H884" s="31"/>
      <c r="I884" s="31"/>
      <c r="J884" s="31"/>
      <c r="K884" s="31"/>
    </row>
    <row r="885" spans="1:11" ht="14.4" x14ac:dyDescent="0.3">
      <c r="A885" s="28" t="str">
        <f>B885&amp;C885&amp;D885&amp;E885</f>
        <v>Qurilish va taʼmirlashQurilish-pardoz materiallariGul qogʻozlarFoto-gulqogʻozlar</v>
      </c>
      <c r="B885" s="35" t="s">
        <v>3184</v>
      </c>
      <c r="C885" s="35" t="s">
        <v>3465</v>
      </c>
      <c r="D885" s="35" t="s">
        <v>4115</v>
      </c>
      <c r="E885" s="35" t="s">
        <v>4116</v>
      </c>
      <c r="F885" s="36">
        <v>0.25</v>
      </c>
      <c r="G885" s="31"/>
      <c r="H885" s="31"/>
      <c r="I885" s="31"/>
      <c r="J885" s="31"/>
      <c r="K885" s="31"/>
    </row>
    <row r="886" spans="1:11" ht="14.4" x14ac:dyDescent="0.3">
      <c r="A886" s="28" t="str">
        <f>B886&amp;C886&amp;D886&amp;E886</f>
        <v>Qurilish va taʼmirlashYoritishTunchiroqlarTunchiroqlar</v>
      </c>
      <c r="B886" s="35" t="s">
        <v>3184</v>
      </c>
      <c r="C886" s="35" t="s">
        <v>4076</v>
      </c>
      <c r="D886" s="35" t="s">
        <v>4117</v>
      </c>
      <c r="E886" s="35" t="s">
        <v>4117</v>
      </c>
      <c r="F886" s="36">
        <v>0.25</v>
      </c>
      <c r="G886" s="31"/>
      <c r="H886" s="31"/>
      <c r="I886" s="31"/>
      <c r="J886" s="31"/>
      <c r="K886" s="31"/>
    </row>
    <row r="887" spans="1:11" ht="14.4" x14ac:dyDescent="0.3">
      <c r="A887" s="28" t="str">
        <f>B887&amp;C887&amp;D887&amp;E887</f>
        <v>Qurilish va taʼmirlashYoritishSvetodiod yoritgichlarSvetodiod yoritgichlar</v>
      </c>
      <c r="B887" s="35" t="s">
        <v>3184</v>
      </c>
      <c r="C887" s="35" t="s">
        <v>4076</v>
      </c>
      <c r="D887" s="35" t="s">
        <v>4118</v>
      </c>
      <c r="E887" s="35" t="s">
        <v>4118</v>
      </c>
      <c r="F887" s="36">
        <v>0.25</v>
      </c>
      <c r="G887" s="31"/>
      <c r="H887" s="31"/>
      <c r="I887" s="31"/>
      <c r="J887" s="31"/>
      <c r="K887" s="31"/>
    </row>
    <row r="888" spans="1:11" ht="14.4" x14ac:dyDescent="0.3">
      <c r="A888" s="28" t="str">
        <f>B888&amp;C888&amp;D888&amp;E888</f>
        <v>Qurilish va taʼmirlashAsboblarKesish va arralash asboblariEgovlar va nozik egovlar</v>
      </c>
      <c r="B888" s="35" t="s">
        <v>3184</v>
      </c>
      <c r="C888" s="35" t="s">
        <v>4048</v>
      </c>
      <c r="D888" s="35" t="s">
        <v>4049</v>
      </c>
      <c r="E888" s="35" t="s">
        <v>4119</v>
      </c>
      <c r="F888" s="36">
        <v>0.25</v>
      </c>
      <c r="G888" s="31"/>
      <c r="H888" s="31"/>
      <c r="I888" s="31"/>
      <c r="J888" s="31"/>
      <c r="K888" s="31"/>
    </row>
    <row r="889" spans="1:11" ht="14.4" x14ac:dyDescent="0.3">
      <c r="A889" s="28" t="str">
        <f>B889&amp;C889&amp;D889&amp;E889</f>
        <v>Qurilish va taʼmirlashQoʻl asboblari va jihozlariXavfsizlik uskunalariXavfsizlik uskunalari</v>
      </c>
      <c r="B889" s="35" t="s">
        <v>3184</v>
      </c>
      <c r="C889" s="35" t="s">
        <v>4041</v>
      </c>
      <c r="D889" s="35" t="s">
        <v>4120</v>
      </c>
      <c r="E889" s="35" t="s">
        <v>4120</v>
      </c>
      <c r="F889" s="36">
        <v>0.25</v>
      </c>
      <c r="G889" s="31"/>
      <c r="H889" s="31"/>
      <c r="I889" s="31"/>
      <c r="J889" s="31"/>
      <c r="K889" s="31"/>
    </row>
    <row r="890" spans="1:11" ht="14.4" x14ac:dyDescent="0.3">
      <c r="A890" s="28" t="str">
        <f>B890&amp;C890&amp;D890&amp;E890</f>
        <v>Qurilish va taʼmirlashQoʻl asboblari va jihozlariBo'yash va pardozlash uchun asboblarTekislagichlar</v>
      </c>
      <c r="B890" s="35" t="s">
        <v>3184</v>
      </c>
      <c r="C890" s="35" t="s">
        <v>4041</v>
      </c>
      <c r="D890" s="35" t="s">
        <v>4060</v>
      </c>
      <c r="E890" s="35" t="s">
        <v>4121</v>
      </c>
      <c r="F890" s="36">
        <v>0.25</v>
      </c>
      <c r="G890" s="31"/>
      <c r="H890" s="31"/>
      <c r="I890" s="31"/>
      <c r="J890" s="31"/>
      <c r="K890" s="31"/>
    </row>
    <row r="891" spans="1:11" ht="14.4" x14ac:dyDescent="0.3">
      <c r="A891" s="28" t="str">
        <f>B891&amp;C891&amp;D891&amp;E891</f>
        <v>Qurilish va taʼmirlashQoʻl asboblari va jihozlariDuradgorlik-slesarlik asboblariOtvyortka</v>
      </c>
      <c r="B891" s="35" t="s">
        <v>3184</v>
      </c>
      <c r="C891" s="35" t="s">
        <v>4041</v>
      </c>
      <c r="D891" s="35" t="s">
        <v>4057</v>
      </c>
      <c r="E891" s="35" t="s">
        <v>4122</v>
      </c>
      <c r="F891" s="36">
        <v>0.25</v>
      </c>
      <c r="G891" s="31"/>
      <c r="H891" s="31"/>
      <c r="I891" s="31"/>
      <c r="J891" s="31"/>
      <c r="K891" s="31"/>
    </row>
    <row r="892" spans="1:11" ht="14.4" x14ac:dyDescent="0.3">
      <c r="A892" s="28" t="str">
        <f>B892&amp;C892&amp;D892&amp;E892</f>
        <v>Qurilish va taʼmirlashQoʻl asboblari va jihozlariShaxsiy himoya vositalariShovqinni bosuvchi quloqchinlar va quloq tiqinlari</v>
      </c>
      <c r="B892" s="35" t="s">
        <v>3184</v>
      </c>
      <c r="C892" s="35" t="s">
        <v>4041</v>
      </c>
      <c r="D892" s="35" t="s">
        <v>4055</v>
      </c>
      <c r="E892" s="35" t="s">
        <v>4123</v>
      </c>
      <c r="F892" s="36">
        <v>0.25</v>
      </c>
      <c r="G892" s="31"/>
      <c r="H892" s="31"/>
      <c r="I892" s="31"/>
      <c r="J892" s="31"/>
      <c r="K892" s="31"/>
    </row>
    <row r="893" spans="1:11" ht="14.4" x14ac:dyDescent="0.3">
      <c r="A893" s="28" t="str">
        <f>B893&amp;C893&amp;D893&amp;E893</f>
        <v>Qurilish va taʼmirlashQurilish-pardoz materiallariSeptiklar va gruntovkalarSeptiklar va gruntovkalar</v>
      </c>
      <c r="B893" s="35" t="s">
        <v>3184</v>
      </c>
      <c r="C893" s="35" t="s">
        <v>3465</v>
      </c>
      <c r="D893" s="35" t="s">
        <v>4124</v>
      </c>
      <c r="E893" s="35" t="s">
        <v>4124</v>
      </c>
      <c r="F893" s="36">
        <v>0.25</v>
      </c>
      <c r="G893" s="31"/>
      <c r="H893" s="31"/>
      <c r="I893" s="31"/>
      <c r="J893" s="31"/>
      <c r="K893" s="31"/>
    </row>
    <row r="894" spans="1:11" ht="14.4" x14ac:dyDescent="0.3">
      <c r="A894" s="28" t="str">
        <f>B894&amp;C894&amp;D894&amp;E894</f>
        <v>Qurilish va taʼmirlashQoʻl asboblari va jihozlariBo'yash va pardozlash uchun asboblarValiklar va boʻyoqchilik vannachalari</v>
      </c>
      <c r="B894" s="35" t="s">
        <v>3184</v>
      </c>
      <c r="C894" s="35" t="s">
        <v>4041</v>
      </c>
      <c r="D894" s="35" t="s">
        <v>4060</v>
      </c>
      <c r="E894" s="35" t="s">
        <v>4125</v>
      </c>
      <c r="F894" s="36">
        <v>0.25</v>
      </c>
      <c r="G894" s="31"/>
      <c r="H894" s="31"/>
      <c r="I894" s="31"/>
      <c r="J894" s="31"/>
      <c r="K894" s="31"/>
    </row>
    <row r="895" spans="1:11" ht="14.4" x14ac:dyDescent="0.3">
      <c r="A895" s="28" t="str">
        <f>B895&amp;C895&amp;D895&amp;E895</f>
        <v>Qurilish va taʼmirlashQoʻl asboblari va jihozlariShaxsiy himoya vositalariHimoya niqoblari</v>
      </c>
      <c r="B895" s="35" t="s">
        <v>3184</v>
      </c>
      <c r="C895" s="35" t="s">
        <v>4041</v>
      </c>
      <c r="D895" s="35" t="s">
        <v>4055</v>
      </c>
      <c r="E895" s="35" t="s">
        <v>4126</v>
      </c>
      <c r="F895" s="36">
        <v>0.25</v>
      </c>
      <c r="G895" s="31"/>
      <c r="H895" s="31"/>
      <c r="I895" s="31"/>
      <c r="J895" s="31"/>
      <c r="K895" s="31"/>
    </row>
    <row r="896" spans="1:11" ht="14.4" x14ac:dyDescent="0.3">
      <c r="A896" s="28" t="str">
        <f>B896&amp;C896&amp;D896&amp;E896</f>
        <v>Qurilish va taʼmirlashSantexnikaFitinglar va butlovchi qismlarFitinglar va butlovchi qismlar</v>
      </c>
      <c r="B896" s="35" t="s">
        <v>3184</v>
      </c>
      <c r="C896" s="35" t="s">
        <v>4083</v>
      </c>
      <c r="D896" s="35" t="s">
        <v>4127</v>
      </c>
      <c r="E896" s="35" t="s">
        <v>4127</v>
      </c>
      <c r="F896" s="36">
        <v>0.25</v>
      </c>
      <c r="G896" s="31"/>
      <c r="H896" s="31"/>
      <c r="I896" s="31"/>
      <c r="J896" s="31"/>
      <c r="K896" s="31"/>
    </row>
    <row r="897" spans="1:11" ht="14.4" x14ac:dyDescent="0.3">
      <c r="A897" s="28" t="str">
        <f>B897&amp;C897&amp;D897&amp;E897</f>
        <v>Qurilish va taʼmirlashQoʻl asboblari va jihozlariShaxsiy himoya vositalariKaskalar</v>
      </c>
      <c r="B897" s="35" t="s">
        <v>3184</v>
      </c>
      <c r="C897" s="35" t="s">
        <v>4041</v>
      </c>
      <c r="D897" s="35" t="s">
        <v>4055</v>
      </c>
      <c r="E897" s="35" t="s">
        <v>4128</v>
      </c>
      <c r="F897" s="36">
        <v>0.25</v>
      </c>
      <c r="G897" s="31"/>
      <c r="H897" s="31"/>
      <c r="I897" s="31"/>
      <c r="J897" s="31"/>
      <c r="K897" s="31"/>
    </row>
    <row r="898" spans="1:11" ht="14.4" x14ac:dyDescent="0.3">
      <c r="A898" s="28" t="str">
        <f>B898&amp;C898&amp;D898&amp;E898</f>
        <v>Qurilish va taʼmirlashQurilish uskunalariBoshqa qurilish uskunalariBoshqa qurilish uskunalari</v>
      </c>
      <c r="B898" s="35" t="s">
        <v>3184</v>
      </c>
      <c r="C898" s="35" t="s">
        <v>4129</v>
      </c>
      <c r="D898" s="35" t="s">
        <v>4130</v>
      </c>
      <c r="E898" s="35" t="s">
        <v>4130</v>
      </c>
      <c r="F898" s="36">
        <v>0.25</v>
      </c>
      <c r="G898" s="31"/>
      <c r="H898" s="31"/>
      <c r="I898" s="31"/>
      <c r="J898" s="31"/>
      <c r="K898" s="31"/>
    </row>
    <row r="899" spans="1:11" ht="14.4" x14ac:dyDescent="0.3">
      <c r="A899" s="28" t="str">
        <f>B899&amp;C899&amp;D899&amp;E899</f>
        <v>Qurilish va taʼmirlashQoʻl asboblari va jihozlariKlyuchlarDinamometrik kalitlar</v>
      </c>
      <c r="B899" s="35" t="s">
        <v>3184</v>
      </c>
      <c r="C899" s="35" t="s">
        <v>4041</v>
      </c>
      <c r="D899" s="35" t="s">
        <v>4051</v>
      </c>
      <c r="E899" s="35" t="s">
        <v>4131</v>
      </c>
      <c r="F899" s="36">
        <v>0.25</v>
      </c>
      <c r="G899" s="31"/>
      <c r="H899" s="31"/>
      <c r="I899" s="31"/>
      <c r="J899" s="31"/>
      <c r="K899" s="31"/>
    </row>
    <row r="900" spans="1:11" ht="14.4" x14ac:dyDescent="0.3">
      <c r="A900" s="28" t="str">
        <f>B900&amp;C900&amp;D900&amp;E900</f>
        <v>Qurilish va taʼmirlashAsboblarKesish va arralash asboblariKeskilar va iskanalar</v>
      </c>
      <c r="B900" s="35" t="s">
        <v>3184</v>
      </c>
      <c r="C900" s="35" t="s">
        <v>4048</v>
      </c>
      <c r="D900" s="35" t="s">
        <v>4049</v>
      </c>
      <c r="E900" s="35" t="s">
        <v>4132</v>
      </c>
      <c r="F900" s="36">
        <v>0.25</v>
      </c>
      <c r="G900" s="31"/>
      <c r="H900" s="31"/>
      <c r="I900" s="31"/>
      <c r="J900" s="31"/>
      <c r="K900" s="31"/>
    </row>
    <row r="901" spans="1:11" ht="14.4" x14ac:dyDescent="0.3">
      <c r="A901" s="28" t="str">
        <f>B901&amp;C901&amp;D901&amp;E901</f>
        <v>Qurilish va taʼmirlashVentilyatsiyaHavoni tortuvchi ventilyatorlarHavoni tortuvchi ventilyatorlar</v>
      </c>
      <c r="B901" s="35" t="s">
        <v>3184</v>
      </c>
      <c r="C901" s="35" t="s">
        <v>4046</v>
      </c>
      <c r="D901" s="35" t="s">
        <v>4133</v>
      </c>
      <c r="E901" s="35" t="s">
        <v>4133</v>
      </c>
      <c r="F901" s="36">
        <v>0.25</v>
      </c>
      <c r="G901" s="31"/>
      <c r="H901" s="31"/>
      <c r="I901" s="31"/>
      <c r="J901" s="31"/>
      <c r="K901" s="31"/>
    </row>
    <row r="902" spans="1:11" ht="14.4" x14ac:dyDescent="0.3">
      <c r="A902" s="28" t="str">
        <f>B902&amp;C902&amp;D902&amp;E902</f>
        <v>Qurilish va taʼmirlashIsitishSharli kranlarSharli kranlar</v>
      </c>
      <c r="B902" s="35" t="s">
        <v>3184</v>
      </c>
      <c r="C902" s="35" t="s">
        <v>4134</v>
      </c>
      <c r="D902" s="35" t="s">
        <v>4135</v>
      </c>
      <c r="E902" s="35" t="s">
        <v>4135</v>
      </c>
      <c r="F902" s="36">
        <v>0.25</v>
      </c>
      <c r="G902" s="31"/>
      <c r="H902" s="31"/>
      <c r="I902" s="31"/>
      <c r="J902" s="31"/>
      <c r="K902" s="31"/>
    </row>
    <row r="903" spans="1:11" ht="14.4" x14ac:dyDescent="0.3">
      <c r="A903" s="28" t="str">
        <f>B903&amp;C903&amp;D903&amp;E903</f>
        <v>Qurilish va taʼmirlashYoritishChiroqi musiqaChiroqi musiqa</v>
      </c>
      <c r="B903" s="35" t="s">
        <v>3184</v>
      </c>
      <c r="C903" s="35" t="s">
        <v>4076</v>
      </c>
      <c r="D903" s="35" t="s">
        <v>4136</v>
      </c>
      <c r="E903" s="35" t="s">
        <v>4136</v>
      </c>
      <c r="F903" s="36">
        <v>0.25</v>
      </c>
      <c r="G903" s="31"/>
      <c r="H903" s="31"/>
      <c r="I903" s="31"/>
      <c r="J903" s="31"/>
      <c r="K903" s="31"/>
    </row>
    <row r="904" spans="1:11" ht="14.4" x14ac:dyDescent="0.3">
      <c r="A904" s="28" t="str">
        <f>B904&amp;C904&amp;D904&amp;E904</f>
        <v>Qurilish va taʼmirlashQurilish-pardoz materiallariQurilish-pardoz ishlar uchun aksessuarlar va sarflov materiallariQurilish-pardoz ishlar uchun aksessuarlar va sarflov materiallari</v>
      </c>
      <c r="B904" s="35" t="s">
        <v>3184</v>
      </c>
      <c r="C904" s="35" t="s">
        <v>3465</v>
      </c>
      <c r="D904" s="35" t="s">
        <v>4137</v>
      </c>
      <c r="E904" s="35" t="s">
        <v>4137</v>
      </c>
      <c r="F904" s="36">
        <v>0.25</v>
      </c>
      <c r="G904" s="31"/>
      <c r="H904" s="31"/>
      <c r="I904" s="31"/>
      <c r="J904" s="31"/>
      <c r="K904" s="31"/>
    </row>
    <row r="905" spans="1:11" ht="14.4" x14ac:dyDescent="0.3">
      <c r="A905" s="28" t="str">
        <f>B905&amp;C905&amp;D905&amp;E905</f>
        <v>Qurilish va taʼmirlashQoʻl asboblari va jihozlariUrish-dastakli asboblariBolgʻa</v>
      </c>
      <c r="B905" s="35" t="s">
        <v>3184</v>
      </c>
      <c r="C905" s="35" t="s">
        <v>4041</v>
      </c>
      <c r="D905" s="35" t="s">
        <v>4042</v>
      </c>
      <c r="E905" s="35" t="s">
        <v>4138</v>
      </c>
      <c r="F905" s="36">
        <v>0.25</v>
      </c>
      <c r="G905" s="31"/>
      <c r="H905" s="31"/>
      <c r="I905" s="31"/>
      <c r="J905" s="31"/>
      <c r="K905" s="31"/>
    </row>
    <row r="906" spans="1:11" ht="14.4" x14ac:dyDescent="0.3">
      <c r="A906" s="28" t="str">
        <f>B906&amp;C906&amp;D906&amp;E906</f>
        <v>Qurilish va taʼmirlashAsboblarEhtiyot qismlarAsboblar uchun ehtiyot qismlar</v>
      </c>
      <c r="B906" s="35" t="s">
        <v>3184</v>
      </c>
      <c r="C906" s="35" t="s">
        <v>4048</v>
      </c>
      <c r="D906" s="35" t="s">
        <v>4069</v>
      </c>
      <c r="E906" s="35" t="s">
        <v>4139</v>
      </c>
      <c r="F906" s="36">
        <v>0.25</v>
      </c>
      <c r="G906" s="31"/>
      <c r="H906" s="31"/>
      <c r="I906" s="31"/>
      <c r="J906" s="31"/>
      <c r="K906" s="31"/>
    </row>
    <row r="907" spans="1:11" ht="14.4" x14ac:dyDescent="0.3">
      <c r="A907" s="28" t="str">
        <f>B907&amp;C907&amp;D907&amp;E907</f>
        <v>Qurilish va taʼmirlashQoʻl asboblari va jihozlariMontaj asboblariMebel stepler</v>
      </c>
      <c r="B907" s="35" t="s">
        <v>3184</v>
      </c>
      <c r="C907" s="35" t="s">
        <v>4041</v>
      </c>
      <c r="D907" s="35" t="s">
        <v>4044</v>
      </c>
      <c r="E907" s="35" t="s">
        <v>4140</v>
      </c>
      <c r="F907" s="36">
        <v>0.25</v>
      </c>
      <c r="G907" s="31"/>
      <c r="H907" s="31"/>
      <c r="I907" s="31"/>
      <c r="J907" s="31"/>
      <c r="K907" s="31"/>
    </row>
    <row r="908" spans="1:11" ht="14.4" x14ac:dyDescent="0.3">
      <c r="A908" s="28" t="str">
        <f>B908&amp;C908&amp;D908&amp;E908</f>
        <v>Qurilish va taʼmirlashQoʻl asboblari va jihozlariKlyuchlarTorks klyuchlari</v>
      </c>
      <c r="B908" s="35" t="s">
        <v>3184</v>
      </c>
      <c r="C908" s="35" t="s">
        <v>4041</v>
      </c>
      <c r="D908" s="35" t="s">
        <v>4051</v>
      </c>
      <c r="E908" s="35" t="s">
        <v>4141</v>
      </c>
      <c r="F908" s="36">
        <v>0.25</v>
      </c>
      <c r="G908" s="31"/>
      <c r="H908" s="31"/>
      <c r="I908" s="31"/>
      <c r="J908" s="31"/>
      <c r="K908" s="31"/>
    </row>
    <row r="909" spans="1:11" ht="14.4" x14ac:dyDescent="0.3">
      <c r="A909" s="28" t="str">
        <f>B909&amp;C909&amp;D909&amp;E909</f>
        <v>Qurilish va taʼmirlashQoʻl asboblari va jihozlariMahkamlagichlarShuruplar va samorezlar</v>
      </c>
      <c r="B909" s="35" t="s">
        <v>3184</v>
      </c>
      <c r="C909" s="35" t="s">
        <v>4041</v>
      </c>
      <c r="D909" s="35" t="s">
        <v>3330</v>
      </c>
      <c r="E909" s="35" t="s">
        <v>4142</v>
      </c>
      <c r="F909" s="36">
        <v>0.25</v>
      </c>
      <c r="G909" s="31"/>
      <c r="H909" s="31"/>
      <c r="I909" s="31"/>
      <c r="J909" s="31"/>
      <c r="K909" s="31"/>
    </row>
    <row r="910" spans="1:11" ht="14.4" x14ac:dyDescent="0.3">
      <c r="A910" s="28" t="str">
        <f>B910&amp;C910&amp;D910&amp;E910</f>
        <v>Qurilish va taʼmirlashQoʻl asboblari va jihozlariMahkamlagichlarBurchaklar va ushlagichlar</v>
      </c>
      <c r="B910" s="35" t="s">
        <v>3184</v>
      </c>
      <c r="C910" s="35" t="s">
        <v>4041</v>
      </c>
      <c r="D910" s="35" t="s">
        <v>3330</v>
      </c>
      <c r="E910" s="35" t="s">
        <v>4143</v>
      </c>
      <c r="F910" s="36">
        <v>0.25</v>
      </c>
      <c r="G910" s="31"/>
      <c r="H910" s="31"/>
      <c r="I910" s="31"/>
      <c r="J910" s="31"/>
      <c r="K910" s="31"/>
    </row>
    <row r="911" spans="1:11" ht="14.4" x14ac:dyDescent="0.3">
      <c r="A911" s="28" t="str">
        <f>B911&amp;C911&amp;D911&amp;E911</f>
        <v>Qurilish va taʼmirlashQurilish-pardoz materiallariGul qogʻozlarGul qogʻozlar</v>
      </c>
      <c r="B911" s="35" t="s">
        <v>3184</v>
      </c>
      <c r="C911" s="35" t="s">
        <v>3465</v>
      </c>
      <c r="D911" s="35" t="s">
        <v>4115</v>
      </c>
      <c r="E911" s="35" t="s">
        <v>4115</v>
      </c>
      <c r="F911" s="36">
        <v>0.25</v>
      </c>
      <c r="G911" s="31"/>
      <c r="H911" s="31"/>
      <c r="I911" s="31"/>
      <c r="J911" s="31"/>
      <c r="K911" s="31"/>
    </row>
    <row r="912" spans="1:11" ht="14.4" x14ac:dyDescent="0.3">
      <c r="A912" s="28" t="str">
        <f>B912&amp;C912&amp;D912&amp;E912</f>
        <v>Qurilish va taʼmirlashAsboblarPayvandlash uskunalariPayvandlash uchun butlovchi qismlar</v>
      </c>
      <c r="B912" s="35" t="s">
        <v>3184</v>
      </c>
      <c r="C912" s="35" t="s">
        <v>4048</v>
      </c>
      <c r="D912" s="35" t="s">
        <v>4074</v>
      </c>
      <c r="E912" s="35" t="s">
        <v>4144</v>
      </c>
      <c r="F912" s="36">
        <v>0.25</v>
      </c>
      <c r="G912" s="31"/>
      <c r="H912" s="31"/>
      <c r="I912" s="31"/>
      <c r="J912" s="31"/>
      <c r="K912" s="31"/>
    </row>
    <row r="913" spans="1:11" ht="14.4" x14ac:dyDescent="0.3">
      <c r="A913" s="28" t="str">
        <f>B913&amp;C913&amp;D913&amp;E913</f>
        <v>Qurilish va taʼmirlashQoʻl asboblari va jihozlariBo'yash va pardozlash uchun asboblarQurilish qirgʻichlari</v>
      </c>
      <c r="B913" s="35" t="s">
        <v>3184</v>
      </c>
      <c r="C913" s="35" t="s">
        <v>4041</v>
      </c>
      <c r="D913" s="35" t="s">
        <v>4060</v>
      </c>
      <c r="E913" s="35" t="s">
        <v>4145</v>
      </c>
      <c r="F913" s="36">
        <v>0.25</v>
      </c>
      <c r="G913" s="31"/>
      <c r="H913" s="31"/>
      <c r="I913" s="31"/>
      <c r="J913" s="31"/>
      <c r="K913" s="31"/>
    </row>
    <row r="914" spans="1:11" ht="14.4" x14ac:dyDescent="0.3">
      <c r="A914" s="28" t="str">
        <f>B914&amp;C914&amp;D914&amp;E914</f>
        <v>Qurilish va taʼmirlashYoritishTurar joy binolari uchun tunchiroqlarTurar joy binolari uchun tunchiroqlar</v>
      </c>
      <c r="B914" s="35" t="s">
        <v>3184</v>
      </c>
      <c r="C914" s="35" t="s">
        <v>4076</v>
      </c>
      <c r="D914" s="35" t="s">
        <v>4146</v>
      </c>
      <c r="E914" s="35" t="s">
        <v>4146</v>
      </c>
      <c r="F914" s="36">
        <v>0.25</v>
      </c>
      <c r="G914" s="31"/>
      <c r="H914" s="31"/>
      <c r="I914" s="31"/>
      <c r="J914" s="31"/>
      <c r="K914" s="31"/>
    </row>
    <row r="915" spans="1:11" ht="14.4" x14ac:dyDescent="0.3">
      <c r="A915" s="28" t="str">
        <f>B915&amp;C915&amp;D915&amp;E915</f>
        <v>Qurilish va taʼmirlashQoʻl asboblari va jihozlariKlyuchlarQuvur kalitlari</v>
      </c>
      <c r="B915" s="35" t="s">
        <v>3184</v>
      </c>
      <c r="C915" s="35" t="s">
        <v>4041</v>
      </c>
      <c r="D915" s="35" t="s">
        <v>4051</v>
      </c>
      <c r="E915" s="35" t="s">
        <v>4147</v>
      </c>
      <c r="F915" s="36">
        <v>0.25</v>
      </c>
      <c r="G915" s="31"/>
      <c r="H915" s="31"/>
      <c r="I915" s="31"/>
      <c r="J915" s="31"/>
      <c r="K915" s="31"/>
    </row>
    <row r="916" spans="1:11" ht="14.4" x14ac:dyDescent="0.3">
      <c r="A916" s="28" t="str">
        <f>B916&amp;C916&amp;D916&amp;E916</f>
        <v>Qurilish va taʼmirlashAsboblarPayvandlash uskunalariElektrodlar va simlar</v>
      </c>
      <c r="B916" s="35" t="s">
        <v>3184</v>
      </c>
      <c r="C916" s="35" t="s">
        <v>4048</v>
      </c>
      <c r="D916" s="35" t="s">
        <v>4074</v>
      </c>
      <c r="E916" s="35" t="s">
        <v>4148</v>
      </c>
      <c r="F916" s="36">
        <v>0.25</v>
      </c>
      <c r="G916" s="31"/>
      <c r="H916" s="31"/>
      <c r="I916" s="31"/>
      <c r="J916" s="31"/>
      <c r="K916" s="31"/>
    </row>
    <row r="917" spans="1:11" ht="14.4" x14ac:dyDescent="0.3">
      <c r="A917" s="28" t="str">
        <f>B917&amp;C917&amp;D917&amp;E917</f>
        <v>Qurilish va taʼmirlashYoritishUSB lampalarUSB lampalar</v>
      </c>
      <c r="B917" s="35" t="s">
        <v>3184</v>
      </c>
      <c r="C917" s="35" t="s">
        <v>4076</v>
      </c>
      <c r="D917" s="35" t="s">
        <v>4149</v>
      </c>
      <c r="E917" s="35" t="s">
        <v>4149</v>
      </c>
      <c r="F917" s="36">
        <v>0.25</v>
      </c>
      <c r="G917" s="31"/>
      <c r="H917" s="31"/>
      <c r="I917" s="31"/>
      <c r="J917" s="31"/>
      <c r="K917" s="31"/>
    </row>
    <row r="918" spans="1:11" ht="14.4" x14ac:dyDescent="0.3">
      <c r="A918" s="28" t="str">
        <f>B918&amp;C918&amp;D918&amp;E918</f>
        <v>Qurilish va taʼmirlashQurilish-pardoz materiallariLaklar va BoʻyoqlarLaklar va Boʻyoqlar</v>
      </c>
      <c r="B918" s="35" t="s">
        <v>3184</v>
      </c>
      <c r="C918" s="35" t="s">
        <v>3465</v>
      </c>
      <c r="D918" s="35" t="s">
        <v>4150</v>
      </c>
      <c r="E918" s="35" t="s">
        <v>4150</v>
      </c>
      <c r="F918" s="36">
        <v>0.25</v>
      </c>
      <c r="G918" s="31"/>
      <c r="H918" s="31"/>
      <c r="I918" s="31"/>
      <c r="J918" s="31"/>
      <c r="K918" s="31"/>
    </row>
    <row r="919" spans="1:11" ht="14.4" x14ac:dyDescent="0.3">
      <c r="A919" s="28" t="str">
        <f>B919&amp;C919&amp;D919&amp;E919</f>
        <v>Qurilish va taʼmirlashQoʻl asboblari va jihozlariMontaj asboblariMontaj pistoletlari</v>
      </c>
      <c r="B919" s="35" t="s">
        <v>3184</v>
      </c>
      <c r="C919" s="35" t="s">
        <v>4041</v>
      </c>
      <c r="D919" s="35" t="s">
        <v>4044</v>
      </c>
      <c r="E919" s="35" t="s">
        <v>4151</v>
      </c>
      <c r="F919" s="36">
        <v>0.25</v>
      </c>
      <c r="G919" s="31"/>
      <c r="H919" s="31"/>
      <c r="I919" s="31"/>
      <c r="J919" s="31"/>
      <c r="K919" s="31"/>
    </row>
    <row r="920" spans="1:11" ht="14.4" x14ac:dyDescent="0.3">
      <c r="A920" s="28" t="str">
        <f>B920&amp;C920&amp;D920&amp;E920</f>
        <v>Qurilish va taʼmirlashQoʻl asboblari va jihozlariDuradgorlik-slesarlik asboblariSlesar zubilasi</v>
      </c>
      <c r="B920" s="35" t="s">
        <v>3184</v>
      </c>
      <c r="C920" s="35" t="s">
        <v>4041</v>
      </c>
      <c r="D920" s="35" t="s">
        <v>4057</v>
      </c>
      <c r="E920" s="35" t="s">
        <v>4152</v>
      </c>
      <c r="F920" s="36">
        <v>0.25</v>
      </c>
      <c r="G920" s="31"/>
      <c r="H920" s="31"/>
      <c r="I920" s="31"/>
      <c r="J920" s="31"/>
      <c r="K920" s="31"/>
    </row>
    <row r="921" spans="1:11" ht="14.4" x14ac:dyDescent="0.3">
      <c r="A921" s="28" t="str">
        <f>B921&amp;C921&amp;D921&amp;E921</f>
        <v>Qurilish va taʼmirlashYoritishStol lampalariStol lampalari</v>
      </c>
      <c r="B921" s="35" t="s">
        <v>3184</v>
      </c>
      <c r="C921" s="35" t="s">
        <v>4076</v>
      </c>
      <c r="D921" s="35" t="s">
        <v>4153</v>
      </c>
      <c r="E921" s="35" t="s">
        <v>4153</v>
      </c>
      <c r="F921" s="36">
        <v>0.25</v>
      </c>
      <c r="G921" s="31"/>
      <c r="H921" s="31"/>
      <c r="I921" s="31"/>
      <c r="J921" s="31"/>
      <c r="K921" s="31"/>
    </row>
    <row r="922" spans="1:11" ht="14.4" x14ac:dyDescent="0.3">
      <c r="A922" s="28" t="str">
        <f>B922&amp;C922&amp;D922&amp;E922</f>
        <v>Qurilish va taʼmirlashQoʻl asboblari va jihozlariDuradgorlik-slesarlik asboblariQisqichlar va yon kesgichlar</v>
      </c>
      <c r="B922" s="35" t="s">
        <v>3184</v>
      </c>
      <c r="C922" s="35" t="s">
        <v>4041</v>
      </c>
      <c r="D922" s="35" t="s">
        <v>4057</v>
      </c>
      <c r="E922" s="35" t="s">
        <v>4154</v>
      </c>
      <c r="F922" s="36">
        <v>0.25</v>
      </c>
      <c r="G922" s="31"/>
      <c r="H922" s="31"/>
      <c r="I922" s="31"/>
      <c r="J922" s="31"/>
      <c r="K922" s="31"/>
    </row>
    <row r="923" spans="1:11" ht="14.4" x14ac:dyDescent="0.3">
      <c r="A923" s="28" t="str">
        <f>B923&amp;C923&amp;D923&amp;E923</f>
        <v>SalomatlikPrezervativlar va lubrikantlarLubrikantlarLubrikantlar</v>
      </c>
      <c r="B923" s="35" t="s">
        <v>3147</v>
      </c>
      <c r="C923" s="35" t="s">
        <v>4155</v>
      </c>
      <c r="D923" s="35" t="s">
        <v>4156</v>
      </c>
      <c r="E923" s="35" t="s">
        <v>4156</v>
      </c>
      <c r="F923" s="36">
        <v>0.25</v>
      </c>
      <c r="G923" s="31"/>
      <c r="H923" s="31"/>
      <c r="I923" s="31"/>
      <c r="J923" s="31"/>
      <c r="K923" s="31"/>
    </row>
    <row r="924" spans="1:11" ht="14.4" x14ac:dyDescent="0.3">
      <c r="A924" s="28" t="str">
        <f>B924&amp;C924&amp;D924&amp;E924</f>
        <v>SalomatlikMassaj uskunalariMassaj banklariMassaj banklari</v>
      </c>
      <c r="B924" s="35" t="s">
        <v>3147</v>
      </c>
      <c r="C924" s="35" t="s">
        <v>3484</v>
      </c>
      <c r="D924" s="35" t="s">
        <v>4157</v>
      </c>
      <c r="E924" s="35" t="s">
        <v>4157</v>
      </c>
      <c r="F924" s="36">
        <v>0.25</v>
      </c>
      <c r="G924" s="31"/>
      <c r="H924" s="31"/>
      <c r="I924" s="31"/>
      <c r="J924" s="31"/>
      <c r="K924" s="31"/>
    </row>
    <row r="925" spans="1:11" ht="14.4" x14ac:dyDescent="0.3">
      <c r="A925" s="28" t="str">
        <f>B925&amp;C925&amp;D925&amp;E925</f>
        <v>SalomatlikMassaj uskunalariMassaj matraslariMassaj matraslari</v>
      </c>
      <c r="B925" s="35" t="s">
        <v>3147</v>
      </c>
      <c r="C925" s="35" t="s">
        <v>3484</v>
      </c>
      <c r="D925" s="35" t="s">
        <v>4158</v>
      </c>
      <c r="E925" s="35" t="s">
        <v>4158</v>
      </c>
      <c r="F925" s="36">
        <v>0.25</v>
      </c>
      <c r="G925" s="31"/>
      <c r="H925" s="31"/>
      <c r="I925" s="31"/>
      <c r="J925" s="31"/>
      <c r="K925" s="31"/>
    </row>
    <row r="926" spans="1:11" ht="14.4" x14ac:dyDescent="0.3">
      <c r="A926" s="28" t="str">
        <f>B926&amp;C926&amp;D926&amp;E926</f>
        <v>SalomatlikOptikaKo'rish uchun ko'zoynaklarKo'rish uchun ko'zoynaklar</v>
      </c>
      <c r="B926" s="35" t="s">
        <v>3147</v>
      </c>
      <c r="C926" s="35" t="s">
        <v>3150</v>
      </c>
      <c r="D926" s="35" t="s">
        <v>4159</v>
      </c>
      <c r="E926" s="35" t="s">
        <v>4159</v>
      </c>
      <c r="F926" s="36">
        <v>0.25</v>
      </c>
      <c r="G926" s="31"/>
      <c r="H926" s="31"/>
      <c r="I926" s="31"/>
      <c r="J926" s="31"/>
      <c r="K926" s="31"/>
    </row>
    <row r="927" spans="1:11" ht="14.4" x14ac:dyDescent="0.3">
      <c r="A927" s="28" t="str">
        <f>B927&amp;C927&amp;D927&amp;E927</f>
        <v>SalomatlikMassaj uskunalariAvtomobillar uchun massaj yostiqchalariAvtomobillar uchun massaj yostiqchalari</v>
      </c>
      <c r="B927" s="35" t="s">
        <v>3147</v>
      </c>
      <c r="C927" s="35" t="s">
        <v>3484</v>
      </c>
      <c r="D927" s="35" t="s">
        <v>4160</v>
      </c>
      <c r="E927" s="35" t="s">
        <v>4160</v>
      </c>
      <c r="F927" s="36">
        <v>0.25</v>
      </c>
      <c r="G927" s="31"/>
      <c r="H927" s="31"/>
      <c r="I927" s="31"/>
      <c r="J927" s="31"/>
      <c r="K927" s="31"/>
    </row>
    <row r="928" spans="1:11" ht="14.4" x14ac:dyDescent="0.3">
      <c r="A928" s="28" t="str">
        <f>B928&amp;C928&amp;D928&amp;E928</f>
        <v>SalomatlikMassaj uskunalariTana uchun massaj moslamalariTana uchun massaj moslamalari</v>
      </c>
      <c r="B928" s="35" t="s">
        <v>3147</v>
      </c>
      <c r="C928" s="35" t="s">
        <v>3484</v>
      </c>
      <c r="D928" s="35" t="s">
        <v>4161</v>
      </c>
      <c r="E928" s="35" t="s">
        <v>4161</v>
      </c>
      <c r="F928" s="36">
        <v>0.25</v>
      </c>
      <c r="G928" s="31"/>
      <c r="H928" s="31"/>
      <c r="I928" s="31"/>
      <c r="J928" s="31"/>
      <c r="K928" s="31"/>
    </row>
    <row r="929" spans="1:11" ht="14.4" x14ac:dyDescent="0.3">
      <c r="A929" s="28" t="str">
        <f>B929&amp;C929&amp;D929&amp;E929</f>
        <v>SalomatlikOrtopedik buyumlarBandajlarBandajlar</v>
      </c>
      <c r="B929" s="35" t="s">
        <v>3147</v>
      </c>
      <c r="C929" s="35" t="s">
        <v>3148</v>
      </c>
      <c r="D929" s="35" t="s">
        <v>4162</v>
      </c>
      <c r="E929" s="35" t="s">
        <v>4162</v>
      </c>
      <c r="F929" s="36">
        <v>0.25</v>
      </c>
      <c r="G929" s="31"/>
      <c r="H929" s="31"/>
      <c r="I929" s="31"/>
      <c r="J929" s="31"/>
      <c r="K929" s="31"/>
    </row>
    <row r="930" spans="1:11" ht="14.4" x14ac:dyDescent="0.3">
      <c r="A930" s="28" t="str">
        <f>B930&amp;C930&amp;D930&amp;E930</f>
        <v>SalomatlikMassaj uskunalariOyoq uchun massaj moslamalariOyoq uchun massaj moslamalari</v>
      </c>
      <c r="B930" s="35" t="s">
        <v>3147</v>
      </c>
      <c r="C930" s="35" t="s">
        <v>3484</v>
      </c>
      <c r="D930" s="35" t="s">
        <v>4163</v>
      </c>
      <c r="E930" s="35" t="s">
        <v>4163</v>
      </c>
      <c r="F930" s="36">
        <v>0.25</v>
      </c>
      <c r="G930" s="31"/>
      <c r="H930" s="31"/>
      <c r="I930" s="31"/>
      <c r="J930" s="31"/>
      <c r="K930" s="31"/>
    </row>
    <row r="931" spans="1:11" ht="14.4" x14ac:dyDescent="0.3">
      <c r="A931" s="28" t="str">
        <f>B931&amp;C931&amp;D931&amp;E931</f>
        <v>SalomatlikOrtopedik buyumlarOrtopedik poyabzalOrtopedik poyabzal</v>
      </c>
      <c r="B931" s="35" t="s">
        <v>3147</v>
      </c>
      <c r="C931" s="35" t="s">
        <v>3148</v>
      </c>
      <c r="D931" s="35" t="s">
        <v>4164</v>
      </c>
      <c r="E931" s="35" t="s">
        <v>4164</v>
      </c>
      <c r="F931" s="36">
        <v>0.25</v>
      </c>
      <c r="G931" s="31"/>
      <c r="H931" s="31"/>
      <c r="I931" s="31"/>
      <c r="J931" s="31"/>
      <c r="K931" s="31"/>
    </row>
    <row r="932" spans="1:11" ht="14.4" x14ac:dyDescent="0.3">
      <c r="A932" s="28" t="str">
        <f>B932&amp;C932&amp;D932&amp;E932</f>
        <v>SalomatlikOptikaKontakt linzalarKontakt linzalar</v>
      </c>
      <c r="B932" s="35" t="s">
        <v>3147</v>
      </c>
      <c r="C932" s="35" t="s">
        <v>3150</v>
      </c>
      <c r="D932" s="35" t="s">
        <v>4165</v>
      </c>
      <c r="E932" s="35" t="s">
        <v>4165</v>
      </c>
      <c r="F932" s="36">
        <v>0.25</v>
      </c>
      <c r="G932" s="31"/>
      <c r="H932" s="31"/>
      <c r="I932" s="31"/>
      <c r="J932" s="31"/>
      <c r="K932" s="31"/>
    </row>
    <row r="933" spans="1:11" ht="14.4" x14ac:dyDescent="0.3">
      <c r="A933" s="28" t="str">
        <f>B933&amp;C933&amp;D933&amp;E933</f>
        <v>SalomatlikOptikaKontakt linzalari uchun qorishmalarKontakt linzalari uchun qorishmalar</v>
      </c>
      <c r="B933" s="35" t="s">
        <v>3147</v>
      </c>
      <c r="C933" s="35" t="s">
        <v>3150</v>
      </c>
      <c r="D933" s="35" t="s">
        <v>4166</v>
      </c>
      <c r="E933" s="35" t="s">
        <v>4166</v>
      </c>
      <c r="F933" s="36">
        <v>0.25</v>
      </c>
      <c r="G933" s="31"/>
      <c r="H933" s="31"/>
      <c r="I933" s="31"/>
      <c r="J933" s="31"/>
      <c r="K933" s="31"/>
    </row>
    <row r="934" spans="1:11" ht="14.4" x14ac:dyDescent="0.3">
      <c r="A934" s="28" t="str">
        <f>B934&amp;C934&amp;D934&amp;E934</f>
        <v>SalomatlikTibbiy jihozlarTibbiyot termometrlariTibbiyot termometrlari</v>
      </c>
      <c r="B934" s="35" t="s">
        <v>3147</v>
      </c>
      <c r="C934" s="35" t="s">
        <v>4167</v>
      </c>
      <c r="D934" s="35" t="s">
        <v>4168</v>
      </c>
      <c r="E934" s="35" t="s">
        <v>4168</v>
      </c>
      <c r="F934" s="36">
        <v>0.25</v>
      </c>
      <c r="G934" s="31"/>
      <c r="H934" s="31"/>
      <c r="I934" s="31"/>
      <c r="J934" s="31"/>
      <c r="K934" s="31"/>
    </row>
    <row r="935" spans="1:11" ht="14.4" x14ac:dyDescent="0.3">
      <c r="A935" s="28" t="str">
        <f>B935&amp;C935&amp;D935&amp;E935</f>
        <v>SalomatlikOrtopedik buyumlarAnatomik va ortopedik yostiqlarAnatomik va ortopedik yostiqlar</v>
      </c>
      <c r="B935" s="35" t="s">
        <v>3147</v>
      </c>
      <c r="C935" s="35" t="s">
        <v>3148</v>
      </c>
      <c r="D935" s="35" t="s">
        <v>4169</v>
      </c>
      <c r="E935" s="35" t="s">
        <v>4169</v>
      </c>
      <c r="F935" s="36">
        <v>0.25</v>
      </c>
      <c r="G935" s="31"/>
      <c r="H935" s="31"/>
      <c r="I935" s="31"/>
      <c r="J935" s="31"/>
      <c r="K935" s="31"/>
    </row>
    <row r="936" spans="1:11" ht="14.4" x14ac:dyDescent="0.3">
      <c r="A936" s="28" t="str">
        <f>B936&amp;C936&amp;D936&amp;E936</f>
        <v>SalomatlikPrezervativlar va lubrikantlarPrezervativlarPrezervativlar</v>
      </c>
      <c r="B936" s="35" t="s">
        <v>3147</v>
      </c>
      <c r="C936" s="35" t="s">
        <v>4155</v>
      </c>
      <c r="D936" s="35" t="s">
        <v>4170</v>
      </c>
      <c r="E936" s="35" t="s">
        <v>4170</v>
      </c>
      <c r="F936" s="36">
        <v>0.25</v>
      </c>
      <c r="G936" s="31"/>
      <c r="H936" s="31"/>
      <c r="I936" s="31"/>
      <c r="J936" s="31"/>
      <c r="K936" s="31"/>
    </row>
    <row r="937" spans="1:11" ht="14.4" x14ac:dyDescent="0.3">
      <c r="A937" s="28" t="str">
        <f>B937&amp;C937&amp;D937&amp;E937</f>
        <v>SalomatlikOptikaKompyuter ko'zoynaklariKompyuter ko'zoynaklari</v>
      </c>
      <c r="B937" s="35" t="s">
        <v>3147</v>
      </c>
      <c r="C937" s="35" t="s">
        <v>3150</v>
      </c>
      <c r="D937" s="35" t="s">
        <v>4171</v>
      </c>
      <c r="E937" s="35" t="s">
        <v>4171</v>
      </c>
      <c r="F937" s="36">
        <v>0.25</v>
      </c>
      <c r="G937" s="31"/>
      <c r="H937" s="31"/>
      <c r="I937" s="31"/>
      <c r="J937" s="31"/>
      <c r="K937" s="31"/>
    </row>
    <row r="938" spans="1:11" ht="14.4" x14ac:dyDescent="0.3">
      <c r="A938" s="28" t="str">
        <f>B938&amp;C938&amp;D938&amp;E938</f>
        <v>Sport va hordiqTabiat qoʻynida dam olish, baliq ovi va ovTurizm va ochiq havoda dam olishSuvdonlar va ichimlik tizimlari</v>
      </c>
      <c r="B938" s="35" t="s">
        <v>43</v>
      </c>
      <c r="C938" s="35" t="s">
        <v>4172</v>
      </c>
      <c r="D938" s="35" t="s">
        <v>4173</v>
      </c>
      <c r="E938" s="35" t="s">
        <v>4174</v>
      </c>
      <c r="F938" s="36">
        <v>0.25</v>
      </c>
      <c r="G938" s="31"/>
      <c r="H938" s="31"/>
      <c r="I938" s="31"/>
      <c r="J938" s="31"/>
      <c r="K938" s="31"/>
    </row>
    <row r="939" spans="1:11" ht="14.4" x14ac:dyDescent="0.3">
      <c r="A939" s="28" t="str">
        <f>B939&amp;C939&amp;D939&amp;E939</f>
        <v>Sport va hordiqSport turlariTennis va badmintonBadminton</v>
      </c>
      <c r="B939" s="35" t="s">
        <v>43</v>
      </c>
      <c r="C939" s="35" t="s">
        <v>4175</v>
      </c>
      <c r="D939" s="35" t="s">
        <v>4176</v>
      </c>
      <c r="E939" s="35" t="s">
        <v>4177</v>
      </c>
      <c r="F939" s="36">
        <v>0.25</v>
      </c>
      <c r="G939" s="31"/>
      <c r="H939" s="31"/>
      <c r="I939" s="31"/>
      <c r="J939" s="31"/>
      <c r="K939" s="31"/>
    </row>
    <row r="940" spans="1:11" ht="14.4" x14ac:dyDescent="0.3">
      <c r="A940" s="28" t="str">
        <f>B940&amp;C940&amp;D940&amp;E940</f>
        <v>Sport va hordiqSport turlariBoks va yakka kurashKurash uchun uskunalar</v>
      </c>
      <c r="B940" s="35" t="s">
        <v>43</v>
      </c>
      <c r="C940" s="35" t="s">
        <v>4175</v>
      </c>
      <c r="D940" s="35" t="s">
        <v>4178</v>
      </c>
      <c r="E940" s="35" t="s">
        <v>4179</v>
      </c>
      <c r="F940" s="36">
        <v>0.25</v>
      </c>
      <c r="G940" s="31"/>
      <c r="H940" s="31"/>
      <c r="I940" s="31"/>
      <c r="J940" s="31"/>
      <c r="K940" s="31"/>
    </row>
    <row r="941" spans="1:11" ht="14.4" x14ac:dyDescent="0.3">
      <c r="A941" s="28" t="str">
        <f>B941&amp;C941&amp;D941&amp;E941</f>
        <v>Sport va hordiqTabiat qoʻynida dam olish, baliq ovi va ovTurizm va ochiq havoda dam olishOrientatsiya uchun yordamchi vositalar</v>
      </c>
      <c r="B941" s="35" t="s">
        <v>43</v>
      </c>
      <c r="C941" s="35" t="s">
        <v>4172</v>
      </c>
      <c r="D941" s="35" t="s">
        <v>4173</v>
      </c>
      <c r="E941" s="35" t="s">
        <v>4180</v>
      </c>
      <c r="F941" s="36">
        <v>0.25</v>
      </c>
      <c r="G941" s="31"/>
      <c r="H941" s="31"/>
      <c r="I941" s="31"/>
      <c r="J941" s="31"/>
      <c r="K941" s="31"/>
    </row>
    <row r="942" spans="1:11" ht="14.4" x14ac:dyDescent="0.3">
      <c r="A942" s="28" t="str">
        <f>B942&amp;C942&amp;D942&amp;E942</f>
        <v>Sport va hordiqFaol hordiq turlariBilyardBilyard aksessuarlari</v>
      </c>
      <c r="B942" s="35" t="s">
        <v>43</v>
      </c>
      <c r="C942" s="35" t="s">
        <v>4181</v>
      </c>
      <c r="D942" s="35" t="s">
        <v>4182</v>
      </c>
      <c r="E942" s="35" t="s">
        <v>4183</v>
      </c>
      <c r="F942" s="36">
        <v>0.25</v>
      </c>
      <c r="G942" s="31"/>
      <c r="H942" s="31"/>
      <c r="I942" s="31"/>
      <c r="J942" s="31"/>
      <c r="K942" s="31"/>
    </row>
    <row r="943" spans="1:11" ht="14.4" x14ac:dyDescent="0.3">
      <c r="A943" s="28" t="str">
        <f>B943&amp;C943&amp;D943&amp;E943</f>
        <v>Sport va hordiqSport turlariTennis va badmintonKatta tennis</v>
      </c>
      <c r="B943" s="35" t="s">
        <v>43</v>
      </c>
      <c r="C943" s="35" t="s">
        <v>4175</v>
      </c>
      <c r="D943" s="35" t="s">
        <v>4176</v>
      </c>
      <c r="E943" s="35" t="s">
        <v>4184</v>
      </c>
      <c r="F943" s="36">
        <v>0.25</v>
      </c>
      <c r="G943" s="31"/>
      <c r="H943" s="31"/>
      <c r="I943" s="31"/>
      <c r="J943" s="31"/>
      <c r="K943" s="31"/>
    </row>
    <row r="944" spans="1:11" ht="14.4" x14ac:dyDescent="0.3">
      <c r="A944" s="28" t="str">
        <f>B944&amp;C944&amp;D944&amp;E944</f>
        <v>Sport va hordiqSamokatlar va aksessuarlarSamokatlar ehtiyot qismlariSamokatlar ehtiyot qismlari</v>
      </c>
      <c r="B944" s="35" t="s">
        <v>43</v>
      </c>
      <c r="C944" s="35" t="s">
        <v>4185</v>
      </c>
      <c r="D944" s="35" t="s">
        <v>4186</v>
      </c>
      <c r="E944" s="35" t="s">
        <v>4186</v>
      </c>
      <c r="F944" s="36">
        <v>0.25</v>
      </c>
      <c r="G944" s="31"/>
      <c r="H944" s="31"/>
      <c r="I944" s="31"/>
      <c r="J944" s="31"/>
      <c r="K944" s="31"/>
    </row>
    <row r="945" spans="1:11" ht="14.4" x14ac:dyDescent="0.3">
      <c r="A945" s="28" t="str">
        <f>B945&amp;C945&amp;D945&amp;E945</f>
        <v>Sport va hordiqSport turlariYugurishYugurish uchun belga taqiladigan sumkalar va ryukzak-gidratorlar</v>
      </c>
      <c r="B945" s="35" t="s">
        <v>43</v>
      </c>
      <c r="C945" s="35" t="s">
        <v>4175</v>
      </c>
      <c r="D945" s="35" t="s">
        <v>4187</v>
      </c>
      <c r="E945" s="35" t="s">
        <v>4188</v>
      </c>
      <c r="F945" s="36">
        <v>0.25</v>
      </c>
      <c r="G945" s="31"/>
      <c r="H945" s="31"/>
      <c r="I945" s="31"/>
      <c r="J945" s="31"/>
      <c r="K945" s="31"/>
    </row>
    <row r="946" spans="1:11" ht="14.4" x14ac:dyDescent="0.3">
      <c r="A946" s="28" t="str">
        <f>B946&amp;C946&amp;D946&amp;E946</f>
        <v>Sport va hordiqSuv sporti va suvda dam olishSuzishSuzish uchun belkuraklar</v>
      </c>
      <c r="B946" s="35" t="s">
        <v>43</v>
      </c>
      <c r="C946" s="35" t="s">
        <v>4189</v>
      </c>
      <c r="D946" s="35" t="s">
        <v>4190</v>
      </c>
      <c r="E946" s="35" t="s">
        <v>4191</v>
      </c>
      <c r="F946" s="36">
        <v>0.25</v>
      </c>
      <c r="G946" s="31"/>
      <c r="H946" s="31"/>
      <c r="I946" s="31"/>
      <c r="J946" s="31"/>
      <c r="K946" s="31"/>
    </row>
    <row r="947" spans="1:11" ht="14.4" x14ac:dyDescent="0.3">
      <c r="A947" s="28" t="str">
        <f>B947&amp;C947&amp;D947&amp;E947</f>
        <v>Sport va hordiqFaol hordiq turlariFaol dam olish uchun uskunalarFaol dam olish uchun uskunalar</v>
      </c>
      <c r="B947" s="35" t="s">
        <v>43</v>
      </c>
      <c r="C947" s="35" t="s">
        <v>4181</v>
      </c>
      <c r="D947" s="35" t="s">
        <v>4192</v>
      </c>
      <c r="E947" s="35" t="s">
        <v>4192</v>
      </c>
      <c r="F947" s="36">
        <v>0.25</v>
      </c>
      <c r="G947" s="31"/>
      <c r="H947" s="31"/>
      <c r="I947" s="31"/>
      <c r="J947" s="31"/>
      <c r="K947" s="31"/>
    </row>
    <row r="948" spans="1:11" ht="14.4" x14ac:dyDescent="0.3">
      <c r="A948" s="28" t="str">
        <f>B948&amp;C948&amp;D948&amp;E948</f>
        <v>Sport va hordiqVelosportVelosiped qismlariVelosiped zanjirlari</v>
      </c>
      <c r="B948" s="35" t="s">
        <v>43</v>
      </c>
      <c r="C948" s="35" t="s">
        <v>4193</v>
      </c>
      <c r="D948" s="35" t="s">
        <v>4194</v>
      </c>
      <c r="E948" s="35" t="s">
        <v>4195</v>
      </c>
      <c r="F948" s="36">
        <v>0.25</v>
      </c>
      <c r="G948" s="31"/>
      <c r="H948" s="31"/>
      <c r="I948" s="31"/>
      <c r="J948" s="31"/>
      <c r="K948" s="31"/>
    </row>
    <row r="949" spans="1:11" ht="14.4" x14ac:dyDescent="0.3">
      <c r="A949" s="28" t="str">
        <f>B949&amp;C949&amp;D949&amp;E949</f>
        <v>Sport va hordiqSport turlariFutbolFutbol qalqonlari</v>
      </c>
      <c r="B949" s="35" t="s">
        <v>43</v>
      </c>
      <c r="C949" s="35" t="s">
        <v>4175</v>
      </c>
      <c r="D949" s="35" t="s">
        <v>4196</v>
      </c>
      <c r="E949" s="35" t="s">
        <v>4197</v>
      </c>
      <c r="F949" s="36">
        <v>0.25</v>
      </c>
      <c r="G949" s="31"/>
      <c r="H949" s="31"/>
      <c r="I949" s="31"/>
      <c r="J949" s="31"/>
      <c r="K949" s="31"/>
    </row>
    <row r="950" spans="1:11" ht="14.4" x14ac:dyDescent="0.3">
      <c r="A950" s="28" t="str">
        <f>B950&amp;C950&amp;D950&amp;E950</f>
        <v>Sport va hordiqSport turlariBadiiy gimnastika va raqslarGimnastika obruchlari</v>
      </c>
      <c r="B950" s="35" t="s">
        <v>43</v>
      </c>
      <c r="C950" s="35" t="s">
        <v>4175</v>
      </c>
      <c r="D950" s="35" t="s">
        <v>4198</v>
      </c>
      <c r="E950" s="35" t="s">
        <v>4199</v>
      </c>
      <c r="F950" s="36">
        <v>0.25</v>
      </c>
      <c r="G950" s="31"/>
      <c r="H950" s="31"/>
      <c r="I950" s="31"/>
      <c r="J950" s="31"/>
      <c r="K950" s="31"/>
    </row>
    <row r="951" spans="1:11" ht="14.4" x14ac:dyDescent="0.3">
      <c r="A951" s="28" t="str">
        <f>B951&amp;C951&amp;D951&amp;E951</f>
        <v>Sport va hordiqSport turlariFutbolDarvozabon qo'lqoplari</v>
      </c>
      <c r="B951" s="35" t="s">
        <v>43</v>
      </c>
      <c r="C951" s="35" t="s">
        <v>4175</v>
      </c>
      <c r="D951" s="35" t="s">
        <v>4196</v>
      </c>
      <c r="E951" s="35" t="s">
        <v>4200</v>
      </c>
      <c r="F951" s="36">
        <v>0.25</v>
      </c>
      <c r="G951" s="31"/>
      <c r="H951" s="31"/>
      <c r="I951" s="31"/>
      <c r="J951" s="31"/>
      <c r="K951" s="31"/>
    </row>
    <row r="952" spans="1:11" ht="14.4" x14ac:dyDescent="0.3">
      <c r="A952" s="28" t="str">
        <f>B952&amp;C952&amp;D952&amp;E952</f>
        <v>Sport va hordiqVelosportVelosport uchun ekipirovkaVelosport uchun ekipirovka</v>
      </c>
      <c r="B952" s="35" t="s">
        <v>43</v>
      </c>
      <c r="C952" s="35" t="s">
        <v>4193</v>
      </c>
      <c r="D952" s="35" t="s">
        <v>4201</v>
      </c>
      <c r="E952" s="35" t="s">
        <v>4201</v>
      </c>
      <c r="F952" s="36">
        <v>0.25</v>
      </c>
      <c r="G952" s="31"/>
      <c r="H952" s="31"/>
      <c r="I952" s="31"/>
      <c r="J952" s="31"/>
      <c r="K952" s="31"/>
    </row>
    <row r="953" spans="1:11" ht="14.4" x14ac:dyDescent="0.3">
      <c r="A953" s="28" t="str">
        <f>B953&amp;C953&amp;D953&amp;E953</f>
        <v>Sport va hordiqRolikli konkilar, ekipirovka va ehtiyot qismlarRolikli konkilar uchun aksessuarlar va ehtiyot qismlarRolikli konkilar uchun aksessuarlar va ehtiyot qismlar</v>
      </c>
      <c r="B953" s="35" t="s">
        <v>43</v>
      </c>
      <c r="C953" s="35" t="s">
        <v>4202</v>
      </c>
      <c r="D953" s="35" t="s">
        <v>4203</v>
      </c>
      <c r="E953" s="35" t="s">
        <v>4203</v>
      </c>
      <c r="F953" s="36">
        <v>0.25</v>
      </c>
      <c r="G953" s="31"/>
      <c r="H953" s="31"/>
      <c r="I953" s="31"/>
      <c r="J953" s="31"/>
      <c r="K953" s="31"/>
    </row>
    <row r="954" spans="1:11" ht="14.4" x14ac:dyDescent="0.3">
      <c r="A954" s="28" t="str">
        <f>B954&amp;C954&amp;D954&amp;E954</f>
        <v>Sport va hordiqVelosportVelosiped qismlariShinalar va kameralar</v>
      </c>
      <c r="B954" s="35" t="s">
        <v>43</v>
      </c>
      <c r="C954" s="35" t="s">
        <v>4193</v>
      </c>
      <c r="D954" s="35" t="s">
        <v>4194</v>
      </c>
      <c r="E954" s="35" t="s">
        <v>4204</v>
      </c>
      <c r="F954" s="36">
        <v>0.25</v>
      </c>
      <c r="G954" s="31"/>
      <c r="H954" s="31"/>
      <c r="I954" s="31"/>
      <c r="J954" s="31"/>
      <c r="K954" s="31"/>
    </row>
    <row r="955" spans="1:11" ht="14.4" x14ac:dyDescent="0.3">
      <c r="A955" s="28" t="str">
        <f>B955&amp;C955&amp;D955&amp;E955</f>
        <v>Sport va hordiqTabiat qoʻynida dam olish, baliq ovi va ovTurizm va ochiq havoda dam olishPuflanadigan mebel</v>
      </c>
      <c r="B955" s="35" t="s">
        <v>43</v>
      </c>
      <c r="C955" s="35" t="s">
        <v>4172</v>
      </c>
      <c r="D955" s="35" t="s">
        <v>4173</v>
      </c>
      <c r="E955" s="35" t="s">
        <v>4205</v>
      </c>
      <c r="F955" s="36">
        <v>0.25</v>
      </c>
      <c r="G955" s="31"/>
      <c r="H955" s="31"/>
      <c r="I955" s="31"/>
      <c r="J955" s="31"/>
      <c r="K955" s="31"/>
    </row>
    <row r="956" spans="1:11" ht="14.4" x14ac:dyDescent="0.3">
      <c r="A956" s="28" t="str">
        <f>B956&amp;C956&amp;D956&amp;E956</f>
        <v>Sport va hordiqSport turlariOg`ir atletikaOgʻir atletika uchun epikrovka</v>
      </c>
      <c r="B956" s="35" t="s">
        <v>43</v>
      </c>
      <c r="C956" s="35" t="s">
        <v>4175</v>
      </c>
      <c r="D956" s="35" t="s">
        <v>4206</v>
      </c>
      <c r="E956" s="35" t="s">
        <v>4207</v>
      </c>
      <c r="F956" s="36">
        <v>0.25</v>
      </c>
      <c r="G956" s="31"/>
      <c r="H956" s="31"/>
      <c r="I956" s="31"/>
      <c r="J956" s="31"/>
      <c r="K956" s="31"/>
    </row>
    <row r="957" spans="1:11" ht="14.4" x14ac:dyDescent="0.3">
      <c r="A957" s="28" t="str">
        <f>B957&amp;C957&amp;D957&amp;E957</f>
        <v>Sport va hordiqSuv sporti va suvda dam olishDayvingNiqoblar, naychalar va regulyatorlar</v>
      </c>
      <c r="B957" s="35" t="s">
        <v>43</v>
      </c>
      <c r="C957" s="35" t="s">
        <v>4189</v>
      </c>
      <c r="D957" s="35" t="s">
        <v>4208</v>
      </c>
      <c r="E957" s="35" t="s">
        <v>4209</v>
      </c>
      <c r="F957" s="36">
        <v>0.25</v>
      </c>
      <c r="G957" s="31"/>
      <c r="H957" s="31"/>
      <c r="I957" s="31"/>
      <c r="J957" s="31"/>
      <c r="K957" s="31"/>
    </row>
    <row r="958" spans="1:11" ht="14.4" x14ac:dyDescent="0.3">
      <c r="A958" s="28" t="str">
        <f>B958&amp;C958&amp;D958&amp;E958</f>
        <v>Sport va hordiqTabiat qoʻynida dam olish, baliq ovi va ovTurizm va ochiq havoda dam olishNasoslar</v>
      </c>
      <c r="B958" s="35" t="s">
        <v>43</v>
      </c>
      <c r="C958" s="35" t="s">
        <v>4172</v>
      </c>
      <c r="D958" s="35" t="s">
        <v>4173</v>
      </c>
      <c r="E958" s="35" t="s">
        <v>4210</v>
      </c>
      <c r="F958" s="36">
        <v>0.25</v>
      </c>
      <c r="G958" s="31"/>
      <c r="H958" s="31"/>
      <c r="I958" s="31"/>
      <c r="J958" s="31"/>
      <c r="K958" s="31"/>
    </row>
    <row r="959" spans="1:11" ht="14.4" x14ac:dyDescent="0.3">
      <c r="A959" s="28" t="str">
        <f>B959&amp;C959&amp;D959&amp;E959</f>
        <v>Sport va hordiqSport turlariBasketbolBasketbol halqalari</v>
      </c>
      <c r="B959" s="35" t="s">
        <v>43</v>
      </c>
      <c r="C959" s="35" t="s">
        <v>4175</v>
      </c>
      <c r="D959" s="35" t="s">
        <v>4211</v>
      </c>
      <c r="E959" s="35" t="s">
        <v>4212</v>
      </c>
      <c r="F959" s="36">
        <v>0.25</v>
      </c>
      <c r="G959" s="31"/>
      <c r="H959" s="31"/>
      <c r="I959" s="31"/>
      <c r="J959" s="31"/>
      <c r="K959" s="31"/>
    </row>
    <row r="960" spans="1:11" ht="14.4" x14ac:dyDescent="0.3">
      <c r="A960" s="28" t="str">
        <f>B960&amp;C960&amp;D960&amp;E960</f>
        <v>Sport va hordiqBasseynlar va aksessuarlarBasseyn uchun aksessuarlarBasseyn uchun aksessuarlar</v>
      </c>
      <c r="B960" s="35" t="s">
        <v>43</v>
      </c>
      <c r="C960" s="35" t="s">
        <v>3486</v>
      </c>
      <c r="D960" s="35" t="s">
        <v>4213</v>
      </c>
      <c r="E960" s="35" t="s">
        <v>4213</v>
      </c>
      <c r="F960" s="36">
        <v>0.25</v>
      </c>
      <c r="G960" s="31"/>
      <c r="H960" s="31"/>
      <c r="I960" s="31"/>
      <c r="J960" s="31"/>
      <c r="K960" s="31"/>
    </row>
    <row r="961" spans="1:11" ht="14.4" x14ac:dyDescent="0.3">
      <c r="A961" s="28" t="str">
        <f>B961&amp;C961&amp;D961&amp;E961</f>
        <v>Sport va hordiqTabiat qoʻynida dam olish, baliq ovi va ovTurizm va ochiq havoda dam olishKatlamali sayohat mebel</v>
      </c>
      <c r="B961" s="35" t="s">
        <v>43</v>
      </c>
      <c r="C961" s="35" t="s">
        <v>4172</v>
      </c>
      <c r="D961" s="35" t="s">
        <v>4173</v>
      </c>
      <c r="E961" s="35" t="s">
        <v>4214</v>
      </c>
      <c r="F961" s="36">
        <v>0.25</v>
      </c>
      <c r="G961" s="31"/>
      <c r="H961" s="31"/>
      <c r="I961" s="31"/>
      <c r="J961" s="31"/>
      <c r="K961" s="31"/>
    </row>
    <row r="962" spans="1:11" ht="14.4" x14ac:dyDescent="0.3">
      <c r="A962" s="28" t="str">
        <f>B962&amp;C962&amp;D962&amp;E962</f>
        <v>Sport va hordiqTabiat qoʻynida dam olish, baliq ovi va ovTurizm va ochiq havoda dam olishMetall izlagichlar va aksessuarlar</v>
      </c>
      <c r="B962" s="35" t="s">
        <v>43</v>
      </c>
      <c r="C962" s="35" t="s">
        <v>4172</v>
      </c>
      <c r="D962" s="35" t="s">
        <v>4173</v>
      </c>
      <c r="E962" s="35" t="s">
        <v>4215</v>
      </c>
      <c r="F962" s="36">
        <v>0.25</v>
      </c>
      <c r="G962" s="31"/>
      <c r="H962" s="31"/>
      <c r="I962" s="31"/>
      <c r="J962" s="31"/>
      <c r="K962" s="31"/>
    </row>
    <row r="963" spans="1:11" ht="14.4" x14ac:dyDescent="0.3">
      <c r="A963" s="28" t="str">
        <f>B963&amp;C963&amp;D963&amp;E963</f>
        <v>Sport va hordiqSport turlariBasketbolBasketbol aksessuarlari</v>
      </c>
      <c r="B963" s="35" t="s">
        <v>43</v>
      </c>
      <c r="C963" s="35" t="s">
        <v>4175</v>
      </c>
      <c r="D963" s="35" t="s">
        <v>4211</v>
      </c>
      <c r="E963" s="35" t="s">
        <v>4216</v>
      </c>
      <c r="F963" s="36">
        <v>0.25</v>
      </c>
      <c r="G963" s="31"/>
      <c r="H963" s="31"/>
      <c r="I963" s="31"/>
      <c r="J963" s="31"/>
      <c r="K963" s="31"/>
    </row>
    <row r="964" spans="1:11" ht="14.4" x14ac:dyDescent="0.3">
      <c r="A964" s="28" t="str">
        <f>B964&amp;C964&amp;D964&amp;E964</f>
        <v>Sport va hordiqSport turlariBadiiy gimnastika va raqslarGimnastika to'plari</v>
      </c>
      <c r="B964" s="35" t="s">
        <v>43</v>
      </c>
      <c r="C964" s="35" t="s">
        <v>4175</v>
      </c>
      <c r="D964" s="35" t="s">
        <v>4198</v>
      </c>
      <c r="E964" s="35" t="s">
        <v>4217</v>
      </c>
      <c r="F964" s="36">
        <v>0.25</v>
      </c>
      <c r="G964" s="31"/>
      <c r="H964" s="31"/>
      <c r="I964" s="31"/>
      <c r="J964" s="31"/>
      <c r="K964" s="31"/>
    </row>
    <row r="965" spans="1:11" ht="14.4" x14ac:dyDescent="0.3">
      <c r="A965" s="28" t="str">
        <f>B965&amp;C965&amp;D965&amp;E965</f>
        <v>Sport va hordiqSport turlariBadiiy gimnastika va raqslarGimnastika tizza himoyasi</v>
      </c>
      <c r="B965" s="35" t="s">
        <v>43</v>
      </c>
      <c r="C965" s="35" t="s">
        <v>4175</v>
      </c>
      <c r="D965" s="35" t="s">
        <v>4198</v>
      </c>
      <c r="E965" s="35" t="s">
        <v>4218</v>
      </c>
      <c r="F965" s="36">
        <v>0.25</v>
      </c>
      <c r="G965" s="31"/>
      <c r="H965" s="31"/>
      <c r="I965" s="31"/>
      <c r="J965" s="31"/>
      <c r="K965" s="31"/>
    </row>
    <row r="966" spans="1:11" ht="14.4" x14ac:dyDescent="0.3">
      <c r="A966" s="28" t="str">
        <f>B966&amp;C966&amp;D966&amp;E966</f>
        <v>Sport va hordiqSuv sporti va suvda dam olishSuzishQalpoqchalar</v>
      </c>
      <c r="B966" s="35" t="s">
        <v>43</v>
      </c>
      <c r="C966" s="35" t="s">
        <v>4189</v>
      </c>
      <c r="D966" s="35" t="s">
        <v>4190</v>
      </c>
      <c r="E966" s="35" t="s">
        <v>4219</v>
      </c>
      <c r="F966" s="36">
        <v>0.25</v>
      </c>
      <c r="G966" s="31"/>
      <c r="H966" s="31"/>
      <c r="I966" s="31"/>
      <c r="J966" s="31"/>
      <c r="K966" s="31"/>
    </row>
    <row r="967" spans="1:11" ht="14.4" x14ac:dyDescent="0.3">
      <c r="A967" s="28" t="str">
        <f>B967&amp;C967&amp;D967&amp;E967</f>
        <v>Sport va hordiqSport turlariBadiiy gimnastika va raqslarRaqs uchun aksessuarlar</v>
      </c>
      <c r="B967" s="35" t="s">
        <v>43</v>
      </c>
      <c r="C967" s="35" t="s">
        <v>4175</v>
      </c>
      <c r="D967" s="35" t="s">
        <v>4198</v>
      </c>
      <c r="E967" s="35" t="s">
        <v>4220</v>
      </c>
      <c r="F967" s="36">
        <v>0.25</v>
      </c>
      <c r="G967" s="31"/>
      <c r="H967" s="31"/>
      <c r="I967" s="31"/>
      <c r="J967" s="31"/>
      <c r="K967" s="31"/>
    </row>
    <row r="968" spans="1:11" ht="14.4" x14ac:dyDescent="0.3">
      <c r="A968" s="28" t="str">
        <f>B968&amp;C968&amp;D968&amp;E968</f>
        <v>Sport va hordiqBasseynlar va aksessuarlarQuruq basseynlar uchun shariklarQuruq basseynlar uchun shariklar</v>
      </c>
      <c r="B968" s="35" t="s">
        <v>43</v>
      </c>
      <c r="C968" s="35" t="s">
        <v>3486</v>
      </c>
      <c r="D968" s="35" t="s">
        <v>4221</v>
      </c>
      <c r="E968" s="35" t="s">
        <v>4221</v>
      </c>
      <c r="F968" s="36">
        <v>0.25</v>
      </c>
      <c r="G968" s="31"/>
      <c r="H968" s="31"/>
      <c r="I968" s="31"/>
      <c r="J968" s="31"/>
      <c r="K968" s="31"/>
    </row>
    <row r="969" spans="1:11" ht="14.4" x14ac:dyDescent="0.3">
      <c r="A969" s="28" t="str">
        <f>B969&amp;C969&amp;D969&amp;E969</f>
        <v>Sport va hordiqSport turlariBasketbolBasketbol to'plari</v>
      </c>
      <c r="B969" s="35" t="s">
        <v>43</v>
      </c>
      <c r="C969" s="35" t="s">
        <v>4175</v>
      </c>
      <c r="D969" s="35" t="s">
        <v>4211</v>
      </c>
      <c r="E969" s="35" t="s">
        <v>4222</v>
      </c>
      <c r="F969" s="36">
        <v>0.25</v>
      </c>
      <c r="G969" s="31"/>
      <c r="H969" s="31"/>
      <c r="I969" s="31"/>
      <c r="J969" s="31"/>
      <c r="K969" s="31"/>
    </row>
    <row r="970" spans="1:11" ht="14.4" x14ac:dyDescent="0.3">
      <c r="A970" s="28" t="str">
        <f>B970&amp;C970&amp;D970&amp;E970</f>
        <v>Sport va hordiqBasseynlar va aksessuarlarTozalash uchun asboblarHovuz cho'tkalari</v>
      </c>
      <c r="B970" s="35" t="s">
        <v>43</v>
      </c>
      <c r="C970" s="35" t="s">
        <v>3486</v>
      </c>
      <c r="D970" s="35" t="s">
        <v>3487</v>
      </c>
      <c r="E970" s="35" t="s">
        <v>4223</v>
      </c>
      <c r="F970" s="36">
        <v>0.25</v>
      </c>
      <c r="G970" s="31"/>
      <c r="H970" s="31"/>
      <c r="I970" s="31"/>
      <c r="J970" s="31"/>
      <c r="K970" s="31"/>
    </row>
    <row r="971" spans="1:11" ht="14.4" x14ac:dyDescent="0.3">
      <c r="A971" s="28" t="str">
        <f>B971&amp;C971&amp;D971&amp;E971</f>
        <v>Sport va hordiqTabiat qoʻynida dam olish, baliq ovi va ovTurizm va ochiq havoda dam olishChodirlar, tentlar va shatyorlar</v>
      </c>
      <c r="B971" s="35" t="s">
        <v>43</v>
      </c>
      <c r="C971" s="35" t="s">
        <v>4172</v>
      </c>
      <c r="D971" s="35" t="s">
        <v>4173</v>
      </c>
      <c r="E971" s="35" t="s">
        <v>4224</v>
      </c>
      <c r="F971" s="36">
        <v>0.25</v>
      </c>
      <c r="G971" s="31"/>
      <c r="H971" s="31"/>
      <c r="I971" s="31"/>
      <c r="J971" s="31"/>
      <c r="K971" s="31"/>
    </row>
    <row r="972" spans="1:11" ht="14.4" x14ac:dyDescent="0.3">
      <c r="A972" s="28" t="str">
        <f>B972&amp;C972&amp;D972&amp;E972</f>
        <v>Sport va hordiqRolikli konkilar, ekipirovka va ehtiyot qismlarHimoyaHimoya</v>
      </c>
      <c r="B972" s="35" t="s">
        <v>43</v>
      </c>
      <c r="C972" s="35" t="s">
        <v>4202</v>
      </c>
      <c r="D972" s="35" t="s">
        <v>4225</v>
      </c>
      <c r="E972" s="35" t="s">
        <v>4225</v>
      </c>
      <c r="F972" s="36">
        <v>0.25</v>
      </c>
      <c r="G972" s="31"/>
      <c r="H972" s="31"/>
      <c r="I972" s="31"/>
      <c r="J972" s="31"/>
      <c r="K972" s="31"/>
    </row>
    <row r="973" spans="1:11" ht="14.4" x14ac:dyDescent="0.3">
      <c r="A973" s="28" t="str">
        <f>B973&amp;C973&amp;D973&amp;E973</f>
        <v>Sport va hordiqSport turlariBadiiy gimnastika va raqslarBadiiy gimnastika uchun lentalar</v>
      </c>
      <c r="B973" s="35" t="s">
        <v>43</v>
      </c>
      <c r="C973" s="35" t="s">
        <v>4175</v>
      </c>
      <c r="D973" s="35" t="s">
        <v>4198</v>
      </c>
      <c r="E973" s="35" t="s">
        <v>4226</v>
      </c>
      <c r="F973" s="36">
        <v>0.25</v>
      </c>
      <c r="G973" s="31"/>
      <c r="H973" s="31"/>
      <c r="I973" s="31"/>
      <c r="J973" s="31"/>
      <c r="K973" s="31"/>
    </row>
    <row r="974" spans="1:11" ht="14.4" x14ac:dyDescent="0.3">
      <c r="A974" s="28" t="str">
        <f>B974&amp;C974&amp;D974&amp;E974</f>
        <v>Sport va hordiqTabiat qoʻynida dam olish, baliq ovi va ovTurizm va ochiq havoda dam olishTuristik gilamchalar</v>
      </c>
      <c r="B974" s="35" t="s">
        <v>43</v>
      </c>
      <c r="C974" s="35" t="s">
        <v>4172</v>
      </c>
      <c r="D974" s="35" t="s">
        <v>4173</v>
      </c>
      <c r="E974" s="35" t="s">
        <v>4227</v>
      </c>
      <c r="F974" s="36">
        <v>0.25</v>
      </c>
      <c r="G974" s="31"/>
      <c r="H974" s="31"/>
      <c r="I974" s="31"/>
      <c r="J974" s="31"/>
      <c r="K974" s="31"/>
    </row>
    <row r="975" spans="1:11" ht="14.4" x14ac:dyDescent="0.3">
      <c r="A975" s="28" t="str">
        <f>B975&amp;C975&amp;D975&amp;E975</f>
        <v>Sport va hordiqFaol hordiq turlariDartsDart o'qlari</v>
      </c>
      <c r="B975" s="35" t="s">
        <v>43</v>
      </c>
      <c r="C975" s="35" t="s">
        <v>4181</v>
      </c>
      <c r="D975" s="35" t="s">
        <v>4228</v>
      </c>
      <c r="E975" s="35" t="s">
        <v>4229</v>
      </c>
      <c r="F975" s="36">
        <v>0.25</v>
      </c>
      <c r="G975" s="31"/>
      <c r="H975" s="31"/>
      <c r="I975" s="31"/>
      <c r="J975" s="31"/>
      <c r="K975" s="31"/>
    </row>
    <row r="976" spans="1:11" ht="14.4" x14ac:dyDescent="0.3">
      <c r="A976" s="28" t="str">
        <f>B976&amp;C976&amp;D976&amp;E976</f>
        <v>Sport va hordiqSuv sporti va suvda dam olishSuzishTaxtalar, yostiqlar, kolobashkalar</v>
      </c>
      <c r="B976" s="35" t="s">
        <v>43</v>
      </c>
      <c r="C976" s="35" t="s">
        <v>4189</v>
      </c>
      <c r="D976" s="35" t="s">
        <v>4190</v>
      </c>
      <c r="E976" s="35" t="s">
        <v>4230</v>
      </c>
      <c r="F976" s="36">
        <v>0.25</v>
      </c>
      <c r="G976" s="31"/>
      <c r="H976" s="31"/>
      <c r="I976" s="31"/>
      <c r="J976" s="31"/>
      <c r="K976" s="31"/>
    </row>
    <row r="977" spans="1:11" ht="14.4" x14ac:dyDescent="0.3">
      <c r="A977" s="28" t="str">
        <f>B977&amp;C977&amp;D977&amp;E977</f>
        <v>Sport va hordiqSuv sporti va suvda dam olishAkvafitness va suv poloAkvaaerobika uchun gantellar</v>
      </c>
      <c r="B977" s="35" t="s">
        <v>43</v>
      </c>
      <c r="C977" s="35" t="s">
        <v>4189</v>
      </c>
      <c r="D977" s="35" t="s">
        <v>4231</v>
      </c>
      <c r="E977" s="35" t="s">
        <v>4232</v>
      </c>
      <c r="F977" s="36">
        <v>0.25</v>
      </c>
      <c r="G977" s="31"/>
      <c r="H977" s="31"/>
      <c r="I977" s="31"/>
      <c r="J977" s="31"/>
      <c r="K977" s="31"/>
    </row>
    <row r="978" spans="1:11" ht="14.4" x14ac:dyDescent="0.3">
      <c r="A978" s="28" t="str">
        <f>B978&amp;C978&amp;D978&amp;E978</f>
        <v>Sport va hordiqSport turlariBoks va yakka kurashKaplar</v>
      </c>
      <c r="B978" s="35" t="s">
        <v>43</v>
      </c>
      <c r="C978" s="35" t="s">
        <v>4175</v>
      </c>
      <c r="D978" s="35" t="s">
        <v>4178</v>
      </c>
      <c r="E978" s="35" t="s">
        <v>4233</v>
      </c>
      <c r="F978" s="36">
        <v>0.25</v>
      </c>
      <c r="G978" s="31"/>
      <c r="H978" s="31"/>
      <c r="I978" s="31"/>
      <c r="J978" s="31"/>
      <c r="K978" s="31"/>
    </row>
    <row r="979" spans="1:11" ht="14.4" x14ac:dyDescent="0.3">
      <c r="A979" s="28" t="str">
        <f>B979&amp;C979&amp;D979&amp;E979</f>
        <v>Sport va hordiqSport turlariGolfGolf aksessuarlari</v>
      </c>
      <c r="B979" s="35" t="s">
        <v>43</v>
      </c>
      <c r="C979" s="35" t="s">
        <v>4175</v>
      </c>
      <c r="D979" s="35" t="s">
        <v>4234</v>
      </c>
      <c r="E979" s="35" t="s">
        <v>4235</v>
      </c>
      <c r="F979" s="36">
        <v>0.25</v>
      </c>
      <c r="G979" s="31"/>
      <c r="H979" s="31"/>
      <c r="I979" s="31"/>
      <c r="J979" s="31"/>
      <c r="K979" s="31"/>
    </row>
    <row r="980" spans="1:11" ht="14.4" x14ac:dyDescent="0.3">
      <c r="A980" s="28" t="str">
        <f>B980&amp;C980&amp;D980&amp;E980</f>
        <v>Sport va hordiqSport turlariYugurishSupportlar</v>
      </c>
      <c r="B980" s="35" t="s">
        <v>43</v>
      </c>
      <c r="C980" s="35" t="s">
        <v>4175</v>
      </c>
      <c r="D980" s="35" t="s">
        <v>4187</v>
      </c>
      <c r="E980" s="35" t="s">
        <v>4236</v>
      </c>
      <c r="F980" s="36">
        <v>0.25</v>
      </c>
      <c r="G980" s="31"/>
      <c r="H980" s="31"/>
      <c r="I980" s="31"/>
      <c r="J980" s="31"/>
      <c r="K980" s="31"/>
    </row>
    <row r="981" spans="1:11" ht="14.4" x14ac:dyDescent="0.3">
      <c r="A981" s="28" t="str">
        <f>B981&amp;C981&amp;D981&amp;E981</f>
        <v>Sport va hordiqSuv sporti va suvda dam olishSuzishDoiralar va matraslar</v>
      </c>
      <c r="B981" s="35" t="s">
        <v>43</v>
      </c>
      <c r="C981" s="35" t="s">
        <v>4189</v>
      </c>
      <c r="D981" s="35" t="s">
        <v>4190</v>
      </c>
      <c r="E981" s="35" t="s">
        <v>4237</v>
      </c>
      <c r="F981" s="36">
        <v>0.25</v>
      </c>
      <c r="G981" s="31"/>
      <c r="H981" s="31"/>
      <c r="I981" s="31"/>
      <c r="J981" s="31"/>
      <c r="K981" s="31"/>
    </row>
    <row r="982" spans="1:11" ht="14.4" x14ac:dyDescent="0.3">
      <c r="A982" s="28" t="str">
        <f>B982&amp;C982&amp;D982&amp;E982</f>
        <v>Sport va hordiqVelosportVelosiped sumkalari va velosiped ko'zoynaklariVelosiped sumkalari va velosiped ko'zoynaklari</v>
      </c>
      <c r="B982" s="35" t="s">
        <v>43</v>
      </c>
      <c r="C982" s="35" t="s">
        <v>4193</v>
      </c>
      <c r="D982" s="35" t="s">
        <v>4238</v>
      </c>
      <c r="E982" s="35" t="s">
        <v>4238</v>
      </c>
      <c r="F982" s="36">
        <v>0.25</v>
      </c>
      <c r="G982" s="31"/>
      <c r="H982" s="31"/>
      <c r="I982" s="31"/>
      <c r="J982" s="31"/>
      <c r="K982" s="31"/>
    </row>
    <row r="983" spans="1:11" ht="14.4" x14ac:dyDescent="0.3">
      <c r="A983" s="28" t="str">
        <f>B983&amp;C983&amp;D983&amp;E983</f>
        <v>Sport va hordiqTabiat qoʻynida dam olish, baliq ovi va ovTurizm va ochiq havoda dam olishSayohat uchun idishlar</v>
      </c>
      <c r="B983" s="35" t="s">
        <v>43</v>
      </c>
      <c r="C983" s="35" t="s">
        <v>4172</v>
      </c>
      <c r="D983" s="35" t="s">
        <v>4173</v>
      </c>
      <c r="E983" s="35" t="s">
        <v>4239</v>
      </c>
      <c r="F983" s="36">
        <v>0.25</v>
      </c>
      <c r="G983" s="31"/>
      <c r="H983" s="31"/>
      <c r="I983" s="31"/>
      <c r="J983" s="31"/>
      <c r="K983" s="31"/>
    </row>
    <row r="984" spans="1:11" ht="14.4" x14ac:dyDescent="0.3">
      <c r="A984" s="28" t="str">
        <f>B984&amp;C984&amp;D984&amp;E984</f>
        <v>Sport va hordiqSuv sporti va suvda dam olishSuzishJiletkalar va yenglar</v>
      </c>
      <c r="B984" s="35" t="s">
        <v>43</v>
      </c>
      <c r="C984" s="35" t="s">
        <v>4189</v>
      </c>
      <c r="D984" s="35" t="s">
        <v>4190</v>
      </c>
      <c r="E984" s="35" t="s">
        <v>4240</v>
      </c>
      <c r="F984" s="36">
        <v>0.25</v>
      </c>
      <c r="G984" s="31"/>
      <c r="H984" s="31"/>
      <c r="I984" s="31"/>
      <c r="J984" s="31"/>
      <c r="K984" s="31"/>
    </row>
    <row r="985" spans="1:11" ht="14.4" x14ac:dyDescent="0.3">
      <c r="A985" s="28" t="str">
        <f>B985&amp;C985&amp;D985&amp;E985</f>
        <v>Sport va hordiqTabiat qoʻynida dam olish, baliq ovi va ovTurizm va ochiq havoda dam olishOlovli pechlar, lager pechlari va gaz isitgichlari</v>
      </c>
      <c r="B985" s="35" t="s">
        <v>43</v>
      </c>
      <c r="C985" s="35" t="s">
        <v>4172</v>
      </c>
      <c r="D985" s="35" t="s">
        <v>4173</v>
      </c>
      <c r="E985" s="35" t="s">
        <v>4241</v>
      </c>
      <c r="F985" s="36">
        <v>0.25</v>
      </c>
      <c r="G985" s="31"/>
      <c r="H985" s="31"/>
      <c r="I985" s="31"/>
      <c r="J985" s="31"/>
      <c r="K985" s="31"/>
    </row>
    <row r="986" spans="1:11" ht="14.4" x14ac:dyDescent="0.3">
      <c r="A986" s="28" t="str">
        <f>B986&amp;C986&amp;D986&amp;E986</f>
        <v>Sport va hordiqSport turlariYugurishYugurish uchun aksessuarlar</v>
      </c>
      <c r="B986" s="35" t="s">
        <v>43</v>
      </c>
      <c r="C986" s="35" t="s">
        <v>4175</v>
      </c>
      <c r="D986" s="35" t="s">
        <v>4187</v>
      </c>
      <c r="E986" s="35" t="s">
        <v>4242</v>
      </c>
      <c r="F986" s="36">
        <v>0.25</v>
      </c>
      <c r="G986" s="31"/>
      <c r="H986" s="31"/>
      <c r="I986" s="31"/>
      <c r="J986" s="31"/>
      <c r="K986" s="31"/>
    </row>
    <row r="987" spans="1:11" ht="14.4" x14ac:dyDescent="0.3">
      <c r="A987" s="28" t="str">
        <f>B987&amp;C987&amp;D987&amp;E987</f>
        <v>Sport va hordiqTabiat qoʻynida dam olish, baliq ovi va ovTurizm va ochiq havoda dam olishPichoqlar, belkuraklar, sayyohlik arralari</v>
      </c>
      <c r="B987" s="35" t="s">
        <v>43</v>
      </c>
      <c r="C987" s="35" t="s">
        <v>4172</v>
      </c>
      <c r="D987" s="35" t="s">
        <v>4173</v>
      </c>
      <c r="E987" s="35" t="s">
        <v>4243</v>
      </c>
      <c r="F987" s="36">
        <v>0.25</v>
      </c>
      <c r="G987" s="31"/>
      <c r="H987" s="31"/>
      <c r="I987" s="31"/>
      <c r="J987" s="31"/>
      <c r="K987" s="31"/>
    </row>
    <row r="988" spans="1:11" ht="14.4" x14ac:dyDescent="0.3">
      <c r="A988" s="28" t="str">
        <f>B988&amp;C988&amp;D988&amp;E988</f>
        <v>Sport va hordiqVelosportVelosiped qismlariGripslar va tutqichlar</v>
      </c>
      <c r="B988" s="35" t="s">
        <v>43</v>
      </c>
      <c r="C988" s="35" t="s">
        <v>4193</v>
      </c>
      <c r="D988" s="35" t="s">
        <v>4194</v>
      </c>
      <c r="E988" s="35" t="s">
        <v>4244</v>
      </c>
      <c r="F988" s="36">
        <v>0.25</v>
      </c>
      <c r="G988" s="31"/>
      <c r="H988" s="31"/>
      <c r="I988" s="31"/>
      <c r="J988" s="31"/>
      <c r="K988" s="31"/>
    </row>
    <row r="989" spans="1:11" ht="14.4" x14ac:dyDescent="0.3">
      <c r="A989" s="28" t="str">
        <f>B989&amp;C989&amp;D989&amp;E989</f>
        <v>Sport va hordiqSuv sporti va suvda dam olishDayvingDayving uchun paypoqlar va poyabzal</v>
      </c>
      <c r="B989" s="35" t="s">
        <v>43</v>
      </c>
      <c r="C989" s="35" t="s">
        <v>4189</v>
      </c>
      <c r="D989" s="35" t="s">
        <v>4208</v>
      </c>
      <c r="E989" s="35" t="s">
        <v>4245</v>
      </c>
      <c r="F989" s="36">
        <v>0.25</v>
      </c>
      <c r="G989" s="31"/>
      <c r="H989" s="31"/>
      <c r="I989" s="31"/>
      <c r="J989" s="31"/>
      <c r="K989" s="31"/>
    </row>
    <row r="990" spans="1:11" ht="14.4" x14ac:dyDescent="0.3">
      <c r="A990" s="28" t="str">
        <f>B990&amp;C990&amp;D990&amp;E990</f>
        <v>Sport va hordiqSport turlariBoks va yakka kurashBoks qoplari va noksimon qoplari</v>
      </c>
      <c r="B990" s="35" t="s">
        <v>43</v>
      </c>
      <c r="C990" s="35" t="s">
        <v>4175</v>
      </c>
      <c r="D990" s="35" t="s">
        <v>4178</v>
      </c>
      <c r="E990" s="35" t="s">
        <v>4246</v>
      </c>
      <c r="F990" s="36">
        <v>0.25</v>
      </c>
      <c r="G990" s="31"/>
      <c r="H990" s="31"/>
      <c r="I990" s="31"/>
      <c r="J990" s="31"/>
      <c r="K990" s="31"/>
    </row>
    <row r="991" spans="1:11" ht="14.4" x14ac:dyDescent="0.3">
      <c r="A991" s="28" t="str">
        <f>B991&amp;C991&amp;D991&amp;E991</f>
        <v>Sport va hordiqVelosportVelosiped kosmetikasi va parvarish uchun mahsulotlariVelosiped kosmetikasi va parvarish uchun mahsulotlari</v>
      </c>
      <c r="B991" s="35" t="s">
        <v>43</v>
      </c>
      <c r="C991" s="35" t="s">
        <v>4193</v>
      </c>
      <c r="D991" s="35" t="s">
        <v>4247</v>
      </c>
      <c r="E991" s="35" t="s">
        <v>4247</v>
      </c>
      <c r="F991" s="36">
        <v>0.25</v>
      </c>
      <c r="G991" s="31"/>
      <c r="H991" s="31"/>
      <c r="I991" s="31"/>
      <c r="J991" s="31"/>
      <c r="K991" s="31"/>
    </row>
    <row r="992" spans="1:11" ht="14.4" x14ac:dyDescent="0.3">
      <c r="A992" s="28" t="str">
        <f>B992&amp;C992&amp;D992&amp;E992</f>
        <v>Sport va hordiqBasseynlar va aksessuarlarSuzish va suv oʻyinlariSuzish halqalari</v>
      </c>
      <c r="B992" s="35" t="s">
        <v>43</v>
      </c>
      <c r="C992" s="35" t="s">
        <v>3486</v>
      </c>
      <c r="D992" s="35" t="s">
        <v>4248</v>
      </c>
      <c r="E992" s="35" t="s">
        <v>4249</v>
      </c>
      <c r="F992" s="36">
        <v>0.25</v>
      </c>
      <c r="G992" s="31"/>
      <c r="H992" s="31"/>
      <c r="I992" s="31"/>
      <c r="J992" s="31"/>
      <c r="K992" s="31"/>
    </row>
    <row r="993" spans="1:11" ht="14.4" x14ac:dyDescent="0.3">
      <c r="A993" s="28" t="str">
        <f>B993&amp;C993&amp;D993&amp;E993</f>
        <v>Sport va hordiqVelosportVelosiped qismlariBoshqa velosiped qismlari</v>
      </c>
      <c r="B993" s="35" t="s">
        <v>43</v>
      </c>
      <c r="C993" s="35" t="s">
        <v>4193</v>
      </c>
      <c r="D993" s="35" t="s">
        <v>4194</v>
      </c>
      <c r="E993" s="35" t="s">
        <v>4250</v>
      </c>
      <c r="F993" s="36">
        <v>0.25</v>
      </c>
      <c r="G993" s="31"/>
      <c r="H993" s="31"/>
      <c r="I993" s="31"/>
      <c r="J993" s="31"/>
      <c r="K993" s="31"/>
    </row>
    <row r="994" spans="1:11" ht="14.4" x14ac:dyDescent="0.3">
      <c r="A994" s="28" t="str">
        <f>B994&amp;C994&amp;D994&amp;E994</f>
        <v>Sport va hordiqSport turlariBoks va yakka kurashTana himoyasi</v>
      </c>
      <c r="B994" s="35" t="s">
        <v>43</v>
      </c>
      <c r="C994" s="35" t="s">
        <v>4175</v>
      </c>
      <c r="D994" s="35" t="s">
        <v>4178</v>
      </c>
      <c r="E994" s="35" t="s">
        <v>4251</v>
      </c>
      <c r="F994" s="36">
        <v>0.25</v>
      </c>
      <c r="G994" s="31"/>
      <c r="H994" s="31"/>
      <c r="I994" s="31"/>
      <c r="J994" s="31"/>
      <c r="K994" s="31"/>
    </row>
    <row r="995" spans="1:11" ht="14.4" x14ac:dyDescent="0.3">
      <c r="A995" s="28" t="str">
        <f>B995&amp;C995&amp;D995&amp;E995</f>
        <v>Sport va hordiqSport turlariFutbolFutbol to'plari</v>
      </c>
      <c r="B995" s="35" t="s">
        <v>43</v>
      </c>
      <c r="C995" s="35" t="s">
        <v>4175</v>
      </c>
      <c r="D995" s="35" t="s">
        <v>4196</v>
      </c>
      <c r="E995" s="35" t="s">
        <v>4252</v>
      </c>
      <c r="F995" s="36">
        <v>0.25</v>
      </c>
      <c r="G995" s="31"/>
      <c r="H995" s="31"/>
      <c r="I995" s="31"/>
      <c r="J995" s="31"/>
      <c r="K995" s="31"/>
    </row>
    <row r="996" spans="1:11" ht="14.4" x14ac:dyDescent="0.3">
      <c r="A996" s="28" t="str">
        <f>B996&amp;C996&amp;D996&amp;E996</f>
        <v>Sport va hordiqSport turlariFutbolFutbol darvozalari</v>
      </c>
      <c r="B996" s="35" t="s">
        <v>43</v>
      </c>
      <c r="C996" s="35" t="s">
        <v>4175</v>
      </c>
      <c r="D996" s="35" t="s">
        <v>4196</v>
      </c>
      <c r="E996" s="35" t="s">
        <v>4253</v>
      </c>
      <c r="F996" s="36">
        <v>0.25</v>
      </c>
      <c r="G996" s="31"/>
      <c r="H996" s="31"/>
      <c r="I996" s="31"/>
      <c r="J996" s="31"/>
      <c r="K996" s="31"/>
    </row>
    <row r="997" spans="1:11" ht="14.4" x14ac:dyDescent="0.3">
      <c r="A997" s="28" t="str">
        <f>B997&amp;C997&amp;D997&amp;E997</f>
        <v>Sport va hordiqTabiat qoʻynida dam olish, baliq ovi va ovTurizm va ochiq havoda dam olishUyqu qoplari</v>
      </c>
      <c r="B997" s="35" t="s">
        <v>43</v>
      </c>
      <c r="C997" s="35" t="s">
        <v>4172</v>
      </c>
      <c r="D997" s="35" t="s">
        <v>4173</v>
      </c>
      <c r="E997" s="35" t="s">
        <v>4254</v>
      </c>
      <c r="F997" s="36">
        <v>0.25</v>
      </c>
      <c r="G997" s="31"/>
      <c r="H997" s="31"/>
      <c r="I997" s="31"/>
      <c r="J997" s="31"/>
      <c r="K997" s="31"/>
    </row>
    <row r="998" spans="1:11" ht="14.4" x14ac:dyDescent="0.3">
      <c r="A998" s="28" t="str">
        <f>B998&amp;C998&amp;D998&amp;E998</f>
        <v>Sport va hordiqSport turlariVoleybolVoleybol to'rlari</v>
      </c>
      <c r="B998" s="35" t="s">
        <v>43</v>
      </c>
      <c r="C998" s="35" t="s">
        <v>4175</v>
      </c>
      <c r="D998" s="35" t="s">
        <v>4255</v>
      </c>
      <c r="E998" s="35" t="s">
        <v>4256</v>
      </c>
      <c r="F998" s="36">
        <v>0.25</v>
      </c>
      <c r="G998" s="31"/>
      <c r="H998" s="31"/>
      <c r="I998" s="31"/>
      <c r="J998" s="31"/>
      <c r="K998" s="31"/>
    </row>
    <row r="999" spans="1:11" ht="14.4" x14ac:dyDescent="0.3">
      <c r="A999" s="28" t="str">
        <f>B999&amp;C999&amp;D999&amp;E999</f>
        <v>Sport va hordiqSuv sporti va suvda dam olishSuzishSuzish uchun koʻzoynaklar va niqoblar</v>
      </c>
      <c r="B999" s="35" t="s">
        <v>43</v>
      </c>
      <c r="C999" s="35" t="s">
        <v>4189</v>
      </c>
      <c r="D999" s="35" t="s">
        <v>4190</v>
      </c>
      <c r="E999" s="35" t="s">
        <v>4257</v>
      </c>
      <c r="F999" s="36">
        <v>0.25</v>
      </c>
      <c r="G999" s="31"/>
      <c r="H999" s="31"/>
      <c r="I999" s="31"/>
      <c r="J999" s="31"/>
      <c r="K999" s="31"/>
    </row>
    <row r="1000" spans="1:11" ht="14.4" x14ac:dyDescent="0.3">
      <c r="A1000" s="28" t="str">
        <f>B1000&amp;C1000&amp;D1000&amp;E1000</f>
        <v>Sport va hordiqSport turlariBoks va yakka kurashQo'lqoplar</v>
      </c>
      <c r="B1000" s="35" t="s">
        <v>43</v>
      </c>
      <c r="C1000" s="35" t="s">
        <v>4175</v>
      </c>
      <c r="D1000" s="35" t="s">
        <v>4178</v>
      </c>
      <c r="E1000" s="35" t="s">
        <v>4258</v>
      </c>
      <c r="F1000" s="36">
        <v>0.25</v>
      </c>
      <c r="G1000" s="31"/>
      <c r="H1000" s="31"/>
      <c r="I1000" s="31"/>
      <c r="J1000" s="31"/>
      <c r="K1000" s="31"/>
    </row>
    <row r="1001" spans="1:11" ht="14.4" x14ac:dyDescent="0.3">
      <c r="A1001" s="28" t="str">
        <f>B1001&amp;C1001&amp;D1001&amp;E1001</f>
        <v>Sport va hordiqVelosportVelosport uchun aksessuarlarVelosport uchun aksessuarlar</v>
      </c>
      <c r="B1001" s="35" t="s">
        <v>43</v>
      </c>
      <c r="C1001" s="35" t="s">
        <v>4193</v>
      </c>
      <c r="D1001" s="35" t="s">
        <v>4259</v>
      </c>
      <c r="E1001" s="35" t="s">
        <v>4259</v>
      </c>
      <c r="F1001" s="36">
        <v>0.25</v>
      </c>
      <c r="G1001" s="31"/>
      <c r="H1001" s="31"/>
      <c r="I1001" s="31"/>
      <c r="J1001" s="31"/>
      <c r="K1001" s="31"/>
    </row>
    <row r="1002" spans="1:11" ht="14.4" x14ac:dyDescent="0.3">
      <c r="A1002" s="28" t="str">
        <f>B1002&amp;C1002&amp;D1002&amp;E1002</f>
        <v>Sport va hordiqTabiat qoʻynida dam olish, baliq ovi va ovTurizm va ochiq havoda dam olishSayohat uchun ryukzaklar va sumkalar</v>
      </c>
      <c r="B1002" s="35" t="s">
        <v>43</v>
      </c>
      <c r="C1002" s="35" t="s">
        <v>4172</v>
      </c>
      <c r="D1002" s="35" t="s">
        <v>4173</v>
      </c>
      <c r="E1002" s="35" t="s">
        <v>4260</v>
      </c>
      <c r="F1002" s="36">
        <v>0.25</v>
      </c>
      <c r="G1002" s="31"/>
      <c r="H1002" s="31"/>
      <c r="I1002" s="31"/>
      <c r="J1002" s="31"/>
      <c r="K1002" s="31"/>
    </row>
    <row r="1003" spans="1:11" ht="14.4" x14ac:dyDescent="0.3">
      <c r="A1003" s="28" t="str">
        <f>B1003&amp;C1003&amp;D1003&amp;E1003</f>
        <v>Sport va hordiqSuv sporti va suvda dam olishAkvafitness va suv poloSport nudl</v>
      </c>
      <c r="B1003" s="35" t="s">
        <v>43</v>
      </c>
      <c r="C1003" s="35" t="s">
        <v>4189</v>
      </c>
      <c r="D1003" s="35" t="s">
        <v>4231</v>
      </c>
      <c r="E1003" s="35" t="s">
        <v>4261</v>
      </c>
      <c r="F1003" s="36">
        <v>0.25</v>
      </c>
      <c r="G1003" s="31"/>
      <c r="H1003" s="31"/>
      <c r="I1003" s="31"/>
      <c r="J1003" s="31"/>
      <c r="K1003" s="31"/>
    </row>
    <row r="1004" spans="1:11" ht="14.4" x14ac:dyDescent="0.3">
      <c r="A1004" s="28" t="str">
        <f>B1004&amp;C1004&amp;D1004&amp;E1004</f>
        <v>Sport va hordiqVelosportVelosiped qismlariVelosiped tormozlar</v>
      </c>
      <c r="B1004" s="35" t="s">
        <v>43</v>
      </c>
      <c r="C1004" s="35" t="s">
        <v>4193</v>
      </c>
      <c r="D1004" s="35" t="s">
        <v>4194</v>
      </c>
      <c r="E1004" s="35" t="s">
        <v>4262</v>
      </c>
      <c r="F1004" s="36">
        <v>0.25</v>
      </c>
      <c r="G1004" s="31"/>
      <c r="H1004" s="31"/>
      <c r="I1004" s="31"/>
      <c r="J1004" s="31"/>
      <c r="K1004" s="31"/>
    </row>
    <row r="1005" spans="1:11" ht="14.4" x14ac:dyDescent="0.3">
      <c r="A1005" s="28" t="str">
        <f>B1005&amp;C1005&amp;D1005&amp;E1005</f>
        <v>Sport va hordiqVelosportVelosiped qismlariQanotlar va loy qo'riqchilari</v>
      </c>
      <c r="B1005" s="35" t="s">
        <v>43</v>
      </c>
      <c r="C1005" s="35" t="s">
        <v>4193</v>
      </c>
      <c r="D1005" s="35" t="s">
        <v>4194</v>
      </c>
      <c r="E1005" s="35" t="s">
        <v>4263</v>
      </c>
      <c r="F1005" s="36">
        <v>0.25</v>
      </c>
      <c r="G1005" s="31"/>
      <c r="H1005" s="31"/>
      <c r="I1005" s="31"/>
      <c r="J1005" s="31"/>
      <c r="K1005" s="31"/>
    </row>
    <row r="1006" spans="1:11" ht="14.4" x14ac:dyDescent="0.3">
      <c r="A1006" s="28" t="str">
        <f>B1006&amp;C1006&amp;D1006&amp;E1006</f>
        <v>Sport va hordiqSport turlariYugurishKinezioteyplar</v>
      </c>
      <c r="B1006" s="35" t="s">
        <v>43</v>
      </c>
      <c r="C1006" s="35" t="s">
        <v>4175</v>
      </c>
      <c r="D1006" s="35" t="s">
        <v>4187</v>
      </c>
      <c r="E1006" s="35" t="s">
        <v>4264</v>
      </c>
      <c r="F1006" s="36">
        <v>0.25</v>
      </c>
      <c r="G1006" s="31"/>
      <c r="H1006" s="31"/>
      <c r="I1006" s="31"/>
      <c r="J1006" s="31"/>
      <c r="K1006" s="31"/>
    </row>
    <row r="1007" spans="1:11" ht="14.4" x14ac:dyDescent="0.3">
      <c r="A1007" s="28" t="str">
        <f>B1007&amp;C1007&amp;D1007&amp;E1007</f>
        <v>Sport va hordiqSport turlariBadiiy gimnastika va raqslarBadiiy gimnastika va raqs uchun inventarlar</v>
      </c>
      <c r="B1007" s="35" t="s">
        <v>43</v>
      </c>
      <c r="C1007" s="35" t="s">
        <v>4175</v>
      </c>
      <c r="D1007" s="35" t="s">
        <v>4198</v>
      </c>
      <c r="E1007" s="35" t="s">
        <v>4265</v>
      </c>
      <c r="F1007" s="36">
        <v>0.25</v>
      </c>
      <c r="G1007" s="31"/>
      <c r="H1007" s="31"/>
      <c r="I1007" s="31"/>
      <c r="J1007" s="31"/>
      <c r="K1007" s="31"/>
    </row>
    <row r="1008" spans="1:11" ht="14.4" x14ac:dyDescent="0.3">
      <c r="A1008" s="28" t="str">
        <f>B1008&amp;C1008&amp;D1008&amp;E1008</f>
        <v>Sport va hordiqSuv sporti va suvda dam olishSuzishSuzish uchun aksessuarlar</v>
      </c>
      <c r="B1008" s="35" t="s">
        <v>43</v>
      </c>
      <c r="C1008" s="35" t="s">
        <v>4189</v>
      </c>
      <c r="D1008" s="35" t="s">
        <v>4190</v>
      </c>
      <c r="E1008" s="35" t="s">
        <v>4266</v>
      </c>
      <c r="F1008" s="36">
        <v>0.25</v>
      </c>
      <c r="G1008" s="31"/>
      <c r="H1008" s="31"/>
      <c r="I1008" s="31"/>
      <c r="J1008" s="31"/>
      <c r="K1008" s="31"/>
    </row>
    <row r="1009" spans="1:11" ht="14.4" x14ac:dyDescent="0.3">
      <c r="A1009" s="28" t="str">
        <f>B1009&amp;C1009&amp;D1009&amp;E1009</f>
        <v>Sport va hordiqSuv sporti va suvda dam olishSuzishQisqichlar va quloq uchun tiqinlar</v>
      </c>
      <c r="B1009" s="35" t="s">
        <v>43</v>
      </c>
      <c r="C1009" s="35" t="s">
        <v>4189</v>
      </c>
      <c r="D1009" s="35" t="s">
        <v>4190</v>
      </c>
      <c r="E1009" s="35" t="s">
        <v>4267</v>
      </c>
      <c r="F1009" s="36">
        <v>0.25</v>
      </c>
      <c r="G1009" s="31"/>
      <c r="H1009" s="31"/>
      <c r="I1009" s="31"/>
      <c r="J1009" s="31"/>
      <c r="K1009" s="31"/>
    </row>
    <row r="1010" spans="1:11" ht="14.4" x14ac:dyDescent="0.3">
      <c r="A1010" s="28" t="str">
        <f>B1010&amp;C1010&amp;D1010&amp;E1010</f>
        <v>Sport va hordiqTabiat qoʻynida dam olish, baliq ovi va ovTurizm va ochiq havoda dam olishFonarlar va aksessuarlar</v>
      </c>
      <c r="B1010" s="35" t="s">
        <v>43</v>
      </c>
      <c r="C1010" s="35" t="s">
        <v>4172</v>
      </c>
      <c r="D1010" s="35" t="s">
        <v>4173</v>
      </c>
      <c r="E1010" s="35" t="s">
        <v>4268</v>
      </c>
      <c r="F1010" s="36">
        <v>0.25</v>
      </c>
      <c r="G1010" s="31"/>
      <c r="H1010" s="31"/>
      <c r="I1010" s="31"/>
      <c r="J1010" s="31"/>
      <c r="K1010" s="31"/>
    </row>
    <row r="1011" spans="1:11" ht="14.4" x14ac:dyDescent="0.3">
      <c r="A1011" s="28" t="str">
        <f>B1011&amp;C1011&amp;D1011&amp;E1011</f>
        <v>Sport va hordiqSuv sporti va suvda dam olishSuzishLastalar</v>
      </c>
      <c r="B1011" s="35" t="s">
        <v>43</v>
      </c>
      <c r="C1011" s="35" t="s">
        <v>4189</v>
      </c>
      <c r="D1011" s="35" t="s">
        <v>4190</v>
      </c>
      <c r="E1011" s="35" t="s">
        <v>4269</v>
      </c>
      <c r="F1011" s="36">
        <v>0.25</v>
      </c>
      <c r="G1011" s="31"/>
      <c r="H1011" s="31"/>
      <c r="I1011" s="31"/>
      <c r="J1011" s="31"/>
      <c r="K1011" s="31"/>
    </row>
    <row r="1012" spans="1:11" ht="14.4" x14ac:dyDescent="0.3">
      <c r="A1012" s="28" t="str">
        <f>B1012&amp;C1012&amp;D1012&amp;E1012</f>
        <v>Sport va hordiqSport turlariSport gimnastikasiGimnastika uskunalari</v>
      </c>
      <c r="B1012" s="35" t="s">
        <v>43</v>
      </c>
      <c r="C1012" s="35" t="s">
        <v>4175</v>
      </c>
      <c r="D1012" s="35" t="s">
        <v>4270</v>
      </c>
      <c r="E1012" s="35" t="s">
        <v>4271</v>
      </c>
      <c r="F1012" s="36">
        <v>0.25</v>
      </c>
      <c r="G1012" s="31"/>
      <c r="H1012" s="31"/>
      <c r="I1012" s="31"/>
      <c r="J1012" s="31"/>
      <c r="K1012" s="31"/>
    </row>
    <row r="1013" spans="1:11" ht="14.4" x14ac:dyDescent="0.3">
      <c r="A1013" s="28" t="str">
        <f>B1013&amp;C1013&amp;D1013&amp;E1013</f>
        <v>Sport va hordiqFaol hordiq turlariSkandinaviyacha yurishSkandinaviyacha yurish</v>
      </c>
      <c r="B1013" s="35" t="s">
        <v>43</v>
      </c>
      <c r="C1013" s="35" t="s">
        <v>4181</v>
      </c>
      <c r="D1013" s="35" t="s">
        <v>4272</v>
      </c>
      <c r="E1013" s="35" t="s">
        <v>4272</v>
      </c>
      <c r="F1013" s="36">
        <v>0.25</v>
      </c>
      <c r="G1013" s="31"/>
      <c r="H1013" s="31"/>
      <c r="I1013" s="31"/>
      <c r="J1013" s="31"/>
      <c r="K1013" s="31"/>
    </row>
    <row r="1014" spans="1:11" ht="14.4" x14ac:dyDescent="0.3">
      <c r="A1014" s="28" t="str">
        <f>B1014&amp;C1014&amp;D1014&amp;E1014</f>
        <v>Sport va hordiqSport turlariSport atributkalari va aksessuarlarSport atributkalari va aksessuarlar</v>
      </c>
      <c r="B1014" s="35" t="s">
        <v>43</v>
      </c>
      <c r="C1014" s="35" t="s">
        <v>4175</v>
      </c>
      <c r="D1014" s="35" t="s">
        <v>4273</v>
      </c>
      <c r="E1014" s="35" t="s">
        <v>4273</v>
      </c>
      <c r="F1014" s="36">
        <v>0.25</v>
      </c>
      <c r="G1014" s="31"/>
      <c r="H1014" s="31"/>
      <c r="I1014" s="31"/>
      <c r="J1014" s="31"/>
      <c r="K1014" s="31"/>
    </row>
    <row r="1015" spans="1:11" ht="14.4" x14ac:dyDescent="0.3">
      <c r="A1015" s="28" t="str">
        <f>B1015&amp;C1015&amp;D1015&amp;E1015</f>
        <v>Sport va hordiqSport turlariTennis va badmintonStol tennisi</v>
      </c>
      <c r="B1015" s="35" t="s">
        <v>43</v>
      </c>
      <c r="C1015" s="35" t="s">
        <v>4175</v>
      </c>
      <c r="D1015" s="35" t="s">
        <v>4176</v>
      </c>
      <c r="E1015" s="35" t="s">
        <v>4274</v>
      </c>
      <c r="F1015" s="36">
        <v>0.25</v>
      </c>
      <c r="G1015" s="31"/>
      <c r="H1015" s="31"/>
      <c r="I1015" s="31"/>
      <c r="J1015" s="31"/>
      <c r="K1015" s="31"/>
    </row>
    <row r="1016" spans="1:11" ht="14.4" x14ac:dyDescent="0.3">
      <c r="A1016" s="28" t="str">
        <f>B1016&amp;C1016&amp;D1016&amp;E1016</f>
        <v>Sport va hordiqSuv sporti va suvda dam olishSuzishSuzish uchun trubkalar</v>
      </c>
      <c r="B1016" s="35" t="s">
        <v>43</v>
      </c>
      <c r="C1016" s="35" t="s">
        <v>4189</v>
      </c>
      <c r="D1016" s="35" t="s">
        <v>4190</v>
      </c>
      <c r="E1016" s="35" t="s">
        <v>4275</v>
      </c>
      <c r="F1016" s="36">
        <v>0.25</v>
      </c>
      <c r="G1016" s="31"/>
      <c r="H1016" s="31"/>
      <c r="I1016" s="31"/>
      <c r="J1016" s="31"/>
      <c r="K1016" s="31"/>
    </row>
    <row r="1017" spans="1:11" ht="14.4" x14ac:dyDescent="0.3">
      <c r="A1017" s="28" t="str">
        <f>B1017&amp;C1017&amp;D1017&amp;E1017</f>
        <v>Sport va hordiqSport turlariFutbolO'quv jihozlari va aksessuarlari</v>
      </c>
      <c r="B1017" s="35" t="s">
        <v>43</v>
      </c>
      <c r="C1017" s="35" t="s">
        <v>4175</v>
      </c>
      <c r="D1017" s="35" t="s">
        <v>4196</v>
      </c>
      <c r="E1017" s="35" t="s">
        <v>4276</v>
      </c>
      <c r="F1017" s="36">
        <v>0.25</v>
      </c>
      <c r="G1017" s="31"/>
      <c r="H1017" s="31"/>
      <c r="I1017" s="31"/>
      <c r="J1017" s="31"/>
      <c r="K1017" s="31"/>
    </row>
    <row r="1018" spans="1:11" ht="14.4" x14ac:dyDescent="0.3">
      <c r="A1018" s="28" t="str">
        <f>B1018&amp;C1018&amp;D1018&amp;E1018</f>
        <v>Sport va hordiqFaol hordiq turlariDartsDarts doskalari</v>
      </c>
      <c r="B1018" s="35" t="s">
        <v>43</v>
      </c>
      <c r="C1018" s="35" t="s">
        <v>4181</v>
      </c>
      <c r="D1018" s="35" t="s">
        <v>4228</v>
      </c>
      <c r="E1018" s="35" t="s">
        <v>4277</v>
      </c>
      <c r="F1018" s="36">
        <v>0.25</v>
      </c>
      <c r="G1018" s="31"/>
      <c r="H1018" s="31"/>
      <c r="I1018" s="31"/>
      <c r="J1018" s="31"/>
      <c r="K1018" s="31"/>
    </row>
    <row r="1019" spans="1:11" ht="14.4" x14ac:dyDescent="0.3">
      <c r="A1019" s="28" t="str">
        <f>B1019&amp;C1019&amp;D1019&amp;E1019</f>
        <v>Sport va hordiqSport turlariTennis va badmintonSkvosh</v>
      </c>
      <c r="B1019" s="35" t="s">
        <v>43</v>
      </c>
      <c r="C1019" s="35" t="s">
        <v>4175</v>
      </c>
      <c r="D1019" s="35" t="s">
        <v>4176</v>
      </c>
      <c r="E1019" s="35" t="s">
        <v>4278</v>
      </c>
      <c r="F1019" s="36">
        <v>0.25</v>
      </c>
      <c r="G1019" s="31"/>
      <c r="H1019" s="31"/>
      <c r="I1019" s="31"/>
      <c r="J1019" s="31"/>
      <c r="K1019" s="31"/>
    </row>
    <row r="1020" spans="1:11" ht="14.4" x14ac:dyDescent="0.3">
      <c r="A1020" s="28" t="str">
        <f>B1020&amp;C1020&amp;D1020&amp;E1020</f>
        <v>Sport va hordiqTabiat qoʻynida dam olish, baliq ovi va ovTurizm va ochiq havoda dam olishTurizm va dam olish uchun aksessuarlar</v>
      </c>
      <c r="B1020" s="35" t="s">
        <v>43</v>
      </c>
      <c r="C1020" s="35" t="s">
        <v>4172</v>
      </c>
      <c r="D1020" s="35" t="s">
        <v>4173</v>
      </c>
      <c r="E1020" s="35" t="s">
        <v>4279</v>
      </c>
      <c r="F1020" s="36">
        <v>0.25</v>
      </c>
      <c r="G1020" s="31"/>
      <c r="H1020" s="31"/>
      <c r="I1020" s="31"/>
      <c r="J1020" s="31"/>
      <c r="K1020" s="31"/>
    </row>
    <row r="1021" spans="1:11" ht="14.4" x14ac:dyDescent="0.3">
      <c r="A1021" s="28" t="str">
        <f>B1021&amp;C1021&amp;D1021&amp;E1021</f>
        <v>Sport va hordiqTabiat qoʻynida dam olish, baliq ovi va ovTurizm va ochiq havoda dam olishOsma qozonchalar va gulhan uchun uch oyoq</v>
      </c>
      <c r="B1021" s="35" t="s">
        <v>43</v>
      </c>
      <c r="C1021" s="35" t="s">
        <v>4172</v>
      </c>
      <c r="D1021" s="35" t="s">
        <v>4173</v>
      </c>
      <c r="E1021" s="35" t="s">
        <v>4280</v>
      </c>
      <c r="F1021" s="36">
        <v>0.25</v>
      </c>
      <c r="G1021" s="31"/>
      <c r="H1021" s="31"/>
      <c r="I1021" s="31"/>
      <c r="J1021" s="31"/>
      <c r="K1021" s="31"/>
    </row>
    <row r="1022" spans="1:11" ht="14.4" x14ac:dyDescent="0.3">
      <c r="A1022" s="28" t="str">
        <f>B1022&amp;C1022&amp;D1022&amp;E1022</f>
        <v>Sport va hordiqSport turlariVoleybolVoleybol tizzalari va tirsak yostiqchalari</v>
      </c>
      <c r="B1022" s="35" t="s">
        <v>43</v>
      </c>
      <c r="C1022" s="35" t="s">
        <v>4175</v>
      </c>
      <c r="D1022" s="35" t="s">
        <v>4255</v>
      </c>
      <c r="E1022" s="35" t="s">
        <v>4281</v>
      </c>
      <c r="F1022" s="36">
        <v>0.25</v>
      </c>
      <c r="G1022" s="31"/>
      <c r="H1022" s="31"/>
      <c r="I1022" s="31"/>
      <c r="J1022" s="31"/>
      <c r="K1022" s="31"/>
    </row>
    <row r="1023" spans="1:11" ht="14.4" x14ac:dyDescent="0.3">
      <c r="A1023" s="28" t="str">
        <f>B1023&amp;C1023&amp;D1023&amp;E1023</f>
        <v>Sport va hordiqBasseynlar va aksessuarlarSuzish va suv oʻyinlariPuflanama toʻplar</v>
      </c>
      <c r="B1023" s="35" t="s">
        <v>43</v>
      </c>
      <c r="C1023" s="35" t="s">
        <v>3486</v>
      </c>
      <c r="D1023" s="35" t="s">
        <v>4248</v>
      </c>
      <c r="E1023" s="35" t="s">
        <v>4282</v>
      </c>
      <c r="F1023" s="36">
        <v>0.25</v>
      </c>
      <c r="G1023" s="31"/>
      <c r="H1023" s="31"/>
      <c r="I1023" s="31"/>
      <c r="J1023" s="31"/>
      <c r="K1023" s="31"/>
    </row>
    <row r="1024" spans="1:11" ht="14.4" x14ac:dyDescent="0.3">
      <c r="A1024" s="28" t="str">
        <f>B1024&amp;C1024&amp;D1024&amp;E1024</f>
        <v>Sport va hordiqSuv sporti va suvda dam olishAkvafitness va suv poloSuv aerobika uchun kamarlar</v>
      </c>
      <c r="B1024" s="35" t="s">
        <v>43</v>
      </c>
      <c r="C1024" s="35" t="s">
        <v>4189</v>
      </c>
      <c r="D1024" s="35" t="s">
        <v>4231</v>
      </c>
      <c r="E1024" s="35" t="s">
        <v>4283</v>
      </c>
      <c r="F1024" s="36">
        <v>0.25</v>
      </c>
      <c r="G1024" s="31"/>
      <c r="H1024" s="31"/>
      <c r="I1024" s="31"/>
      <c r="J1024" s="31"/>
      <c r="K1024" s="31"/>
    </row>
    <row r="1025" spans="1:11" ht="14.4" x14ac:dyDescent="0.3">
      <c r="A1025" s="28" t="str">
        <f>B1025&amp;C1025&amp;D1025&amp;E1025</f>
        <v>Sport va hordiqSport turlariVoleybolVoleybol to'plari</v>
      </c>
      <c r="B1025" s="35" t="s">
        <v>43</v>
      </c>
      <c r="C1025" s="35" t="s">
        <v>4175</v>
      </c>
      <c r="D1025" s="35" t="s">
        <v>4255</v>
      </c>
      <c r="E1025" s="35" t="s">
        <v>4284</v>
      </c>
      <c r="F1025" s="36">
        <v>0.25</v>
      </c>
      <c r="G1025" s="31"/>
      <c r="H1025" s="31"/>
      <c r="I1025" s="31"/>
      <c r="J1025" s="31"/>
      <c r="K1025" s="31"/>
    </row>
    <row r="1026" spans="1:11" ht="14.4" x14ac:dyDescent="0.3">
      <c r="A1026" s="28" t="str">
        <f>B1026&amp;C1026&amp;D1026&amp;E1026</f>
        <v>Sport va hordiqBasseynlar va aksessuarlarHovuz uchun kimyoDezinfektsiyalash vositalari</v>
      </c>
      <c r="B1026" s="35" t="s">
        <v>43</v>
      </c>
      <c r="C1026" s="35" t="s">
        <v>3486</v>
      </c>
      <c r="D1026" s="35" t="s">
        <v>4285</v>
      </c>
      <c r="E1026" s="35" t="s">
        <v>4286</v>
      </c>
      <c r="F1026" s="36">
        <v>0.25</v>
      </c>
      <c r="G1026" s="31"/>
      <c r="H1026" s="31"/>
      <c r="I1026" s="31"/>
      <c r="J1026" s="31"/>
      <c r="K1026" s="31"/>
    </row>
    <row r="1027" spans="1:11" ht="14.4" x14ac:dyDescent="0.3">
      <c r="A1027" s="28" t="str">
        <f>B1027&amp;C1027&amp;D1027&amp;E1027</f>
        <v>Sport va hordiqSport turlariBadiiy gimnastika va raqslarBulavalar</v>
      </c>
      <c r="B1027" s="35" t="s">
        <v>43</v>
      </c>
      <c r="C1027" s="35" t="s">
        <v>4175</v>
      </c>
      <c r="D1027" s="35" t="s">
        <v>4198</v>
      </c>
      <c r="E1027" s="35" t="s">
        <v>4287</v>
      </c>
      <c r="F1027" s="36">
        <v>0.25</v>
      </c>
      <c r="G1027" s="31"/>
      <c r="H1027" s="31"/>
      <c r="I1027" s="31"/>
      <c r="J1027" s="31"/>
      <c r="K1027" s="31"/>
    </row>
    <row r="1028" spans="1:11" ht="14.4" x14ac:dyDescent="0.3">
      <c r="A1028" s="28" t="str">
        <f>B1028&amp;C1028&amp;D1028&amp;E1028</f>
        <v>Sport va hordiqSport turlariBeysbolBeysbol aksessuarlari</v>
      </c>
      <c r="B1028" s="35" t="s">
        <v>43</v>
      </c>
      <c r="C1028" s="35" t="s">
        <v>4175</v>
      </c>
      <c r="D1028" s="35" t="s">
        <v>4288</v>
      </c>
      <c r="E1028" s="35" t="s">
        <v>4289</v>
      </c>
      <c r="F1028" s="36">
        <v>0.25</v>
      </c>
      <c r="G1028" s="31"/>
      <c r="H1028" s="31"/>
      <c r="I1028" s="31"/>
      <c r="J1028" s="31"/>
      <c r="K1028" s="31"/>
    </row>
    <row r="1029" spans="1:11" ht="14.4" x14ac:dyDescent="0.3">
      <c r="A1029" s="28" t="str">
        <f>B1029&amp;C1029&amp;D1029&amp;E1029</f>
        <v>Sport va hordiqSport turlariBoks va yakka kurashKimono</v>
      </c>
      <c r="B1029" s="35" t="s">
        <v>43</v>
      </c>
      <c r="C1029" s="35" t="s">
        <v>4175</v>
      </c>
      <c r="D1029" s="35" t="s">
        <v>4178</v>
      </c>
      <c r="E1029" s="35" t="s">
        <v>4290</v>
      </c>
      <c r="F1029" s="36">
        <v>0.25</v>
      </c>
      <c r="G1029" s="31"/>
      <c r="H1029" s="31"/>
      <c r="I1029" s="31"/>
      <c r="J1029" s="31"/>
      <c r="K1029" s="31"/>
    </row>
    <row r="1030" spans="1:11" ht="14.4" x14ac:dyDescent="0.3">
      <c r="A1030" s="28" t="str">
        <f>B1030&amp;C1030&amp;D1030&amp;E1030</f>
        <v>Sport va hordiqBasseynlar va aksessuarlarBasseyn uchun aksessuarlarTa'mirlash to'plamlari</v>
      </c>
      <c r="B1030" s="35" t="s">
        <v>43</v>
      </c>
      <c r="C1030" s="35" t="s">
        <v>3486</v>
      </c>
      <c r="D1030" s="35" t="s">
        <v>4213</v>
      </c>
      <c r="E1030" s="35" t="s">
        <v>4291</v>
      </c>
      <c r="F1030" s="36">
        <v>0.25</v>
      </c>
      <c r="G1030" s="31"/>
      <c r="H1030" s="31"/>
      <c r="I1030" s="31"/>
      <c r="J1030" s="31"/>
      <c r="K1030" s="31"/>
    </row>
    <row r="1031" spans="1:11" ht="14.4" x14ac:dyDescent="0.3">
      <c r="A1031" s="28" t="str">
        <f>B1031&amp;C1031&amp;D1031&amp;E1031</f>
        <v>Sport va hordiqSuv sporti va suvda dam olishSerfing, vindserfing, suv chang'isi, kaytserfingSerfing, vindserfing, suv chang'isi, kaytserfing</v>
      </c>
      <c r="B1031" s="35" t="s">
        <v>43</v>
      </c>
      <c r="C1031" s="35" t="s">
        <v>4189</v>
      </c>
      <c r="D1031" s="35" t="s">
        <v>4292</v>
      </c>
      <c r="E1031" s="35" t="s">
        <v>4292</v>
      </c>
      <c r="F1031" s="36">
        <v>0.25</v>
      </c>
      <c r="G1031" s="31"/>
      <c r="H1031" s="31"/>
      <c r="I1031" s="31"/>
      <c r="J1031" s="31"/>
      <c r="K1031" s="31"/>
    </row>
    <row r="1032" spans="1:11" ht="14.4" x14ac:dyDescent="0.3">
      <c r="A1032" s="28" t="str">
        <f>B1032&amp;C1032&amp;D1032&amp;E1032</f>
        <v>Uy-roʻzgʻor buyumlariOshxona buyumlariOshxona anjomlariKonserva pichoqlari va ochqichlari</v>
      </c>
      <c r="B1032" s="35" t="s">
        <v>3193</v>
      </c>
      <c r="C1032" s="35" t="s">
        <v>3443</v>
      </c>
      <c r="D1032" s="35" t="s">
        <v>4293</v>
      </c>
      <c r="E1032" s="35" t="s">
        <v>4294</v>
      </c>
      <c r="F1032" s="36">
        <v>0.25</v>
      </c>
      <c r="G1032" s="31"/>
      <c r="H1032" s="31"/>
      <c r="I1032" s="31"/>
      <c r="J1032" s="31"/>
      <c r="K1032" s="31"/>
    </row>
    <row r="1033" spans="1:11" ht="14.4" x14ac:dyDescent="0.3">
      <c r="A1033" s="28" t="str">
        <f>B1033&amp;C1033&amp;D1033&amp;E1033</f>
        <v>Uy-roʻzgʻor buyumlariOshxona buyumlariKrujkalar, stakanlar va bokallarStakanlar</v>
      </c>
      <c r="B1033" s="35" t="s">
        <v>3193</v>
      </c>
      <c r="C1033" s="35" t="s">
        <v>3443</v>
      </c>
      <c r="D1033" s="35" t="s">
        <v>4295</v>
      </c>
      <c r="E1033" s="35" t="s">
        <v>4296</v>
      </c>
      <c r="F1033" s="36">
        <v>0.25</v>
      </c>
      <c r="G1033" s="31"/>
      <c r="H1033" s="31"/>
      <c r="I1033" s="31"/>
      <c r="J1033" s="31"/>
      <c r="K1033" s="31"/>
    </row>
    <row r="1034" spans="1:11" ht="14.4" x14ac:dyDescent="0.3">
      <c r="A1034" s="28" t="str">
        <f>B1034&amp;C1034&amp;D1034&amp;E1034</f>
        <v>Uy-roʻzgʻor buyumlariOshxona buyumlariOvqat pishirish uchun shakllarTuxum pishirish uchun shakllar</v>
      </c>
      <c r="B1034" s="35" t="s">
        <v>3193</v>
      </c>
      <c r="C1034" s="35" t="s">
        <v>3443</v>
      </c>
      <c r="D1034" s="35" t="s">
        <v>4297</v>
      </c>
      <c r="E1034" s="35" t="s">
        <v>4298</v>
      </c>
      <c r="F1034" s="36">
        <v>0.25</v>
      </c>
      <c r="G1034" s="31"/>
      <c r="H1034" s="31"/>
      <c r="I1034" s="31"/>
      <c r="J1034" s="31"/>
      <c r="K1034" s="31"/>
    </row>
    <row r="1035" spans="1:11" ht="14.4" x14ac:dyDescent="0.3">
      <c r="A1035" s="28" t="str">
        <f>B1035&amp;C1035&amp;D1035&amp;E1035</f>
        <v>Uy-roʻzgʻor buyumlariOshxona buyumlariOziq-ovqat mahsulotlarini saqlashQutilar</v>
      </c>
      <c r="B1035" s="35" t="s">
        <v>3193</v>
      </c>
      <c r="C1035" s="35" t="s">
        <v>3443</v>
      </c>
      <c r="D1035" s="35" t="s">
        <v>4299</v>
      </c>
      <c r="E1035" s="35" t="s">
        <v>3491</v>
      </c>
      <c r="F1035" s="36">
        <v>0.25</v>
      </c>
      <c r="G1035" s="31"/>
      <c r="H1035" s="31"/>
      <c r="I1035" s="31"/>
      <c r="J1035" s="31"/>
      <c r="K1035" s="31"/>
    </row>
    <row r="1036" spans="1:11" ht="14.4" x14ac:dyDescent="0.3">
      <c r="A1036" s="28" t="str">
        <f>B1036&amp;C1036&amp;D1036&amp;E1036</f>
        <v>Uy-roʻzgʻor buyumlariOshxona buyumlariLikopchalar va idishlarIdishlar</v>
      </c>
      <c r="B1036" s="35" t="s">
        <v>3193</v>
      </c>
      <c r="C1036" s="35" t="s">
        <v>3443</v>
      </c>
      <c r="D1036" s="35" t="s">
        <v>4300</v>
      </c>
      <c r="E1036" s="35" t="s">
        <v>3809</v>
      </c>
      <c r="F1036" s="36">
        <v>0.25</v>
      </c>
      <c r="G1036" s="31"/>
      <c r="H1036" s="31"/>
      <c r="I1036" s="31"/>
      <c r="J1036" s="31"/>
      <c r="K1036" s="31"/>
    </row>
    <row r="1037" spans="1:11" ht="14.4" x14ac:dyDescent="0.3">
      <c r="A1037" s="28" t="str">
        <f>B1037&amp;C1037&amp;D1037&amp;E1037</f>
        <v>Uy-roʻzgʻor buyumlariOshxona buyumlariMaydalagichlar va sharbat chiqargichlarQoʻlda maydalagichlar</v>
      </c>
      <c r="B1037" s="35" t="s">
        <v>3193</v>
      </c>
      <c r="C1037" s="35" t="s">
        <v>3443</v>
      </c>
      <c r="D1037" s="35" t="s">
        <v>4301</v>
      </c>
      <c r="E1037" s="35" t="s">
        <v>4302</v>
      </c>
      <c r="F1037" s="36">
        <v>0.25</v>
      </c>
      <c r="G1037" s="31"/>
      <c r="H1037" s="31"/>
      <c r="I1037" s="31"/>
      <c r="J1037" s="31"/>
      <c r="K1037" s="31"/>
    </row>
    <row r="1038" spans="1:11" ht="14.4" x14ac:dyDescent="0.3">
      <c r="A1038" s="28" t="str">
        <f>B1038&amp;C1038&amp;D1038&amp;E1038</f>
        <v>Uy-roʻzgʻor buyumlariOshxona buyumlariOshxonada tartibIdish yuvish uchun buyumlar</v>
      </c>
      <c r="B1038" s="35" t="s">
        <v>3193</v>
      </c>
      <c r="C1038" s="35" t="s">
        <v>3443</v>
      </c>
      <c r="D1038" s="35" t="s">
        <v>4303</v>
      </c>
      <c r="E1038" s="35" t="s">
        <v>4304</v>
      </c>
      <c r="F1038" s="36">
        <v>0.25</v>
      </c>
      <c r="G1038" s="31"/>
      <c r="H1038" s="31"/>
      <c r="I1038" s="31"/>
      <c r="J1038" s="31"/>
      <c r="K1038" s="31"/>
    </row>
    <row r="1039" spans="1:11" ht="14.4" x14ac:dyDescent="0.3">
      <c r="A1039" s="28" t="str">
        <f>B1039&amp;C1039&amp;D1039&amp;E1039</f>
        <v>Uy-roʻzgʻor buyumlariOshxona buyumlariOshxona anjomlariKapkirlar</v>
      </c>
      <c r="B1039" s="35" t="s">
        <v>3193</v>
      </c>
      <c r="C1039" s="35" t="s">
        <v>3443</v>
      </c>
      <c r="D1039" s="35" t="s">
        <v>4293</v>
      </c>
      <c r="E1039" s="35" t="s">
        <v>4305</v>
      </c>
      <c r="F1039" s="36">
        <v>0.25</v>
      </c>
      <c r="G1039" s="31"/>
      <c r="H1039" s="31"/>
      <c r="I1039" s="31"/>
      <c r="J1039" s="31"/>
      <c r="K1039" s="31"/>
    </row>
    <row r="1040" spans="1:11" ht="14.4" x14ac:dyDescent="0.3">
      <c r="A1040" s="28" t="str">
        <f>B1040&amp;C1040&amp;D1040&amp;E1040</f>
        <v>Uy-roʻzgʻor buyumlariOshxona buyumlariLikopchalar va idishlarTovoqchalar va salat idishlari</v>
      </c>
      <c r="B1040" s="35" t="s">
        <v>3193</v>
      </c>
      <c r="C1040" s="35" t="s">
        <v>3443</v>
      </c>
      <c r="D1040" s="35" t="s">
        <v>4300</v>
      </c>
      <c r="E1040" s="35" t="s">
        <v>4306</v>
      </c>
      <c r="F1040" s="36">
        <v>0.25</v>
      </c>
      <c r="G1040" s="31"/>
      <c r="H1040" s="31"/>
      <c r="I1040" s="31"/>
      <c r="J1040" s="31"/>
      <c r="K1040" s="31"/>
    </row>
    <row r="1041" spans="1:11" ht="14.4" x14ac:dyDescent="0.3">
      <c r="A1041" s="28" t="str">
        <f>B1041&amp;C1041&amp;D1041&amp;E1041</f>
        <v>Uy-roʻzgʻor buyumlariOshxona buyumlariChoynaklar va qahva idishlariFransuz nashrlari</v>
      </c>
      <c r="B1041" s="35" t="s">
        <v>3193</v>
      </c>
      <c r="C1041" s="35" t="s">
        <v>3443</v>
      </c>
      <c r="D1041" s="35" t="s">
        <v>4307</v>
      </c>
      <c r="E1041" s="35" t="s">
        <v>4308</v>
      </c>
      <c r="F1041" s="36">
        <v>0.25</v>
      </c>
      <c r="G1041" s="31"/>
      <c r="H1041" s="31"/>
      <c r="I1041" s="31"/>
      <c r="J1041" s="31"/>
      <c r="K1041" s="31"/>
    </row>
    <row r="1042" spans="1:11" ht="14.4" x14ac:dyDescent="0.3">
      <c r="A1042" s="28" t="str">
        <f>B1042&amp;C1042&amp;D1042&amp;E1042</f>
        <v>Uy-roʻzgʻor buyumlariXonaki oʻsimliklar uchun tovarlarGul uchun savatlarGul uchun savatlar</v>
      </c>
      <c r="B1042" s="35" t="s">
        <v>3193</v>
      </c>
      <c r="C1042" s="35" t="s">
        <v>3515</v>
      </c>
      <c r="D1042" s="35" t="s">
        <v>4309</v>
      </c>
      <c r="E1042" s="35" t="s">
        <v>4309</v>
      </c>
      <c r="F1042" s="36">
        <v>0.25</v>
      </c>
      <c r="G1042" s="31"/>
      <c r="H1042" s="31"/>
      <c r="I1042" s="31"/>
      <c r="J1042" s="31"/>
      <c r="K1042" s="31"/>
    </row>
    <row r="1043" spans="1:11" ht="14.4" x14ac:dyDescent="0.3">
      <c r="A1043" s="28" t="str">
        <f>B1043&amp;C1043&amp;D1043&amp;E1043</f>
        <v>Uy-roʻzgʻor buyumlariOshxona buyumlariPazandachilik aksessuarlariQoplar, shpritslar va nasadkalar</v>
      </c>
      <c r="B1043" s="35" t="s">
        <v>3193</v>
      </c>
      <c r="C1043" s="35" t="s">
        <v>3443</v>
      </c>
      <c r="D1043" s="35" t="s">
        <v>4310</v>
      </c>
      <c r="E1043" s="35" t="s">
        <v>4311</v>
      </c>
      <c r="F1043" s="36">
        <v>0.25</v>
      </c>
      <c r="G1043" s="31"/>
      <c r="H1043" s="31"/>
      <c r="I1043" s="31"/>
      <c r="J1043" s="31"/>
      <c r="K1043" s="31"/>
    </row>
    <row r="1044" spans="1:11" ht="14.4" x14ac:dyDescent="0.3">
      <c r="A1044" s="28" t="str">
        <f>B1044&amp;C1044&amp;D1044&amp;E1044</f>
        <v>Uy-roʻzgʻor buyumlariOshxona buyumlariIchimlik uchun aksessuarlarMatcha choyi uchun tovarlar</v>
      </c>
      <c r="B1044" s="35" t="s">
        <v>3193</v>
      </c>
      <c r="C1044" s="35" t="s">
        <v>3443</v>
      </c>
      <c r="D1044" s="35" t="s">
        <v>4312</v>
      </c>
      <c r="E1044" s="35" t="s">
        <v>4313</v>
      </c>
      <c r="F1044" s="36">
        <v>0.25</v>
      </c>
      <c r="G1044" s="31"/>
      <c r="H1044" s="31"/>
      <c r="I1044" s="31"/>
      <c r="J1044" s="31"/>
      <c r="K1044" s="31"/>
    </row>
    <row r="1045" spans="1:11" ht="14.4" x14ac:dyDescent="0.3">
      <c r="A1045" s="28" t="str">
        <f>B1045&amp;C1045&amp;D1045&amp;E1045</f>
        <v>Uy-roʻzgʻor buyumlariOshxona buyumlariChoynaklar va qahva idishlariChoynaklar</v>
      </c>
      <c r="B1045" s="35" t="s">
        <v>3193</v>
      </c>
      <c r="C1045" s="35" t="s">
        <v>3443</v>
      </c>
      <c r="D1045" s="35" t="s">
        <v>4307</v>
      </c>
      <c r="E1045" s="35" t="s">
        <v>4314</v>
      </c>
      <c r="F1045" s="36">
        <v>0.25</v>
      </c>
      <c r="G1045" s="31"/>
      <c r="H1045" s="31"/>
      <c r="I1045" s="31"/>
      <c r="J1045" s="31"/>
      <c r="K1045" s="31"/>
    </row>
    <row r="1046" spans="1:11" ht="14.4" x14ac:dyDescent="0.3">
      <c r="A1046" s="28" t="str">
        <f>B1046&amp;C1046&amp;D1046&amp;E1046</f>
        <v>Uy-roʻzgʻor buyumlariOshxona buyumlariKrujkalar, stakanlar va bokallarStakandon</v>
      </c>
      <c r="B1046" s="35" t="s">
        <v>3193</v>
      </c>
      <c r="C1046" s="35" t="s">
        <v>3443</v>
      </c>
      <c r="D1046" s="35" t="s">
        <v>4295</v>
      </c>
      <c r="E1046" s="35" t="s">
        <v>4315</v>
      </c>
      <c r="F1046" s="36">
        <v>0.25</v>
      </c>
      <c r="G1046" s="31"/>
      <c r="H1046" s="31"/>
      <c r="I1046" s="31"/>
      <c r="J1046" s="31"/>
      <c r="K1046" s="31"/>
    </row>
    <row r="1047" spans="1:11" ht="14.4" x14ac:dyDescent="0.3">
      <c r="A1047" s="28" t="str">
        <f>B1047&amp;C1047&amp;D1047&amp;E1047</f>
        <v>Uy-roʻzgʻor buyumlariOshxona buyumlariOshxona anjomlariPazandachilik kurakchalari</v>
      </c>
      <c r="B1047" s="35" t="s">
        <v>3193</v>
      </c>
      <c r="C1047" s="35" t="s">
        <v>3443</v>
      </c>
      <c r="D1047" s="35" t="s">
        <v>4293</v>
      </c>
      <c r="E1047" s="35" t="s">
        <v>4316</v>
      </c>
      <c r="F1047" s="36">
        <v>0.25</v>
      </c>
      <c r="G1047" s="31"/>
      <c r="H1047" s="31"/>
      <c r="I1047" s="31"/>
      <c r="J1047" s="31"/>
      <c r="K1047" s="31"/>
    </row>
    <row r="1048" spans="1:11" ht="14.4" x14ac:dyDescent="0.3">
      <c r="A1048" s="28" t="str">
        <f>B1048&amp;C1048&amp;D1048&amp;E1048</f>
        <v>Uy-roʻzgʻor buyumlariOshxona buyumlariIchimlik uchun aksessuarlarMuz uchun chelakalar</v>
      </c>
      <c r="B1048" s="35" t="s">
        <v>3193</v>
      </c>
      <c r="C1048" s="35" t="s">
        <v>3443</v>
      </c>
      <c r="D1048" s="35" t="s">
        <v>4312</v>
      </c>
      <c r="E1048" s="35" t="s">
        <v>4317</v>
      </c>
      <c r="F1048" s="36">
        <v>0.25</v>
      </c>
      <c r="G1048" s="31"/>
      <c r="H1048" s="31"/>
      <c r="I1048" s="31"/>
      <c r="J1048" s="31"/>
      <c r="K1048" s="31"/>
    </row>
    <row r="1049" spans="1:11" ht="14.4" x14ac:dyDescent="0.3">
      <c r="A1049" s="28" t="str">
        <f>B1049&amp;C1049&amp;D1049&amp;E1049</f>
        <v>Uy-roʻzgʻor buyumlariOshxona buyumlariIchimlik uchun aksessuarlarGazlash uchun sifonlar</v>
      </c>
      <c r="B1049" s="35" t="s">
        <v>3193</v>
      </c>
      <c r="C1049" s="35" t="s">
        <v>3443</v>
      </c>
      <c r="D1049" s="35" t="s">
        <v>4312</v>
      </c>
      <c r="E1049" s="35" t="s">
        <v>4318</v>
      </c>
      <c r="F1049" s="36">
        <v>0.25</v>
      </c>
      <c r="G1049" s="31"/>
      <c r="H1049" s="31"/>
      <c r="I1049" s="31"/>
      <c r="J1049" s="31"/>
      <c r="K1049" s="31"/>
    </row>
    <row r="1050" spans="1:11" ht="14.4" x14ac:dyDescent="0.3">
      <c r="A1050" s="28" t="str">
        <f>B1050&amp;C1050&amp;D1050&amp;E1050</f>
        <v>Uy-roʻzgʻor buyumlariOshxona buyumlariOziq-ovqat mahsulotlarini saqlashKonteynerlar va lanch-bokslar</v>
      </c>
      <c r="B1050" s="35" t="s">
        <v>3193</v>
      </c>
      <c r="C1050" s="35" t="s">
        <v>3443</v>
      </c>
      <c r="D1050" s="35" t="s">
        <v>4299</v>
      </c>
      <c r="E1050" s="35" t="s">
        <v>4319</v>
      </c>
      <c r="F1050" s="36">
        <v>0.25</v>
      </c>
      <c r="G1050" s="31"/>
      <c r="H1050" s="31"/>
      <c r="I1050" s="31"/>
      <c r="J1050" s="31"/>
      <c r="K1050" s="31"/>
    </row>
    <row r="1051" spans="1:11" ht="14.4" x14ac:dyDescent="0.3">
      <c r="A1051" s="28" t="str">
        <f>B1051&amp;C1051&amp;D1051&amp;E1051</f>
        <v>Uy-roʻzgʻor buyumlariOshxona buyumlariOshxona anjomlariChoʻmichlar</v>
      </c>
      <c r="B1051" s="35" t="s">
        <v>3193</v>
      </c>
      <c r="C1051" s="35" t="s">
        <v>3443</v>
      </c>
      <c r="D1051" s="35" t="s">
        <v>4293</v>
      </c>
      <c r="E1051" s="35" t="s">
        <v>4320</v>
      </c>
      <c r="F1051" s="36">
        <v>0.25</v>
      </c>
      <c r="G1051" s="31"/>
      <c r="H1051" s="31"/>
      <c r="I1051" s="31"/>
      <c r="J1051" s="31"/>
      <c r="K1051" s="31"/>
    </row>
    <row r="1052" spans="1:11" ht="14.4" x14ac:dyDescent="0.3">
      <c r="A1052" s="28" t="str">
        <f>B1052&amp;C1052&amp;D1052&amp;E1052</f>
        <v>Uy-roʻzgʻor buyumlariOshxona buyumlariOshxona aksessuarlariInduksion plitalar uchun adapterlar</v>
      </c>
      <c r="B1052" s="35" t="s">
        <v>3193</v>
      </c>
      <c r="C1052" s="35" t="s">
        <v>3443</v>
      </c>
      <c r="D1052" s="35" t="s">
        <v>4321</v>
      </c>
      <c r="E1052" s="35" t="s">
        <v>4322</v>
      </c>
      <c r="F1052" s="36">
        <v>0.25</v>
      </c>
      <c r="G1052" s="31"/>
      <c r="H1052" s="31"/>
      <c r="I1052" s="31"/>
      <c r="J1052" s="31"/>
      <c r="K1052" s="31"/>
    </row>
    <row r="1053" spans="1:11" ht="14.4" x14ac:dyDescent="0.3">
      <c r="A1053" s="28" t="str">
        <f>B1053&amp;C1053&amp;D1053&amp;E1053</f>
        <v>Uy-roʻzgʻor buyumlariOshxona buyumlariPazandachilik aksessuarlariXamir uchun roliklar</v>
      </c>
      <c r="B1053" s="35" t="s">
        <v>3193</v>
      </c>
      <c r="C1053" s="35" t="s">
        <v>3443</v>
      </c>
      <c r="D1053" s="35" t="s">
        <v>4310</v>
      </c>
      <c r="E1053" s="35" t="s">
        <v>4323</v>
      </c>
      <c r="F1053" s="36">
        <v>0.25</v>
      </c>
      <c r="G1053" s="31"/>
      <c r="H1053" s="31"/>
      <c r="I1053" s="31"/>
      <c r="J1053" s="31"/>
      <c r="K1053" s="31"/>
    </row>
    <row r="1054" spans="1:11" ht="14.4" x14ac:dyDescent="0.3">
      <c r="A1054" s="28" t="str">
        <f>B1054&amp;C1054&amp;D1054&amp;E1054</f>
        <v>Uy-roʻzgʻor buyumlariOshxona buyumlariOshxona anjomlariSanchqilar</v>
      </c>
      <c r="B1054" s="35" t="s">
        <v>3193</v>
      </c>
      <c r="C1054" s="35" t="s">
        <v>3443</v>
      </c>
      <c r="D1054" s="35" t="s">
        <v>4293</v>
      </c>
      <c r="E1054" s="35" t="s">
        <v>4324</v>
      </c>
      <c r="F1054" s="36">
        <v>0.25</v>
      </c>
      <c r="G1054" s="31"/>
      <c r="H1054" s="31"/>
      <c r="I1054" s="31"/>
      <c r="J1054" s="31"/>
      <c r="K1054" s="31"/>
    </row>
    <row r="1055" spans="1:11" ht="14.4" x14ac:dyDescent="0.3">
      <c r="A1055" s="28" t="str">
        <f>B1055&amp;C1055&amp;D1055&amp;E1055</f>
        <v>Uy-roʻzgʻor buyumlariOshxona buyumlariOshxona anjomlariOʻlchov konteynerlari</v>
      </c>
      <c r="B1055" s="35" t="s">
        <v>3193</v>
      </c>
      <c r="C1055" s="35" t="s">
        <v>3443</v>
      </c>
      <c r="D1055" s="35" t="s">
        <v>4293</v>
      </c>
      <c r="E1055" s="35" t="s">
        <v>4325</v>
      </c>
      <c r="F1055" s="36">
        <v>0.25</v>
      </c>
      <c r="G1055" s="31"/>
      <c r="H1055" s="31"/>
      <c r="I1055" s="31"/>
      <c r="J1055" s="31"/>
      <c r="K1055" s="31"/>
    </row>
    <row r="1056" spans="1:11" ht="14.4" x14ac:dyDescent="0.3">
      <c r="A1056" s="28" t="str">
        <f>B1056&amp;C1056&amp;D1056&amp;E1056</f>
        <v>Uy-roʻzgʻor buyumlariOshxona buyumlariTermoslar va termo krujkalarTermo krujkalar</v>
      </c>
      <c r="B1056" s="35" t="s">
        <v>3193</v>
      </c>
      <c r="C1056" s="35" t="s">
        <v>3443</v>
      </c>
      <c r="D1056" s="35" t="s">
        <v>4326</v>
      </c>
      <c r="E1056" s="35" t="s">
        <v>4327</v>
      </c>
      <c r="F1056" s="36">
        <v>0.25</v>
      </c>
      <c r="G1056" s="31"/>
      <c r="H1056" s="31"/>
      <c r="I1056" s="31"/>
      <c r="J1056" s="31"/>
      <c r="K1056" s="31"/>
    </row>
    <row r="1057" spans="1:11" ht="14.4" x14ac:dyDescent="0.3">
      <c r="A1057" s="28" t="str">
        <f>B1057&amp;C1057&amp;D1057&amp;E1057</f>
        <v>Uy-roʻzgʻor buyumlariOshxona buyumlariVino aksessuarlariShtoporlar</v>
      </c>
      <c r="B1057" s="35" t="s">
        <v>3193</v>
      </c>
      <c r="C1057" s="35" t="s">
        <v>3443</v>
      </c>
      <c r="D1057" s="35" t="s">
        <v>4328</v>
      </c>
      <c r="E1057" s="35" t="s">
        <v>4329</v>
      </c>
      <c r="F1057" s="36">
        <v>0.25</v>
      </c>
      <c r="G1057" s="31"/>
      <c r="H1057" s="31"/>
      <c r="I1057" s="31"/>
      <c r="J1057" s="31"/>
      <c r="K1057" s="31"/>
    </row>
    <row r="1058" spans="1:11" ht="14.4" x14ac:dyDescent="0.3">
      <c r="A1058" s="28" t="str">
        <f>B1058&amp;C1058&amp;D1058&amp;E1058</f>
        <v>Uy-roʻzgʻor buyumlariOshxona buyumlariOshxona anjomlariOshxona qaychilari</v>
      </c>
      <c r="B1058" s="35" t="s">
        <v>3193</v>
      </c>
      <c r="C1058" s="35" t="s">
        <v>3443</v>
      </c>
      <c r="D1058" s="35" t="s">
        <v>4293</v>
      </c>
      <c r="E1058" s="35" t="s">
        <v>4330</v>
      </c>
      <c r="F1058" s="36">
        <v>0.25</v>
      </c>
      <c r="G1058" s="31"/>
      <c r="H1058" s="31"/>
      <c r="I1058" s="31"/>
      <c r="J1058" s="31"/>
      <c r="K1058" s="31"/>
    </row>
    <row r="1059" spans="1:11" ht="14.4" x14ac:dyDescent="0.3">
      <c r="A1059" s="28" t="str">
        <f>B1059&amp;C1059&amp;D1059&amp;E1059</f>
        <v>Uy-roʻzgʻor buyumlariOshxona buyumlariOshxona anjomlariStol pichoqlari</v>
      </c>
      <c r="B1059" s="35" t="s">
        <v>3193</v>
      </c>
      <c r="C1059" s="35" t="s">
        <v>3443</v>
      </c>
      <c r="D1059" s="35" t="s">
        <v>4293</v>
      </c>
      <c r="E1059" s="35" t="s">
        <v>4331</v>
      </c>
      <c r="F1059" s="36">
        <v>0.25</v>
      </c>
      <c r="G1059" s="31"/>
      <c r="H1059" s="31"/>
      <c r="I1059" s="31"/>
      <c r="J1059" s="31"/>
      <c r="K1059" s="31"/>
    </row>
    <row r="1060" spans="1:11" ht="14.4" x14ac:dyDescent="0.3">
      <c r="A1060" s="28" t="str">
        <f>B1060&amp;C1060&amp;D1060&amp;E1060</f>
        <v>Uy-roʻzgʻor buyumlariOshxona buyumlariMaydalagichlar va sharbat chiqargichlarPishloq kesgichlar</v>
      </c>
      <c r="B1060" s="35" t="s">
        <v>3193</v>
      </c>
      <c r="C1060" s="35" t="s">
        <v>3443</v>
      </c>
      <c r="D1060" s="35" t="s">
        <v>4301</v>
      </c>
      <c r="E1060" s="35" t="s">
        <v>4332</v>
      </c>
      <c r="F1060" s="36">
        <v>0.25</v>
      </c>
      <c r="G1060" s="31"/>
      <c r="H1060" s="31"/>
      <c r="I1060" s="31"/>
      <c r="J1060" s="31"/>
      <c r="K1060" s="31"/>
    </row>
    <row r="1061" spans="1:11" ht="14.4" x14ac:dyDescent="0.3">
      <c r="A1061" s="28" t="str">
        <f>B1061&amp;C1061&amp;D1061&amp;E1061</f>
        <v>Uy-roʻzgʻor buyumlariOshxona buyumlariMaydalagichlar va sharbat chiqargichlarSarimsoq uchun presslar</v>
      </c>
      <c r="B1061" s="35" t="s">
        <v>3193</v>
      </c>
      <c r="C1061" s="35" t="s">
        <v>3443</v>
      </c>
      <c r="D1061" s="35" t="s">
        <v>4301</v>
      </c>
      <c r="E1061" s="35" t="s">
        <v>4333</v>
      </c>
      <c r="F1061" s="36">
        <v>0.25</v>
      </c>
      <c r="G1061" s="31"/>
      <c r="H1061" s="31"/>
      <c r="I1061" s="31"/>
      <c r="J1061" s="31"/>
      <c r="K1061" s="31"/>
    </row>
    <row r="1062" spans="1:11" ht="14.4" x14ac:dyDescent="0.3">
      <c r="A1062" s="28" t="str">
        <f>B1062&amp;C1062&amp;D1062&amp;E1062</f>
        <v>Uy-roʻzgʻor buyumlariOshxona buyumlariOshxona aksessuarlariPatnislar</v>
      </c>
      <c r="B1062" s="35" t="s">
        <v>3193</v>
      </c>
      <c r="C1062" s="35" t="s">
        <v>3443</v>
      </c>
      <c r="D1062" s="35" t="s">
        <v>4321</v>
      </c>
      <c r="E1062" s="35" t="s">
        <v>4334</v>
      </c>
      <c r="F1062" s="36">
        <v>0.25</v>
      </c>
      <c r="G1062" s="31"/>
      <c r="H1062" s="31"/>
      <c r="I1062" s="31"/>
      <c r="J1062" s="31"/>
      <c r="K1062" s="31"/>
    </row>
    <row r="1063" spans="1:11" ht="14.4" x14ac:dyDescent="0.3">
      <c r="A1063" s="28" t="str">
        <f>B1063&amp;C1063&amp;D1063&amp;E1063</f>
        <v>Uy-roʻzgʻor buyumlariOshxona buyumlariMaydalagichlar va sharbat chiqargichlarKartoshka pyurelari</v>
      </c>
      <c r="B1063" s="35" t="s">
        <v>3193</v>
      </c>
      <c r="C1063" s="35" t="s">
        <v>3443</v>
      </c>
      <c r="D1063" s="35" t="s">
        <v>4301</v>
      </c>
      <c r="E1063" s="35" t="s">
        <v>4335</v>
      </c>
      <c r="F1063" s="36">
        <v>0.25</v>
      </c>
      <c r="G1063" s="31"/>
      <c r="H1063" s="31"/>
      <c r="I1063" s="31"/>
      <c r="J1063" s="31"/>
      <c r="K1063" s="31"/>
    </row>
    <row r="1064" spans="1:11" ht="14.4" x14ac:dyDescent="0.3">
      <c r="A1064" s="28" t="str">
        <f>B1064&amp;C1064&amp;D1064&amp;E1064</f>
        <v>Uy-roʻzgʻor buyumlariOshxona buyumlariOshxonada tartibReyling</v>
      </c>
      <c r="B1064" s="35" t="s">
        <v>3193</v>
      </c>
      <c r="C1064" s="35" t="s">
        <v>3443</v>
      </c>
      <c r="D1064" s="35" t="s">
        <v>4303</v>
      </c>
      <c r="E1064" s="35" t="s">
        <v>4336</v>
      </c>
      <c r="F1064" s="36">
        <v>0.25</v>
      </c>
      <c r="G1064" s="31"/>
      <c r="H1064" s="31"/>
      <c r="I1064" s="31"/>
      <c r="J1064" s="31"/>
      <c r="K1064" s="31"/>
    </row>
    <row r="1065" spans="1:11" ht="14.4" x14ac:dyDescent="0.3">
      <c r="A1065" s="28" t="str">
        <f>B1065&amp;C1065&amp;D1065&amp;E1065</f>
        <v>Uy-roʻzgʻor buyumlariOshxona buyumlariChoynaklar va qahva idishlariChoy uchun elakchalar</v>
      </c>
      <c r="B1065" s="35" t="s">
        <v>3193</v>
      </c>
      <c r="C1065" s="35" t="s">
        <v>3443</v>
      </c>
      <c r="D1065" s="35" t="s">
        <v>4307</v>
      </c>
      <c r="E1065" s="35" t="s">
        <v>4337</v>
      </c>
      <c r="F1065" s="36">
        <v>0.25</v>
      </c>
      <c r="G1065" s="31"/>
      <c r="H1065" s="31"/>
      <c r="I1065" s="31"/>
      <c r="J1065" s="31"/>
      <c r="K1065" s="31"/>
    </row>
    <row r="1066" spans="1:11" ht="14.4" x14ac:dyDescent="0.3">
      <c r="A1066" s="28" t="str">
        <f>B1066&amp;C1066&amp;D1066&amp;E1066</f>
        <v>Uy-roʻzgʻor buyumlariOshxona buyumlariMaydalagichlar va sharbat chiqargichlarMeva va sabzavot kesgichlar</v>
      </c>
      <c r="B1066" s="35" t="s">
        <v>3193</v>
      </c>
      <c r="C1066" s="35" t="s">
        <v>3443</v>
      </c>
      <c r="D1066" s="35" t="s">
        <v>4301</v>
      </c>
      <c r="E1066" s="35" t="s">
        <v>4338</v>
      </c>
      <c r="F1066" s="36">
        <v>0.25</v>
      </c>
      <c r="G1066" s="31"/>
      <c r="H1066" s="31"/>
      <c r="I1066" s="31"/>
      <c r="J1066" s="31"/>
      <c r="K1066" s="31"/>
    </row>
    <row r="1067" spans="1:11" ht="14.4" x14ac:dyDescent="0.3">
      <c r="A1067" s="28" t="str">
        <f>B1067&amp;C1067&amp;D1067&amp;E1067</f>
        <v>Uy-roʻzgʻor buyumlariOshxona buyumlariOshxonada tartibOshxona tokchalari</v>
      </c>
      <c r="B1067" s="35" t="s">
        <v>3193</v>
      </c>
      <c r="C1067" s="35" t="s">
        <v>3443</v>
      </c>
      <c r="D1067" s="35" t="s">
        <v>4303</v>
      </c>
      <c r="E1067" s="35" t="s">
        <v>4339</v>
      </c>
      <c r="F1067" s="36">
        <v>0.25</v>
      </c>
      <c r="G1067" s="31"/>
      <c r="H1067" s="31"/>
      <c r="I1067" s="31"/>
      <c r="J1067" s="31"/>
      <c r="K1067" s="31"/>
    </row>
    <row r="1068" spans="1:11" ht="14.4" x14ac:dyDescent="0.3">
      <c r="A1068" s="28" t="str">
        <f>B1068&amp;C1068&amp;D1068&amp;E1068</f>
        <v>Uy-roʻzgʻor buyumlariOshxona buyumlariOziq-ovqat mahsulotlarini saqlashSuyuqliklar uchun idishlar</v>
      </c>
      <c r="B1068" s="35" t="s">
        <v>3193</v>
      </c>
      <c r="C1068" s="35" t="s">
        <v>3443</v>
      </c>
      <c r="D1068" s="35" t="s">
        <v>4299</v>
      </c>
      <c r="E1068" s="35" t="s">
        <v>4340</v>
      </c>
      <c r="F1068" s="36">
        <v>0.25</v>
      </c>
      <c r="G1068" s="31"/>
      <c r="H1068" s="31"/>
      <c r="I1068" s="31"/>
      <c r="J1068" s="31"/>
      <c r="K1068" s="31"/>
    </row>
    <row r="1069" spans="1:11" ht="14.4" x14ac:dyDescent="0.3">
      <c r="A1069" s="28" t="str">
        <f>B1069&amp;C1069&amp;D1069&amp;E1069</f>
        <v>Uy-roʻzgʻor buyumlariOshxona buyumlariOshxona anjomlariOshxona qurollari toʻplamlari</v>
      </c>
      <c r="B1069" s="35" t="s">
        <v>3193</v>
      </c>
      <c r="C1069" s="35" t="s">
        <v>3443</v>
      </c>
      <c r="D1069" s="35" t="s">
        <v>4293</v>
      </c>
      <c r="E1069" s="35" t="s">
        <v>4341</v>
      </c>
      <c r="F1069" s="36">
        <v>0.25</v>
      </c>
      <c r="G1069" s="31"/>
      <c r="H1069" s="31"/>
      <c r="I1069" s="31"/>
      <c r="J1069" s="31"/>
      <c r="K1069" s="31"/>
    </row>
    <row r="1070" spans="1:11" ht="14.4" x14ac:dyDescent="0.3">
      <c r="A1070" s="28" t="str">
        <f>B1070&amp;C1070&amp;D1070&amp;E1070</f>
        <v>Uy-roʻzgʻor buyumlariOshxona buyumlariMaydalagichlar va sharbat chiqargichlarMeva ushlagichlar</v>
      </c>
      <c r="B1070" s="35" t="s">
        <v>3193</v>
      </c>
      <c r="C1070" s="35" t="s">
        <v>3443</v>
      </c>
      <c r="D1070" s="35" t="s">
        <v>4301</v>
      </c>
      <c r="E1070" s="35" t="s">
        <v>4342</v>
      </c>
      <c r="F1070" s="36">
        <v>0.25</v>
      </c>
      <c r="G1070" s="31"/>
      <c r="H1070" s="31"/>
      <c r="I1070" s="31"/>
      <c r="J1070" s="31"/>
      <c r="K1070" s="31"/>
    </row>
    <row r="1071" spans="1:11" ht="14.4" x14ac:dyDescent="0.3">
      <c r="A1071" s="28" t="str">
        <f>B1071&amp;C1071&amp;D1071&amp;E1071</f>
        <v>Uy-roʻzgʻor buyumlariOshxona buyumlariOshxona aksessuarlariIdishlar uchun tutqichlar</v>
      </c>
      <c r="B1071" s="35" t="s">
        <v>3193</v>
      </c>
      <c r="C1071" s="35" t="s">
        <v>3443</v>
      </c>
      <c r="D1071" s="35" t="s">
        <v>4321</v>
      </c>
      <c r="E1071" s="35" t="s">
        <v>4343</v>
      </c>
      <c r="F1071" s="36">
        <v>0.25</v>
      </c>
      <c r="G1071" s="31"/>
      <c r="H1071" s="31"/>
      <c r="I1071" s="31"/>
      <c r="J1071" s="31"/>
      <c r="K1071" s="31"/>
    </row>
    <row r="1072" spans="1:11" ht="14.4" x14ac:dyDescent="0.3">
      <c r="A1072" s="28" t="str">
        <f>B1072&amp;C1072&amp;D1072&amp;E1072</f>
        <v>Uy-roʻzgʻor buyumlariOshxona buyumlariOshxona anjomlariBoʻlish taxtalari</v>
      </c>
      <c r="B1072" s="35" t="s">
        <v>3193</v>
      </c>
      <c r="C1072" s="35" t="s">
        <v>3443</v>
      </c>
      <c r="D1072" s="35" t="s">
        <v>4293</v>
      </c>
      <c r="E1072" s="35" t="s">
        <v>4344</v>
      </c>
      <c r="F1072" s="36">
        <v>0.25</v>
      </c>
      <c r="G1072" s="31"/>
      <c r="H1072" s="31"/>
      <c r="I1072" s="31"/>
      <c r="J1072" s="31"/>
      <c r="K1072" s="31"/>
    </row>
    <row r="1073" spans="1:11" ht="14.4" x14ac:dyDescent="0.3">
      <c r="A1073" s="28" t="str">
        <f>B1073&amp;C1073&amp;D1073&amp;E1073</f>
        <v>Uy-roʻzgʻor buyumlariToʻqimachilikElektr bilan isitiladigan toʻqimachilikElektr choyshablar</v>
      </c>
      <c r="B1073" s="35" t="s">
        <v>3193</v>
      </c>
      <c r="C1073" s="35" t="s">
        <v>4345</v>
      </c>
      <c r="D1073" s="35" t="s">
        <v>4346</v>
      </c>
      <c r="E1073" s="35" t="s">
        <v>4347</v>
      </c>
      <c r="F1073" s="36">
        <v>0.25</v>
      </c>
      <c r="G1073" s="31"/>
      <c r="H1073" s="31"/>
      <c r="I1073" s="31"/>
      <c r="J1073" s="31"/>
      <c r="K1073" s="31"/>
    </row>
    <row r="1074" spans="1:11" ht="14.4" x14ac:dyDescent="0.3">
      <c r="A1074" s="28" t="str">
        <f>B1074&amp;C1074&amp;D1074&amp;E1074</f>
        <v>Uy-roʻzgʻor buyumlariOshxona buyumlariIchimlik uchun aksessuarlarIchimliklar uchun dispanserlar</v>
      </c>
      <c r="B1074" s="35" t="s">
        <v>3193</v>
      </c>
      <c r="C1074" s="35" t="s">
        <v>3443</v>
      </c>
      <c r="D1074" s="35" t="s">
        <v>4312</v>
      </c>
      <c r="E1074" s="35" t="s">
        <v>4348</v>
      </c>
      <c r="F1074" s="36">
        <v>0.25</v>
      </c>
      <c r="G1074" s="31"/>
      <c r="H1074" s="31"/>
      <c r="I1074" s="31"/>
      <c r="J1074" s="31"/>
      <c r="K1074" s="31"/>
    </row>
    <row r="1075" spans="1:11" ht="14.4" x14ac:dyDescent="0.3">
      <c r="A1075" s="28" t="str">
        <f>B1075&amp;C1075&amp;D1075&amp;E1075</f>
        <v>Uy-roʻzgʻor buyumlariOshxona buyumlariOvqat pishirish uchun shakllarObakidondon va konfetlar uchun shakllar</v>
      </c>
      <c r="B1075" s="35" t="s">
        <v>3193</v>
      </c>
      <c r="C1075" s="35" t="s">
        <v>3443</v>
      </c>
      <c r="D1075" s="35" t="s">
        <v>4297</v>
      </c>
      <c r="E1075" s="35" t="s">
        <v>4349</v>
      </c>
      <c r="F1075" s="36">
        <v>0.25</v>
      </c>
      <c r="G1075" s="31"/>
      <c r="H1075" s="31"/>
      <c r="I1075" s="31"/>
      <c r="J1075" s="31"/>
      <c r="K1075" s="31"/>
    </row>
    <row r="1076" spans="1:11" ht="14.4" x14ac:dyDescent="0.3">
      <c r="A1076" s="28" t="str">
        <f>B1076&amp;C1076&amp;D1076&amp;E1076</f>
        <v>Uy-roʻzgʻor buyumlariOshxona buyumlariIchimlik uchun aksessuarlarKokteyley uchun aksessuarlar</v>
      </c>
      <c r="B1076" s="35" t="s">
        <v>3193</v>
      </c>
      <c r="C1076" s="35" t="s">
        <v>3443</v>
      </c>
      <c r="D1076" s="35" t="s">
        <v>4312</v>
      </c>
      <c r="E1076" s="35" t="s">
        <v>4350</v>
      </c>
      <c r="F1076" s="36">
        <v>0.25</v>
      </c>
      <c r="G1076" s="31"/>
      <c r="H1076" s="31"/>
      <c r="I1076" s="31"/>
      <c r="J1076" s="31"/>
      <c r="K1076" s="31"/>
    </row>
    <row r="1077" spans="1:11" ht="14.4" x14ac:dyDescent="0.3">
      <c r="A1077" s="28" t="str">
        <f>B1077&amp;C1077&amp;D1077&amp;E1077</f>
        <v>Uy-roʻzgʻor buyumlariOshxona buyumlariKrujkalar, stakanlar va bokallarRyumkalar va stopkalar</v>
      </c>
      <c r="B1077" s="35" t="s">
        <v>3193</v>
      </c>
      <c r="C1077" s="35" t="s">
        <v>3443</v>
      </c>
      <c r="D1077" s="35" t="s">
        <v>4295</v>
      </c>
      <c r="E1077" s="35" t="s">
        <v>4351</v>
      </c>
      <c r="F1077" s="36">
        <v>0.25</v>
      </c>
      <c r="G1077" s="31"/>
      <c r="H1077" s="31"/>
      <c r="I1077" s="31"/>
      <c r="J1077" s="31"/>
      <c r="K1077" s="31"/>
    </row>
    <row r="1078" spans="1:11" ht="14.4" x14ac:dyDescent="0.3">
      <c r="A1078" s="28" t="str">
        <f>B1078&amp;C1078&amp;D1078&amp;E1078</f>
        <v>Uy-roʻzgʻor buyumlariOshxona buyumlariOziq-ovqat mahsulotlarini saqlashZiravorlar uchun idishlar va maydalagichlar</v>
      </c>
      <c r="B1078" s="35" t="s">
        <v>3193</v>
      </c>
      <c r="C1078" s="35" t="s">
        <v>3443</v>
      </c>
      <c r="D1078" s="35" t="s">
        <v>4299</v>
      </c>
      <c r="E1078" s="35" t="s">
        <v>4352</v>
      </c>
      <c r="F1078" s="36">
        <v>0.25</v>
      </c>
      <c r="G1078" s="31"/>
      <c r="H1078" s="31"/>
      <c r="I1078" s="31"/>
      <c r="J1078" s="31"/>
      <c r="K1078" s="31"/>
    </row>
    <row r="1079" spans="1:11" ht="14.4" x14ac:dyDescent="0.3">
      <c r="A1079" s="28" t="str">
        <f>B1079&amp;C1079&amp;D1079&amp;E1079</f>
        <v>Uy-roʻzgʻor buyumlariOshxona buyumlariOshxona aksessuarlariOshxona taymerlari</v>
      </c>
      <c r="B1079" s="35" t="s">
        <v>3193</v>
      </c>
      <c r="C1079" s="35" t="s">
        <v>3443</v>
      </c>
      <c r="D1079" s="35" t="s">
        <v>4321</v>
      </c>
      <c r="E1079" s="35" t="s">
        <v>4353</v>
      </c>
      <c r="F1079" s="36">
        <v>0.25</v>
      </c>
      <c r="G1079" s="31"/>
      <c r="H1079" s="31"/>
      <c r="I1079" s="31"/>
      <c r="J1079" s="31"/>
      <c r="K1079" s="31"/>
    </row>
    <row r="1080" spans="1:11" ht="14.4" x14ac:dyDescent="0.3">
      <c r="A1080" s="28" t="str">
        <f>B1080&amp;C1080&amp;D1080&amp;E1080</f>
        <v>Uy-roʻzgʻor buyumlariOshxona buyumlariOshxona aksessuarlariOshxona zajigalkalari</v>
      </c>
      <c r="B1080" s="35" t="s">
        <v>3193</v>
      </c>
      <c r="C1080" s="35" t="s">
        <v>3443</v>
      </c>
      <c r="D1080" s="35" t="s">
        <v>4321</v>
      </c>
      <c r="E1080" s="35" t="s">
        <v>4354</v>
      </c>
      <c r="F1080" s="36">
        <v>0.25</v>
      </c>
      <c r="G1080" s="31"/>
      <c r="H1080" s="31"/>
      <c r="I1080" s="31"/>
      <c r="J1080" s="31"/>
      <c r="K1080" s="31"/>
    </row>
    <row r="1081" spans="1:11" ht="14.4" x14ac:dyDescent="0.3">
      <c r="A1081" s="28" t="str">
        <f>B1081&amp;C1081&amp;D1081&amp;E1081</f>
        <v>Uy-roʻzgʻor buyumlariOshxona buyumlariKonservalash uchun tovarlarKonservalash mashinkalari</v>
      </c>
      <c r="B1081" s="35" t="s">
        <v>3193</v>
      </c>
      <c r="C1081" s="35" t="s">
        <v>3443</v>
      </c>
      <c r="D1081" s="35" t="s">
        <v>4355</v>
      </c>
      <c r="E1081" s="35" t="s">
        <v>4356</v>
      </c>
      <c r="F1081" s="36">
        <v>0.25</v>
      </c>
      <c r="G1081" s="31"/>
      <c r="H1081" s="31"/>
      <c r="I1081" s="31"/>
      <c r="J1081" s="31"/>
      <c r="K1081" s="31"/>
    </row>
    <row r="1082" spans="1:11" ht="14.4" x14ac:dyDescent="0.3">
      <c r="A1082" s="28" t="str">
        <f>B1082&amp;C1082&amp;D1082&amp;E1082</f>
        <v>Uy-roʻzgʻor buyumlariOshxona buyumlariIchimlik uchun aksessuarlarTiqinlar</v>
      </c>
      <c r="B1082" s="35" t="s">
        <v>3193</v>
      </c>
      <c r="C1082" s="35" t="s">
        <v>3443</v>
      </c>
      <c r="D1082" s="35" t="s">
        <v>4312</v>
      </c>
      <c r="E1082" s="35" t="s">
        <v>4357</v>
      </c>
      <c r="F1082" s="36">
        <v>0.25</v>
      </c>
      <c r="G1082" s="31"/>
      <c r="H1082" s="31"/>
      <c r="I1082" s="31"/>
      <c r="J1082" s="31"/>
      <c r="K1082" s="31"/>
    </row>
    <row r="1083" spans="1:11" ht="14.4" x14ac:dyDescent="0.3">
      <c r="A1083" s="28" t="str">
        <f>B1083&amp;C1083&amp;D1083&amp;E1083</f>
        <v>Uy-roʻzgʻor buyumlariOshxona buyumlariChoynaklar va qahva idishlariChoy damlanadigan choynaklar</v>
      </c>
      <c r="B1083" s="35" t="s">
        <v>3193</v>
      </c>
      <c r="C1083" s="35" t="s">
        <v>3443</v>
      </c>
      <c r="D1083" s="35" t="s">
        <v>4307</v>
      </c>
      <c r="E1083" s="35" t="s">
        <v>4358</v>
      </c>
      <c r="F1083" s="36">
        <v>0.25</v>
      </c>
      <c r="G1083" s="31"/>
      <c r="H1083" s="31"/>
      <c r="I1083" s="31"/>
      <c r="J1083" s="31"/>
      <c r="K1083" s="31"/>
    </row>
    <row r="1084" spans="1:11" ht="14.4" x14ac:dyDescent="0.3">
      <c r="A1084" s="28" t="str">
        <f>B1084&amp;C1084&amp;D1084&amp;E1084</f>
        <v>Uy-roʻzgʻor buyumlariOshxona buyumlariOziq-ovqat mahsulotlarini saqlashVakuum nasoslari</v>
      </c>
      <c r="B1084" s="35" t="s">
        <v>3193</v>
      </c>
      <c r="C1084" s="35" t="s">
        <v>3443</v>
      </c>
      <c r="D1084" s="35" t="s">
        <v>4299</v>
      </c>
      <c r="E1084" s="35" t="s">
        <v>4359</v>
      </c>
      <c r="F1084" s="36">
        <v>0.25</v>
      </c>
      <c r="G1084" s="31"/>
      <c r="H1084" s="31"/>
      <c r="I1084" s="31"/>
      <c r="J1084" s="31"/>
      <c r="K1084" s="31"/>
    </row>
    <row r="1085" spans="1:11" ht="14.4" x14ac:dyDescent="0.3">
      <c r="A1085" s="28" t="str">
        <f>B1085&amp;C1085&amp;D1085&amp;E1085</f>
        <v>Uy-roʻzgʻor buyumlariOshxona buyumlariIchimlik uchun aksessuarlarIchimliklarni sovitish</v>
      </c>
      <c r="B1085" s="35" t="s">
        <v>3193</v>
      </c>
      <c r="C1085" s="35" t="s">
        <v>3443</v>
      </c>
      <c r="D1085" s="35" t="s">
        <v>4312</v>
      </c>
      <c r="E1085" s="35" t="s">
        <v>4360</v>
      </c>
      <c r="F1085" s="36">
        <v>0.25</v>
      </c>
      <c r="G1085" s="31"/>
      <c r="H1085" s="31"/>
      <c r="I1085" s="31"/>
      <c r="J1085" s="31"/>
      <c r="K1085" s="31"/>
    </row>
    <row r="1086" spans="1:11" ht="14.4" x14ac:dyDescent="0.3">
      <c r="A1086" s="28" t="str">
        <f>B1086&amp;C1086&amp;D1086&amp;E1086</f>
        <v>Uy-roʻzgʻor buyumlariXonaki oʻsimliklar uchun tovarlarOʻsimliklar uchun tagkursilar va mahkamlagichlarOʻsimliklar uchun tagkursilar va mahkamlagichlar</v>
      </c>
      <c r="B1086" s="35" t="s">
        <v>3193</v>
      </c>
      <c r="C1086" s="35" t="s">
        <v>3515</v>
      </c>
      <c r="D1086" s="35" t="s">
        <v>4361</v>
      </c>
      <c r="E1086" s="35" t="s">
        <v>4361</v>
      </c>
      <c r="F1086" s="36">
        <v>0.25</v>
      </c>
      <c r="G1086" s="31"/>
      <c r="H1086" s="31"/>
      <c r="I1086" s="31"/>
      <c r="J1086" s="31"/>
      <c r="K1086" s="31"/>
    </row>
    <row r="1087" spans="1:11" ht="14.4" x14ac:dyDescent="0.3">
      <c r="A1087" s="28" t="str">
        <f>B1087&amp;C1087&amp;D1087&amp;E1087</f>
        <v>Uy-roʻzgʻor buyumlariOshxona buyumlariPazandachilik aksessuarlariPishiriqlar uchun shakllar</v>
      </c>
      <c r="B1087" s="35" t="s">
        <v>3193</v>
      </c>
      <c r="C1087" s="35" t="s">
        <v>3443</v>
      </c>
      <c r="D1087" s="35" t="s">
        <v>4310</v>
      </c>
      <c r="E1087" s="35" t="s">
        <v>4362</v>
      </c>
      <c r="F1087" s="36">
        <v>0.25</v>
      </c>
      <c r="G1087" s="31"/>
      <c r="H1087" s="31"/>
      <c r="I1087" s="31"/>
      <c r="J1087" s="31"/>
      <c r="K1087" s="31"/>
    </row>
    <row r="1088" spans="1:11" ht="14.4" x14ac:dyDescent="0.3">
      <c r="A1088" s="28" t="str">
        <f>B1088&amp;C1088&amp;D1088&amp;E1088</f>
        <v>Uy-roʻzgʻor buyumlariOshxona buyumlariOshxona anjomlariChovli va elak</v>
      </c>
      <c r="B1088" s="35" t="s">
        <v>3193</v>
      </c>
      <c r="C1088" s="35" t="s">
        <v>3443</v>
      </c>
      <c r="D1088" s="35" t="s">
        <v>4293</v>
      </c>
      <c r="E1088" s="35" t="s">
        <v>4363</v>
      </c>
      <c r="F1088" s="36">
        <v>0.25</v>
      </c>
      <c r="G1088" s="31"/>
      <c r="H1088" s="31"/>
      <c r="I1088" s="31"/>
      <c r="J1088" s="31"/>
      <c r="K1088" s="31"/>
    </row>
    <row r="1089" spans="1:11" ht="14.4" x14ac:dyDescent="0.3">
      <c r="A1089" s="28" t="str">
        <f>B1089&amp;C1089&amp;D1089&amp;E1089</f>
        <v>Uy-roʻzgʻor buyumlariOshxona buyumlariOshxona anjomlariOshxona qisqichlari</v>
      </c>
      <c r="B1089" s="35" t="s">
        <v>3193</v>
      </c>
      <c r="C1089" s="35" t="s">
        <v>3443</v>
      </c>
      <c r="D1089" s="35" t="s">
        <v>4293</v>
      </c>
      <c r="E1089" s="35" t="s">
        <v>4364</v>
      </c>
      <c r="F1089" s="36">
        <v>0.25</v>
      </c>
      <c r="G1089" s="31"/>
      <c r="H1089" s="31"/>
      <c r="I1089" s="31"/>
      <c r="J1089" s="31"/>
      <c r="K1089" s="31"/>
    </row>
    <row r="1090" spans="1:11" ht="14.4" x14ac:dyDescent="0.3">
      <c r="A1090" s="28" t="str">
        <f>B1090&amp;C1090&amp;D1090&amp;E1090</f>
        <v>Uy-roʻzgʻor buyumlariOshxona buyumlariOshxonada tartibTagkursi va tutqichlar</v>
      </c>
      <c r="B1090" s="35" t="s">
        <v>3193</v>
      </c>
      <c r="C1090" s="35" t="s">
        <v>3443</v>
      </c>
      <c r="D1090" s="35" t="s">
        <v>4303</v>
      </c>
      <c r="E1090" s="35" t="s">
        <v>3323</v>
      </c>
      <c r="F1090" s="36">
        <v>0.25</v>
      </c>
      <c r="G1090" s="31"/>
      <c r="H1090" s="31"/>
      <c r="I1090" s="31"/>
      <c r="J1090" s="31"/>
      <c r="K1090" s="31"/>
    </row>
    <row r="1091" spans="1:11" ht="14.4" x14ac:dyDescent="0.3">
      <c r="A1091" s="28" t="str">
        <f>B1091&amp;C1091&amp;D1091&amp;E1091</f>
        <v>Uy-roʻzgʻor buyumlariOshxona buyumlariOshxonada tartibOshxona jihozlari uchun lotkalar</v>
      </c>
      <c r="B1091" s="35" t="s">
        <v>3193</v>
      </c>
      <c r="C1091" s="35" t="s">
        <v>3443</v>
      </c>
      <c r="D1091" s="35" t="s">
        <v>4303</v>
      </c>
      <c r="E1091" s="35" t="s">
        <v>4365</v>
      </c>
      <c r="F1091" s="36">
        <v>0.25</v>
      </c>
      <c r="G1091" s="31"/>
      <c r="H1091" s="31"/>
      <c r="I1091" s="31"/>
      <c r="J1091" s="31"/>
      <c r="K1091" s="31"/>
    </row>
    <row r="1092" spans="1:11" ht="14.4" x14ac:dyDescent="0.3">
      <c r="A1092" s="28" t="str">
        <f>B1092&amp;C1092&amp;D1092&amp;E1092</f>
        <v>Uy-roʻzgʻor buyumlariOshxona buyumlariChoynaklar va qahva idishlariQahva qaynatgichlar va qahva maydalagichlar</v>
      </c>
      <c r="B1092" s="35" t="s">
        <v>3193</v>
      </c>
      <c r="C1092" s="35" t="s">
        <v>3443</v>
      </c>
      <c r="D1092" s="35" t="s">
        <v>4307</v>
      </c>
      <c r="E1092" s="35" t="s">
        <v>4366</v>
      </c>
      <c r="F1092" s="36">
        <v>0.25</v>
      </c>
      <c r="G1092" s="31"/>
      <c r="H1092" s="31"/>
      <c r="I1092" s="31"/>
      <c r="J1092" s="31"/>
      <c r="K1092" s="31"/>
    </row>
    <row r="1093" spans="1:11" ht="14.4" x14ac:dyDescent="0.3">
      <c r="A1093" s="28" t="str">
        <f>B1093&amp;C1093&amp;D1093&amp;E1093</f>
        <v>Uy-roʻzgʻor buyumlariOshxona buyumlariOshxona anjomlariVenchiklar</v>
      </c>
      <c r="B1093" s="35" t="s">
        <v>3193</v>
      </c>
      <c r="C1093" s="35" t="s">
        <v>3443</v>
      </c>
      <c r="D1093" s="35" t="s">
        <v>4293</v>
      </c>
      <c r="E1093" s="35" t="s">
        <v>4367</v>
      </c>
      <c r="F1093" s="36">
        <v>0.25</v>
      </c>
      <c r="G1093" s="31"/>
      <c r="H1093" s="31"/>
      <c r="I1093" s="31"/>
      <c r="J1093" s="31"/>
      <c r="K1093" s="31"/>
    </row>
    <row r="1094" spans="1:11" ht="14.4" x14ac:dyDescent="0.3">
      <c r="A1094" s="28" t="str">
        <f>B1094&amp;C1094&amp;D1094&amp;E1094</f>
        <v>Uy-roʻzgʻor buyumlariOshxona buyumlariOshxona aksessuarlariOshxona uchun xushboʻylashtirgichlar</v>
      </c>
      <c r="B1094" s="35" t="s">
        <v>3193</v>
      </c>
      <c r="C1094" s="35" t="s">
        <v>3443</v>
      </c>
      <c r="D1094" s="35" t="s">
        <v>4321</v>
      </c>
      <c r="E1094" s="35" t="s">
        <v>4368</v>
      </c>
      <c r="F1094" s="36">
        <v>0.25</v>
      </c>
      <c r="G1094" s="31"/>
      <c r="H1094" s="31"/>
      <c r="I1094" s="31"/>
      <c r="J1094" s="31"/>
      <c r="K1094" s="31"/>
    </row>
    <row r="1095" spans="1:11" ht="14.4" x14ac:dyDescent="0.3">
      <c r="A1095" s="28" t="str">
        <f>B1095&amp;C1095&amp;D1095&amp;E1095</f>
        <v>Uy-roʻzgʻor buyumlariOshxona buyumlariMaydalagichlar va sharbat chiqargichlarQo'l sharbat chiqargichlari</v>
      </c>
      <c r="B1095" s="35" t="s">
        <v>3193</v>
      </c>
      <c r="C1095" s="35" t="s">
        <v>3443</v>
      </c>
      <c r="D1095" s="35" t="s">
        <v>4301</v>
      </c>
      <c r="E1095" s="35" t="s">
        <v>4369</v>
      </c>
      <c r="F1095" s="36">
        <v>0.25</v>
      </c>
      <c r="G1095" s="31"/>
      <c r="H1095" s="31"/>
      <c r="I1095" s="31"/>
      <c r="J1095" s="31"/>
      <c r="K1095" s="31"/>
    </row>
    <row r="1096" spans="1:11" ht="14.4" x14ac:dyDescent="0.3">
      <c r="A1096" s="28" t="str">
        <f>B1096&amp;C1096&amp;D1096&amp;E1096</f>
        <v>Uy-roʻzgʻor buyumlariOshxona buyumlariPazandachilik aksessuarlariPishirish qogʻozi</v>
      </c>
      <c r="B1096" s="35" t="s">
        <v>3193</v>
      </c>
      <c r="C1096" s="35" t="s">
        <v>3443</v>
      </c>
      <c r="D1096" s="35" t="s">
        <v>4310</v>
      </c>
      <c r="E1096" s="35" t="s">
        <v>4370</v>
      </c>
      <c r="F1096" s="36">
        <v>0.25</v>
      </c>
      <c r="G1096" s="31"/>
      <c r="H1096" s="31"/>
      <c r="I1096" s="31"/>
      <c r="J1096" s="31"/>
      <c r="K1096" s="31"/>
    </row>
    <row r="1097" spans="1:11" ht="14.4" x14ac:dyDescent="0.3">
      <c r="A1097" s="28" t="str">
        <f>B1097&amp;C1097&amp;D1097&amp;E1097</f>
        <v>Uy-roʻzgʻor buyumlariOshxona buyumlariMaydalagichlar va sharbat chiqargichlarHavoncha oʻgʻirchasi bilan</v>
      </c>
      <c r="B1097" s="35" t="s">
        <v>3193</v>
      </c>
      <c r="C1097" s="35" t="s">
        <v>3443</v>
      </c>
      <c r="D1097" s="35" t="s">
        <v>4301</v>
      </c>
      <c r="E1097" s="35" t="s">
        <v>4371</v>
      </c>
      <c r="F1097" s="36">
        <v>0.25</v>
      </c>
      <c r="G1097" s="31"/>
      <c r="H1097" s="31"/>
      <c r="I1097" s="31"/>
      <c r="J1097" s="31"/>
      <c r="K1097" s="31"/>
    </row>
    <row r="1098" spans="1:11" ht="14.4" x14ac:dyDescent="0.3">
      <c r="A1098" s="28" t="str">
        <f>B1098&amp;C1098&amp;D1098&amp;E1098</f>
        <v>Uy-roʻzgʻor buyumlariOshxona buyumlariChoynaklar va qahva idishlariQahva idishlari</v>
      </c>
      <c r="B1098" s="35" t="s">
        <v>3193</v>
      </c>
      <c r="C1098" s="35" t="s">
        <v>3443</v>
      </c>
      <c r="D1098" s="35" t="s">
        <v>4307</v>
      </c>
      <c r="E1098" s="35" t="s">
        <v>4372</v>
      </c>
      <c r="F1098" s="36">
        <v>0.25</v>
      </c>
      <c r="G1098" s="31"/>
      <c r="H1098" s="31"/>
      <c r="I1098" s="31"/>
      <c r="J1098" s="31"/>
      <c r="K1098" s="31"/>
    </row>
    <row r="1099" spans="1:11" ht="14.4" x14ac:dyDescent="0.3">
      <c r="A1099" s="28" t="str">
        <f>B1099&amp;C1099&amp;D1099&amp;E1099</f>
        <v>Uy-roʻzgʻor buyumlariOshxona buyumlariOshxona anjomlariPazandachilik choʻtkalari</v>
      </c>
      <c r="B1099" s="35" t="s">
        <v>3193</v>
      </c>
      <c r="C1099" s="35" t="s">
        <v>3443</v>
      </c>
      <c r="D1099" s="35" t="s">
        <v>4293</v>
      </c>
      <c r="E1099" s="35" t="s">
        <v>4373</v>
      </c>
      <c r="F1099" s="36">
        <v>0.25</v>
      </c>
      <c r="G1099" s="31"/>
      <c r="H1099" s="31"/>
      <c r="I1099" s="31"/>
      <c r="J1099" s="31"/>
      <c r="K1099" s="31"/>
    </row>
    <row r="1100" spans="1:11" ht="14.4" x14ac:dyDescent="0.3">
      <c r="A1100" s="28" t="str">
        <f>B1100&amp;C1100&amp;D1100&amp;E1100</f>
        <v>Uy-roʻzgʻor buyumlariOshxona buyumlariOshxona aksessuarlariStol toʻshamalari va issiq idishlar uchun tagliklar</v>
      </c>
      <c r="B1100" s="35" t="s">
        <v>3193</v>
      </c>
      <c r="C1100" s="35" t="s">
        <v>3443</v>
      </c>
      <c r="D1100" s="35" t="s">
        <v>4321</v>
      </c>
      <c r="E1100" s="35" t="s">
        <v>4374</v>
      </c>
      <c r="F1100" s="36">
        <v>0.25</v>
      </c>
      <c r="G1100" s="31"/>
      <c r="H1100" s="31"/>
      <c r="I1100" s="31"/>
      <c r="J1100" s="31"/>
      <c r="K1100" s="31"/>
    </row>
    <row r="1101" spans="1:11" ht="14.4" x14ac:dyDescent="0.3">
      <c r="A1101" s="28" t="str">
        <f>B1101&amp;C1101&amp;D1101&amp;E1101</f>
        <v>Uy-roʻzgʻor buyumlariOshxona buyumlariOshxona anjomlariGoʻsht uchun bolgʻachalar</v>
      </c>
      <c r="B1101" s="35" t="s">
        <v>3193</v>
      </c>
      <c r="C1101" s="35" t="s">
        <v>3443</v>
      </c>
      <c r="D1101" s="35" t="s">
        <v>4293</v>
      </c>
      <c r="E1101" s="35" t="s">
        <v>4375</v>
      </c>
      <c r="F1101" s="36">
        <v>0.25</v>
      </c>
      <c r="G1101" s="31"/>
      <c r="H1101" s="31"/>
      <c r="I1101" s="31"/>
      <c r="J1101" s="31"/>
      <c r="K1101" s="31"/>
    </row>
    <row r="1102" spans="1:11" ht="14.4" x14ac:dyDescent="0.3">
      <c r="A1102" s="28" t="str">
        <f>B1102&amp;C1102&amp;D1102&amp;E1102</f>
        <v>Uy-roʻzgʻor buyumlariOshxona buyumlariVino aksessuarlariVino uchun toʻplamlar</v>
      </c>
      <c r="B1102" s="35" t="s">
        <v>3193</v>
      </c>
      <c r="C1102" s="35" t="s">
        <v>3443</v>
      </c>
      <c r="D1102" s="35" t="s">
        <v>4328</v>
      </c>
      <c r="E1102" s="35" t="s">
        <v>4376</v>
      </c>
      <c r="F1102" s="36">
        <v>0.25</v>
      </c>
      <c r="G1102" s="31"/>
      <c r="H1102" s="31"/>
      <c r="I1102" s="31"/>
      <c r="J1102" s="31"/>
      <c r="K1102" s="31"/>
    </row>
    <row r="1103" spans="1:11" ht="14.4" x14ac:dyDescent="0.3">
      <c r="A1103" s="28" t="str">
        <f>B1103&amp;C1103&amp;D1103&amp;E1103</f>
        <v>Uy-roʻzgʻor buyumlariOshxona buyumlariOshxona anjomlariQoshiqlar</v>
      </c>
      <c r="B1103" s="35" t="s">
        <v>3193</v>
      </c>
      <c r="C1103" s="35" t="s">
        <v>3443</v>
      </c>
      <c r="D1103" s="35" t="s">
        <v>4293</v>
      </c>
      <c r="E1103" s="35" t="s">
        <v>4377</v>
      </c>
      <c r="F1103" s="36">
        <v>0.25</v>
      </c>
      <c r="G1103" s="31"/>
      <c r="H1103" s="31"/>
      <c r="I1103" s="31"/>
      <c r="J1103" s="31"/>
      <c r="K1103" s="31"/>
    </row>
    <row r="1104" spans="1:11" ht="14.4" x14ac:dyDescent="0.3">
      <c r="A1104" s="28" t="str">
        <f>B1104&amp;C1104&amp;D1104&amp;E1104</f>
        <v>Uy-roʻzgʻor buyumlariToʻqimachilikElektr bilan isitiladigan toʻqimachilikElektr isitgichlar</v>
      </c>
      <c r="B1104" s="35" t="s">
        <v>3193</v>
      </c>
      <c r="C1104" s="35" t="s">
        <v>4345</v>
      </c>
      <c r="D1104" s="35" t="s">
        <v>4346</v>
      </c>
      <c r="E1104" s="35" t="s">
        <v>4378</v>
      </c>
      <c r="F1104" s="36">
        <v>0.25</v>
      </c>
      <c r="G1104" s="31"/>
      <c r="H1104" s="31"/>
      <c r="I1104" s="31"/>
      <c r="J1104" s="31"/>
      <c r="K1104" s="31"/>
    </row>
    <row r="1105" spans="1:11" ht="14.4" x14ac:dyDescent="0.3">
      <c r="A1105" s="28" t="str">
        <f>B1105&amp;C1105&amp;D1105&amp;E1105</f>
        <v>Uy-roʻzgʻor buyumlariOshxona buyumlariPazandachilik aksessuarlariPazandachilik gilamchalari</v>
      </c>
      <c r="B1105" s="35" t="s">
        <v>3193</v>
      </c>
      <c r="C1105" s="35" t="s">
        <v>3443</v>
      </c>
      <c r="D1105" s="35" t="s">
        <v>4310</v>
      </c>
      <c r="E1105" s="35" t="s">
        <v>4379</v>
      </c>
      <c r="F1105" s="36">
        <v>0.25</v>
      </c>
      <c r="G1105" s="31"/>
      <c r="H1105" s="31"/>
      <c r="I1105" s="31"/>
      <c r="J1105" s="31"/>
      <c r="K1105" s="31"/>
    </row>
    <row r="1106" spans="1:11" ht="14.4" x14ac:dyDescent="0.3">
      <c r="A1106" s="28" t="str">
        <f>B1106&amp;C1106&amp;D1106&amp;E1106</f>
        <v>Uy-roʻzgʻor buyumlariOshxona buyumlariOshxona anjomlariOziq-ovqat tayoqchalari</v>
      </c>
      <c r="B1106" s="35" t="s">
        <v>3193</v>
      </c>
      <c r="C1106" s="35" t="s">
        <v>3443</v>
      </c>
      <c r="D1106" s="35" t="s">
        <v>4293</v>
      </c>
      <c r="E1106" s="35" t="s">
        <v>4380</v>
      </c>
      <c r="F1106" s="36">
        <v>0.25</v>
      </c>
      <c r="G1106" s="31"/>
      <c r="H1106" s="31"/>
      <c r="I1106" s="31"/>
      <c r="J1106" s="31"/>
      <c r="K1106" s="31"/>
    </row>
    <row r="1107" spans="1:11" ht="14.4" x14ac:dyDescent="0.3">
      <c r="A1107" s="28" t="str">
        <f>B1107&amp;C1107&amp;D1107&amp;E1107</f>
        <v>Uy-roʻzgʻor buyumlariOshxona buyumlariOvqat pishirish uchun shakllarChuchvara uchun shakllar</v>
      </c>
      <c r="B1107" s="35" t="s">
        <v>3193</v>
      </c>
      <c r="C1107" s="35" t="s">
        <v>3443</v>
      </c>
      <c r="D1107" s="35" t="s">
        <v>4297</v>
      </c>
      <c r="E1107" s="35" t="s">
        <v>4381</v>
      </c>
      <c r="F1107" s="36">
        <v>0.25</v>
      </c>
      <c r="G1107" s="31"/>
      <c r="H1107" s="31"/>
      <c r="I1107" s="31"/>
      <c r="J1107" s="31"/>
      <c r="K1107" s="31"/>
    </row>
    <row r="1108" spans="1:11" ht="14.4" x14ac:dyDescent="0.3">
      <c r="A1108" s="28" t="str">
        <f>B1108&amp;C1108&amp;D1108&amp;E1108</f>
        <v>Uy-roʻzgʻor buyumlariOshxona buyumlariOshxonada tartibTish tozalagichlar uchun idishlar</v>
      </c>
      <c r="B1108" s="35" t="s">
        <v>3193</v>
      </c>
      <c r="C1108" s="35" t="s">
        <v>3443</v>
      </c>
      <c r="D1108" s="35" t="s">
        <v>4303</v>
      </c>
      <c r="E1108" s="35" t="s">
        <v>4382</v>
      </c>
      <c r="F1108" s="36">
        <v>0.25</v>
      </c>
      <c r="G1108" s="31"/>
      <c r="H1108" s="31"/>
      <c r="I1108" s="31"/>
      <c r="J1108" s="31"/>
      <c r="K1108" s="31"/>
    </row>
    <row r="1109" spans="1:11" ht="14.4" x14ac:dyDescent="0.3">
      <c r="A1109" s="28" t="str">
        <f>B1109&amp;C1109&amp;D1109&amp;E1109</f>
        <v>Uy-roʻzgʻor buyumlariOshxona buyumlariOshxona aksessuarlariChoynak uchun isitgichlar</v>
      </c>
      <c r="B1109" s="35" t="s">
        <v>3193</v>
      </c>
      <c r="C1109" s="35" t="s">
        <v>3443</v>
      </c>
      <c r="D1109" s="35" t="s">
        <v>4321</v>
      </c>
      <c r="E1109" s="35" t="s">
        <v>4383</v>
      </c>
      <c r="F1109" s="36">
        <v>0.25</v>
      </c>
      <c r="G1109" s="31"/>
      <c r="H1109" s="31"/>
      <c r="I1109" s="31"/>
      <c r="J1109" s="31"/>
      <c r="K1109" s="31"/>
    </row>
    <row r="1110" spans="1:11" ht="14.4" x14ac:dyDescent="0.3">
      <c r="A1110" s="28" t="str">
        <f>B1110&amp;C1110&amp;D1110&amp;E1110</f>
        <v>Uy-roʻzgʻor buyumlariOshxona buyumlariPazandachilik aksessuarlariPishirish uchun trafaretlar</v>
      </c>
      <c r="B1110" s="35" t="s">
        <v>3193</v>
      </c>
      <c r="C1110" s="35" t="s">
        <v>3443</v>
      </c>
      <c r="D1110" s="35" t="s">
        <v>4310</v>
      </c>
      <c r="E1110" s="35" t="s">
        <v>4384</v>
      </c>
      <c r="F1110" s="36">
        <v>0.25</v>
      </c>
      <c r="G1110" s="31"/>
      <c r="H1110" s="31"/>
      <c r="I1110" s="31"/>
      <c r="J1110" s="31"/>
      <c r="K1110" s="31"/>
    </row>
    <row r="1111" spans="1:11" ht="14.4" x14ac:dyDescent="0.3">
      <c r="A1111" s="28" t="str">
        <f>B1111&amp;C1111&amp;D1111&amp;E1111</f>
        <v>Uy-roʻzgʻor buyumlariOshxona buyumlariIchimlik uchun aksessuarlarIchimliklar uchun sheykerlar</v>
      </c>
      <c r="B1111" s="35" t="s">
        <v>3193</v>
      </c>
      <c r="C1111" s="35" t="s">
        <v>3443</v>
      </c>
      <c r="D1111" s="35" t="s">
        <v>4312</v>
      </c>
      <c r="E1111" s="35" t="s">
        <v>4385</v>
      </c>
      <c r="F1111" s="36">
        <v>0.25</v>
      </c>
      <c r="G1111" s="31"/>
      <c r="H1111" s="31"/>
      <c r="I1111" s="31"/>
      <c r="J1111" s="31"/>
      <c r="K1111" s="31"/>
    </row>
    <row r="1112" spans="1:11" ht="14.4" x14ac:dyDescent="0.3">
      <c r="A1112" s="28" t="str">
        <f>B1112&amp;C1112&amp;D1112&amp;E1112</f>
        <v>Uy-roʻzgʻor buyumlariOshxona buyumlariPazandachilik aksessuarlariPazandachilik iplari</v>
      </c>
      <c r="B1112" s="35" t="s">
        <v>3193</v>
      </c>
      <c r="C1112" s="35" t="s">
        <v>3443</v>
      </c>
      <c r="D1112" s="35" t="s">
        <v>4310</v>
      </c>
      <c r="E1112" s="35" t="s">
        <v>4386</v>
      </c>
      <c r="F1112" s="36">
        <v>0.25</v>
      </c>
      <c r="G1112" s="31"/>
      <c r="H1112" s="31"/>
      <c r="I1112" s="31"/>
      <c r="J1112" s="31"/>
      <c r="K1112" s="31"/>
    </row>
    <row r="1113" spans="1:11" ht="14.4" x14ac:dyDescent="0.3">
      <c r="A1113" s="28" t="str">
        <f>B1113&amp;C1113&amp;D1113&amp;E1113</f>
        <v>Uy-roʻzgʻor buyumlariOshxona buyumlariOshxona anjomlariPazandachilik sanchqilari</v>
      </c>
      <c r="B1113" s="35" t="s">
        <v>3193</v>
      </c>
      <c r="C1113" s="35" t="s">
        <v>3443</v>
      </c>
      <c r="D1113" s="35" t="s">
        <v>4293</v>
      </c>
      <c r="E1113" s="35" t="s">
        <v>4387</v>
      </c>
      <c r="F1113" s="36">
        <v>0.25</v>
      </c>
      <c r="G1113" s="31"/>
      <c r="H1113" s="31"/>
      <c r="I1113" s="31"/>
      <c r="J1113" s="31"/>
      <c r="K1113" s="31"/>
    </row>
    <row r="1114" spans="1:11" ht="14.4" x14ac:dyDescent="0.3">
      <c r="A1114" s="28" t="str">
        <f>B1114&amp;C1114&amp;D1114&amp;E1114</f>
        <v>Uy-roʻzgʻor buyumlariOshxona buyumlariOziq-ovqat mahsulotlarini saqlashNon savatlari va suxari idishlari</v>
      </c>
      <c r="B1114" s="35" t="s">
        <v>3193</v>
      </c>
      <c r="C1114" s="35" t="s">
        <v>3443</v>
      </c>
      <c r="D1114" s="35" t="s">
        <v>4299</v>
      </c>
      <c r="E1114" s="35" t="s">
        <v>4388</v>
      </c>
      <c r="F1114" s="36">
        <v>0.25</v>
      </c>
      <c r="G1114" s="31"/>
      <c r="H1114" s="31"/>
      <c r="I1114" s="31"/>
      <c r="J1114" s="31"/>
      <c r="K1114" s="31"/>
    </row>
    <row r="1115" spans="1:11" ht="14.4" x14ac:dyDescent="0.3">
      <c r="A1115" s="28" t="str">
        <f>B1115&amp;C1115&amp;D1115&amp;E1115</f>
        <v>Uy-roʻzgʻor buyumlariOshxona buyumlariIchimlik uchun aksessuarlarMadlerlar</v>
      </c>
      <c r="B1115" s="35" t="s">
        <v>3193</v>
      </c>
      <c r="C1115" s="35" t="s">
        <v>3443</v>
      </c>
      <c r="D1115" s="35" t="s">
        <v>4312</v>
      </c>
      <c r="E1115" s="35" t="s">
        <v>4389</v>
      </c>
      <c r="F1115" s="36">
        <v>0.25</v>
      </c>
      <c r="G1115" s="31"/>
      <c r="H1115" s="31"/>
      <c r="I1115" s="31"/>
      <c r="J1115" s="31"/>
      <c r="K1115" s="31"/>
    </row>
    <row r="1116" spans="1:11" ht="14.4" x14ac:dyDescent="0.3">
      <c r="A1116" s="28" t="str">
        <f>B1116&amp;C1116&amp;D1116&amp;E1116</f>
        <v>Uy-roʻzgʻor buyumlariOshxona buyumlariOshxona anjomlariPichoq oʻtkirlagichlar</v>
      </c>
      <c r="B1116" s="35" t="s">
        <v>3193</v>
      </c>
      <c r="C1116" s="35" t="s">
        <v>3443</v>
      </c>
      <c r="D1116" s="35" t="s">
        <v>4293</v>
      </c>
      <c r="E1116" s="35" t="s">
        <v>4390</v>
      </c>
      <c r="F1116" s="36">
        <v>0.25</v>
      </c>
      <c r="G1116" s="31"/>
      <c r="H1116" s="31"/>
      <c r="I1116" s="31"/>
      <c r="J1116" s="31"/>
      <c r="K1116" s="31"/>
    </row>
    <row r="1117" spans="1:11" ht="14.4" x14ac:dyDescent="0.3">
      <c r="A1117" s="28" t="str">
        <f>B1117&amp;C1117&amp;D1117&amp;E1117</f>
        <v>Uy-roʻzgʻor buyumlariOshxona buyumlariOshxonada tartibOshxona qurollari uchun podstavkalar</v>
      </c>
      <c r="B1117" s="35" t="s">
        <v>3193</v>
      </c>
      <c r="C1117" s="35" t="s">
        <v>3443</v>
      </c>
      <c r="D1117" s="35" t="s">
        <v>4303</v>
      </c>
      <c r="E1117" s="35" t="s">
        <v>4391</v>
      </c>
      <c r="F1117" s="36">
        <v>0.25</v>
      </c>
      <c r="G1117" s="31"/>
      <c r="H1117" s="31"/>
      <c r="I1117" s="31"/>
      <c r="J1117" s="31"/>
      <c r="K1117" s="31"/>
    </row>
    <row r="1118" spans="1:11" ht="14.4" x14ac:dyDescent="0.3">
      <c r="A1118" s="28" t="str">
        <f>B1118&amp;C1118&amp;D1118&amp;E1118</f>
        <v>Uy-roʻzgʻor buyumlariOshxona buyumlariSuv uchun filtrlarFiltrli kuvshinlar</v>
      </c>
      <c r="B1118" s="35" t="s">
        <v>3193</v>
      </c>
      <c r="C1118" s="35" t="s">
        <v>3443</v>
      </c>
      <c r="D1118" s="35" t="s">
        <v>4392</v>
      </c>
      <c r="E1118" s="35" t="s">
        <v>4393</v>
      </c>
      <c r="F1118" s="36">
        <v>0.25</v>
      </c>
      <c r="G1118" s="31"/>
      <c r="H1118" s="31"/>
      <c r="I1118" s="31"/>
      <c r="J1118" s="31"/>
      <c r="K1118" s="31"/>
    </row>
    <row r="1119" spans="1:11" ht="14.4" x14ac:dyDescent="0.3">
      <c r="A1119" s="28" t="str">
        <f>B1119&amp;C1119&amp;D1119&amp;E1119</f>
        <v>Uy-roʻzgʻor buyumlariOshxona buyumlariOshxona aksessuarlariOshxona qisqichlari</v>
      </c>
      <c r="B1119" s="35" t="s">
        <v>3193</v>
      </c>
      <c r="C1119" s="35" t="s">
        <v>3443</v>
      </c>
      <c r="D1119" s="35" t="s">
        <v>4321</v>
      </c>
      <c r="E1119" s="35" t="s">
        <v>4364</v>
      </c>
      <c r="F1119" s="36">
        <v>0.25</v>
      </c>
      <c r="G1119" s="31"/>
      <c r="H1119" s="31"/>
      <c r="I1119" s="31"/>
      <c r="J1119" s="31"/>
      <c r="K1119" s="31"/>
    </row>
    <row r="1120" spans="1:11" ht="14.4" x14ac:dyDescent="0.3">
      <c r="A1120" s="28" t="str">
        <f>B1120&amp;C1120&amp;D1120&amp;E1120</f>
        <v>Uy-roʻzgʻor buyumlariOshxona buyumlariPazandachilik aksessuarlariPatnislar va panjaralar</v>
      </c>
      <c r="B1120" s="35" t="s">
        <v>3193</v>
      </c>
      <c r="C1120" s="35" t="s">
        <v>3443</v>
      </c>
      <c r="D1120" s="35" t="s">
        <v>4310</v>
      </c>
      <c r="E1120" s="35" t="s">
        <v>4394</v>
      </c>
      <c r="F1120" s="36">
        <v>0.25</v>
      </c>
      <c r="G1120" s="31"/>
      <c r="H1120" s="31"/>
      <c r="I1120" s="31"/>
      <c r="J1120" s="31"/>
      <c r="K1120" s="31"/>
    </row>
    <row r="1121" spans="1:11" ht="14.4" x14ac:dyDescent="0.3">
      <c r="A1121" s="28" t="str">
        <f>B1121&amp;C1121&amp;D1121&amp;E1121</f>
        <v>Uy-roʻzgʻor buyumlariBuyumlarni saqlashSoyabonlar stendlariSoyabonlar stendlari</v>
      </c>
      <c r="B1121" s="35" t="s">
        <v>3193</v>
      </c>
      <c r="C1121" s="35" t="s">
        <v>3548</v>
      </c>
      <c r="D1121" s="35" t="s">
        <v>4395</v>
      </c>
      <c r="E1121" s="35" t="s">
        <v>4395</v>
      </c>
      <c r="F1121" s="36">
        <v>0.25</v>
      </c>
      <c r="G1121" s="31"/>
      <c r="H1121" s="31"/>
      <c r="I1121" s="31"/>
      <c r="J1121" s="31"/>
      <c r="K1121" s="31"/>
    </row>
    <row r="1122" spans="1:11" ht="14.4" x14ac:dyDescent="0.3">
      <c r="A1122" s="28" t="str">
        <f>B1122&amp;C1122&amp;D1122&amp;E1122</f>
        <v>Uy-roʻzgʻor buyumlariOshxona buyumlariLikopchalar va idishlarLikopchalar</v>
      </c>
      <c r="B1122" s="35" t="s">
        <v>3193</v>
      </c>
      <c r="C1122" s="35" t="s">
        <v>3443</v>
      </c>
      <c r="D1122" s="35" t="s">
        <v>4300</v>
      </c>
      <c r="E1122" s="35" t="s">
        <v>4396</v>
      </c>
      <c r="F1122" s="36">
        <v>0.25</v>
      </c>
      <c r="G1122" s="31"/>
      <c r="H1122" s="31"/>
      <c r="I1122" s="31"/>
      <c r="J1122" s="31"/>
      <c r="K1122" s="31"/>
    </row>
    <row r="1123" spans="1:11" ht="14.4" x14ac:dyDescent="0.3">
      <c r="A1123" s="28" t="str">
        <f>B1123&amp;C1123&amp;D1123&amp;E1123</f>
        <v>Uy-roʻzgʻor buyumlariOshxona buyumlariOshxona anjomlariSut koʻpirtirgichlar</v>
      </c>
      <c r="B1123" s="35" t="s">
        <v>3193</v>
      </c>
      <c r="C1123" s="35" t="s">
        <v>3443</v>
      </c>
      <c r="D1123" s="35" t="s">
        <v>4293</v>
      </c>
      <c r="E1123" s="35" t="s">
        <v>4397</v>
      </c>
      <c r="F1123" s="36">
        <v>0.25</v>
      </c>
      <c r="G1123" s="31"/>
      <c r="H1123" s="31"/>
      <c r="I1123" s="31"/>
      <c r="J1123" s="31"/>
      <c r="K1123" s="31"/>
    </row>
    <row r="1124" spans="1:11" ht="14.4" x14ac:dyDescent="0.3">
      <c r="A1124" s="28" t="str">
        <f>B1124&amp;C1124&amp;D1124&amp;E1124</f>
        <v>Uy-roʻzgʻor buyumlariOshxona buyumlariPazandachilik aksessuarlariQandolatchilik kurakchalari</v>
      </c>
      <c r="B1124" s="35" t="s">
        <v>3193</v>
      </c>
      <c r="C1124" s="35" t="s">
        <v>3443</v>
      </c>
      <c r="D1124" s="35" t="s">
        <v>4310</v>
      </c>
      <c r="E1124" s="35" t="s">
        <v>4398</v>
      </c>
      <c r="F1124" s="36">
        <v>0.25</v>
      </c>
      <c r="G1124" s="31"/>
      <c r="H1124" s="31"/>
      <c r="I1124" s="31"/>
      <c r="J1124" s="31"/>
      <c r="K1124" s="31"/>
    </row>
    <row r="1125" spans="1:11" ht="14.4" x14ac:dyDescent="0.3">
      <c r="A1125" s="28" t="str">
        <f>B1125&amp;C1125&amp;D1125&amp;E1125</f>
        <v>Uy-roʻzgʻor buyumlariOshxona buyumlariPazandachilik aksessuarlariKremerlar va ballonlar</v>
      </c>
      <c r="B1125" s="35" t="s">
        <v>3193</v>
      </c>
      <c r="C1125" s="35" t="s">
        <v>3443</v>
      </c>
      <c r="D1125" s="35" t="s">
        <v>4310</v>
      </c>
      <c r="E1125" s="35" t="s">
        <v>4399</v>
      </c>
      <c r="F1125" s="36">
        <v>0.25</v>
      </c>
      <c r="G1125" s="31"/>
      <c r="H1125" s="31"/>
      <c r="I1125" s="31"/>
      <c r="J1125" s="31"/>
      <c r="K1125" s="31"/>
    </row>
    <row r="1126" spans="1:11" ht="14.4" x14ac:dyDescent="0.3">
      <c r="A1126" s="28" t="str">
        <f>B1126&amp;C1126&amp;D1126&amp;E1126</f>
        <v>Uy-roʻzgʻor buyumlariOshxona buyumlariKrujkalar, stakanlar va bokallarBokal va fujerlar</v>
      </c>
      <c r="B1126" s="35" t="s">
        <v>3193</v>
      </c>
      <c r="C1126" s="35" t="s">
        <v>3443</v>
      </c>
      <c r="D1126" s="35" t="s">
        <v>4295</v>
      </c>
      <c r="E1126" s="35" t="s">
        <v>4400</v>
      </c>
      <c r="F1126" s="36">
        <v>0.25</v>
      </c>
      <c r="G1126" s="31"/>
      <c r="H1126" s="31"/>
      <c r="I1126" s="31"/>
      <c r="J1126" s="31"/>
      <c r="K1126" s="31"/>
    </row>
    <row r="1127" spans="1:11" ht="14.4" x14ac:dyDescent="0.3">
      <c r="A1127" s="28" t="str">
        <f>B1127&amp;C1127&amp;D1127&amp;E1127</f>
        <v>Uy-roʻzgʻor buyumlariOshxona buyumlariOshxona anjomlariMeva va sabzavot tozalagichlar</v>
      </c>
      <c r="B1127" s="35" t="s">
        <v>3193</v>
      </c>
      <c r="C1127" s="35" t="s">
        <v>3443</v>
      </c>
      <c r="D1127" s="35" t="s">
        <v>4293</v>
      </c>
      <c r="E1127" s="35" t="s">
        <v>4401</v>
      </c>
      <c r="F1127" s="36">
        <v>0.25</v>
      </c>
      <c r="G1127" s="31"/>
      <c r="H1127" s="31"/>
      <c r="I1127" s="31"/>
      <c r="J1127" s="31"/>
      <c r="K1127" s="31"/>
    </row>
    <row r="1128" spans="1:11" ht="14.4" x14ac:dyDescent="0.3">
      <c r="A1128" s="28" t="str">
        <f>B1128&amp;C1128&amp;D1128&amp;E1128</f>
        <v>Uy-roʻzgʻor buyumlariOshxona buyumlariOziq-ovqat mahsulotlarini saqlashQayta foydalanish mumkin boʻlgan paketlar va qopchalar</v>
      </c>
      <c r="B1128" s="35" t="s">
        <v>3193</v>
      </c>
      <c r="C1128" s="35" t="s">
        <v>3443</v>
      </c>
      <c r="D1128" s="35" t="s">
        <v>4299</v>
      </c>
      <c r="E1128" s="35" t="s">
        <v>4402</v>
      </c>
      <c r="F1128" s="36">
        <v>0.25</v>
      </c>
      <c r="G1128" s="31"/>
      <c r="H1128" s="31"/>
      <c r="I1128" s="31"/>
      <c r="J1128" s="31"/>
      <c r="K1128" s="31"/>
    </row>
    <row r="1129" spans="1:11" ht="14.4" x14ac:dyDescent="0.3">
      <c r="A1129" s="28" t="str">
        <f>B1129&amp;C1129&amp;D1129&amp;E1129</f>
        <v>Uy-roʻzgʻor buyumlariOshxona buyumlariBir martali ishlatiladigan idishlar va qadoqlashIchimliklar uchun qopqoqlar</v>
      </c>
      <c r="B1129" s="35" t="s">
        <v>3193</v>
      </c>
      <c r="C1129" s="35" t="s">
        <v>3443</v>
      </c>
      <c r="D1129" s="35" t="s">
        <v>3495</v>
      </c>
      <c r="E1129" s="35" t="s">
        <v>4403</v>
      </c>
      <c r="F1129" s="36">
        <v>0.25</v>
      </c>
      <c r="G1129" s="31"/>
      <c r="H1129" s="31"/>
      <c r="I1129" s="31"/>
      <c r="J1129" s="31"/>
      <c r="K1129" s="31"/>
    </row>
    <row r="1130" spans="1:11" ht="14.4" x14ac:dyDescent="0.3">
      <c r="A1130" s="28" t="str">
        <f>B1130&amp;C1130&amp;D1130&amp;E1130</f>
        <v>Uy-roʻzgʻor buyumlariOshxona buyumlariKonservalash uchun tovarlarQopqoqlar</v>
      </c>
      <c r="B1130" s="35" t="s">
        <v>3193</v>
      </c>
      <c r="C1130" s="35" t="s">
        <v>3443</v>
      </c>
      <c r="D1130" s="35" t="s">
        <v>4355</v>
      </c>
      <c r="E1130" s="35" t="s">
        <v>4404</v>
      </c>
      <c r="F1130" s="36">
        <v>0.25</v>
      </c>
      <c r="G1130" s="31"/>
      <c r="H1130" s="31"/>
      <c r="I1130" s="31"/>
      <c r="J1130" s="31"/>
      <c r="K1130" s="31"/>
    </row>
    <row r="1131" spans="1:11" ht="14.4" x14ac:dyDescent="0.3">
      <c r="A1131" s="28" t="str">
        <f>B1131&amp;C1131&amp;D1131&amp;E1131</f>
        <v>Uy-roʻzgʻor buyumlariToʻqimachilikElektr bilan isitiladigan toʻqimachilikElektr koʻrpalar</v>
      </c>
      <c r="B1131" s="35" t="s">
        <v>3193</v>
      </c>
      <c r="C1131" s="35" t="s">
        <v>4345</v>
      </c>
      <c r="D1131" s="35" t="s">
        <v>4346</v>
      </c>
      <c r="E1131" s="35" t="s">
        <v>4405</v>
      </c>
      <c r="F1131" s="36">
        <v>0.25</v>
      </c>
      <c r="G1131" s="31"/>
      <c r="H1131" s="31"/>
      <c r="I1131" s="31"/>
      <c r="J1131" s="31"/>
      <c r="K1131" s="31"/>
    </row>
    <row r="1132" spans="1:11" ht="14.4" x14ac:dyDescent="0.3">
      <c r="A1132" s="28" t="str">
        <f>B1132&amp;C1132&amp;D1132&amp;E1132</f>
        <v>Uy-roʻzgʻor buyumlariOshxona buyumlariIchimlik uchun aksessuarlarIchimliklar uchun dozatorlar</v>
      </c>
      <c r="B1132" s="35" t="s">
        <v>3193</v>
      </c>
      <c r="C1132" s="35" t="s">
        <v>3443</v>
      </c>
      <c r="D1132" s="35" t="s">
        <v>4312</v>
      </c>
      <c r="E1132" s="35" t="s">
        <v>4406</v>
      </c>
      <c r="F1132" s="36">
        <v>0.25</v>
      </c>
      <c r="G1132" s="31"/>
      <c r="H1132" s="31"/>
      <c r="I1132" s="31"/>
      <c r="J1132" s="31"/>
      <c r="K1132" s="31"/>
    </row>
    <row r="1133" spans="1:11" ht="14.4" x14ac:dyDescent="0.3">
      <c r="A1133" s="28" t="str">
        <f>B1133&amp;C1133&amp;D1133&amp;E1133</f>
        <v>Uy-roʻzgʻor buyumlariOshxona buyumlariSuv uchun filtrlarFiltr-kuvshinlar uchun almashtiriladigan kartridjlar</v>
      </c>
      <c r="B1133" s="35" t="s">
        <v>3193</v>
      </c>
      <c r="C1133" s="35" t="s">
        <v>3443</v>
      </c>
      <c r="D1133" s="35" t="s">
        <v>4392</v>
      </c>
      <c r="E1133" s="35" t="s">
        <v>4407</v>
      </c>
      <c r="F1133" s="36">
        <v>0.25</v>
      </c>
      <c r="G1133" s="31"/>
      <c r="H1133" s="31"/>
      <c r="I1133" s="31"/>
      <c r="J1133" s="31"/>
      <c r="K1133" s="31"/>
    </row>
    <row r="1134" spans="1:11" ht="14.4" x14ac:dyDescent="0.3">
      <c r="A1134" s="28" t="str">
        <f>B1134&amp;C1134&amp;D1134&amp;E1134</f>
        <v>Uy-roʻzgʻor buyumlariOshxona buyumlariKrujkalar, stakanlar va bokallarFinjon va likopchalar</v>
      </c>
      <c r="B1134" s="35" t="s">
        <v>3193</v>
      </c>
      <c r="C1134" s="35" t="s">
        <v>3443</v>
      </c>
      <c r="D1134" s="35" t="s">
        <v>4295</v>
      </c>
      <c r="E1134" s="35" t="s">
        <v>4408</v>
      </c>
      <c r="F1134" s="36">
        <v>0.25</v>
      </c>
      <c r="G1134" s="31"/>
      <c r="H1134" s="31"/>
      <c r="I1134" s="31"/>
      <c r="J1134" s="31"/>
      <c r="K1134" s="31"/>
    </row>
    <row r="1135" spans="1:11" ht="14.4" x14ac:dyDescent="0.3">
      <c r="A1135" s="28" t="str">
        <f>B1135&amp;C1135&amp;D1135&amp;E1135</f>
        <v>Uy-roʻzgʻor buyumlariOshxona buyumlariOshxona anjomlariOshxona pichoqlari</v>
      </c>
      <c r="B1135" s="35" t="s">
        <v>3193</v>
      </c>
      <c r="C1135" s="35" t="s">
        <v>3443</v>
      </c>
      <c r="D1135" s="35" t="s">
        <v>4293</v>
      </c>
      <c r="E1135" s="35" t="s">
        <v>4409</v>
      </c>
      <c r="F1135" s="36">
        <v>0.25</v>
      </c>
      <c r="G1135" s="31"/>
      <c r="H1135" s="31"/>
      <c r="I1135" s="31"/>
      <c r="J1135" s="31"/>
      <c r="K1135" s="31"/>
    </row>
    <row r="1136" spans="1:11" ht="14.4" x14ac:dyDescent="0.3">
      <c r="A1136" s="28" t="str">
        <f>B1136&amp;C1136&amp;D1136&amp;E1136</f>
        <v>Uy-roʻzgʻor buyumlariOshxona buyumlariOshxona anjomlariPazandachilik qoshiqlari</v>
      </c>
      <c r="B1136" s="35" t="s">
        <v>3193</v>
      </c>
      <c r="C1136" s="35" t="s">
        <v>3443</v>
      </c>
      <c r="D1136" s="35" t="s">
        <v>4293</v>
      </c>
      <c r="E1136" s="35" t="s">
        <v>4410</v>
      </c>
      <c r="F1136" s="36">
        <v>0.25</v>
      </c>
      <c r="G1136" s="31"/>
      <c r="H1136" s="31"/>
      <c r="I1136" s="31"/>
      <c r="J1136" s="31"/>
      <c r="K1136" s="31"/>
    </row>
    <row r="1137" spans="1:11" ht="14.4" x14ac:dyDescent="0.3">
      <c r="A1137" s="28" t="str">
        <f>B1137&amp;C1137&amp;D1137&amp;E1137</f>
        <v>Uy-roʻzgʻor buyumlariToʻqimachilikElektr bilan isitiladigan toʻqimachilikElektr-matraslar</v>
      </c>
      <c r="B1137" s="35" t="s">
        <v>3193</v>
      </c>
      <c r="C1137" s="35" t="s">
        <v>4345</v>
      </c>
      <c r="D1137" s="35" t="s">
        <v>4346</v>
      </c>
      <c r="E1137" s="35" t="s">
        <v>4411</v>
      </c>
      <c r="F1137" s="36">
        <v>0.25</v>
      </c>
      <c r="G1137" s="31"/>
      <c r="H1137" s="31"/>
      <c r="I1137" s="31"/>
      <c r="J1137" s="31"/>
      <c r="K1137" s="31"/>
    </row>
    <row r="1138" spans="1:11" ht="14.4" x14ac:dyDescent="0.3">
      <c r="A1138" s="28" t="str">
        <f>B1138&amp;C1138&amp;D1138&amp;E1138</f>
        <v>Uy-roʻzgʻor buyumlariOshxona buyumlariOziq-ovqat mahsulotlarini saqlashFolga, plyonka, pazandachilik qoʻlqoplari</v>
      </c>
      <c r="B1138" s="35" t="s">
        <v>3193</v>
      </c>
      <c r="C1138" s="35" t="s">
        <v>3443</v>
      </c>
      <c r="D1138" s="35" t="s">
        <v>4299</v>
      </c>
      <c r="E1138" s="35" t="s">
        <v>4412</v>
      </c>
      <c r="F1138" s="36">
        <v>0.25</v>
      </c>
      <c r="G1138" s="31"/>
      <c r="H1138" s="31"/>
      <c r="I1138" s="31"/>
      <c r="J1138" s="31"/>
      <c r="K1138" s="31"/>
    </row>
    <row r="1139" spans="1:11" ht="14.4" x14ac:dyDescent="0.3">
      <c r="A1139" s="28" t="str">
        <f>B1139&amp;C1139&amp;D1139&amp;E1139</f>
        <v>Uy-roʻzgʻor buyumlariOshxona buyumlariOziq-ovqat mahsulotlarini saqlashSochiluvchan mahsulotlar uchun idishlar</v>
      </c>
      <c r="B1139" s="35" t="s">
        <v>3193</v>
      </c>
      <c r="C1139" s="35" t="s">
        <v>3443</v>
      </c>
      <c r="D1139" s="35" t="s">
        <v>4299</v>
      </c>
      <c r="E1139" s="35" t="s">
        <v>4413</v>
      </c>
      <c r="F1139" s="36">
        <v>0.25</v>
      </c>
      <c r="G1139" s="31"/>
      <c r="H1139" s="31"/>
      <c r="I1139" s="31"/>
      <c r="J1139" s="31"/>
      <c r="K1139" s="31"/>
    </row>
    <row r="1140" spans="1:11" ht="14.4" x14ac:dyDescent="0.3">
      <c r="A1140" s="28" t="str">
        <f>B1140&amp;C1140&amp;D1140&amp;E1140</f>
        <v>Uy-roʻzgʻor buyumlariOshxona buyumlariKrujkalar, stakanlar va bokallarKrujkalar</v>
      </c>
      <c r="B1140" s="35" t="s">
        <v>3193</v>
      </c>
      <c r="C1140" s="35" t="s">
        <v>3443</v>
      </c>
      <c r="D1140" s="35" t="s">
        <v>4295</v>
      </c>
      <c r="E1140" s="35" t="s">
        <v>4414</v>
      </c>
      <c r="F1140" s="36">
        <v>0.25</v>
      </c>
      <c r="G1140" s="31"/>
      <c r="H1140" s="31"/>
      <c r="I1140" s="31"/>
      <c r="J1140" s="31"/>
      <c r="K1140" s="31"/>
    </row>
    <row r="1141" spans="1:11" ht="14.4" x14ac:dyDescent="0.3">
      <c r="A1141" s="28" t="str">
        <f>B1141&amp;C1141&amp;D1141&amp;E1141</f>
        <v>Uy-roʻzgʻor buyumlariOshxona buyumlariLikopchalar va idishlarShoʻrva idishlari va bulyon idishlari</v>
      </c>
      <c r="B1141" s="35" t="s">
        <v>3193</v>
      </c>
      <c r="C1141" s="35" t="s">
        <v>3443</v>
      </c>
      <c r="D1141" s="35" t="s">
        <v>4300</v>
      </c>
      <c r="E1141" s="35" t="s">
        <v>4415</v>
      </c>
      <c r="F1141" s="36">
        <v>0.25</v>
      </c>
      <c r="G1141" s="31"/>
      <c r="H1141" s="31"/>
      <c r="I1141" s="31"/>
      <c r="J1141" s="31"/>
      <c r="K1141" s="31"/>
    </row>
    <row r="1142" spans="1:11" ht="14.4" x14ac:dyDescent="0.3">
      <c r="A1142" s="28" t="str">
        <f>B1142&amp;C1142&amp;D1142&amp;E1142</f>
        <v>Uy-roʻzgʻor buyumlariOshxona buyumlariIchimlik uchun aksessuarlarMuz uchun qisqichlar</v>
      </c>
      <c r="B1142" s="35" t="s">
        <v>3193</v>
      </c>
      <c r="C1142" s="35" t="s">
        <v>3443</v>
      </c>
      <c r="D1142" s="35" t="s">
        <v>4312</v>
      </c>
      <c r="E1142" s="35" t="s">
        <v>4416</v>
      </c>
      <c r="F1142" s="36">
        <v>0.25</v>
      </c>
      <c r="G1142" s="31"/>
      <c r="H1142" s="31"/>
      <c r="I1142" s="31"/>
      <c r="J1142" s="31"/>
      <c r="K1142" s="31"/>
    </row>
    <row r="1143" spans="1:11" ht="14.4" x14ac:dyDescent="0.3">
      <c r="A1143" s="28" t="str">
        <f>B1143&amp;C1143&amp;D1143&amp;E1143</f>
        <v>Uy-roʻzgʻor buyumlariOshxona buyumlariTermoslar va termo krujkalarTermoslar</v>
      </c>
      <c r="B1143" s="35" t="s">
        <v>3193</v>
      </c>
      <c r="C1143" s="35" t="s">
        <v>3443</v>
      </c>
      <c r="D1143" s="35" t="s">
        <v>4326</v>
      </c>
      <c r="E1143" s="35" t="s">
        <v>4417</v>
      </c>
      <c r="F1143" s="36">
        <v>0.25</v>
      </c>
      <c r="G1143" s="31"/>
      <c r="H1143" s="31"/>
      <c r="I1143" s="31"/>
      <c r="J1143" s="31"/>
      <c r="K1143" s="31"/>
    </row>
    <row r="1144" spans="1:11" ht="14.4" x14ac:dyDescent="0.3">
      <c r="A1144" s="28" t="str">
        <f>B1144&amp;C1144&amp;D1144&amp;E1144</f>
        <v>Uy-roʻzgʻor buyumlariOshxona buyumlariOziq-ovqat mahsulotlarini saqlashSovutgich uchun gilamchalar</v>
      </c>
      <c r="B1144" s="35" t="s">
        <v>3193</v>
      </c>
      <c r="C1144" s="35" t="s">
        <v>3443</v>
      </c>
      <c r="D1144" s="35" t="s">
        <v>4299</v>
      </c>
      <c r="E1144" s="35" t="s">
        <v>4418</v>
      </c>
      <c r="F1144" s="36">
        <v>0.25</v>
      </c>
      <c r="G1144" s="31"/>
      <c r="H1144" s="31"/>
      <c r="I1144" s="31"/>
      <c r="J1144" s="31"/>
      <c r="K1144" s="31"/>
    </row>
    <row r="1145" spans="1:11" ht="14.4" x14ac:dyDescent="0.3">
      <c r="A1145" s="28" t="str">
        <f>B1145&amp;C1145&amp;D1145&amp;E1145</f>
        <v>Uy-roʻzgʻor buyumlariOshxona buyumlariOvqat pishirish uchun shakllarMuz qoliplari</v>
      </c>
      <c r="B1145" s="35" t="s">
        <v>3193</v>
      </c>
      <c r="C1145" s="35" t="s">
        <v>3443</v>
      </c>
      <c r="D1145" s="35" t="s">
        <v>4297</v>
      </c>
      <c r="E1145" s="35" t="s">
        <v>4419</v>
      </c>
      <c r="F1145" s="36">
        <v>0.25</v>
      </c>
      <c r="G1145" s="31"/>
      <c r="H1145" s="31"/>
      <c r="I1145" s="31"/>
      <c r="J1145" s="31"/>
      <c r="K1145" s="31"/>
    </row>
    <row r="1146" spans="1:11" ht="14.4" x14ac:dyDescent="0.3">
      <c r="A1146" s="28" t="str">
        <f>B1146&amp;C1146&amp;D1146&amp;E1146</f>
        <v>Uy-roʻzgʻor buyumlariOshxona buyumlariOshxonada tartibPichoq ushlagichlar</v>
      </c>
      <c r="B1146" s="35" t="s">
        <v>3193</v>
      </c>
      <c r="C1146" s="35" t="s">
        <v>3443</v>
      </c>
      <c r="D1146" s="35" t="s">
        <v>4303</v>
      </c>
      <c r="E1146" s="35" t="s">
        <v>4420</v>
      </c>
      <c r="F1146" s="36">
        <v>0.25</v>
      </c>
      <c r="G1146" s="31"/>
      <c r="H1146" s="31"/>
      <c r="I1146" s="31"/>
      <c r="J1146" s="31"/>
      <c r="K1146" s="31"/>
    </row>
    <row r="1147" spans="1:11" ht="14.4" x14ac:dyDescent="0.3">
      <c r="A1147" s="28" t="str">
        <f>B1147&amp;C1147&amp;D1147&amp;E1147</f>
        <v>Uy-roʻzgʻor buyumlariOshxona buyumlariMaydalagichlar va sharbat chiqargichlarYongʻoq chaqqichlar</v>
      </c>
      <c r="B1147" s="35" t="s">
        <v>3193</v>
      </c>
      <c r="C1147" s="35" t="s">
        <v>3443</v>
      </c>
      <c r="D1147" s="35" t="s">
        <v>4301</v>
      </c>
      <c r="E1147" s="35" t="s">
        <v>4421</v>
      </c>
      <c r="F1147" s="36">
        <v>0.25</v>
      </c>
      <c r="G1147" s="31"/>
      <c r="H1147" s="31"/>
      <c r="I1147" s="31"/>
      <c r="J1147" s="31"/>
      <c r="K1147" s="31"/>
    </row>
    <row r="1148" spans="1:11" ht="14.4" x14ac:dyDescent="0.3">
      <c r="A1148" s="28" t="str">
        <f>B1148&amp;C1148&amp;D1148&amp;E1148</f>
        <v>Uy-roʻzgʻor buyumlariOshxona buyumlariOshxona anjomlariBaliq tozalagichlar va qisqichlar</v>
      </c>
      <c r="B1148" s="35" t="s">
        <v>3193</v>
      </c>
      <c r="C1148" s="35" t="s">
        <v>3443</v>
      </c>
      <c r="D1148" s="35" t="s">
        <v>4293</v>
      </c>
      <c r="E1148" s="35" t="s">
        <v>4422</v>
      </c>
      <c r="F1148" s="36">
        <v>0.25</v>
      </c>
      <c r="G1148" s="31"/>
      <c r="H1148" s="31"/>
      <c r="I1148" s="31"/>
      <c r="J1148" s="31"/>
      <c r="K1148" s="31"/>
    </row>
    <row r="1149" spans="1:11" ht="14.4" x14ac:dyDescent="0.3">
      <c r="A1149" s="28" t="str">
        <f>B1149&amp;C1149&amp;D1149&amp;E1149</f>
        <v>Uy-roʻzgʻor buyumlariOshxona buyumlariMaydalagichlar va sharbat chiqargichlarTuxum kesgichlar</v>
      </c>
      <c r="B1149" s="35" t="s">
        <v>3193</v>
      </c>
      <c r="C1149" s="35" t="s">
        <v>3443</v>
      </c>
      <c r="D1149" s="35" t="s">
        <v>4301</v>
      </c>
      <c r="E1149" s="35" t="s">
        <v>4423</v>
      </c>
      <c r="F1149" s="36">
        <v>0.25</v>
      </c>
      <c r="G1149" s="31"/>
      <c r="H1149" s="31"/>
      <c r="I1149" s="31"/>
      <c r="J1149" s="31"/>
      <c r="K1149" s="31"/>
    </row>
    <row r="1150" spans="1:11" ht="14.4" x14ac:dyDescent="0.3">
      <c r="A1150" s="28" t="str">
        <f>B1150&amp;C1150&amp;D1150&amp;E1150</f>
        <v>Uy-roʻzgʻor buyumlariOshxona buyumlariOshxona anjomlariVoronkalar</v>
      </c>
      <c r="B1150" s="35" t="s">
        <v>3193</v>
      </c>
      <c r="C1150" s="35" t="s">
        <v>3443</v>
      </c>
      <c r="D1150" s="35" t="s">
        <v>4293</v>
      </c>
      <c r="E1150" s="35" t="s">
        <v>4424</v>
      </c>
      <c r="F1150" s="36">
        <v>0.25</v>
      </c>
      <c r="G1150" s="31"/>
      <c r="H1150" s="31"/>
      <c r="I1150" s="31"/>
      <c r="J1150" s="31"/>
      <c r="K1150" s="31"/>
    </row>
    <row r="1151" spans="1:11" ht="14.4" x14ac:dyDescent="0.3">
      <c r="A1151" s="28" t="str">
        <f>B1151&amp;C1151&amp;D1151&amp;E1151</f>
        <v>Uy-roʻzgʻor buyumlariOshxona buyumlariPazandachilik aksessuarlariJuvalar</v>
      </c>
      <c r="B1151" s="35" t="s">
        <v>3193</v>
      </c>
      <c r="C1151" s="35" t="s">
        <v>3443</v>
      </c>
      <c r="D1151" s="35" t="s">
        <v>4310</v>
      </c>
      <c r="E1151" s="35" t="s">
        <v>4425</v>
      </c>
      <c r="F1151" s="36">
        <v>0.25</v>
      </c>
      <c r="G1151" s="31"/>
      <c r="H1151" s="31"/>
      <c r="I1151" s="31"/>
      <c r="J1151" s="31"/>
      <c r="K1151" s="31"/>
    </row>
    <row r="1152" spans="1:11" ht="14.4" x14ac:dyDescent="0.3">
      <c r="A1152" s="28" t="str">
        <f>B1152&amp;C1152&amp;D1152&amp;E1152</f>
        <v>Uy-roʻzgʻor buyumlariOshxona buyumlariOshxona anjomlariOshxona toʻplamlari</v>
      </c>
      <c r="B1152" s="35" t="s">
        <v>3193</v>
      </c>
      <c r="C1152" s="35" t="s">
        <v>3443</v>
      </c>
      <c r="D1152" s="35" t="s">
        <v>4293</v>
      </c>
      <c r="E1152" s="35" t="s">
        <v>4426</v>
      </c>
      <c r="F1152" s="36">
        <v>0.25</v>
      </c>
      <c r="G1152" s="31"/>
      <c r="H1152" s="31"/>
      <c r="I1152" s="31"/>
      <c r="J1152" s="31"/>
      <c r="K1152" s="31"/>
    </row>
    <row r="1153" spans="1:11" ht="14.4" x14ac:dyDescent="0.3">
      <c r="A1153" s="28" t="str">
        <f>B1153&amp;C1153&amp;D1153&amp;E1153</f>
        <v>Uy-roʻzgʻor buyumlariOshxona buyumlariOvqat pishirish uchun idishlarSut pishirgichlar</v>
      </c>
      <c r="B1153" s="35" t="s">
        <v>3193</v>
      </c>
      <c r="C1153" s="35" t="s">
        <v>3443</v>
      </c>
      <c r="D1153" s="35" t="s">
        <v>4427</v>
      </c>
      <c r="E1153" s="35" t="s">
        <v>4428</v>
      </c>
      <c r="F1153" s="36">
        <v>0.25</v>
      </c>
      <c r="G1153" s="31"/>
      <c r="H1153" s="31"/>
      <c r="I1153" s="31"/>
      <c r="J1153" s="31"/>
      <c r="K1153" s="31"/>
    </row>
    <row r="1154" spans="1:11" ht="14.4" x14ac:dyDescent="0.3">
      <c r="A1154" s="28" t="str">
        <f>B1154&amp;C1154&amp;D1154&amp;E1154</f>
        <v>Uy-roʻzgʻor buyumlariOshxona buyumlariOvqat pishirish uchun shakllarMuzqaymoq qoliplari</v>
      </c>
      <c r="B1154" s="35" t="s">
        <v>3193</v>
      </c>
      <c r="C1154" s="35" t="s">
        <v>3443</v>
      </c>
      <c r="D1154" s="35" t="s">
        <v>4297</v>
      </c>
      <c r="E1154" s="35" t="s">
        <v>4429</v>
      </c>
      <c r="F1154" s="36">
        <v>0.25</v>
      </c>
      <c r="G1154" s="31"/>
      <c r="H1154" s="31"/>
      <c r="I1154" s="31"/>
      <c r="J1154" s="31"/>
      <c r="K1154" s="31"/>
    </row>
    <row r="1155" spans="1:11" ht="14.4" x14ac:dyDescent="0.3">
      <c r="A1155" s="28" t="str">
        <f>B1155&amp;C1155&amp;D1155&amp;E1155</f>
        <v>Uy-roʻzgʻor buyumlariOshxona buyumlariOshxona anjomlariBoshqa oshxona asboblari</v>
      </c>
      <c r="B1155" s="35" t="s">
        <v>3193</v>
      </c>
      <c r="C1155" s="35" t="s">
        <v>3443</v>
      </c>
      <c r="D1155" s="35" t="s">
        <v>4293</v>
      </c>
      <c r="E1155" s="35" t="s">
        <v>4430</v>
      </c>
      <c r="F1155" s="36">
        <v>0.25</v>
      </c>
      <c r="G1155" s="31"/>
      <c r="H1155" s="31"/>
      <c r="I1155" s="31"/>
      <c r="J1155" s="31"/>
      <c r="K1155" s="31"/>
    </row>
    <row r="1156" spans="1:11" ht="14.4" x14ac:dyDescent="0.3">
      <c r="A1156" s="28" t="str">
        <f>B1156&amp;C1156&amp;D1156&amp;E1156</f>
        <v>Uy-roʻzgʻor buyumlariOshxona buyumlariMaydalagichlar va sharbat chiqargichlarQirgʻichlar</v>
      </c>
      <c r="B1156" s="35" t="s">
        <v>3193</v>
      </c>
      <c r="C1156" s="35" t="s">
        <v>3443</v>
      </c>
      <c r="D1156" s="35" t="s">
        <v>4301</v>
      </c>
      <c r="E1156" s="35" t="s">
        <v>4431</v>
      </c>
      <c r="F1156" s="36">
        <v>0.25</v>
      </c>
      <c r="G1156" s="31"/>
      <c r="H1156" s="31"/>
      <c r="I1156" s="31"/>
      <c r="J1156" s="31"/>
      <c r="K1156" s="31"/>
    </row>
    <row r="1157" spans="1:11" ht="14.4" x14ac:dyDescent="0.3">
      <c r="A1157" s="28" t="str">
        <f>B1157&amp;C1157&amp;D1157&amp;E1157</f>
        <v>Uy-roʻzgʻor buyumlariOshxona buyumlariPazandachilik aksessuarlariPazandachilik aksessuarlar to'plami</v>
      </c>
      <c r="B1157" s="35" t="s">
        <v>3193</v>
      </c>
      <c r="C1157" s="35" t="s">
        <v>3443</v>
      </c>
      <c r="D1157" s="35" t="s">
        <v>4310</v>
      </c>
      <c r="E1157" s="35" t="s">
        <v>4432</v>
      </c>
      <c r="F1157" s="36">
        <v>0.25</v>
      </c>
      <c r="G1157" s="31"/>
      <c r="H1157" s="31"/>
      <c r="I1157" s="31"/>
      <c r="J1157" s="31"/>
      <c r="K1157" s="31"/>
    </row>
    <row r="1158" spans="1:11" ht="14.4" x14ac:dyDescent="0.3">
      <c r="A1158" s="28" t="str">
        <f>B1158&amp;C1158&amp;D1158&amp;E1158</f>
        <v>Uy-roʻzgʻor buyumlariXonaki oʻsimliklar uchun tovarlarTuvaklar va kashpoTuvaklar va kashpo</v>
      </c>
      <c r="B1158" s="35" t="s">
        <v>3193</v>
      </c>
      <c r="C1158" s="35" t="s">
        <v>3515</v>
      </c>
      <c r="D1158" s="35" t="s">
        <v>4433</v>
      </c>
      <c r="E1158" s="35" t="s">
        <v>4433</v>
      </c>
      <c r="F1158" s="36">
        <v>0.25</v>
      </c>
      <c r="G1158" s="31"/>
      <c r="H1158" s="31"/>
      <c r="I1158" s="31"/>
      <c r="J1158" s="31"/>
      <c r="K1158" s="31"/>
    </row>
    <row r="1159" spans="1:11" ht="14.4" x14ac:dyDescent="0.3">
      <c r="A1159" s="28" t="str">
        <f>B1159&amp;C1159&amp;D1159&amp;E1159</f>
        <v>Kanselyariya tovarlariQogʻoz mahsulotlariStiker va qaydlar uchun qogʻozlarStikerlar</v>
      </c>
      <c r="B1159" s="35" t="s">
        <v>3170</v>
      </c>
      <c r="C1159" s="35" t="s">
        <v>3821</v>
      </c>
      <c r="D1159" s="35" t="s">
        <v>4434</v>
      </c>
      <c r="E1159" s="35" t="s">
        <v>4435</v>
      </c>
      <c r="F1159" s="36">
        <v>0.22</v>
      </c>
      <c r="G1159" s="31"/>
      <c r="H1159" s="31"/>
      <c r="I1159" s="31"/>
      <c r="J1159" s="31"/>
      <c r="K1159" s="31"/>
    </row>
    <row r="1160" spans="1:11" ht="14.4" x14ac:dyDescent="0.3">
      <c r="A1160" s="28" t="str">
        <f>B1160&amp;C1160&amp;D1160&amp;E1160</f>
        <v>KitoblarBadiiy adabiyotPyesalar va dramaturgiyaPyesalar va dramaturgiya</v>
      </c>
      <c r="B1160" s="35" t="s">
        <v>3172</v>
      </c>
      <c r="C1160" s="35" t="s">
        <v>4436</v>
      </c>
      <c r="D1160" s="35" t="s">
        <v>4437</v>
      </c>
      <c r="E1160" s="35" t="s">
        <v>4437</v>
      </c>
      <c r="F1160" s="36">
        <v>0.22</v>
      </c>
      <c r="G1160" s="31"/>
      <c r="H1160" s="31"/>
      <c r="I1160" s="31"/>
      <c r="J1160" s="31"/>
      <c r="K1160" s="31"/>
    </row>
    <row r="1161" spans="1:11" ht="14.4" x14ac:dyDescent="0.3">
      <c r="A1161" s="28" t="str">
        <f>B1161&amp;C1161&amp;D1161&amp;E1161</f>
        <v>KitoblarBukinistikaNobadiiy adabiyotDin</v>
      </c>
      <c r="B1161" s="35" t="s">
        <v>3172</v>
      </c>
      <c r="C1161" s="35" t="s">
        <v>4438</v>
      </c>
      <c r="D1161" s="35" t="s">
        <v>4439</v>
      </c>
      <c r="E1161" s="35" t="s">
        <v>4440</v>
      </c>
      <c r="F1161" s="36">
        <v>0.22</v>
      </c>
      <c r="G1161" s="31"/>
      <c r="H1161" s="31"/>
      <c r="I1161" s="31"/>
      <c r="J1161" s="31"/>
      <c r="K1161" s="31"/>
    </row>
    <row r="1162" spans="1:11" ht="14.4" x14ac:dyDescent="0.3">
      <c r="A1162" s="28" t="str">
        <f>B1162&amp;C1162&amp;D1162&amp;E1162</f>
        <v>KitoblarBiznes-adabiyotSanoatlarSanoatlar</v>
      </c>
      <c r="B1162" s="35" t="s">
        <v>3172</v>
      </c>
      <c r="C1162" s="35" t="s">
        <v>4441</v>
      </c>
      <c r="D1162" s="35" t="s">
        <v>4442</v>
      </c>
      <c r="E1162" s="35" t="s">
        <v>4442</v>
      </c>
      <c r="F1162" s="36">
        <v>0.22</v>
      </c>
      <c r="G1162" s="31"/>
      <c r="H1162" s="31"/>
      <c r="I1162" s="31"/>
      <c r="J1162" s="31"/>
      <c r="K1162" s="31"/>
    </row>
    <row r="1163" spans="1:11" ht="14.4" x14ac:dyDescent="0.3">
      <c r="A1163" s="28" t="str">
        <f>B1163&amp;C1163&amp;D1163&amp;E1163</f>
        <v>KitoblarBadiiy adabiyotJangarilarJangarilar</v>
      </c>
      <c r="B1163" s="35" t="s">
        <v>3172</v>
      </c>
      <c r="C1163" s="35" t="s">
        <v>4436</v>
      </c>
      <c r="D1163" s="35" t="s">
        <v>4443</v>
      </c>
      <c r="E1163" s="35" t="s">
        <v>4443</v>
      </c>
      <c r="F1163" s="36">
        <v>0.22</v>
      </c>
      <c r="G1163" s="31"/>
      <c r="H1163" s="31"/>
      <c r="I1163" s="31"/>
      <c r="J1163" s="31"/>
      <c r="K1163" s="31"/>
    </row>
    <row r="1164" spans="1:11" ht="14.4" x14ac:dyDescent="0.3">
      <c r="A1164" s="28" t="str">
        <f>B1164&amp;C1164&amp;D1164&amp;E1164</f>
        <v>KitoblarBukinistikaNobadiiy adabiyotPublitsistika</v>
      </c>
      <c r="B1164" s="35" t="s">
        <v>3172</v>
      </c>
      <c r="C1164" s="35" t="s">
        <v>4438</v>
      </c>
      <c r="D1164" s="35" t="s">
        <v>4439</v>
      </c>
      <c r="E1164" s="35" t="s">
        <v>4444</v>
      </c>
      <c r="F1164" s="36">
        <v>0.22</v>
      </c>
      <c r="G1164" s="31"/>
      <c r="H1164" s="31"/>
      <c r="I1164" s="31"/>
      <c r="J1164" s="31"/>
      <c r="K1164" s="31"/>
    </row>
    <row r="1165" spans="1:11" ht="14.4" x14ac:dyDescent="0.3">
      <c r="A1165" s="28" t="str">
        <f>B1165&amp;C1165&amp;D1165&amp;E1165</f>
        <v>KitoblarElektron kitoblarBolalarga va ota-onalargaBolalarga va ota-onalarga</v>
      </c>
      <c r="B1165" s="35" t="s">
        <v>3172</v>
      </c>
      <c r="C1165" s="35" t="s">
        <v>4445</v>
      </c>
      <c r="D1165" s="35" t="s">
        <v>4446</v>
      </c>
      <c r="E1165" s="35" t="s">
        <v>4446</v>
      </c>
      <c r="F1165" s="36">
        <v>0.22</v>
      </c>
      <c r="G1165" s="31"/>
      <c r="H1165" s="31"/>
      <c r="I1165" s="31"/>
      <c r="J1165" s="31"/>
      <c r="K1165" s="31"/>
    </row>
    <row r="1166" spans="1:11" ht="14.4" x14ac:dyDescent="0.3">
      <c r="A1166" s="28" t="str">
        <f>B1166&amp;C1166&amp;D1166&amp;E1166</f>
        <v>KitoblarNobadiiy adabiyotKompyuter texnologiyalariGrafika va dizayn</v>
      </c>
      <c r="B1166" s="35" t="s">
        <v>3172</v>
      </c>
      <c r="C1166" s="35" t="s">
        <v>4439</v>
      </c>
      <c r="D1166" s="35" t="s">
        <v>4447</v>
      </c>
      <c r="E1166" s="35" t="s">
        <v>4448</v>
      </c>
      <c r="F1166" s="36">
        <v>0.22</v>
      </c>
      <c r="G1166" s="31"/>
      <c r="H1166" s="31"/>
      <c r="I1166" s="31"/>
      <c r="J1166" s="31"/>
      <c r="K1166" s="31"/>
    </row>
    <row r="1167" spans="1:11" ht="14.4" x14ac:dyDescent="0.3">
      <c r="A1167" s="28" t="str">
        <f>B1167&amp;C1167&amp;D1167&amp;E1167</f>
        <v>KitoblarNobadiiy adabiyotKompyuter texnologiyalariMaʼlumotlar bazasi</v>
      </c>
      <c r="B1167" s="35" t="s">
        <v>3172</v>
      </c>
      <c r="C1167" s="35" t="s">
        <v>4439</v>
      </c>
      <c r="D1167" s="35" t="s">
        <v>4447</v>
      </c>
      <c r="E1167" s="35" t="s">
        <v>4449</v>
      </c>
      <c r="F1167" s="36">
        <v>0.22</v>
      </c>
      <c r="G1167" s="31"/>
      <c r="H1167" s="31"/>
      <c r="I1167" s="31"/>
      <c r="J1167" s="31"/>
      <c r="K1167" s="31"/>
    </row>
    <row r="1168" spans="1:11" ht="14.4" x14ac:dyDescent="0.3">
      <c r="A1168" s="28" t="str">
        <f>B1168&amp;C1168&amp;D1168&amp;E1168</f>
        <v>KitoblarNobadiiy adabiyotKompyuter texnologiyalariMashinali o'qitish</v>
      </c>
      <c r="B1168" s="35" t="s">
        <v>3172</v>
      </c>
      <c r="C1168" s="35" t="s">
        <v>4439</v>
      </c>
      <c r="D1168" s="35" t="s">
        <v>4447</v>
      </c>
      <c r="E1168" s="35" t="s">
        <v>4450</v>
      </c>
      <c r="F1168" s="36">
        <v>0.22</v>
      </c>
      <c r="G1168" s="31"/>
      <c r="H1168" s="31"/>
      <c r="I1168" s="31"/>
      <c r="J1168" s="31"/>
      <c r="K1168" s="31"/>
    </row>
    <row r="1169" spans="1:11" ht="14.4" x14ac:dyDescent="0.3">
      <c r="A1169" s="28" t="str">
        <f>B1169&amp;C1169&amp;D1169&amp;E1169</f>
        <v>KitoblarNobadiiy adabiyotIlmiy adabiyotlarBiologiya</v>
      </c>
      <c r="B1169" s="35" t="s">
        <v>3172</v>
      </c>
      <c r="C1169" s="35" t="s">
        <v>4439</v>
      </c>
      <c r="D1169" s="35" t="s">
        <v>4451</v>
      </c>
      <c r="E1169" s="35" t="s">
        <v>4452</v>
      </c>
      <c r="F1169" s="36">
        <v>0.22</v>
      </c>
      <c r="G1169" s="31"/>
      <c r="H1169" s="31"/>
      <c r="I1169" s="31"/>
      <c r="J1169" s="31"/>
      <c r="K1169" s="31"/>
    </row>
    <row r="1170" spans="1:11" ht="14.4" x14ac:dyDescent="0.3">
      <c r="A1170" s="28" t="str">
        <f>B1170&amp;C1170&amp;D1170&amp;E1170</f>
        <v>KitoblarBolalarga va ota-onalargaOʻrgatuvchi adabiyotlarTarix, san'at va madaniyat</v>
      </c>
      <c r="B1170" s="35" t="s">
        <v>3172</v>
      </c>
      <c r="C1170" s="35" t="s">
        <v>4446</v>
      </c>
      <c r="D1170" s="35" t="s">
        <v>4453</v>
      </c>
      <c r="E1170" s="35" t="s">
        <v>4454</v>
      </c>
      <c r="F1170" s="36">
        <v>0.22</v>
      </c>
      <c r="G1170" s="31"/>
      <c r="H1170" s="31"/>
      <c r="I1170" s="31"/>
      <c r="J1170" s="31"/>
      <c r="K1170" s="31"/>
    </row>
    <row r="1171" spans="1:11" ht="14.4" x14ac:dyDescent="0.3">
      <c r="A1171" s="28" t="str">
        <f>B1171&amp;C1171&amp;D1171&amp;E1171</f>
        <v>KitoblarChet tillaridagi adabiyotlarXitoy tiliXitoy tili</v>
      </c>
      <c r="B1171" s="35" t="s">
        <v>3172</v>
      </c>
      <c r="C1171" s="35" t="s">
        <v>4455</v>
      </c>
      <c r="D1171" s="35" t="s">
        <v>4456</v>
      </c>
      <c r="E1171" s="35" t="s">
        <v>4456</v>
      </c>
      <c r="F1171" s="36">
        <v>0.22</v>
      </c>
      <c r="G1171" s="31"/>
      <c r="H1171" s="31"/>
      <c r="I1171" s="31"/>
      <c r="J1171" s="31"/>
      <c r="K1171" s="31"/>
    </row>
    <row r="1172" spans="1:11" ht="14.4" x14ac:dyDescent="0.3">
      <c r="A1172" s="28" t="str">
        <f>B1172&amp;C1172&amp;D1172&amp;E1172</f>
        <v>KitoblarBukinistikaNobadiiy adabiyotEntsiklopediyalar va ma'lumotnomalar</v>
      </c>
      <c r="B1172" s="35" t="s">
        <v>3172</v>
      </c>
      <c r="C1172" s="35" t="s">
        <v>4438</v>
      </c>
      <c r="D1172" s="35" t="s">
        <v>4439</v>
      </c>
      <c r="E1172" s="35" t="s">
        <v>4457</v>
      </c>
      <c r="F1172" s="36">
        <v>0.22</v>
      </c>
      <c r="G1172" s="31"/>
      <c r="H1172" s="31"/>
      <c r="I1172" s="31"/>
      <c r="J1172" s="31"/>
      <c r="K1172" s="31"/>
    </row>
    <row r="1173" spans="1:11" ht="14.4" x14ac:dyDescent="0.3">
      <c r="A1173" s="28" t="str">
        <f>B1173&amp;C1173&amp;D1173&amp;E1173</f>
        <v>KitoblarNobadiiy adabiyotTarixAlternativ tarix</v>
      </c>
      <c r="B1173" s="35" t="s">
        <v>3172</v>
      </c>
      <c r="C1173" s="35" t="s">
        <v>4439</v>
      </c>
      <c r="D1173" s="35" t="s">
        <v>4458</v>
      </c>
      <c r="E1173" s="35" t="s">
        <v>4459</v>
      </c>
      <c r="F1173" s="36">
        <v>0.22</v>
      </c>
      <c r="G1173" s="31"/>
      <c r="H1173" s="31"/>
      <c r="I1173" s="31"/>
      <c r="J1173" s="31"/>
      <c r="K1173" s="31"/>
    </row>
    <row r="1174" spans="1:11" ht="14.4" x14ac:dyDescent="0.3">
      <c r="A1174" s="28" t="str">
        <f>B1174&amp;C1174&amp;D1174&amp;E1174</f>
        <v>KitoblarAntikvar kitoblarBolalarga va ota-onalargaBolalarga va ota-onalarga</v>
      </c>
      <c r="B1174" s="35" t="s">
        <v>3172</v>
      </c>
      <c r="C1174" s="35" t="s">
        <v>4460</v>
      </c>
      <c r="D1174" s="35" t="s">
        <v>4446</v>
      </c>
      <c r="E1174" s="35" t="s">
        <v>4446</v>
      </c>
      <c r="F1174" s="36">
        <v>0.22</v>
      </c>
      <c r="G1174" s="31"/>
      <c r="H1174" s="31"/>
      <c r="I1174" s="31"/>
      <c r="J1174" s="31"/>
      <c r="K1174" s="31"/>
    </row>
    <row r="1175" spans="1:11" ht="14.4" x14ac:dyDescent="0.3">
      <c r="A1175" s="28" t="str">
        <f>B1175&amp;C1175&amp;D1175&amp;E1175</f>
        <v>KitoblarNobadiiy adabiyotKompyuter texnologiyalari1С</v>
      </c>
      <c r="B1175" s="35" t="s">
        <v>3172</v>
      </c>
      <c r="C1175" s="35" t="s">
        <v>4439</v>
      </c>
      <c r="D1175" s="35" t="s">
        <v>4447</v>
      </c>
      <c r="E1175" s="35" t="s">
        <v>1408</v>
      </c>
      <c r="F1175" s="36">
        <v>0.22</v>
      </c>
      <c r="G1175" s="31"/>
      <c r="H1175" s="31"/>
      <c r="I1175" s="31"/>
      <c r="J1175" s="31"/>
      <c r="K1175" s="31"/>
    </row>
    <row r="1176" spans="1:11" ht="14.4" x14ac:dyDescent="0.3">
      <c r="A1176" s="28" t="str">
        <f>B1176&amp;C1176&amp;D1176&amp;E1176</f>
        <v>KitoblarBukinistikaBadiiy adabiyotKlassik nasr</v>
      </c>
      <c r="B1176" s="35" t="s">
        <v>3172</v>
      </c>
      <c r="C1176" s="35" t="s">
        <v>4438</v>
      </c>
      <c r="D1176" s="35" t="s">
        <v>4436</v>
      </c>
      <c r="E1176" s="35" t="s">
        <v>4461</v>
      </c>
      <c r="F1176" s="36">
        <v>0.22</v>
      </c>
      <c r="G1176" s="31"/>
      <c r="H1176" s="31"/>
      <c r="I1176" s="31"/>
      <c r="J1176" s="31"/>
      <c r="K1176" s="31"/>
    </row>
    <row r="1177" spans="1:11" ht="14.4" x14ac:dyDescent="0.3">
      <c r="A1177" s="28" t="str">
        <f>B1177&amp;C1177&amp;D1177&amp;E1177</f>
        <v>KitoblarNobadiiy adabiyotKompyuter texnologiyalariMaʼlumotlarni tahlil qilish</v>
      </c>
      <c r="B1177" s="35" t="s">
        <v>3172</v>
      </c>
      <c r="C1177" s="35" t="s">
        <v>4439</v>
      </c>
      <c r="D1177" s="35" t="s">
        <v>4447</v>
      </c>
      <c r="E1177" s="35" t="s">
        <v>4462</v>
      </c>
      <c r="F1177" s="36">
        <v>0.22</v>
      </c>
      <c r="G1177" s="31"/>
      <c r="H1177" s="31"/>
      <c r="I1177" s="31"/>
      <c r="J1177" s="31"/>
      <c r="K1177" s="31"/>
    </row>
    <row r="1178" spans="1:11" ht="14.4" x14ac:dyDescent="0.3">
      <c r="A1178" s="28" t="str">
        <f>B1178&amp;C1178&amp;D1178&amp;E1178</f>
        <v>KitoblarNobadiiy adabiyotKompyuter texnologiyalariOperatsion tizimlar</v>
      </c>
      <c r="B1178" s="35" t="s">
        <v>3172</v>
      </c>
      <c r="C1178" s="35" t="s">
        <v>4439</v>
      </c>
      <c r="D1178" s="35" t="s">
        <v>4447</v>
      </c>
      <c r="E1178" s="35" t="s">
        <v>4463</v>
      </c>
      <c r="F1178" s="36">
        <v>0.22</v>
      </c>
      <c r="G1178" s="31"/>
      <c r="H1178" s="31"/>
      <c r="I1178" s="31"/>
      <c r="J1178" s="31"/>
      <c r="K1178" s="31"/>
    </row>
    <row r="1179" spans="1:11" ht="14.4" x14ac:dyDescent="0.3">
      <c r="A1179" s="28" t="str">
        <f>B1179&amp;C1179&amp;D1179&amp;E1179</f>
        <v>KitoblarNobadiiy adabiyotIlmiy adabiyotlarGumanitar fanlar</v>
      </c>
      <c r="B1179" s="35" t="s">
        <v>3172</v>
      </c>
      <c r="C1179" s="35" t="s">
        <v>4439</v>
      </c>
      <c r="D1179" s="35" t="s">
        <v>4451</v>
      </c>
      <c r="E1179" s="35" t="s">
        <v>4464</v>
      </c>
      <c r="F1179" s="36">
        <v>0.22</v>
      </c>
      <c r="G1179" s="31"/>
      <c r="H1179" s="31"/>
      <c r="I1179" s="31"/>
      <c r="J1179" s="31"/>
      <c r="K1179" s="31"/>
    </row>
    <row r="1180" spans="1:11" ht="14.4" x14ac:dyDescent="0.3">
      <c r="A1180" s="28" t="str">
        <f>B1180&amp;C1180&amp;D1180&amp;E1180</f>
        <v>KitoblarBolalarga va ota-onalargaBolalar uchun boʻsh vaqtlarni foydali oʻtkazish va ijodBayramlar va harakatlanuvchi oyinlar</v>
      </c>
      <c r="B1180" s="35" t="s">
        <v>3172</v>
      </c>
      <c r="C1180" s="35" t="s">
        <v>4446</v>
      </c>
      <c r="D1180" s="35" t="s">
        <v>4465</v>
      </c>
      <c r="E1180" s="35" t="s">
        <v>4466</v>
      </c>
      <c r="F1180" s="36">
        <v>0.22</v>
      </c>
      <c r="G1180" s="31"/>
      <c r="H1180" s="31"/>
      <c r="I1180" s="31"/>
      <c r="J1180" s="31"/>
      <c r="K1180" s="31"/>
    </row>
    <row r="1181" spans="1:11" ht="14.4" x14ac:dyDescent="0.3">
      <c r="A1181" s="28" t="str">
        <f>B1181&amp;C1181&amp;D1181&amp;E1181</f>
        <v>KitoblarNobadiiy adabiyotIlmiy adabiyotlarHarbiy ish</v>
      </c>
      <c r="B1181" s="35" t="s">
        <v>3172</v>
      </c>
      <c r="C1181" s="35" t="s">
        <v>4439</v>
      </c>
      <c r="D1181" s="35" t="s">
        <v>4451</v>
      </c>
      <c r="E1181" s="35" t="s">
        <v>4467</v>
      </c>
      <c r="F1181" s="36">
        <v>0.22</v>
      </c>
      <c r="G1181" s="31"/>
      <c r="H1181" s="31"/>
      <c r="I1181" s="31"/>
      <c r="J1181" s="31"/>
      <c r="K1181" s="31"/>
    </row>
    <row r="1182" spans="1:11" ht="14.4" x14ac:dyDescent="0.3">
      <c r="A1182" s="28" t="str">
        <f>B1182&amp;C1182&amp;D1182&amp;E1182</f>
        <v>KitoblarNobadiiy adabiyotTarixShaharlar tarixi. O'lkashunoslik</v>
      </c>
      <c r="B1182" s="35" t="s">
        <v>3172</v>
      </c>
      <c r="C1182" s="35" t="s">
        <v>4439</v>
      </c>
      <c r="D1182" s="35" t="s">
        <v>4458</v>
      </c>
      <c r="E1182" s="35" t="s">
        <v>4468</v>
      </c>
      <c r="F1182" s="36">
        <v>0.22</v>
      </c>
      <c r="G1182" s="31"/>
      <c r="H1182" s="31"/>
      <c r="I1182" s="31"/>
      <c r="J1182" s="31"/>
      <c r="K1182" s="31"/>
    </row>
    <row r="1183" spans="1:11" ht="14.4" x14ac:dyDescent="0.3">
      <c r="A1183" s="28" t="str">
        <f>B1183&amp;C1183&amp;D1183&amp;E1183</f>
        <v>KitoblarBukinistikaBadiiy adabiyotFentezi</v>
      </c>
      <c r="B1183" s="35" t="s">
        <v>3172</v>
      </c>
      <c r="C1183" s="35" t="s">
        <v>4438</v>
      </c>
      <c r="D1183" s="35" t="s">
        <v>4436</v>
      </c>
      <c r="E1183" s="35" t="s">
        <v>4469</v>
      </c>
      <c r="F1183" s="36">
        <v>0.22</v>
      </c>
      <c r="G1183" s="31"/>
      <c r="H1183" s="31"/>
      <c r="I1183" s="31"/>
      <c r="J1183" s="31"/>
      <c r="K1183" s="31"/>
    </row>
    <row r="1184" spans="1:11" ht="14.4" x14ac:dyDescent="0.3">
      <c r="A1184" s="28" t="str">
        <f>B1184&amp;C1184&amp;D1184&amp;E1184</f>
        <v>KitoblarNobadiiy adabiyotIlmiy adabiyotlarFizika</v>
      </c>
      <c r="B1184" s="35" t="s">
        <v>3172</v>
      </c>
      <c r="C1184" s="35" t="s">
        <v>4439</v>
      </c>
      <c r="D1184" s="35" t="s">
        <v>4451</v>
      </c>
      <c r="E1184" s="35" t="s">
        <v>4470</v>
      </c>
      <c r="F1184" s="36">
        <v>0.22</v>
      </c>
      <c r="G1184" s="31"/>
      <c r="H1184" s="31"/>
      <c r="I1184" s="31"/>
      <c r="J1184" s="31"/>
      <c r="K1184" s="31"/>
    </row>
    <row r="1185" spans="1:11" ht="14.4" x14ac:dyDescent="0.3">
      <c r="A1185" s="28" t="str">
        <f>B1185&amp;C1185&amp;D1185&amp;E1185</f>
        <v>KitoblarBolalarga va ota-onalargaOʻrgatuvchi adabiyotlarInson tanasi</v>
      </c>
      <c r="B1185" s="35" t="s">
        <v>3172</v>
      </c>
      <c r="C1185" s="35" t="s">
        <v>4446</v>
      </c>
      <c r="D1185" s="35" t="s">
        <v>4453</v>
      </c>
      <c r="E1185" s="35" t="s">
        <v>4471</v>
      </c>
      <c r="F1185" s="36">
        <v>0.22</v>
      </c>
      <c r="G1185" s="31"/>
      <c r="H1185" s="31"/>
      <c r="I1185" s="31"/>
      <c r="J1185" s="31"/>
      <c r="K1185" s="31"/>
    </row>
    <row r="1186" spans="1:11" ht="14.4" x14ac:dyDescent="0.3">
      <c r="A1186" s="28" t="str">
        <f>B1186&amp;C1186&amp;D1186&amp;E1186</f>
        <v>KitoblarAntikvar kitoblarNobadiiy adabiyotNobadiiy adabiyot</v>
      </c>
      <c r="B1186" s="35" t="s">
        <v>3172</v>
      </c>
      <c r="C1186" s="35" t="s">
        <v>4460</v>
      </c>
      <c r="D1186" s="35" t="s">
        <v>4439</v>
      </c>
      <c r="E1186" s="35" t="s">
        <v>4439</v>
      </c>
      <c r="F1186" s="36">
        <v>0.22</v>
      </c>
      <c r="G1186" s="31"/>
      <c r="H1186" s="31"/>
      <c r="I1186" s="31"/>
      <c r="J1186" s="31"/>
      <c r="K1186" s="31"/>
    </row>
    <row r="1187" spans="1:11" ht="14.4" x14ac:dyDescent="0.3">
      <c r="A1187" s="28" t="str">
        <f>B1187&amp;C1187&amp;D1187&amp;E1187</f>
        <v>KitoblarNobadiiy adabiyotGoʻzallik, salomatlik va sportShaxmat va shashka</v>
      </c>
      <c r="B1187" s="35" t="s">
        <v>3172</v>
      </c>
      <c r="C1187" s="35" t="s">
        <v>4439</v>
      </c>
      <c r="D1187" s="35" t="s">
        <v>4472</v>
      </c>
      <c r="E1187" s="35" t="s">
        <v>4473</v>
      </c>
      <c r="F1187" s="36">
        <v>0.22</v>
      </c>
      <c r="G1187" s="31"/>
      <c r="H1187" s="31"/>
      <c r="I1187" s="31"/>
      <c r="J1187" s="31"/>
      <c r="K1187" s="31"/>
    </row>
    <row r="1188" spans="1:11" ht="14.4" x14ac:dyDescent="0.3">
      <c r="A1188" s="28" t="str">
        <f>B1188&amp;C1188&amp;D1188&amp;E1188</f>
        <v>KitoblarBukinistikaBolalarga va ota-onalargaBolalarga va ota-onalarga</v>
      </c>
      <c r="B1188" s="35" t="s">
        <v>3172</v>
      </c>
      <c r="C1188" s="35" t="s">
        <v>4438</v>
      </c>
      <c r="D1188" s="35" t="s">
        <v>4446</v>
      </c>
      <c r="E1188" s="35" t="s">
        <v>4446</v>
      </c>
      <c r="F1188" s="36">
        <v>0.22</v>
      </c>
      <c r="G1188" s="31"/>
      <c r="H1188" s="31"/>
      <c r="I1188" s="31"/>
      <c r="J1188" s="31"/>
      <c r="K1188" s="31"/>
    </row>
    <row r="1189" spans="1:11" ht="14.4" x14ac:dyDescent="0.3">
      <c r="A1189" s="28" t="str">
        <f>B1189&amp;C1189&amp;D1189&amp;E1189</f>
        <v>SalomatlikVitaminlar va BFQlarVitaminlar DVitaminlar D</v>
      </c>
      <c r="B1189" s="35" t="s">
        <v>3147</v>
      </c>
      <c r="C1189" s="35" t="s">
        <v>4474</v>
      </c>
      <c r="D1189" s="35" t="s">
        <v>4475</v>
      </c>
      <c r="E1189" s="35" t="s">
        <v>4475</v>
      </c>
      <c r="F1189" s="36">
        <v>0.22</v>
      </c>
      <c r="G1189" s="31"/>
      <c r="H1189" s="31"/>
      <c r="I1189" s="31"/>
      <c r="J1189" s="31"/>
      <c r="K1189" s="31"/>
    </row>
    <row r="1190" spans="1:11" ht="14.4" x14ac:dyDescent="0.3">
      <c r="A1190" s="28" t="str">
        <f>B1190&amp;C1190&amp;D1190&amp;E1190</f>
        <v>SalomatlikVitaminlar va BFQlarSelenSelen</v>
      </c>
      <c r="B1190" s="35" t="s">
        <v>3147</v>
      </c>
      <c r="C1190" s="35" t="s">
        <v>4474</v>
      </c>
      <c r="D1190" s="35" t="s">
        <v>4476</v>
      </c>
      <c r="E1190" s="35" t="s">
        <v>4476</v>
      </c>
      <c r="F1190" s="36">
        <v>0.22</v>
      </c>
      <c r="G1190" s="31"/>
      <c r="H1190" s="31"/>
      <c r="I1190" s="31"/>
      <c r="J1190" s="31"/>
      <c r="K1190" s="31"/>
    </row>
    <row r="1191" spans="1:11" ht="14.4" x14ac:dyDescent="0.3">
      <c r="A1191" s="28" t="str">
        <f>B1191&amp;C1191&amp;D1191&amp;E1191</f>
        <v>SalomatlikVitaminlar va BFQlarTemirTemir</v>
      </c>
      <c r="B1191" s="35" t="s">
        <v>3147</v>
      </c>
      <c r="C1191" s="35" t="s">
        <v>4474</v>
      </c>
      <c r="D1191" s="35" t="s">
        <v>4477</v>
      </c>
      <c r="E1191" s="35" t="s">
        <v>4477</v>
      </c>
      <c r="F1191" s="36">
        <v>0.22</v>
      </c>
      <c r="G1191" s="31"/>
      <c r="H1191" s="31"/>
      <c r="I1191" s="31"/>
      <c r="J1191" s="31"/>
      <c r="K1191" s="31"/>
    </row>
    <row r="1192" spans="1:11" ht="14.4" x14ac:dyDescent="0.3">
      <c r="A1192" s="28" t="str">
        <f>B1192&amp;C1192&amp;D1192&amp;E1192</f>
        <v>SalomatlikVitaminlar va BFQlarSog'lom uyquSog'lom uyqu</v>
      </c>
      <c r="B1192" s="35" t="s">
        <v>3147</v>
      </c>
      <c r="C1192" s="35" t="s">
        <v>4474</v>
      </c>
      <c r="D1192" s="35" t="s">
        <v>4478</v>
      </c>
      <c r="E1192" s="35" t="s">
        <v>4478</v>
      </c>
      <c r="F1192" s="36">
        <v>0.22</v>
      </c>
      <c r="G1192" s="31"/>
      <c r="H1192" s="31"/>
      <c r="I1192" s="31"/>
      <c r="J1192" s="31"/>
      <c r="K1192" s="31"/>
    </row>
    <row r="1193" spans="1:11" ht="14.4" x14ac:dyDescent="0.3">
      <c r="A1193" s="28" t="str">
        <f>B1193&amp;C1193&amp;D1193&amp;E1193</f>
        <v>SalomatlikVitaminlar va BFQlarQandli diabetdanQandli diabetdan</v>
      </c>
      <c r="B1193" s="35" t="s">
        <v>3147</v>
      </c>
      <c r="C1193" s="35" t="s">
        <v>4474</v>
      </c>
      <c r="D1193" s="35" t="s">
        <v>4479</v>
      </c>
      <c r="E1193" s="35" t="s">
        <v>4479</v>
      </c>
      <c r="F1193" s="36">
        <v>0.22</v>
      </c>
      <c r="G1193" s="31"/>
      <c r="H1193" s="31"/>
      <c r="I1193" s="31"/>
      <c r="J1193" s="31"/>
      <c r="K1193" s="31"/>
    </row>
    <row r="1194" spans="1:11" ht="14.4" x14ac:dyDescent="0.3">
      <c r="A1194" s="28" t="str">
        <f>B1194&amp;C1194&amp;D1194&amp;E1194</f>
        <v>SalomatlikVitaminlar va BFQlarYurak va qon tomirlari uchunYurak va qon tomirlari uchun</v>
      </c>
      <c r="B1194" s="35" t="s">
        <v>3147</v>
      </c>
      <c r="C1194" s="35" t="s">
        <v>4474</v>
      </c>
      <c r="D1194" s="35" t="s">
        <v>4480</v>
      </c>
      <c r="E1194" s="35" t="s">
        <v>4480</v>
      </c>
      <c r="F1194" s="36">
        <v>0.22</v>
      </c>
      <c r="G1194" s="31"/>
      <c r="H1194" s="31"/>
      <c r="I1194" s="31"/>
      <c r="J1194" s="31"/>
      <c r="K1194" s="31"/>
    </row>
    <row r="1195" spans="1:11" ht="14.4" x14ac:dyDescent="0.3">
      <c r="A1195" s="28" t="str">
        <f>B1195&amp;C1195&amp;D1195&amp;E1195</f>
        <v>SalomatlikVitaminlar va BFQlarOvqat hazm qilish tizimi uchunOvqat hazm qilish tizimi uchun</v>
      </c>
      <c r="B1195" s="35" t="s">
        <v>3147</v>
      </c>
      <c r="C1195" s="35" t="s">
        <v>4474</v>
      </c>
      <c r="D1195" s="35" t="s">
        <v>4481</v>
      </c>
      <c r="E1195" s="35" t="s">
        <v>4481</v>
      </c>
      <c r="F1195" s="36">
        <v>0.22</v>
      </c>
      <c r="G1195" s="31"/>
      <c r="H1195" s="31"/>
      <c r="I1195" s="31"/>
      <c r="J1195" s="31"/>
      <c r="K1195" s="31"/>
    </row>
    <row r="1196" spans="1:11" ht="14.4" x14ac:dyDescent="0.3">
      <c r="A1196" s="28" t="str">
        <f>B1196&amp;C1196&amp;D1196&amp;E1196</f>
        <v>SalomatlikVitaminlar va BFQlarYodYod</v>
      </c>
      <c r="B1196" s="35" t="s">
        <v>3147</v>
      </c>
      <c r="C1196" s="35" t="s">
        <v>4474</v>
      </c>
      <c r="D1196" s="35" t="s">
        <v>4482</v>
      </c>
      <c r="E1196" s="35" t="s">
        <v>4482</v>
      </c>
      <c r="F1196" s="36">
        <v>0.22</v>
      </c>
      <c r="G1196" s="31"/>
      <c r="H1196" s="31"/>
      <c r="I1196" s="31"/>
      <c r="J1196" s="31"/>
      <c r="K1196" s="31"/>
    </row>
    <row r="1197" spans="1:11" ht="14.4" x14ac:dyDescent="0.3">
      <c r="A1197" s="28" t="str">
        <f>B1197&amp;C1197&amp;D1197&amp;E1197</f>
        <v>SalomatlikVitaminlar va BFQlarMagniyMagniy</v>
      </c>
      <c r="B1197" s="35" t="s">
        <v>3147</v>
      </c>
      <c r="C1197" s="35" t="s">
        <v>4474</v>
      </c>
      <c r="D1197" s="35" t="s">
        <v>4483</v>
      </c>
      <c r="E1197" s="35" t="s">
        <v>4483</v>
      </c>
      <c r="F1197" s="36">
        <v>0.22</v>
      </c>
      <c r="G1197" s="31"/>
      <c r="H1197" s="31"/>
      <c r="I1197" s="31"/>
      <c r="J1197" s="31"/>
      <c r="K1197" s="31"/>
    </row>
    <row r="1198" spans="1:11" ht="14.4" x14ac:dyDescent="0.3">
      <c r="A1198" s="28" t="str">
        <f>B1198&amp;C1198&amp;D1198&amp;E1198</f>
        <v>SalomatlikVitaminlar va BFQlarBaliq yog'i va omega-3Baliq yog'i va omega-3</v>
      </c>
      <c r="B1198" s="35" t="s">
        <v>3147</v>
      </c>
      <c r="C1198" s="35" t="s">
        <v>4474</v>
      </c>
      <c r="D1198" s="35" t="s">
        <v>4484</v>
      </c>
      <c r="E1198" s="35" t="s">
        <v>4484</v>
      </c>
      <c r="F1198" s="36">
        <v>0.22</v>
      </c>
      <c r="G1198" s="31"/>
      <c r="H1198" s="31"/>
      <c r="I1198" s="31"/>
      <c r="J1198" s="31"/>
      <c r="K1198" s="31"/>
    </row>
    <row r="1199" spans="1:11" ht="14.4" x14ac:dyDescent="0.3">
      <c r="A1199" s="28" t="str">
        <f>B1199&amp;C1199&amp;D1199&amp;E1199</f>
        <v>SalomatlikVitaminlar va BFQlarBuyraklar uchunBuyraklar uchun</v>
      </c>
      <c r="B1199" s="35" t="s">
        <v>3147</v>
      </c>
      <c r="C1199" s="35" t="s">
        <v>4474</v>
      </c>
      <c r="D1199" s="35" t="s">
        <v>4485</v>
      </c>
      <c r="E1199" s="35" t="s">
        <v>4485</v>
      </c>
      <c r="F1199" s="36">
        <v>0.22</v>
      </c>
      <c r="G1199" s="31"/>
      <c r="H1199" s="31"/>
      <c r="I1199" s="31"/>
      <c r="J1199" s="31"/>
      <c r="K1199" s="31"/>
    </row>
    <row r="1200" spans="1:11" ht="14.4" x14ac:dyDescent="0.3">
      <c r="A1200" s="28" t="str">
        <f>B1200&amp;C1200&amp;D1200&amp;E1200</f>
        <v>SalomatlikVitaminlar va BFQlarBolalar salomatligiBolalar salomatligi</v>
      </c>
      <c r="B1200" s="35" t="s">
        <v>3147</v>
      </c>
      <c r="C1200" s="35" t="s">
        <v>4474</v>
      </c>
      <c r="D1200" s="35" t="s">
        <v>4486</v>
      </c>
      <c r="E1200" s="35" t="s">
        <v>4486</v>
      </c>
      <c r="F1200" s="36">
        <v>0.22</v>
      </c>
      <c r="G1200" s="31"/>
      <c r="H1200" s="31"/>
      <c r="I1200" s="31"/>
      <c r="J1200" s="31"/>
      <c r="K1200" s="31"/>
    </row>
    <row r="1201" spans="1:11" ht="14.4" x14ac:dyDescent="0.3">
      <c r="A1201" s="28" t="str">
        <f>B1201&amp;C1201&amp;D1201&amp;E1201</f>
        <v>SalomatlikVitaminlar va BFQlarXotirani yaxshilashXotirani yaxshilash</v>
      </c>
      <c r="B1201" s="35" t="s">
        <v>3147</v>
      </c>
      <c r="C1201" s="35" t="s">
        <v>4474</v>
      </c>
      <c r="D1201" s="35" t="s">
        <v>4487</v>
      </c>
      <c r="E1201" s="35" t="s">
        <v>4487</v>
      </c>
      <c r="F1201" s="36">
        <v>0.22</v>
      </c>
      <c r="G1201" s="31"/>
      <c r="H1201" s="31"/>
      <c r="I1201" s="31"/>
      <c r="J1201" s="31"/>
      <c r="K1201" s="31"/>
    </row>
    <row r="1202" spans="1:11" ht="14.4" x14ac:dyDescent="0.3">
      <c r="A1202" s="28" t="str">
        <f>B1202&amp;C1202&amp;D1202&amp;E1202</f>
        <v>SalomatlikVitaminlar va BFQlarOrganizmni detoksifikatsiya qilish va tozalashOrganizmni detoksifikatsiya qilish va tozalash</v>
      </c>
      <c r="B1202" s="35" t="s">
        <v>3147</v>
      </c>
      <c r="C1202" s="35" t="s">
        <v>4474</v>
      </c>
      <c r="D1202" s="35" t="s">
        <v>4488</v>
      </c>
      <c r="E1202" s="35" t="s">
        <v>4488</v>
      </c>
      <c r="F1202" s="36">
        <v>0.22</v>
      </c>
      <c r="G1202" s="31"/>
      <c r="H1202" s="31"/>
      <c r="I1202" s="31"/>
      <c r="J1202" s="31"/>
      <c r="K1202" s="31"/>
    </row>
    <row r="1203" spans="1:11" ht="14.4" x14ac:dyDescent="0.3">
      <c r="A1203" s="28" t="str">
        <f>B1203&amp;C1203&amp;D1203&amp;E1203</f>
        <v>SalomatlikVitaminlar va BFQlarTonuslash va tiklashTonuslash va tiklash</v>
      </c>
      <c r="B1203" s="35" t="s">
        <v>3147</v>
      </c>
      <c r="C1203" s="35" t="s">
        <v>4474</v>
      </c>
      <c r="D1203" s="35" t="s">
        <v>4489</v>
      </c>
      <c r="E1203" s="35" t="s">
        <v>4489</v>
      </c>
      <c r="F1203" s="36">
        <v>0.22</v>
      </c>
      <c r="G1203" s="31"/>
      <c r="H1203" s="31"/>
      <c r="I1203" s="31"/>
      <c r="J1203" s="31"/>
      <c r="K1203" s="31"/>
    </row>
    <row r="1204" spans="1:11" ht="14.4" x14ac:dyDescent="0.3">
      <c r="A1204" s="28" t="str">
        <f>B1204&amp;C1204&amp;D1204&amp;E1204</f>
        <v>SalomatlikVitaminlar va BFQlarTeri, sochlar va tirnoqlarTeri, sochlar va tirnoqlar</v>
      </c>
      <c r="B1204" s="35" t="s">
        <v>3147</v>
      </c>
      <c r="C1204" s="35" t="s">
        <v>4474</v>
      </c>
      <c r="D1204" s="35" t="s">
        <v>4490</v>
      </c>
      <c r="E1204" s="35" t="s">
        <v>4490</v>
      </c>
      <c r="F1204" s="36">
        <v>0.22</v>
      </c>
      <c r="G1204" s="31"/>
      <c r="H1204" s="31"/>
      <c r="I1204" s="31"/>
      <c r="J1204" s="31"/>
      <c r="K1204" s="31"/>
    </row>
    <row r="1205" spans="1:11" ht="14.4" x14ac:dyDescent="0.3">
      <c r="A1205" s="28" t="str">
        <f>B1205&amp;C1205&amp;D1205&amp;E1205</f>
        <v>SalomatlikVitaminlar va BFQlarImmunitet tizimini mustahkamlashImmunitet tizimini mustahkamlash</v>
      </c>
      <c r="B1205" s="35" t="s">
        <v>3147</v>
      </c>
      <c r="C1205" s="35" t="s">
        <v>4474</v>
      </c>
      <c r="D1205" s="35" t="s">
        <v>4491</v>
      </c>
      <c r="E1205" s="35" t="s">
        <v>4491</v>
      </c>
      <c r="F1205" s="36">
        <v>0.22</v>
      </c>
      <c r="G1205" s="31"/>
      <c r="H1205" s="31"/>
      <c r="I1205" s="31"/>
      <c r="J1205" s="31"/>
      <c r="K1205" s="31"/>
    </row>
    <row r="1206" spans="1:11" ht="14.4" x14ac:dyDescent="0.3">
      <c r="A1206" s="28" t="str">
        <f>B1206&amp;C1206&amp;D1206&amp;E1206</f>
        <v>SalomatlikVitaminlar va BFQlarB vitaminlariB vitaminlari</v>
      </c>
      <c r="B1206" s="35" t="s">
        <v>3147</v>
      </c>
      <c r="C1206" s="35" t="s">
        <v>4474</v>
      </c>
      <c r="D1206" s="35" t="s">
        <v>4492</v>
      </c>
      <c r="E1206" s="35" t="s">
        <v>4492</v>
      </c>
      <c r="F1206" s="36">
        <v>0.22</v>
      </c>
      <c r="G1206" s="31"/>
      <c r="H1206" s="31"/>
      <c r="I1206" s="31"/>
      <c r="J1206" s="31"/>
      <c r="K1206" s="31"/>
    </row>
    <row r="1207" spans="1:11" ht="14.4" x14ac:dyDescent="0.3">
      <c r="A1207" s="28" t="str">
        <f>B1207&amp;C1207&amp;D1207&amp;E1207</f>
        <v>SalomatlikVitaminlar va BFQlarSinkSink</v>
      </c>
      <c r="B1207" s="35" t="s">
        <v>3147</v>
      </c>
      <c r="C1207" s="35" t="s">
        <v>4474</v>
      </c>
      <c r="D1207" s="35" t="s">
        <v>4493</v>
      </c>
      <c r="E1207" s="35" t="s">
        <v>4493</v>
      </c>
      <c r="F1207" s="36">
        <v>0.22</v>
      </c>
      <c r="G1207" s="31"/>
      <c r="H1207" s="31"/>
      <c r="I1207" s="31"/>
      <c r="J1207" s="31"/>
      <c r="K1207" s="31"/>
    </row>
    <row r="1208" spans="1:11" ht="14.4" x14ac:dyDescent="0.3">
      <c r="A1208" s="28" t="str">
        <f>B1208&amp;C1208&amp;D1208&amp;E1208</f>
        <v>SalomatlikVitaminlar va BFQlarO'simlik preparatlari va choylarO'simlik preparatlari va choylar</v>
      </c>
      <c r="B1208" s="35" t="s">
        <v>3147</v>
      </c>
      <c r="C1208" s="35" t="s">
        <v>4474</v>
      </c>
      <c r="D1208" s="35" t="s">
        <v>4494</v>
      </c>
      <c r="E1208" s="35" t="s">
        <v>4494</v>
      </c>
      <c r="F1208" s="36">
        <v>0.22</v>
      </c>
      <c r="G1208" s="31"/>
      <c r="H1208" s="31"/>
      <c r="I1208" s="31"/>
      <c r="J1208" s="31"/>
      <c r="K1208" s="31"/>
    </row>
    <row r="1209" spans="1:11" ht="14.4" x14ac:dyDescent="0.3">
      <c r="A1209" s="28" t="str">
        <f>B1209&amp;C1209&amp;D1209&amp;E1209</f>
        <v>SalomatlikVitaminlar va BFQlarKo'zlar uchunKo'zlar uchun</v>
      </c>
      <c r="B1209" s="35" t="s">
        <v>3147</v>
      </c>
      <c r="C1209" s="35" t="s">
        <v>4474</v>
      </c>
      <c r="D1209" s="35" t="s">
        <v>4495</v>
      </c>
      <c r="E1209" s="35" t="s">
        <v>4495</v>
      </c>
      <c r="F1209" s="36">
        <v>0.22</v>
      </c>
      <c r="G1209" s="31"/>
      <c r="H1209" s="31"/>
      <c r="I1209" s="31"/>
      <c r="J1209" s="31"/>
      <c r="K1209" s="31"/>
    </row>
    <row r="1210" spans="1:11" ht="14.4" x14ac:dyDescent="0.3">
      <c r="A1210" s="28" t="str">
        <f>B1210&amp;C1210&amp;D1210&amp;E1210</f>
        <v>SalomatlikVitaminlar va BFQlarSuyaklar va bo'g'imlar uchunSuyaklar va bo'g'imlar uchun</v>
      </c>
      <c r="B1210" s="35" t="s">
        <v>3147</v>
      </c>
      <c r="C1210" s="35" t="s">
        <v>4474</v>
      </c>
      <c r="D1210" s="35" t="s">
        <v>4496</v>
      </c>
      <c r="E1210" s="35" t="s">
        <v>4496</v>
      </c>
      <c r="F1210" s="36">
        <v>0.22</v>
      </c>
      <c r="G1210" s="31"/>
      <c r="H1210" s="31"/>
      <c r="I1210" s="31"/>
      <c r="J1210" s="31"/>
      <c r="K1210" s="31"/>
    </row>
    <row r="1211" spans="1:11" ht="14.4" x14ac:dyDescent="0.3">
      <c r="A1211" s="28" t="str">
        <f>B1211&amp;C1211&amp;D1211&amp;E1211</f>
        <v>SalomatlikVitaminlar va BFQlarVitamin va mineral komplekslarVitamin va mineral komplekslar</v>
      </c>
      <c r="B1211" s="35" t="s">
        <v>3147</v>
      </c>
      <c r="C1211" s="35" t="s">
        <v>4474</v>
      </c>
      <c r="D1211" s="35" t="s">
        <v>4497</v>
      </c>
      <c r="E1211" s="35" t="s">
        <v>4497</v>
      </c>
      <c r="F1211" s="36">
        <v>0.22</v>
      </c>
      <c r="G1211" s="31"/>
      <c r="H1211" s="31"/>
      <c r="I1211" s="31"/>
      <c r="J1211" s="31"/>
      <c r="K1211" s="31"/>
    </row>
    <row r="1212" spans="1:11" ht="14.4" x14ac:dyDescent="0.3">
      <c r="A1212" s="28" t="str">
        <f>B1212&amp;C1212&amp;D1212&amp;E1212</f>
        <v>SalomatlikVitaminlar va BFQlarVazn yo‘qotish uchun mahsulotlarVazn yo‘qotish uchun mahsulotlar</v>
      </c>
      <c r="B1212" s="35" t="s">
        <v>3147</v>
      </c>
      <c r="C1212" s="35" t="s">
        <v>4474</v>
      </c>
      <c r="D1212" s="35" t="s">
        <v>4498</v>
      </c>
      <c r="E1212" s="35" t="s">
        <v>4498</v>
      </c>
      <c r="F1212" s="36">
        <v>0.22</v>
      </c>
      <c r="G1212" s="31"/>
      <c r="H1212" s="31"/>
      <c r="I1212" s="31"/>
      <c r="J1212" s="31"/>
      <c r="K1212" s="31"/>
    </row>
    <row r="1213" spans="1:11" ht="14.4" x14ac:dyDescent="0.3">
      <c r="A1213" s="28" t="str">
        <f>B1213&amp;C1213&amp;D1213&amp;E1213</f>
        <v>SalomatlikVitaminlar va BFQlarMaxsus ovqatlarMaxsus ovqatlar</v>
      </c>
      <c r="B1213" s="35" t="s">
        <v>3147</v>
      </c>
      <c r="C1213" s="35" t="s">
        <v>4474</v>
      </c>
      <c r="D1213" s="35" t="s">
        <v>4499</v>
      </c>
      <c r="E1213" s="35" t="s">
        <v>4499</v>
      </c>
      <c r="F1213" s="36">
        <v>0.22</v>
      </c>
      <c r="G1213" s="31"/>
      <c r="H1213" s="31"/>
      <c r="I1213" s="31"/>
      <c r="J1213" s="31"/>
      <c r="K1213" s="31"/>
    </row>
    <row r="1214" spans="1:11" ht="14.4" x14ac:dyDescent="0.3">
      <c r="A1214" s="28" t="str">
        <f>B1214&amp;C1214&amp;D1214&amp;E1214</f>
        <v>SalomatlikVitaminlar va BFQlarErkak salomatligiErkak salomatligi</v>
      </c>
      <c r="B1214" s="35" t="s">
        <v>3147</v>
      </c>
      <c r="C1214" s="35" t="s">
        <v>4474</v>
      </c>
      <c r="D1214" s="35" t="s">
        <v>4500</v>
      </c>
      <c r="E1214" s="35" t="s">
        <v>4500</v>
      </c>
      <c r="F1214" s="36">
        <v>0.22</v>
      </c>
      <c r="G1214" s="31"/>
      <c r="H1214" s="31"/>
      <c r="I1214" s="31"/>
      <c r="J1214" s="31"/>
      <c r="K1214" s="31"/>
    </row>
    <row r="1215" spans="1:11" ht="14.4" x14ac:dyDescent="0.3">
      <c r="A1215" s="28" t="str">
        <f>B1215&amp;C1215&amp;D1215&amp;E1215</f>
        <v>SalomatlikVitaminlar va BFQlarKollagenKollagen</v>
      </c>
      <c r="B1215" s="35" t="s">
        <v>3147</v>
      </c>
      <c r="C1215" s="35" t="s">
        <v>4474</v>
      </c>
      <c r="D1215" s="35" t="s">
        <v>4501</v>
      </c>
      <c r="E1215" s="35" t="s">
        <v>4501</v>
      </c>
      <c r="F1215" s="36">
        <v>0.22</v>
      </c>
      <c r="G1215" s="31"/>
      <c r="H1215" s="31"/>
      <c r="I1215" s="31"/>
      <c r="J1215" s="31"/>
      <c r="K1215" s="31"/>
    </row>
    <row r="1216" spans="1:11" ht="14.4" x14ac:dyDescent="0.3">
      <c r="A1216" s="28" t="str">
        <f>B1216&amp;C1216&amp;D1216&amp;E1216</f>
        <v>SalomatlikVitaminlar va BFQlarParazitlarga qarshi vositalarParazitlarga qarshi vositalar</v>
      </c>
      <c r="B1216" s="35" t="s">
        <v>3147</v>
      </c>
      <c r="C1216" s="35" t="s">
        <v>4474</v>
      </c>
      <c r="D1216" s="35" t="s">
        <v>4502</v>
      </c>
      <c r="E1216" s="35" t="s">
        <v>4502</v>
      </c>
      <c r="F1216" s="36">
        <v>0.22</v>
      </c>
      <c r="G1216" s="31"/>
      <c r="H1216" s="31"/>
      <c r="I1216" s="31"/>
      <c r="J1216" s="31"/>
      <c r="K1216" s="31"/>
    </row>
    <row r="1217" spans="1:11" ht="14.4" x14ac:dyDescent="0.3">
      <c r="A1217" s="28" t="str">
        <f>B1217&amp;C1217&amp;D1217&amp;E1217</f>
        <v>SalomatlikVitaminlar va BFQlarBalzamlar va siroplarBalzamlar va siroplar</v>
      </c>
      <c r="B1217" s="35" t="s">
        <v>3147</v>
      </c>
      <c r="C1217" s="35" t="s">
        <v>4474</v>
      </c>
      <c r="D1217" s="35" t="s">
        <v>4503</v>
      </c>
      <c r="E1217" s="35" t="s">
        <v>4503</v>
      </c>
      <c r="F1217" s="36">
        <v>0.22</v>
      </c>
      <c r="G1217" s="31"/>
      <c r="H1217" s="31"/>
      <c r="I1217" s="31"/>
      <c r="J1217" s="31"/>
      <c r="K1217" s="31"/>
    </row>
    <row r="1218" spans="1:11" ht="14.4" x14ac:dyDescent="0.3">
      <c r="A1218" s="28" t="str">
        <f>B1218&amp;C1218&amp;D1218&amp;E1218</f>
        <v>SalomatlikVitaminlar va BFQlarJigar uchunJigar uchun</v>
      </c>
      <c r="B1218" s="35" t="s">
        <v>3147</v>
      </c>
      <c r="C1218" s="35" t="s">
        <v>4474</v>
      </c>
      <c r="D1218" s="35" t="s">
        <v>4504</v>
      </c>
      <c r="E1218" s="35" t="s">
        <v>4504</v>
      </c>
      <c r="F1218" s="36">
        <v>0.22</v>
      </c>
      <c r="G1218" s="31"/>
      <c r="H1218" s="31"/>
      <c r="I1218" s="31"/>
      <c r="J1218" s="31"/>
      <c r="K1218" s="31"/>
    </row>
    <row r="1219" spans="1:11" ht="14.4" x14ac:dyDescent="0.3">
      <c r="A1219" s="28" t="str">
        <f>B1219&amp;C1219&amp;D1219&amp;E1219</f>
        <v>SalomatlikVitaminlar va BFQlarA va E vitaminlariA va E vitaminlari</v>
      </c>
      <c r="B1219" s="35" t="s">
        <v>3147</v>
      </c>
      <c r="C1219" s="35" t="s">
        <v>4474</v>
      </c>
      <c r="D1219" s="35" t="s">
        <v>4505</v>
      </c>
      <c r="E1219" s="35" t="s">
        <v>4505</v>
      </c>
      <c r="F1219" s="36">
        <v>0.22</v>
      </c>
      <c r="G1219" s="31"/>
      <c r="H1219" s="31"/>
      <c r="I1219" s="31"/>
      <c r="J1219" s="31"/>
      <c r="K1219" s="31"/>
    </row>
    <row r="1220" spans="1:11" ht="14.4" x14ac:dyDescent="0.3">
      <c r="A1220" s="28" t="str">
        <f>B1220&amp;C1220&amp;D1220&amp;E1220</f>
        <v>SalomatlikVitaminlar va BFQlarAsab tizimiSedativlar</v>
      </c>
      <c r="B1220" s="35" t="s">
        <v>3147</v>
      </c>
      <c r="C1220" s="35" t="s">
        <v>4474</v>
      </c>
      <c r="D1220" s="35" t="s">
        <v>4506</v>
      </c>
      <c r="E1220" s="35" t="s">
        <v>4507</v>
      </c>
      <c r="F1220" s="36">
        <v>0.22</v>
      </c>
      <c r="G1220" s="31"/>
      <c r="H1220" s="31"/>
      <c r="I1220" s="31"/>
      <c r="J1220" s="31"/>
      <c r="K1220" s="31"/>
    </row>
    <row r="1221" spans="1:11" ht="14.4" x14ac:dyDescent="0.3">
      <c r="A1221" s="28" t="str">
        <f>B1221&amp;C1221&amp;D1221&amp;E1221</f>
        <v>Sport va hordiqErkin og'irliklarGantellarGantellar</v>
      </c>
      <c r="B1221" s="35" t="s">
        <v>43</v>
      </c>
      <c r="C1221" s="35" t="s">
        <v>4508</v>
      </c>
      <c r="D1221" s="35" t="s">
        <v>4509</v>
      </c>
      <c r="E1221" s="35" t="s">
        <v>4509</v>
      </c>
      <c r="F1221" s="36">
        <v>0.22</v>
      </c>
      <c r="G1221" s="31"/>
      <c r="H1221" s="31"/>
      <c r="I1221" s="31"/>
      <c r="J1221" s="31"/>
      <c r="K1221" s="31"/>
    </row>
    <row r="1222" spans="1:11" ht="14.4" x14ac:dyDescent="0.3">
      <c r="A1222" s="28" t="str">
        <f>B1222&amp;C1222&amp;D1222&amp;E1222</f>
        <v>Sport va hordiqErkin og'irliklarShtangalar uchun disklar va blinlarShtangalar uchun disklar va blinlar</v>
      </c>
      <c r="B1222" s="35" t="s">
        <v>43</v>
      </c>
      <c r="C1222" s="35" t="s">
        <v>4508</v>
      </c>
      <c r="D1222" s="35" t="s">
        <v>4510</v>
      </c>
      <c r="E1222" s="35" t="s">
        <v>4510</v>
      </c>
      <c r="F1222" s="36">
        <v>0.22</v>
      </c>
      <c r="G1222" s="31"/>
      <c r="H1222" s="31"/>
      <c r="I1222" s="31"/>
      <c r="J1222" s="31"/>
      <c r="K1222" s="31"/>
    </row>
    <row r="1223" spans="1:11" ht="14.4" x14ac:dyDescent="0.3">
      <c r="A1223" s="28" t="str">
        <f>B1223&amp;C1223&amp;D1223&amp;E1223</f>
        <v>Sport va hordiqFitnes va yogaYoga va pilatesYoga bloklari</v>
      </c>
      <c r="B1223" s="35" t="s">
        <v>43</v>
      </c>
      <c r="C1223" s="35" t="s">
        <v>4511</v>
      </c>
      <c r="D1223" s="35" t="s">
        <v>4512</v>
      </c>
      <c r="E1223" s="35" t="s">
        <v>4513</v>
      </c>
      <c r="F1223" s="36">
        <v>0.22</v>
      </c>
      <c r="G1223" s="31"/>
      <c r="H1223" s="31"/>
      <c r="I1223" s="31"/>
      <c r="J1223" s="31"/>
      <c r="K1223" s="31"/>
    </row>
    <row r="1224" spans="1:11" ht="14.4" x14ac:dyDescent="0.3">
      <c r="A1224" s="28" t="str">
        <f>B1224&amp;C1224&amp;D1224&amp;E1224</f>
        <v>Sport va hordiqTabiat qoʻynida dam olish, baliq ovi va ovBaliq oviGʻaltaklar baliq ovlash uchun</v>
      </c>
      <c r="B1224" s="35" t="s">
        <v>43</v>
      </c>
      <c r="C1224" s="35" t="s">
        <v>4172</v>
      </c>
      <c r="D1224" s="35" t="s">
        <v>4514</v>
      </c>
      <c r="E1224" s="35" t="s">
        <v>4515</v>
      </c>
      <c r="F1224" s="36">
        <v>0.22</v>
      </c>
      <c r="G1224" s="31"/>
      <c r="H1224" s="31"/>
      <c r="I1224" s="31"/>
      <c r="J1224" s="31"/>
      <c r="K1224" s="31"/>
    </row>
    <row r="1225" spans="1:11" ht="14.4" x14ac:dyDescent="0.3">
      <c r="A1225" s="28" t="str">
        <f>B1225&amp;C1225&amp;D1225&amp;E1225</f>
        <v>Sport va hordiqFitnes va yogaYoga va pilatesQo'ng'iroqlar va gonglar</v>
      </c>
      <c r="B1225" s="35" t="s">
        <v>43</v>
      </c>
      <c r="C1225" s="35" t="s">
        <v>4511</v>
      </c>
      <c r="D1225" s="35" t="s">
        <v>4512</v>
      </c>
      <c r="E1225" s="35" t="s">
        <v>4516</v>
      </c>
      <c r="F1225" s="36">
        <v>0.22</v>
      </c>
      <c r="G1225" s="31"/>
      <c r="H1225" s="31"/>
      <c r="I1225" s="31"/>
      <c r="J1225" s="31"/>
      <c r="K1225" s="31"/>
    </row>
    <row r="1226" spans="1:11" ht="14.4" x14ac:dyDescent="0.3">
      <c r="A1226" s="28" t="str">
        <f>B1226&amp;C1226&amp;D1226&amp;E1226</f>
        <v>Sport va hordiqFitnes va yogaYoga va pilatesYoga va pilates uchun yostiqlar, choyshablar, sochiqlar</v>
      </c>
      <c r="B1226" s="35" t="s">
        <v>43</v>
      </c>
      <c r="C1226" s="35" t="s">
        <v>4511</v>
      </c>
      <c r="D1226" s="35" t="s">
        <v>4512</v>
      </c>
      <c r="E1226" s="35" t="s">
        <v>4517</v>
      </c>
      <c r="F1226" s="36">
        <v>0.22</v>
      </c>
      <c r="G1226" s="31"/>
      <c r="H1226" s="31"/>
      <c r="I1226" s="31"/>
      <c r="J1226" s="31"/>
      <c r="K1226" s="31"/>
    </row>
    <row r="1227" spans="1:11" ht="14.4" x14ac:dyDescent="0.3">
      <c r="A1227" s="28" t="str">
        <f>B1227&amp;C1227&amp;D1227&amp;E1227</f>
        <v>Sport va hordiqFitnes va yogaFitnesFitnes to'plamlari</v>
      </c>
      <c r="B1227" s="35" t="s">
        <v>43</v>
      </c>
      <c r="C1227" s="35" t="s">
        <v>4511</v>
      </c>
      <c r="D1227" s="35" t="s">
        <v>4518</v>
      </c>
      <c r="E1227" s="35" t="s">
        <v>4519</v>
      </c>
      <c r="F1227" s="36">
        <v>0.22</v>
      </c>
      <c r="G1227" s="31"/>
      <c r="H1227" s="31"/>
      <c r="I1227" s="31"/>
      <c r="J1227" s="31"/>
      <c r="K1227" s="31"/>
    </row>
    <row r="1228" spans="1:11" ht="14.4" x14ac:dyDescent="0.3">
      <c r="A1228" s="28" t="str">
        <f>B1228&amp;C1228&amp;D1228&amp;E1228</f>
        <v>Sport va hordiqTabiat qoʻynida dam olish, baliq ovi va ovBaliq oviBaliq ovlash asboblari va aksessuarlari</v>
      </c>
      <c r="B1228" s="35" t="s">
        <v>43</v>
      </c>
      <c r="C1228" s="35" t="s">
        <v>4172</v>
      </c>
      <c r="D1228" s="35" t="s">
        <v>4514</v>
      </c>
      <c r="E1228" s="35" t="s">
        <v>4520</v>
      </c>
      <c r="F1228" s="36">
        <v>0.22</v>
      </c>
      <c r="G1228" s="31"/>
      <c r="H1228" s="31"/>
      <c r="I1228" s="31"/>
      <c r="J1228" s="31"/>
      <c r="K1228" s="31"/>
    </row>
    <row r="1229" spans="1:11" ht="14.4" x14ac:dyDescent="0.3">
      <c r="A1229" s="28" t="str">
        <f>B1229&amp;C1229&amp;D1229&amp;E1229</f>
        <v>Sport va hordiqFitnes va yogaPetlilar, narvonlar, krossfit uchun to'siqlarMashgʻulot halqalari</v>
      </c>
      <c r="B1229" s="35" t="s">
        <v>43</v>
      </c>
      <c r="C1229" s="35" t="s">
        <v>4511</v>
      </c>
      <c r="D1229" s="35" t="s">
        <v>4521</v>
      </c>
      <c r="E1229" s="35" t="s">
        <v>4522</v>
      </c>
      <c r="F1229" s="36">
        <v>0.22</v>
      </c>
      <c r="G1229" s="31"/>
      <c r="H1229" s="31"/>
      <c r="I1229" s="31"/>
      <c r="J1229" s="31"/>
      <c r="K1229" s="31"/>
    </row>
    <row r="1230" spans="1:11" ht="14.4" x14ac:dyDescent="0.3">
      <c r="A1230" s="28" t="str">
        <f>B1230&amp;C1230&amp;D1230&amp;E1230</f>
        <v>Sport va hordiqSkeytbordingSkeytbordlarSkeytbordlar</v>
      </c>
      <c r="B1230" s="35" t="s">
        <v>43</v>
      </c>
      <c r="C1230" s="35" t="s">
        <v>4523</v>
      </c>
      <c r="D1230" s="35" t="s">
        <v>4524</v>
      </c>
      <c r="E1230" s="35" t="s">
        <v>4524</v>
      </c>
      <c r="F1230" s="36">
        <v>0.22</v>
      </c>
      <c r="G1230" s="31"/>
      <c r="H1230" s="31"/>
      <c r="I1230" s="31"/>
      <c r="J1230" s="31"/>
      <c r="K1230" s="31"/>
    </row>
    <row r="1231" spans="1:11" ht="14.4" x14ac:dyDescent="0.3">
      <c r="A1231" s="28" t="str">
        <f>B1231&amp;C1231&amp;D1231&amp;E1231</f>
        <v>Sport va hordiqTabiat qoʻynida dam olish, baliq ovi va ovOv va otish mashgʻulotlariOptika va diqqatga sazovor joylar</v>
      </c>
      <c r="B1231" s="35" t="s">
        <v>43</v>
      </c>
      <c r="C1231" s="35" t="s">
        <v>4172</v>
      </c>
      <c r="D1231" s="35" t="s">
        <v>4525</v>
      </c>
      <c r="E1231" s="35" t="s">
        <v>4526</v>
      </c>
      <c r="F1231" s="36">
        <v>0.22</v>
      </c>
      <c r="G1231" s="31"/>
      <c r="H1231" s="31"/>
      <c r="I1231" s="31"/>
      <c r="J1231" s="31"/>
      <c r="K1231" s="31"/>
    </row>
    <row r="1232" spans="1:11" ht="14.4" x14ac:dyDescent="0.3">
      <c r="A1232" s="28" t="str">
        <f>B1232&amp;C1232&amp;D1232&amp;E1232</f>
        <v>Sport va hordiqTabiat qoʻynida dam olish, baliq ovi va ovBaliq oviOzuqalar, nasadkalar, baliq ovlash uchun aromatizatorlar</v>
      </c>
      <c r="B1232" s="35" t="s">
        <v>43</v>
      </c>
      <c r="C1232" s="35" t="s">
        <v>4172</v>
      </c>
      <c r="D1232" s="35" t="s">
        <v>4514</v>
      </c>
      <c r="E1232" s="35" t="s">
        <v>4527</v>
      </c>
      <c r="F1232" s="36">
        <v>0.22</v>
      </c>
      <c r="G1232" s="31"/>
      <c r="H1232" s="31"/>
      <c r="I1232" s="31"/>
      <c r="J1232" s="31"/>
      <c r="K1232" s="31"/>
    </row>
    <row r="1233" spans="1:11" ht="14.4" x14ac:dyDescent="0.3">
      <c r="A1233" s="28" t="str">
        <f>B1233&amp;C1233&amp;D1233&amp;E1233</f>
        <v>Sport va hordiqTabiat qoʻynida dam olish, baliq ovi va ovOv va otish mashgʻulotlariOvchilik uskunalari</v>
      </c>
      <c r="B1233" s="35" t="s">
        <v>43</v>
      </c>
      <c r="C1233" s="35" t="s">
        <v>4172</v>
      </c>
      <c r="D1233" s="35" t="s">
        <v>4525</v>
      </c>
      <c r="E1233" s="35" t="s">
        <v>4528</v>
      </c>
      <c r="F1233" s="36">
        <v>0.22</v>
      </c>
      <c r="G1233" s="31"/>
      <c r="H1233" s="31"/>
      <c r="I1233" s="31"/>
      <c r="J1233" s="31"/>
      <c r="K1233" s="31"/>
    </row>
    <row r="1234" spans="1:11" ht="14.4" x14ac:dyDescent="0.3">
      <c r="A1234" s="28" t="str">
        <f>B1234&amp;C1234&amp;D1234&amp;E1234</f>
        <v>Sport va hordiqFitnes va yogaKilo yo'qotish uchun kiyim, kamar va yamalarKilo yo'qotish uchun kiyim, kamar va yamalar</v>
      </c>
      <c r="B1234" s="35" t="s">
        <v>43</v>
      </c>
      <c r="C1234" s="35" t="s">
        <v>4511</v>
      </c>
      <c r="D1234" s="35" t="s">
        <v>4529</v>
      </c>
      <c r="E1234" s="35" t="s">
        <v>4529</v>
      </c>
      <c r="F1234" s="36">
        <v>0.22</v>
      </c>
      <c r="G1234" s="31"/>
      <c r="H1234" s="31"/>
      <c r="I1234" s="31"/>
      <c r="J1234" s="31"/>
      <c r="K1234" s="31"/>
    </row>
    <row r="1235" spans="1:11" ht="14.4" x14ac:dyDescent="0.3">
      <c r="A1235" s="28" t="str">
        <f>B1235&amp;C1235&amp;D1235&amp;E1235</f>
        <v>Sport va hordiqFitnes va yogaFitnesBalanslash taxtalari va disklar</v>
      </c>
      <c r="B1235" s="35" t="s">
        <v>43</v>
      </c>
      <c r="C1235" s="35" t="s">
        <v>4511</v>
      </c>
      <c r="D1235" s="35" t="s">
        <v>4518</v>
      </c>
      <c r="E1235" s="35" t="s">
        <v>4530</v>
      </c>
      <c r="F1235" s="36">
        <v>0.22</v>
      </c>
      <c r="G1235" s="31"/>
      <c r="H1235" s="31"/>
      <c r="I1235" s="31"/>
      <c r="J1235" s="31"/>
      <c r="K1235" s="31"/>
    </row>
    <row r="1236" spans="1:11" ht="14.4" x14ac:dyDescent="0.3">
      <c r="A1236" s="28" t="str">
        <f>B1236&amp;C1236&amp;D1236&amp;E1236</f>
        <v>Sport va hordiqFitnes va yogaYoga va pilatesYoga va pilates to'plamlari</v>
      </c>
      <c r="B1236" s="35" t="s">
        <v>43</v>
      </c>
      <c r="C1236" s="35" t="s">
        <v>4511</v>
      </c>
      <c r="D1236" s="35" t="s">
        <v>4512</v>
      </c>
      <c r="E1236" s="35" t="s">
        <v>4531</v>
      </c>
      <c r="F1236" s="36">
        <v>0.22</v>
      </c>
      <c r="G1236" s="31"/>
      <c r="H1236" s="31"/>
      <c r="I1236" s="31"/>
      <c r="J1236" s="31"/>
      <c r="K1236" s="31"/>
    </row>
    <row r="1237" spans="1:11" ht="14.4" x14ac:dyDescent="0.3">
      <c r="A1237" s="28" t="str">
        <f>B1237&amp;C1237&amp;D1237&amp;E1237</f>
        <v>Sport va hordiqTabiat qoʻynida dam olish, baliq ovi va ovBaliq oviLeskalar va simlar</v>
      </c>
      <c r="B1237" s="35" t="s">
        <v>43</v>
      </c>
      <c r="C1237" s="35" t="s">
        <v>4172</v>
      </c>
      <c r="D1237" s="35" t="s">
        <v>4514</v>
      </c>
      <c r="E1237" s="35" t="s">
        <v>4532</v>
      </c>
      <c r="F1237" s="36">
        <v>0.22</v>
      </c>
      <c r="G1237" s="31"/>
      <c r="H1237" s="31"/>
      <c r="I1237" s="31"/>
      <c r="J1237" s="31"/>
      <c r="K1237" s="31"/>
    </row>
    <row r="1238" spans="1:11" ht="14.4" x14ac:dyDescent="0.3">
      <c r="A1238" s="28" t="str">
        <f>B1238&amp;C1238&amp;D1238&amp;E1238</f>
        <v>Sport va hordiqSkeytbordingKruizerlar, penni bordlar, roellerserflarKruizerlar, penni bordlar, roellerserflar</v>
      </c>
      <c r="B1238" s="35" t="s">
        <v>43</v>
      </c>
      <c r="C1238" s="35" t="s">
        <v>4523</v>
      </c>
      <c r="D1238" s="35" t="s">
        <v>4533</v>
      </c>
      <c r="E1238" s="35" t="s">
        <v>4533</v>
      </c>
      <c r="F1238" s="36">
        <v>0.22</v>
      </c>
      <c r="G1238" s="31"/>
      <c r="H1238" s="31"/>
      <c r="I1238" s="31"/>
      <c r="J1238" s="31"/>
      <c r="K1238" s="31"/>
    </row>
    <row r="1239" spans="1:11" ht="14.4" x14ac:dyDescent="0.3">
      <c r="A1239" s="28" t="str">
        <f>B1239&amp;C1239&amp;D1239&amp;E1239</f>
        <v>Sport va hordiqFitnes va yogaYoga va pilatesSumkalar va gʻiloflar</v>
      </c>
      <c r="B1239" s="35" t="s">
        <v>43</v>
      </c>
      <c r="C1239" s="35" t="s">
        <v>4511</v>
      </c>
      <c r="D1239" s="35" t="s">
        <v>4512</v>
      </c>
      <c r="E1239" s="35" t="s">
        <v>4534</v>
      </c>
      <c r="F1239" s="36">
        <v>0.22</v>
      </c>
      <c r="G1239" s="31"/>
      <c r="H1239" s="31"/>
      <c r="I1239" s="31"/>
      <c r="J1239" s="31"/>
      <c r="K1239" s="31"/>
    </row>
    <row r="1240" spans="1:11" ht="14.4" x14ac:dyDescent="0.3">
      <c r="A1240" s="28" t="str">
        <f>B1240&amp;C1240&amp;D1240&amp;E1240</f>
        <v>Sport va hordiqFitnes va yogaFitnesOtjimaniya uchun tirgaklar va step platformalari</v>
      </c>
      <c r="B1240" s="35" t="s">
        <v>43</v>
      </c>
      <c r="C1240" s="35" t="s">
        <v>4511</v>
      </c>
      <c r="D1240" s="35" t="s">
        <v>4518</v>
      </c>
      <c r="E1240" s="35" t="s">
        <v>4535</v>
      </c>
      <c r="F1240" s="36">
        <v>0.22</v>
      </c>
      <c r="G1240" s="31"/>
      <c r="H1240" s="31"/>
      <c r="I1240" s="31"/>
      <c r="J1240" s="31"/>
      <c r="K1240" s="31"/>
    </row>
    <row r="1241" spans="1:11" ht="14.4" x14ac:dyDescent="0.3">
      <c r="A1241" s="28" t="str">
        <f>B1241&amp;C1241&amp;D1241&amp;E1241</f>
        <v>Sport va hordiqFitnes va yogaFitnesBodibarlar</v>
      </c>
      <c r="B1241" s="35" t="s">
        <v>43</v>
      </c>
      <c r="C1241" s="35" t="s">
        <v>4511</v>
      </c>
      <c r="D1241" s="35" t="s">
        <v>4518</v>
      </c>
      <c r="E1241" s="35" t="s">
        <v>4536</v>
      </c>
      <c r="F1241" s="36">
        <v>0.22</v>
      </c>
      <c r="G1241" s="31"/>
      <c r="H1241" s="31"/>
      <c r="I1241" s="31"/>
      <c r="J1241" s="31"/>
      <c r="K1241" s="31"/>
    </row>
    <row r="1242" spans="1:11" ht="14.4" x14ac:dyDescent="0.3">
      <c r="A1242" s="28" t="str">
        <f>B1242&amp;C1242&amp;D1242&amp;E1242</f>
        <v>Sport va hordiqFitnes va yogaYoga va pilatesFitbollar</v>
      </c>
      <c r="B1242" s="35" t="s">
        <v>43</v>
      </c>
      <c r="C1242" s="35" t="s">
        <v>4511</v>
      </c>
      <c r="D1242" s="35" t="s">
        <v>4512</v>
      </c>
      <c r="E1242" s="35" t="s">
        <v>4537</v>
      </c>
      <c r="F1242" s="36">
        <v>0.22</v>
      </c>
      <c r="G1242" s="31"/>
      <c r="H1242" s="31"/>
      <c r="I1242" s="31"/>
      <c r="J1242" s="31"/>
      <c r="K1242" s="31"/>
    </row>
    <row r="1243" spans="1:11" ht="14.4" x14ac:dyDescent="0.3">
      <c r="A1243" s="28" t="str">
        <f>B1243&amp;C1243&amp;D1243&amp;E1243</f>
        <v>Sport va hordiqFitnes va yogaPetlilar, narvonlar, krossfit uchun to'siqlarOtjimaniya uchun tirgaklar</v>
      </c>
      <c r="B1243" s="35" t="s">
        <v>43</v>
      </c>
      <c r="C1243" s="35" t="s">
        <v>4511</v>
      </c>
      <c r="D1243" s="35" t="s">
        <v>4521</v>
      </c>
      <c r="E1243" s="35" t="s">
        <v>4538</v>
      </c>
      <c r="F1243" s="36">
        <v>0.22</v>
      </c>
      <c r="G1243" s="31"/>
      <c r="H1243" s="31"/>
      <c r="I1243" s="31"/>
      <c r="J1243" s="31"/>
      <c r="K1243" s="31"/>
    </row>
    <row r="1244" spans="1:11" ht="14.4" x14ac:dyDescent="0.3">
      <c r="A1244" s="28" t="str">
        <f>B1244&amp;C1244&amp;D1244&amp;E1244</f>
        <v>Sport va hordiqFitnes va yogaFitnesArgʻamchilar</v>
      </c>
      <c r="B1244" s="35" t="s">
        <v>43</v>
      </c>
      <c r="C1244" s="35" t="s">
        <v>4511</v>
      </c>
      <c r="D1244" s="35" t="s">
        <v>4518</v>
      </c>
      <c r="E1244" s="35" t="s">
        <v>4539</v>
      </c>
      <c r="F1244" s="36">
        <v>0.22</v>
      </c>
      <c r="G1244" s="31"/>
      <c r="H1244" s="31"/>
      <c r="I1244" s="31"/>
      <c r="J1244" s="31"/>
      <c r="K1244" s="31"/>
    </row>
    <row r="1245" spans="1:11" ht="14.4" x14ac:dyDescent="0.3">
      <c r="A1245" s="28" t="str">
        <f>B1245&amp;C1245&amp;D1245&amp;E1245</f>
        <v>Sport va hordiqTabiat qoʻynida dam olish, baliq ovi va ovBaliq oviIlgaklar, bog'ichlar va gruzilalar</v>
      </c>
      <c r="B1245" s="35" t="s">
        <v>43</v>
      </c>
      <c r="C1245" s="35" t="s">
        <v>4172</v>
      </c>
      <c r="D1245" s="35" t="s">
        <v>4514</v>
      </c>
      <c r="E1245" s="35" t="s">
        <v>4540</v>
      </c>
      <c r="F1245" s="36">
        <v>0.22</v>
      </c>
      <c r="G1245" s="31"/>
      <c r="H1245" s="31"/>
      <c r="I1245" s="31"/>
      <c r="J1245" s="31"/>
      <c r="K1245" s="31"/>
    </row>
    <row r="1246" spans="1:11" ht="14.4" x14ac:dyDescent="0.3">
      <c r="A1246" s="28" t="str">
        <f>B1246&amp;C1246&amp;D1246&amp;E1246</f>
        <v>Sport va hordiqFitnes va yogaFitnesObruchlar</v>
      </c>
      <c r="B1246" s="35" t="s">
        <v>43</v>
      </c>
      <c r="C1246" s="35" t="s">
        <v>4511</v>
      </c>
      <c r="D1246" s="35" t="s">
        <v>4518</v>
      </c>
      <c r="E1246" s="35" t="s">
        <v>4541</v>
      </c>
      <c r="F1246" s="36">
        <v>0.22</v>
      </c>
      <c r="G1246" s="31"/>
      <c r="H1246" s="31"/>
      <c r="I1246" s="31"/>
      <c r="J1246" s="31"/>
      <c r="K1246" s="31"/>
    </row>
    <row r="1247" spans="1:11" ht="14.4" x14ac:dyDescent="0.3">
      <c r="A1247" s="28" t="str">
        <f>B1247&amp;C1247&amp;D1247&amp;E1247</f>
        <v>Sport va hordiqFitnes va yogaFitnesFitnes-rezinkalar</v>
      </c>
      <c r="B1247" s="35" t="s">
        <v>43</v>
      </c>
      <c r="C1247" s="35" t="s">
        <v>4511</v>
      </c>
      <c r="D1247" s="35" t="s">
        <v>4518</v>
      </c>
      <c r="E1247" s="35" t="s">
        <v>4542</v>
      </c>
      <c r="F1247" s="36">
        <v>0.22</v>
      </c>
      <c r="G1247" s="31"/>
      <c r="H1247" s="31"/>
      <c r="I1247" s="31"/>
      <c r="J1247" s="31"/>
      <c r="K1247" s="31"/>
    </row>
    <row r="1248" spans="1:11" ht="14.4" x14ac:dyDescent="0.3">
      <c r="A1248" s="28" t="str">
        <f>B1248&amp;C1248&amp;D1248&amp;E1248</f>
        <v>Sport va hordiqFitnes va yogaPetlilar, narvonlar, krossfit uchun to'siqlarOgʻirlashtirgichlar</v>
      </c>
      <c r="B1248" s="35" t="s">
        <v>43</v>
      </c>
      <c r="C1248" s="35" t="s">
        <v>4511</v>
      </c>
      <c r="D1248" s="35" t="s">
        <v>4521</v>
      </c>
      <c r="E1248" s="35" t="s">
        <v>4543</v>
      </c>
      <c r="F1248" s="36">
        <v>0.22</v>
      </c>
      <c r="G1248" s="31"/>
      <c r="H1248" s="31"/>
      <c r="I1248" s="31"/>
      <c r="J1248" s="31"/>
      <c r="K1248" s="31"/>
    </row>
    <row r="1249" spans="1:11" ht="14.4" x14ac:dyDescent="0.3">
      <c r="A1249" s="28" t="str">
        <f>B1249&amp;C1249&amp;D1249&amp;E1249</f>
        <v>Sport va hordiqTabiat qoʻynida dam olish, baliq ovi va ovBaliq oviBaliq ovi uchun primankalar va o'ljalar</v>
      </c>
      <c r="B1249" s="35" t="s">
        <v>43</v>
      </c>
      <c r="C1249" s="35" t="s">
        <v>4172</v>
      </c>
      <c r="D1249" s="35" t="s">
        <v>4514</v>
      </c>
      <c r="E1249" s="35" t="s">
        <v>4544</v>
      </c>
      <c r="F1249" s="36">
        <v>0.22</v>
      </c>
      <c r="G1249" s="31"/>
      <c r="H1249" s="31"/>
      <c r="I1249" s="31"/>
      <c r="J1249" s="31"/>
      <c r="K1249" s="31"/>
    </row>
    <row r="1250" spans="1:11" ht="14.4" x14ac:dyDescent="0.3">
      <c r="A1250" s="28" t="str">
        <f>B1250&amp;C1250&amp;D1250&amp;E1250</f>
        <v>Sport va hordiqTabiat qoʻynida dam olish, baliq ovi va ovOv va otish mashgʻulotlariChoʻzmalar</v>
      </c>
      <c r="B1250" s="35" t="s">
        <v>43</v>
      </c>
      <c r="C1250" s="35" t="s">
        <v>4172</v>
      </c>
      <c r="D1250" s="35" t="s">
        <v>4525</v>
      </c>
      <c r="E1250" s="35" t="s">
        <v>4545</v>
      </c>
      <c r="F1250" s="36">
        <v>0.22</v>
      </c>
      <c r="G1250" s="31"/>
      <c r="H1250" s="31"/>
      <c r="I1250" s="31"/>
      <c r="J1250" s="31"/>
      <c r="K1250" s="31"/>
    </row>
    <row r="1251" spans="1:11" ht="14.4" x14ac:dyDescent="0.3">
      <c r="A1251" s="28" t="str">
        <f>B1251&amp;C1251&amp;D1251&amp;E1251</f>
        <v>Sport va hordiqFitnes va yogaYoga va pilatesGilamchalar</v>
      </c>
      <c r="B1251" s="35" t="s">
        <v>43</v>
      </c>
      <c r="C1251" s="35" t="s">
        <v>4511</v>
      </c>
      <c r="D1251" s="35" t="s">
        <v>4512</v>
      </c>
      <c r="E1251" s="35" t="s">
        <v>4546</v>
      </c>
      <c r="F1251" s="36">
        <v>0.22</v>
      </c>
      <c r="G1251" s="31"/>
      <c r="H1251" s="31"/>
      <c r="I1251" s="31"/>
      <c r="J1251" s="31"/>
      <c r="K1251" s="31"/>
    </row>
    <row r="1252" spans="1:11" ht="14.4" x14ac:dyDescent="0.3">
      <c r="A1252" s="28" t="str">
        <f>B1252&amp;C1252&amp;D1252&amp;E1252</f>
        <v>Sport va hordiqFitnes va yogaYoga va pilatesYoga va pilates uchun aksessuarlar</v>
      </c>
      <c r="B1252" s="35" t="s">
        <v>43</v>
      </c>
      <c r="C1252" s="35" t="s">
        <v>4511</v>
      </c>
      <c r="D1252" s="35" t="s">
        <v>4512</v>
      </c>
      <c r="E1252" s="35" t="s">
        <v>4547</v>
      </c>
      <c r="F1252" s="36">
        <v>0.22</v>
      </c>
      <c r="G1252" s="31"/>
      <c r="H1252" s="31"/>
      <c r="I1252" s="31"/>
      <c r="J1252" s="31"/>
      <c r="K1252" s="31"/>
    </row>
    <row r="1253" spans="1:11" ht="14.4" x14ac:dyDescent="0.3">
      <c r="A1253" s="28" t="str">
        <f>B1253&amp;C1253&amp;D1253&amp;E1253</f>
        <v>Sport va hordiqFitnes va yogaFitnesPress uchun roliklari</v>
      </c>
      <c r="B1253" s="35" t="s">
        <v>43</v>
      </c>
      <c r="C1253" s="35" t="s">
        <v>4511</v>
      </c>
      <c r="D1253" s="35" t="s">
        <v>4518</v>
      </c>
      <c r="E1253" s="35" t="s">
        <v>4548</v>
      </c>
      <c r="F1253" s="36">
        <v>0.22</v>
      </c>
      <c r="G1253" s="31"/>
      <c r="H1253" s="31"/>
      <c r="I1253" s="31"/>
      <c r="J1253" s="31"/>
      <c r="K1253" s="31"/>
    </row>
    <row r="1254" spans="1:11" ht="14.4" x14ac:dyDescent="0.3">
      <c r="A1254" s="28" t="str">
        <f>B1254&amp;C1254&amp;D1254&amp;E1254</f>
        <v>Sport va hordiqTabiat qoʻynida dam olish, baliq ovi va ovBaliq oviBaliq ovlash uchun saqlash va tashish</v>
      </c>
      <c r="B1254" s="35" t="s">
        <v>43</v>
      </c>
      <c r="C1254" s="35" t="s">
        <v>4172</v>
      </c>
      <c r="D1254" s="35" t="s">
        <v>4514</v>
      </c>
      <c r="E1254" s="35" t="s">
        <v>4549</v>
      </c>
      <c r="F1254" s="36">
        <v>0.22</v>
      </c>
      <c r="G1254" s="31"/>
      <c r="H1254" s="31"/>
      <c r="I1254" s="31"/>
      <c r="J1254" s="31"/>
      <c r="K1254" s="31"/>
    </row>
    <row r="1255" spans="1:11" ht="14.4" x14ac:dyDescent="0.3">
      <c r="A1255" s="28" t="str">
        <f>B1255&amp;C1255&amp;D1255&amp;E1255</f>
        <v>Sport va hordiqFitnes va yogaOgʻirlashtiruvchilarOgʻirlashtiruvchilar</v>
      </c>
      <c r="B1255" s="35" t="s">
        <v>43</v>
      </c>
      <c r="C1255" s="35" t="s">
        <v>4511</v>
      </c>
      <c r="D1255" s="35" t="s">
        <v>4550</v>
      </c>
      <c r="E1255" s="35" t="s">
        <v>4550</v>
      </c>
      <c r="F1255" s="36">
        <v>0.22</v>
      </c>
      <c r="G1255" s="31"/>
      <c r="H1255" s="31"/>
      <c r="I1255" s="31"/>
      <c r="J1255" s="31"/>
      <c r="K1255" s="31"/>
    </row>
    <row r="1256" spans="1:11" ht="14.4" x14ac:dyDescent="0.3">
      <c r="A1256" s="28" t="str">
        <f>B1256&amp;C1256&amp;D1256&amp;E1256</f>
        <v>Sport va hordiqFitnes va yogaYoga va pilatesValiklar</v>
      </c>
      <c r="B1256" s="35" t="s">
        <v>43</v>
      </c>
      <c r="C1256" s="35" t="s">
        <v>4511</v>
      </c>
      <c r="D1256" s="35" t="s">
        <v>4512</v>
      </c>
      <c r="E1256" s="35" t="s">
        <v>4551</v>
      </c>
      <c r="F1256" s="36">
        <v>0.22</v>
      </c>
      <c r="G1256" s="31"/>
      <c r="H1256" s="31"/>
      <c r="I1256" s="31"/>
      <c r="J1256" s="31"/>
      <c r="K1256" s="31"/>
    </row>
    <row r="1257" spans="1:11" ht="14.4" x14ac:dyDescent="0.3">
      <c r="A1257" s="28" t="str">
        <f>B1257&amp;C1257&amp;D1257&amp;E1257</f>
        <v>Sport va hordiqFitnes va yogaFitnesEspanderlar</v>
      </c>
      <c r="B1257" s="35" t="s">
        <v>43</v>
      </c>
      <c r="C1257" s="35" t="s">
        <v>4511</v>
      </c>
      <c r="D1257" s="35" t="s">
        <v>4518</v>
      </c>
      <c r="E1257" s="35" t="s">
        <v>4552</v>
      </c>
      <c r="F1257" s="36">
        <v>0.22</v>
      </c>
      <c r="G1257" s="31"/>
      <c r="H1257" s="31"/>
      <c r="I1257" s="31"/>
      <c r="J1257" s="31"/>
      <c r="K1257" s="31"/>
    </row>
    <row r="1258" spans="1:11" ht="14.4" x14ac:dyDescent="0.3">
      <c r="A1258" s="28" t="str">
        <f>B1258&amp;C1258&amp;D1258&amp;E1258</f>
        <v>Sport va hordiqFitnes va yogaFitnesFitness qo'lqoplari va kamarlari</v>
      </c>
      <c r="B1258" s="35" t="s">
        <v>43</v>
      </c>
      <c r="C1258" s="35" t="s">
        <v>4511</v>
      </c>
      <c r="D1258" s="35" t="s">
        <v>4518</v>
      </c>
      <c r="E1258" s="35" t="s">
        <v>4553</v>
      </c>
      <c r="F1258" s="36">
        <v>0.22</v>
      </c>
      <c r="G1258" s="31"/>
      <c r="H1258" s="31"/>
      <c r="I1258" s="31"/>
      <c r="J1258" s="31"/>
      <c r="K1258" s="31"/>
    </row>
    <row r="1259" spans="1:11" ht="14.4" x14ac:dyDescent="0.3">
      <c r="A1259" s="28" t="str">
        <f>B1259&amp;C1259&amp;D1259&amp;E1259</f>
        <v>Sport va hordiqFitnes va yogaFitnesSport massaj apparatlari</v>
      </c>
      <c r="B1259" s="35" t="s">
        <v>43</v>
      </c>
      <c r="C1259" s="35" t="s">
        <v>4511</v>
      </c>
      <c r="D1259" s="35" t="s">
        <v>4518</v>
      </c>
      <c r="E1259" s="35" t="s">
        <v>4554</v>
      </c>
      <c r="F1259" s="36">
        <v>0.22</v>
      </c>
      <c r="G1259" s="31"/>
      <c r="H1259" s="31"/>
      <c r="I1259" s="31"/>
      <c r="J1259" s="31"/>
      <c r="K1259" s="31"/>
    </row>
    <row r="1260" spans="1:11" ht="14.4" x14ac:dyDescent="0.3">
      <c r="A1260" s="28" t="str">
        <f>B1260&amp;C1260&amp;D1260&amp;E1260</f>
        <v>Sport va hordiqFitnes va yogaFitnes gadjetlariFitnes gadjetlari</v>
      </c>
      <c r="B1260" s="35" t="s">
        <v>43</v>
      </c>
      <c r="C1260" s="35" t="s">
        <v>4511</v>
      </c>
      <c r="D1260" s="35" t="s">
        <v>4555</v>
      </c>
      <c r="E1260" s="35" t="s">
        <v>4555</v>
      </c>
      <c r="F1260" s="36">
        <v>0.22</v>
      </c>
      <c r="G1260" s="31"/>
      <c r="H1260" s="31"/>
      <c r="I1260" s="31"/>
      <c r="J1260" s="31"/>
      <c r="K1260" s="31"/>
    </row>
    <row r="1261" spans="1:11" ht="14.4" x14ac:dyDescent="0.3">
      <c r="A1261" s="28" t="str">
        <f>B1261&amp;C1261&amp;D1261&amp;E1261</f>
        <v>Sport va hordiqTabiat qoʻynida dam olish, baliq ovi va ovBaliq oviQarmoq dastasi va spininglar</v>
      </c>
      <c r="B1261" s="35" t="s">
        <v>43</v>
      </c>
      <c r="C1261" s="35" t="s">
        <v>4172</v>
      </c>
      <c r="D1261" s="35" t="s">
        <v>4514</v>
      </c>
      <c r="E1261" s="35" t="s">
        <v>4556</v>
      </c>
      <c r="F1261" s="36">
        <v>0.22</v>
      </c>
      <c r="G1261" s="31"/>
      <c r="H1261" s="31"/>
      <c r="I1261" s="31"/>
      <c r="J1261" s="31"/>
      <c r="K1261" s="31"/>
    </row>
    <row r="1262" spans="1:11" ht="14.4" x14ac:dyDescent="0.3">
      <c r="A1262" s="28" t="str">
        <f>B1262&amp;C1262&amp;D1262&amp;E1262</f>
        <v>Uy-roʻzgʻor buyumlariToʻqimachilikPardalar va karnizlarTyullar va gardinlar</v>
      </c>
      <c r="B1262" s="35" t="s">
        <v>3193</v>
      </c>
      <c r="C1262" s="35" t="s">
        <v>4345</v>
      </c>
      <c r="D1262" s="35" t="s">
        <v>4557</v>
      </c>
      <c r="E1262" s="35" t="s">
        <v>4558</v>
      </c>
      <c r="F1262" s="36">
        <v>0.22</v>
      </c>
      <c r="G1262" s="31"/>
      <c r="H1262" s="31"/>
      <c r="I1262" s="31"/>
      <c r="J1262" s="31"/>
      <c r="K1262" s="31"/>
    </row>
    <row r="1263" spans="1:11" ht="14.4" x14ac:dyDescent="0.3">
      <c r="A1263" s="28" t="str">
        <f>B1263&amp;C1263&amp;D1263&amp;E1263</f>
        <v>Uy-roʻzgʻor buyumlariToʻqimachilikYostiqlarDekorativ yostiqlar va yostiq jildlar</v>
      </c>
      <c r="B1263" s="35" t="s">
        <v>3193</v>
      </c>
      <c r="C1263" s="35" t="s">
        <v>4345</v>
      </c>
      <c r="D1263" s="35" t="s">
        <v>4559</v>
      </c>
      <c r="E1263" s="35" t="s">
        <v>4560</v>
      </c>
      <c r="F1263" s="36">
        <v>0.22</v>
      </c>
      <c r="G1263" s="31"/>
      <c r="H1263" s="31"/>
      <c r="I1263" s="31"/>
      <c r="J1263" s="31"/>
      <c r="K1263" s="31"/>
    </row>
    <row r="1264" spans="1:11" ht="14.4" x14ac:dyDescent="0.3">
      <c r="A1264" s="28" t="str">
        <f>B1264&amp;C1264&amp;D1264&amp;E1264</f>
        <v>Uy-roʻzgʻor buyumlariOshxona buyumlariOvqat pishirish uchun idishlarTovalar</v>
      </c>
      <c r="B1264" s="35" t="s">
        <v>3193</v>
      </c>
      <c r="C1264" s="35" t="s">
        <v>3443</v>
      </c>
      <c r="D1264" s="35" t="s">
        <v>4427</v>
      </c>
      <c r="E1264" s="35" t="s">
        <v>4561</v>
      </c>
      <c r="F1264" s="36">
        <v>0.22</v>
      </c>
      <c r="G1264" s="31"/>
      <c r="H1264" s="31"/>
      <c r="I1264" s="31"/>
      <c r="J1264" s="31"/>
      <c r="K1264" s="31"/>
    </row>
    <row r="1265" spans="1:11" ht="14.4" x14ac:dyDescent="0.3">
      <c r="A1265" s="28" t="str">
        <f>B1265&amp;C1265&amp;D1265&amp;E1265</f>
        <v>Uy-roʻzgʻor buyumlariToʻqimachilikOshxona uchun tekstil mahsulotlariDasturxonlar</v>
      </c>
      <c r="B1265" s="35" t="s">
        <v>3193</v>
      </c>
      <c r="C1265" s="35" t="s">
        <v>4345</v>
      </c>
      <c r="D1265" s="35" t="s">
        <v>4562</v>
      </c>
      <c r="E1265" s="35" t="s">
        <v>4563</v>
      </c>
      <c r="F1265" s="36">
        <v>0.22</v>
      </c>
      <c r="G1265" s="31"/>
      <c r="H1265" s="31"/>
      <c r="I1265" s="31"/>
      <c r="J1265" s="31"/>
      <c r="K1265" s="31"/>
    </row>
    <row r="1266" spans="1:11" ht="14.4" x14ac:dyDescent="0.3">
      <c r="A1266" s="28" t="str">
        <f>B1266&amp;C1266&amp;D1266&amp;E1266</f>
        <v>Uy-roʻzgʻor buyumlariToʻqimachilikYostiqlarAnatomik yostiqlar</v>
      </c>
      <c r="B1266" s="35" t="s">
        <v>3193</v>
      </c>
      <c r="C1266" s="35" t="s">
        <v>4345</v>
      </c>
      <c r="D1266" s="35" t="s">
        <v>4559</v>
      </c>
      <c r="E1266" s="35" t="s">
        <v>4564</v>
      </c>
      <c r="F1266" s="36">
        <v>0.22</v>
      </c>
      <c r="G1266" s="31"/>
      <c r="H1266" s="31"/>
      <c r="I1266" s="31"/>
      <c r="J1266" s="31"/>
      <c r="K1266" s="31"/>
    </row>
    <row r="1267" spans="1:11" ht="14.4" x14ac:dyDescent="0.3">
      <c r="A1267" s="28" t="str">
        <f>B1267&amp;C1267&amp;D1267&amp;E1267</f>
        <v>Uy-roʻzgʻor buyumlariOshxona buyumlariOvqat pishirish uchun idishlarOvqat pishirish uchun idishlar toʻplami</v>
      </c>
      <c r="B1267" s="35" t="s">
        <v>3193</v>
      </c>
      <c r="C1267" s="35" t="s">
        <v>3443</v>
      </c>
      <c r="D1267" s="35" t="s">
        <v>4427</v>
      </c>
      <c r="E1267" s="35" t="s">
        <v>4565</v>
      </c>
      <c r="F1267" s="36">
        <v>0.22</v>
      </c>
      <c r="G1267" s="31"/>
      <c r="H1267" s="31"/>
      <c r="I1267" s="31"/>
      <c r="J1267" s="31"/>
      <c r="K1267" s="31"/>
    </row>
    <row r="1268" spans="1:11" ht="14.4" x14ac:dyDescent="0.3">
      <c r="A1268" s="28" t="str">
        <f>B1268&amp;C1268&amp;D1268&amp;E1268</f>
        <v>Uy-roʻzgʻor buyumlariOshxona buyumlariOvqat pishirish uchun idishlarKostryulkalar, choʻmichlar</v>
      </c>
      <c r="B1268" s="35" t="s">
        <v>3193</v>
      </c>
      <c r="C1268" s="35" t="s">
        <v>3443</v>
      </c>
      <c r="D1268" s="35" t="s">
        <v>4427</v>
      </c>
      <c r="E1268" s="35" t="s">
        <v>4566</v>
      </c>
      <c r="F1268" s="36">
        <v>0.22</v>
      </c>
      <c r="G1268" s="31"/>
      <c r="H1268" s="31"/>
      <c r="I1268" s="31"/>
      <c r="J1268" s="31"/>
      <c r="K1268" s="31"/>
    </row>
    <row r="1269" spans="1:11" ht="14.4" x14ac:dyDescent="0.3">
      <c r="A1269" s="28" t="str">
        <f>B1269&amp;C1269&amp;D1269&amp;E1269</f>
        <v>Uy-roʻzgʻor buyumlariToʻqimachilikYostiqlarGiyohli</v>
      </c>
      <c r="B1269" s="35" t="s">
        <v>3193</v>
      </c>
      <c r="C1269" s="35" t="s">
        <v>4345</v>
      </c>
      <c r="D1269" s="35" t="s">
        <v>4559</v>
      </c>
      <c r="E1269" s="35" t="s">
        <v>4567</v>
      </c>
      <c r="F1269" s="36">
        <v>0.22</v>
      </c>
      <c r="G1269" s="31"/>
      <c r="H1269" s="31"/>
      <c r="I1269" s="31"/>
      <c r="J1269" s="31"/>
      <c r="K1269" s="31"/>
    </row>
    <row r="1270" spans="1:11" ht="14.4" x14ac:dyDescent="0.3">
      <c r="A1270" s="28" t="str">
        <f>B1270&amp;C1270&amp;D1270&amp;E1270</f>
        <v>Uy-roʻzgʻor buyumlariOshxona buyumlariOvqat pishirish uchun idishlarMantiqozonlar</v>
      </c>
      <c r="B1270" s="35" t="s">
        <v>3193</v>
      </c>
      <c r="C1270" s="35" t="s">
        <v>3443</v>
      </c>
      <c r="D1270" s="35" t="s">
        <v>4427</v>
      </c>
      <c r="E1270" s="35" t="s">
        <v>4568</v>
      </c>
      <c r="F1270" s="36">
        <v>0.22</v>
      </c>
      <c r="G1270" s="31"/>
      <c r="H1270" s="31"/>
      <c r="I1270" s="31"/>
      <c r="J1270" s="31"/>
      <c r="K1270" s="31"/>
    </row>
    <row r="1271" spans="1:11" ht="14.4" x14ac:dyDescent="0.3">
      <c r="A1271" s="28" t="str">
        <f>B1271&amp;C1271&amp;D1271&amp;E1271</f>
        <v>Uy-roʻzgʻor buyumlariToʻqimachilikKoʻrpalar va qoplamalarKoʻrpa-toʻshak jildlari</v>
      </c>
      <c r="B1271" s="35" t="s">
        <v>3193</v>
      </c>
      <c r="C1271" s="35" t="s">
        <v>4345</v>
      </c>
      <c r="D1271" s="35" t="s">
        <v>4569</v>
      </c>
      <c r="E1271" s="35" t="s">
        <v>4570</v>
      </c>
      <c r="F1271" s="36">
        <v>0.22</v>
      </c>
      <c r="G1271" s="31"/>
      <c r="H1271" s="31"/>
      <c r="I1271" s="31"/>
      <c r="J1271" s="31"/>
      <c r="K1271" s="31"/>
    </row>
    <row r="1272" spans="1:11" ht="14.4" x14ac:dyDescent="0.3">
      <c r="A1272" s="28" t="str">
        <f>B1272&amp;C1272&amp;D1272&amp;E1272</f>
        <v>Uy-roʻzgʻor buyumlariToʻqimachilikOshxona uchun tekstil mahsulotlariOshxona uchun ushlagichlar</v>
      </c>
      <c r="B1272" s="35" t="s">
        <v>3193</v>
      </c>
      <c r="C1272" s="35" t="s">
        <v>4345</v>
      </c>
      <c r="D1272" s="35" t="s">
        <v>4562</v>
      </c>
      <c r="E1272" s="35" t="s">
        <v>4571</v>
      </c>
      <c r="F1272" s="36">
        <v>0.22</v>
      </c>
      <c r="G1272" s="31"/>
      <c r="H1272" s="31"/>
      <c r="I1272" s="31"/>
      <c r="J1272" s="31"/>
      <c r="K1272" s="31"/>
    </row>
    <row r="1273" spans="1:11" ht="14.4" x14ac:dyDescent="0.3">
      <c r="A1273" s="28" t="str">
        <f>B1273&amp;C1273&amp;D1273&amp;E1273</f>
        <v>Uy-roʻzgʻor buyumlariToʻqimachilikGilamlar va yoʻlak gilamlariKrovat yoniga toʻshash uchun gilamchalar</v>
      </c>
      <c r="B1273" s="35" t="s">
        <v>3193</v>
      </c>
      <c r="C1273" s="35" t="s">
        <v>4345</v>
      </c>
      <c r="D1273" s="35" t="s">
        <v>4572</v>
      </c>
      <c r="E1273" s="35" t="s">
        <v>4573</v>
      </c>
      <c r="F1273" s="36">
        <v>0.22</v>
      </c>
      <c r="G1273" s="31"/>
      <c r="H1273" s="31"/>
      <c r="I1273" s="31"/>
      <c r="J1273" s="31"/>
      <c r="K1273" s="31"/>
    </row>
    <row r="1274" spans="1:11" ht="14.4" x14ac:dyDescent="0.3">
      <c r="A1274" s="28" t="str">
        <f>B1274&amp;C1274&amp;D1274&amp;E1274</f>
        <v>Uy-roʻzgʻor buyumlariToʻqimachilikChoyshablarChoyshablar</v>
      </c>
      <c r="B1274" s="35" t="s">
        <v>3193</v>
      </c>
      <c r="C1274" s="35" t="s">
        <v>4345</v>
      </c>
      <c r="D1274" s="35" t="s">
        <v>4574</v>
      </c>
      <c r="E1274" s="35" t="s">
        <v>4574</v>
      </c>
      <c r="F1274" s="36">
        <v>0.22</v>
      </c>
      <c r="G1274" s="31"/>
      <c r="H1274" s="31"/>
      <c r="I1274" s="31"/>
      <c r="J1274" s="31"/>
      <c r="K1274" s="31"/>
    </row>
    <row r="1275" spans="1:11" ht="14.4" x14ac:dyDescent="0.3">
      <c r="A1275" s="28" t="str">
        <f>B1275&amp;C1275&amp;D1275&amp;E1275</f>
        <v>Uy-roʻzgʻor buyumlariToʻqimachilikPardalar va karnizlarQuyoshda himoya va statik plyonkalar</v>
      </c>
      <c r="B1275" s="35" t="s">
        <v>3193</v>
      </c>
      <c r="C1275" s="35" t="s">
        <v>4345</v>
      </c>
      <c r="D1275" s="35" t="s">
        <v>4557</v>
      </c>
      <c r="E1275" s="35" t="s">
        <v>4575</v>
      </c>
      <c r="F1275" s="36">
        <v>0.22</v>
      </c>
      <c r="G1275" s="31"/>
      <c r="H1275" s="31"/>
      <c r="I1275" s="31"/>
      <c r="J1275" s="31"/>
      <c r="K1275" s="31"/>
    </row>
    <row r="1276" spans="1:11" ht="14.4" x14ac:dyDescent="0.3">
      <c r="A1276" s="28" t="str">
        <f>B1276&amp;C1276&amp;D1276&amp;E1276</f>
        <v>Uy-roʻzgʻor buyumlariToʻqimachilikYostiqlarAvtomobil uchun yostiqlar va matraslar</v>
      </c>
      <c r="B1276" s="35" t="s">
        <v>3193</v>
      </c>
      <c r="C1276" s="35" t="s">
        <v>4345</v>
      </c>
      <c r="D1276" s="35" t="s">
        <v>4559</v>
      </c>
      <c r="E1276" s="35" t="s">
        <v>4576</v>
      </c>
      <c r="F1276" s="36">
        <v>0.22</v>
      </c>
      <c r="G1276" s="31"/>
      <c r="H1276" s="31"/>
      <c r="I1276" s="31"/>
      <c r="J1276" s="31"/>
      <c r="K1276" s="31"/>
    </row>
    <row r="1277" spans="1:11" ht="14.4" x14ac:dyDescent="0.3">
      <c r="A1277" s="28" t="str">
        <f>B1277&amp;C1277&amp;D1277&amp;E1277</f>
        <v>Uy-roʻzgʻor buyumlariToʻqimachilikChoyshablarYostiq jildlari</v>
      </c>
      <c r="B1277" s="35" t="s">
        <v>3193</v>
      </c>
      <c r="C1277" s="35" t="s">
        <v>4345</v>
      </c>
      <c r="D1277" s="35" t="s">
        <v>4574</v>
      </c>
      <c r="E1277" s="35" t="s">
        <v>4577</v>
      </c>
      <c r="F1277" s="36">
        <v>0.22</v>
      </c>
      <c r="G1277" s="31"/>
      <c r="H1277" s="31"/>
      <c r="I1277" s="31"/>
      <c r="J1277" s="31"/>
      <c r="K1277" s="31"/>
    </row>
    <row r="1278" spans="1:11" ht="14.4" x14ac:dyDescent="0.3">
      <c r="A1278" s="28" t="str">
        <f>B1278&amp;C1278&amp;D1278&amp;E1278</f>
        <v>Uy-roʻzgʻor buyumlariBayramlar uchun tovarlarBayramni bezatishXoli ranglari</v>
      </c>
      <c r="B1278" s="35" t="s">
        <v>3193</v>
      </c>
      <c r="C1278" s="35" t="s">
        <v>3489</v>
      </c>
      <c r="D1278" s="35" t="s">
        <v>3492</v>
      </c>
      <c r="E1278" s="35" t="s">
        <v>4578</v>
      </c>
      <c r="F1278" s="36">
        <v>0.22</v>
      </c>
      <c r="G1278" s="31"/>
      <c r="H1278" s="31"/>
      <c r="I1278" s="31"/>
      <c r="J1278" s="31"/>
      <c r="K1278" s="31"/>
    </row>
    <row r="1279" spans="1:11" ht="14.4" x14ac:dyDescent="0.3">
      <c r="A1279" s="28" t="str">
        <f>B1279&amp;C1279&amp;D1279&amp;E1279</f>
        <v>Uy-roʻzgʻor buyumlariBayramlar uchun tovarlarKarnaval buyumlariAkvgrim</v>
      </c>
      <c r="B1279" s="35" t="s">
        <v>3193</v>
      </c>
      <c r="C1279" s="35" t="s">
        <v>3489</v>
      </c>
      <c r="D1279" s="35" t="s">
        <v>3502</v>
      </c>
      <c r="E1279" s="35" t="s">
        <v>4579</v>
      </c>
      <c r="F1279" s="36">
        <v>0.22</v>
      </c>
      <c r="G1279" s="31"/>
      <c r="H1279" s="31"/>
      <c r="I1279" s="31"/>
      <c r="J1279" s="31"/>
      <c r="K1279" s="31"/>
    </row>
    <row r="1280" spans="1:11" ht="14.4" x14ac:dyDescent="0.3">
      <c r="A1280" s="28" t="str">
        <f>B1280&amp;C1280&amp;D1280&amp;E1280</f>
        <v>Uy-roʻzgʻor buyumlariOshxona buyumlariOvqat pishirish uchun idishlarVoklar</v>
      </c>
      <c r="B1280" s="35" t="s">
        <v>3193</v>
      </c>
      <c r="C1280" s="35" t="s">
        <v>3443</v>
      </c>
      <c r="D1280" s="35" t="s">
        <v>4427</v>
      </c>
      <c r="E1280" s="35" t="s">
        <v>4580</v>
      </c>
      <c r="F1280" s="36">
        <v>0.22</v>
      </c>
      <c r="G1280" s="31"/>
      <c r="H1280" s="31"/>
      <c r="I1280" s="31"/>
      <c r="J1280" s="31"/>
      <c r="K1280" s="31"/>
    </row>
    <row r="1281" spans="1:11" ht="14.4" x14ac:dyDescent="0.3">
      <c r="A1281" s="28" t="str">
        <f>B1281&amp;C1281&amp;D1281&amp;E1281</f>
        <v>Uy-roʻzgʻor buyumlariToʻqimachilikYostiqlarStul uchun yostiqchalar</v>
      </c>
      <c r="B1281" s="35" t="s">
        <v>3193</v>
      </c>
      <c r="C1281" s="35" t="s">
        <v>4345</v>
      </c>
      <c r="D1281" s="35" t="s">
        <v>4559</v>
      </c>
      <c r="E1281" s="35" t="s">
        <v>4581</v>
      </c>
      <c r="F1281" s="36">
        <v>0.22</v>
      </c>
      <c r="G1281" s="31"/>
      <c r="H1281" s="31"/>
      <c r="I1281" s="31"/>
      <c r="J1281" s="31"/>
      <c r="K1281" s="31"/>
    </row>
    <row r="1282" spans="1:11" ht="14.4" x14ac:dyDescent="0.3">
      <c r="A1282" s="28" t="str">
        <f>B1282&amp;C1282&amp;D1282&amp;E1282</f>
        <v>Uy-roʻzgʻor buyumlariToʻqimachilikOshxona uchun tekstil mahsulotlariOshxona uchun toʻplamlar</v>
      </c>
      <c r="B1282" s="35" t="s">
        <v>3193</v>
      </c>
      <c r="C1282" s="35" t="s">
        <v>4345</v>
      </c>
      <c r="D1282" s="35" t="s">
        <v>4562</v>
      </c>
      <c r="E1282" s="35" t="s">
        <v>4582</v>
      </c>
      <c r="F1282" s="36">
        <v>0.22</v>
      </c>
      <c r="G1282" s="31"/>
      <c r="H1282" s="31"/>
      <c r="I1282" s="31"/>
      <c r="J1282" s="31"/>
      <c r="K1282" s="31"/>
    </row>
    <row r="1283" spans="1:11" ht="14.4" x14ac:dyDescent="0.3">
      <c r="A1283" s="28" t="str">
        <f>B1283&amp;C1283&amp;D1283&amp;E1283</f>
        <v>Uy-roʻzgʻor buyumlariHammom va sauna uchun tovarlarTuz va hammom toshlariTuz va hammom toshlari</v>
      </c>
      <c r="B1283" s="35" t="s">
        <v>3193</v>
      </c>
      <c r="C1283" s="35" t="s">
        <v>3540</v>
      </c>
      <c r="D1283" s="35" t="s">
        <v>4583</v>
      </c>
      <c r="E1283" s="35" t="s">
        <v>4583</v>
      </c>
      <c r="F1283" s="36">
        <v>0.22</v>
      </c>
      <c r="G1283" s="31"/>
      <c r="H1283" s="31"/>
      <c r="I1283" s="31"/>
      <c r="J1283" s="31"/>
      <c r="K1283" s="31"/>
    </row>
    <row r="1284" spans="1:11" ht="14.4" x14ac:dyDescent="0.3">
      <c r="A1284" s="28" t="str">
        <f>B1284&amp;C1284&amp;D1284&amp;E1284</f>
        <v>Uy-roʻzgʻor buyumlariToʻqimachilikGilamlar va yoʻlak gilamlariOshxona uchun gilamlar</v>
      </c>
      <c r="B1284" s="35" t="s">
        <v>3193</v>
      </c>
      <c r="C1284" s="35" t="s">
        <v>4345</v>
      </c>
      <c r="D1284" s="35" t="s">
        <v>4572</v>
      </c>
      <c r="E1284" s="35" t="s">
        <v>4584</v>
      </c>
      <c r="F1284" s="36">
        <v>0.22</v>
      </c>
      <c r="G1284" s="31"/>
      <c r="H1284" s="31"/>
      <c r="I1284" s="31"/>
      <c r="J1284" s="31"/>
      <c r="K1284" s="31"/>
    </row>
    <row r="1285" spans="1:11" ht="14.4" x14ac:dyDescent="0.3">
      <c r="A1285" s="28" t="str">
        <f>B1285&amp;C1285&amp;D1285&amp;E1285</f>
        <v>Uy-roʻzgʻor buyumlariToʻqimachilikMatras qoplamalari va giʻloflarMatraslar uchun qoplamalari va jildlar</v>
      </c>
      <c r="B1285" s="35" t="s">
        <v>3193</v>
      </c>
      <c r="C1285" s="35" t="s">
        <v>4345</v>
      </c>
      <c r="D1285" s="35" t="s">
        <v>4585</v>
      </c>
      <c r="E1285" s="35" t="s">
        <v>4586</v>
      </c>
      <c r="F1285" s="36">
        <v>0.22</v>
      </c>
      <c r="G1285" s="31"/>
      <c r="H1285" s="31"/>
      <c r="I1285" s="31"/>
      <c r="J1285" s="31"/>
      <c r="K1285" s="31"/>
    </row>
    <row r="1286" spans="1:11" ht="14.4" x14ac:dyDescent="0.3">
      <c r="A1286" s="28" t="str">
        <f>B1286&amp;C1286&amp;D1286&amp;E1286</f>
        <v>Uy-roʻzgʻor buyumlariOshxona buyumlariOvqat pishirish uchun idishlarIdishlar uchun qopqoqlar</v>
      </c>
      <c r="B1286" s="35" t="s">
        <v>3193</v>
      </c>
      <c r="C1286" s="35" t="s">
        <v>3443</v>
      </c>
      <c r="D1286" s="35" t="s">
        <v>4427</v>
      </c>
      <c r="E1286" s="35" t="s">
        <v>4587</v>
      </c>
      <c r="F1286" s="36">
        <v>0.22</v>
      </c>
      <c r="G1286" s="31"/>
      <c r="H1286" s="31"/>
      <c r="I1286" s="31"/>
      <c r="J1286" s="31"/>
      <c r="K1286" s="31"/>
    </row>
    <row r="1287" spans="1:11" ht="14.4" x14ac:dyDescent="0.3">
      <c r="A1287" s="28" t="str">
        <f>B1287&amp;C1287&amp;D1287&amp;E1287</f>
        <v>Uy-roʻzgʻor buyumlariToʻqimachilikPardalar va karnizlarPardalar va karnizlar uchun aksessuarlar</v>
      </c>
      <c r="B1287" s="35" t="s">
        <v>3193</v>
      </c>
      <c r="C1287" s="35" t="s">
        <v>4345</v>
      </c>
      <c r="D1287" s="35" t="s">
        <v>4557</v>
      </c>
      <c r="E1287" s="35" t="s">
        <v>4588</v>
      </c>
      <c r="F1287" s="36">
        <v>0.22</v>
      </c>
      <c r="G1287" s="31"/>
      <c r="H1287" s="31"/>
      <c r="I1287" s="31"/>
      <c r="J1287" s="31"/>
      <c r="K1287" s="31"/>
    </row>
    <row r="1288" spans="1:11" ht="14.4" x14ac:dyDescent="0.3">
      <c r="A1288" s="28" t="str">
        <f>B1288&amp;C1288&amp;D1288&amp;E1288</f>
        <v>Uy-roʻzgʻor buyumlariToʻqimachilikGilamlar va yoʻlak gilamlariVanna uchun gilamchalar</v>
      </c>
      <c r="B1288" s="35" t="s">
        <v>3193</v>
      </c>
      <c r="C1288" s="35" t="s">
        <v>4345</v>
      </c>
      <c r="D1288" s="35" t="s">
        <v>4572</v>
      </c>
      <c r="E1288" s="35" t="s">
        <v>4589</v>
      </c>
      <c r="F1288" s="36">
        <v>0.22</v>
      </c>
      <c r="G1288" s="31"/>
      <c r="H1288" s="31"/>
      <c r="I1288" s="31"/>
      <c r="J1288" s="31"/>
      <c r="K1288" s="31"/>
    </row>
    <row r="1289" spans="1:11" ht="14.4" x14ac:dyDescent="0.3">
      <c r="A1289" s="28" t="str">
        <f>B1289&amp;C1289&amp;D1289&amp;E1289</f>
        <v>Uy-roʻzgʻor buyumlariOshxona buyumlariOvqat pishirish uchun idishlarPech uchun idishlar</v>
      </c>
      <c r="B1289" s="35" t="s">
        <v>3193</v>
      </c>
      <c r="C1289" s="35" t="s">
        <v>3443</v>
      </c>
      <c r="D1289" s="35" t="s">
        <v>4427</v>
      </c>
      <c r="E1289" s="35" t="s">
        <v>4590</v>
      </c>
      <c r="F1289" s="36">
        <v>0.22</v>
      </c>
      <c r="G1289" s="31"/>
      <c r="H1289" s="31"/>
      <c r="I1289" s="31"/>
      <c r="J1289" s="31"/>
      <c r="K1289" s="31"/>
    </row>
    <row r="1290" spans="1:11" ht="14.4" x14ac:dyDescent="0.3">
      <c r="A1290" s="28" t="str">
        <f>B1290&amp;C1290&amp;D1290&amp;E1290</f>
        <v>Uy-roʻzgʻor buyumlariOshxona buyumlariOvqat pishirish uchun idishlarTezpishirgichlar</v>
      </c>
      <c r="B1290" s="35" t="s">
        <v>3193</v>
      </c>
      <c r="C1290" s="35" t="s">
        <v>3443</v>
      </c>
      <c r="D1290" s="35" t="s">
        <v>4427</v>
      </c>
      <c r="E1290" s="35" t="s">
        <v>4591</v>
      </c>
      <c r="F1290" s="36">
        <v>0.22</v>
      </c>
      <c r="G1290" s="31"/>
      <c r="H1290" s="31"/>
      <c r="I1290" s="31"/>
      <c r="J1290" s="31"/>
      <c r="K1290" s="31"/>
    </row>
    <row r="1291" spans="1:11" ht="14.4" x14ac:dyDescent="0.3">
      <c r="A1291" s="28" t="str">
        <f>B1291&amp;C1291&amp;D1291&amp;E1291</f>
        <v>Uy-roʻzgʻor buyumlariToʻqimachilikChoyshablarChoyshab toʻplamlari</v>
      </c>
      <c r="B1291" s="35" t="s">
        <v>3193</v>
      </c>
      <c r="C1291" s="35" t="s">
        <v>4345</v>
      </c>
      <c r="D1291" s="35" t="s">
        <v>4574</v>
      </c>
      <c r="E1291" s="35" t="s">
        <v>4592</v>
      </c>
      <c r="F1291" s="36">
        <v>0.22</v>
      </c>
      <c r="G1291" s="31"/>
      <c r="H1291" s="31"/>
      <c r="I1291" s="31"/>
      <c r="J1291" s="31"/>
      <c r="K1291" s="31"/>
    </row>
    <row r="1292" spans="1:11" ht="14.4" x14ac:dyDescent="0.3">
      <c r="A1292" s="28" t="str">
        <f>B1292&amp;C1292&amp;D1292&amp;E1292</f>
        <v>Uy-roʻzgʻor buyumlariToʻqimachilikChoyshablarKoʻrpajildlar</v>
      </c>
      <c r="B1292" s="35" t="s">
        <v>3193</v>
      </c>
      <c r="C1292" s="35" t="s">
        <v>4345</v>
      </c>
      <c r="D1292" s="35" t="s">
        <v>4574</v>
      </c>
      <c r="E1292" s="35" t="s">
        <v>4593</v>
      </c>
      <c r="F1292" s="36">
        <v>0.22</v>
      </c>
      <c r="G1292" s="31"/>
      <c r="H1292" s="31"/>
      <c r="I1292" s="31"/>
      <c r="J1292" s="31"/>
      <c r="K1292" s="31"/>
    </row>
    <row r="1293" spans="1:11" ht="14.4" x14ac:dyDescent="0.3">
      <c r="A1293" s="28" t="str">
        <f>B1293&amp;C1293&amp;D1293&amp;E1293</f>
        <v>Uy-roʻzgʻor buyumlariToʻqimachilikOshxona uchun tekstil mahsulotlariOshxona sochiqlari</v>
      </c>
      <c r="B1293" s="35" t="s">
        <v>3193</v>
      </c>
      <c r="C1293" s="35" t="s">
        <v>4345</v>
      </c>
      <c r="D1293" s="35" t="s">
        <v>4562</v>
      </c>
      <c r="E1293" s="35" t="s">
        <v>4594</v>
      </c>
      <c r="F1293" s="36">
        <v>0.22</v>
      </c>
      <c r="G1293" s="31"/>
      <c r="H1293" s="31"/>
      <c r="I1293" s="31"/>
      <c r="J1293" s="31"/>
      <c r="K1293" s="31"/>
    </row>
    <row r="1294" spans="1:11" ht="14.4" x14ac:dyDescent="0.3">
      <c r="A1294" s="28" t="str">
        <f>B1294&amp;C1294&amp;D1294&amp;E1294</f>
        <v>Uy-roʻzgʻor buyumlariToʻqimachilikKoʻrpalar va qoplamalarKoʻrpalar</v>
      </c>
      <c r="B1294" s="35" t="s">
        <v>3193</v>
      </c>
      <c r="C1294" s="35" t="s">
        <v>4345</v>
      </c>
      <c r="D1294" s="35" t="s">
        <v>4569</v>
      </c>
      <c r="E1294" s="35" t="s">
        <v>4595</v>
      </c>
      <c r="F1294" s="36">
        <v>0.22</v>
      </c>
      <c r="G1294" s="31"/>
      <c r="H1294" s="31"/>
      <c r="I1294" s="31"/>
      <c r="J1294" s="31"/>
      <c r="K1294" s="31"/>
    </row>
    <row r="1295" spans="1:11" ht="14.4" x14ac:dyDescent="0.3">
      <c r="A1295" s="28" t="str">
        <f>B1295&amp;C1295&amp;D1295&amp;E1295</f>
        <v>Uy-roʻzgʻor buyumlariToʻqimachilikAdyollarAdyollar</v>
      </c>
      <c r="B1295" s="35" t="s">
        <v>3193</v>
      </c>
      <c r="C1295" s="35" t="s">
        <v>4345</v>
      </c>
      <c r="D1295" s="35" t="s">
        <v>4596</v>
      </c>
      <c r="E1295" s="35" t="s">
        <v>4596</v>
      </c>
      <c r="F1295" s="36">
        <v>0.22</v>
      </c>
      <c r="G1295" s="31"/>
      <c r="H1295" s="31"/>
      <c r="I1295" s="31"/>
      <c r="J1295" s="31"/>
      <c r="K1295" s="31"/>
    </row>
    <row r="1296" spans="1:11" ht="14.4" x14ac:dyDescent="0.3">
      <c r="A1296" s="28" t="str">
        <f>B1296&amp;C1296&amp;D1296&amp;E1296</f>
        <v>Uy-roʻzgʻor buyumlariToʻqimachilikSochiqlarSochiqlar</v>
      </c>
      <c r="B1296" s="35" t="s">
        <v>3193</v>
      </c>
      <c r="C1296" s="35" t="s">
        <v>4345</v>
      </c>
      <c r="D1296" s="35" t="s">
        <v>4597</v>
      </c>
      <c r="E1296" s="35" t="s">
        <v>4597</v>
      </c>
      <c r="F1296" s="36">
        <v>0.22</v>
      </c>
      <c r="G1296" s="31"/>
      <c r="H1296" s="31"/>
      <c r="I1296" s="31"/>
      <c r="J1296" s="31"/>
      <c r="K1296" s="31"/>
    </row>
    <row r="1297" spans="1:11" ht="14.4" x14ac:dyDescent="0.3">
      <c r="A1297" s="28" t="str">
        <f>B1297&amp;C1297&amp;D1297&amp;E1297</f>
        <v>Uy-roʻzgʻor buyumlariToʻqimachilikYostiqlarUyqu yostiqchalari</v>
      </c>
      <c r="B1297" s="35" t="s">
        <v>3193</v>
      </c>
      <c r="C1297" s="35" t="s">
        <v>4345</v>
      </c>
      <c r="D1297" s="35" t="s">
        <v>4559</v>
      </c>
      <c r="E1297" s="35" t="s">
        <v>4598</v>
      </c>
      <c r="F1297" s="36">
        <v>0.22</v>
      </c>
      <c r="G1297" s="31"/>
      <c r="H1297" s="31"/>
      <c r="I1297" s="31"/>
      <c r="J1297" s="31"/>
      <c r="K1297" s="31"/>
    </row>
    <row r="1298" spans="1:11" ht="14.4" x14ac:dyDescent="0.3">
      <c r="A1298" s="28" t="str">
        <f>B1298&amp;C1298&amp;D1298&amp;E1298</f>
        <v>Uy-roʻzgʻor buyumlariToʻqimachilikOshxona uchun tekstil mahsulotlariSalfetkalar</v>
      </c>
      <c r="B1298" s="35" t="s">
        <v>3193</v>
      </c>
      <c r="C1298" s="35" t="s">
        <v>4345</v>
      </c>
      <c r="D1298" s="35" t="s">
        <v>4562</v>
      </c>
      <c r="E1298" s="35" t="s">
        <v>4599</v>
      </c>
      <c r="F1298" s="36">
        <v>0.22</v>
      </c>
      <c r="G1298" s="31"/>
      <c r="H1298" s="31"/>
      <c r="I1298" s="31"/>
      <c r="J1298" s="31"/>
      <c r="K1298" s="31"/>
    </row>
    <row r="1299" spans="1:11" ht="14.4" x14ac:dyDescent="0.3">
      <c r="A1299" s="28" t="str">
        <f>B1299&amp;C1299&amp;D1299&amp;E1299</f>
        <v>Uy-roʻzgʻor buyumlariToʻqimachilikChoyshablarBolalar choyshablari</v>
      </c>
      <c r="B1299" s="35" t="s">
        <v>3193</v>
      </c>
      <c r="C1299" s="35" t="s">
        <v>4345</v>
      </c>
      <c r="D1299" s="35" t="s">
        <v>4574</v>
      </c>
      <c r="E1299" s="35" t="s">
        <v>4600</v>
      </c>
      <c r="F1299" s="36">
        <v>0.22</v>
      </c>
      <c r="G1299" s="31"/>
      <c r="H1299" s="31"/>
      <c r="I1299" s="31"/>
      <c r="J1299" s="31"/>
      <c r="K1299" s="31"/>
    </row>
    <row r="1300" spans="1:11" ht="14.4" x14ac:dyDescent="0.3">
      <c r="A1300" s="28" t="str">
        <f>B1300&amp;C1300&amp;D1300&amp;E1300</f>
        <v>Uy-roʻzgʻor buyumlariOshxona buyumlariOvqat pishirish uchun idishlarChuqur tovalar</v>
      </c>
      <c r="B1300" s="35" t="s">
        <v>3193</v>
      </c>
      <c r="C1300" s="35" t="s">
        <v>3443</v>
      </c>
      <c r="D1300" s="35" t="s">
        <v>4427</v>
      </c>
      <c r="E1300" s="35" t="s">
        <v>4601</v>
      </c>
      <c r="F1300" s="36">
        <v>0.22</v>
      </c>
      <c r="G1300" s="31"/>
      <c r="H1300" s="31"/>
      <c r="I1300" s="31"/>
      <c r="J1300" s="31"/>
      <c r="K1300" s="31"/>
    </row>
    <row r="1301" spans="1:11" ht="14.4" x14ac:dyDescent="0.3">
      <c r="A1301" s="28" t="str">
        <f>B1301&amp;C1301&amp;D1301&amp;E1301</f>
        <v>Uy-roʻzgʻor buyumlariToʻqimachilikGilamlar va yoʻlak gilamlariOstona gilamlari</v>
      </c>
      <c r="B1301" s="35" t="s">
        <v>3193</v>
      </c>
      <c r="C1301" s="35" t="s">
        <v>4345</v>
      </c>
      <c r="D1301" s="35" t="s">
        <v>4572</v>
      </c>
      <c r="E1301" s="35" t="s">
        <v>4602</v>
      </c>
      <c r="F1301" s="36">
        <v>0.22</v>
      </c>
      <c r="G1301" s="31"/>
      <c r="H1301" s="31"/>
      <c r="I1301" s="31"/>
      <c r="J1301" s="31"/>
      <c r="K1301" s="31"/>
    </row>
    <row r="1302" spans="1:11" ht="14.4" x14ac:dyDescent="0.3">
      <c r="A1302" s="28" t="str">
        <f>B1302&amp;C1302&amp;D1302&amp;E1302</f>
        <v>Uy-roʻzgʻor buyumlariHammom va sauna uchun tovarlarBugʻlamalar va xushboʻy moddalarBugʻlamalar va xushboʻy moddalar</v>
      </c>
      <c r="B1302" s="35" t="s">
        <v>3193</v>
      </c>
      <c r="C1302" s="35" t="s">
        <v>3540</v>
      </c>
      <c r="D1302" s="35" t="s">
        <v>4603</v>
      </c>
      <c r="E1302" s="35" t="s">
        <v>4603</v>
      </c>
      <c r="F1302" s="36">
        <v>0.22</v>
      </c>
      <c r="G1302" s="31"/>
      <c r="H1302" s="31"/>
      <c r="I1302" s="31"/>
      <c r="J1302" s="31"/>
      <c r="K1302" s="31"/>
    </row>
    <row r="1303" spans="1:11" ht="14.4" x14ac:dyDescent="0.3">
      <c r="A1303" s="28" t="str">
        <f>B1303&amp;C1303&amp;D1303&amp;E1303</f>
        <v>Uy-roʻzgʻor buyumlariToʻqimachilikOshxona uchun tekstil mahsulotlariDasturxon toʻplamlari</v>
      </c>
      <c r="B1303" s="35" t="s">
        <v>3193</v>
      </c>
      <c r="C1303" s="35" t="s">
        <v>4345</v>
      </c>
      <c r="D1303" s="35" t="s">
        <v>4562</v>
      </c>
      <c r="E1303" s="35" t="s">
        <v>4604</v>
      </c>
      <c r="F1303" s="36">
        <v>0.22</v>
      </c>
      <c r="G1303" s="31"/>
      <c r="H1303" s="31"/>
      <c r="I1303" s="31"/>
      <c r="J1303" s="31"/>
      <c r="K1303" s="31"/>
    </row>
    <row r="1304" spans="1:11" ht="14.4" x14ac:dyDescent="0.3">
      <c r="A1304" s="28" t="str">
        <f>B1304&amp;C1304&amp;D1304&amp;E1304</f>
        <v>Uy-roʻzgʻor buyumlariToʻqimachilikPardalar va karnizlarPardalar va portyerlar</v>
      </c>
      <c r="B1304" s="35" t="s">
        <v>3193</v>
      </c>
      <c r="C1304" s="35" t="s">
        <v>4345</v>
      </c>
      <c r="D1304" s="35" t="s">
        <v>4557</v>
      </c>
      <c r="E1304" s="35" t="s">
        <v>4605</v>
      </c>
      <c r="F1304" s="36">
        <v>0.22</v>
      </c>
      <c r="G1304" s="31"/>
      <c r="H1304" s="31"/>
      <c r="I1304" s="31"/>
      <c r="J1304" s="31"/>
      <c r="K1304" s="31"/>
    </row>
    <row r="1305" spans="1:11" ht="14.4" x14ac:dyDescent="0.3">
      <c r="A1305" s="28" t="str">
        <f>B1305&amp;C1305&amp;D1305&amp;E1305</f>
        <v>Uy-roʻzgʻor buyumlariToʻqimachilikOshxona uchun tekstil mahsulotlariOshxona fartuklari</v>
      </c>
      <c r="B1305" s="35" t="s">
        <v>3193</v>
      </c>
      <c r="C1305" s="35" t="s">
        <v>4345</v>
      </c>
      <c r="D1305" s="35" t="s">
        <v>4562</v>
      </c>
      <c r="E1305" s="35" t="s">
        <v>4606</v>
      </c>
      <c r="F1305" s="36">
        <v>0.22</v>
      </c>
      <c r="G1305" s="31"/>
      <c r="H1305" s="31"/>
      <c r="I1305" s="31"/>
      <c r="J1305" s="31"/>
      <c r="K1305" s="31"/>
    </row>
    <row r="1306" spans="1:11" ht="14.4" x14ac:dyDescent="0.3">
      <c r="A1306" s="28" t="str">
        <f>B1306&amp;C1306&amp;D1306&amp;E1306</f>
        <v>Uy-roʻzgʻor buyumlariToʻqimachilikGilamlar va yoʻlak gilamlariPol uchun himoya kilamchalari</v>
      </c>
      <c r="B1306" s="35" t="s">
        <v>3193</v>
      </c>
      <c r="C1306" s="35" t="s">
        <v>4345</v>
      </c>
      <c r="D1306" s="35" t="s">
        <v>4572</v>
      </c>
      <c r="E1306" s="35" t="s">
        <v>4607</v>
      </c>
      <c r="F1306" s="36">
        <v>0.22</v>
      </c>
      <c r="G1306" s="31"/>
      <c r="H1306" s="31"/>
      <c r="I1306" s="31"/>
      <c r="J1306" s="31"/>
      <c r="K1306" s="31"/>
    </row>
    <row r="1307" spans="1:11" ht="14.4" x14ac:dyDescent="0.3">
      <c r="A1307" s="28" t="str">
        <f>B1307&amp;C1307&amp;D1307&amp;E1307</f>
        <v>Uy-roʻzgʻor buyumlariOshxona buyumlariOvqat pishirish uchun idishlarQozonlar, tovalar va tajinlar</v>
      </c>
      <c r="B1307" s="35" t="s">
        <v>3193</v>
      </c>
      <c r="C1307" s="35" t="s">
        <v>3443</v>
      </c>
      <c r="D1307" s="35" t="s">
        <v>4427</v>
      </c>
      <c r="E1307" s="35" t="s">
        <v>4608</v>
      </c>
      <c r="F1307" s="36">
        <v>0.22</v>
      </c>
      <c r="G1307" s="31"/>
      <c r="H1307" s="31"/>
      <c r="I1307" s="31"/>
      <c r="J1307" s="31"/>
      <c r="K1307" s="31"/>
    </row>
    <row r="1308" spans="1:11" ht="14.4" x14ac:dyDescent="0.3">
      <c r="A1308" s="28" t="str">
        <f>B1308&amp;C1308&amp;D1308&amp;E1308</f>
        <v>Uy-roʻzgʻor buyumlariToʻqimachilikYostiqlarBolalar yostiqlari</v>
      </c>
      <c r="B1308" s="35" t="s">
        <v>3193</v>
      </c>
      <c r="C1308" s="35" t="s">
        <v>4345</v>
      </c>
      <c r="D1308" s="35" t="s">
        <v>4559</v>
      </c>
      <c r="E1308" s="35" t="s">
        <v>4609</v>
      </c>
      <c r="F1308" s="36">
        <v>0.22</v>
      </c>
      <c r="G1308" s="31"/>
      <c r="H1308" s="31"/>
      <c r="I1308" s="31"/>
      <c r="J1308" s="31"/>
      <c r="K1308" s="31"/>
    </row>
    <row r="1309" spans="1:11" ht="14.4" x14ac:dyDescent="0.3">
      <c r="A1309" s="28" t="str">
        <f>B1309&amp;C1309&amp;D1309&amp;E1309</f>
        <v>Uy-roʻzgʻor buyumlariToʻqimachilikPardalar va karnizlarKarnizlar</v>
      </c>
      <c r="B1309" s="35" t="s">
        <v>3193</v>
      </c>
      <c r="C1309" s="35" t="s">
        <v>4345</v>
      </c>
      <c r="D1309" s="35" t="s">
        <v>4557</v>
      </c>
      <c r="E1309" s="35" t="s">
        <v>4610</v>
      </c>
      <c r="F1309" s="36">
        <v>0.22</v>
      </c>
      <c r="G1309" s="31"/>
      <c r="H1309" s="31"/>
      <c r="I1309" s="31"/>
      <c r="J1309" s="31"/>
      <c r="K1309" s="31"/>
    </row>
    <row r="1310" spans="1:11" ht="14.4" x14ac:dyDescent="0.3">
      <c r="A1310" s="28" t="str">
        <f>B1310&amp;C1310&amp;D1310&amp;E1310</f>
        <v>Uy-roʻzgʻor buyumlariToʻqimachilikGilamlar va yoʻlak gilamlariGilamlar</v>
      </c>
      <c r="B1310" s="35" t="s">
        <v>3193</v>
      </c>
      <c r="C1310" s="35" t="s">
        <v>4345</v>
      </c>
      <c r="D1310" s="35" t="s">
        <v>4572</v>
      </c>
      <c r="E1310" s="35" t="s">
        <v>4611</v>
      </c>
      <c r="F1310" s="36">
        <v>0.22</v>
      </c>
      <c r="G1310" s="31"/>
      <c r="H1310" s="31"/>
      <c r="I1310" s="31"/>
      <c r="J1310" s="31"/>
      <c r="K1310" s="31"/>
    </row>
    <row r="1311" spans="1:11" ht="14.4" x14ac:dyDescent="0.3">
      <c r="A1311" s="28" t="str">
        <f>B1311&amp;C1311&amp;D1311&amp;E1311</f>
        <v>Uy-roʻzgʻor buyumlariToʻqimachilikPardalar va karnizlarFotoshtorlar</v>
      </c>
      <c r="B1311" s="35" t="s">
        <v>3193</v>
      </c>
      <c r="C1311" s="35" t="s">
        <v>4345</v>
      </c>
      <c r="D1311" s="35" t="s">
        <v>4557</v>
      </c>
      <c r="E1311" s="35" t="s">
        <v>4612</v>
      </c>
      <c r="F1311" s="36">
        <v>0.22</v>
      </c>
      <c r="G1311" s="31"/>
      <c r="H1311" s="31"/>
      <c r="I1311" s="31"/>
      <c r="J1311" s="31"/>
      <c r="K1311" s="31"/>
    </row>
    <row r="1312" spans="1:11" ht="14.4" x14ac:dyDescent="0.3">
      <c r="A1312" s="28" t="str">
        <f>B1312&amp;C1312&amp;D1312&amp;E1312</f>
        <v>Uy-roʻzgʻor buyumlariToʻqimachilikMatras qoplamalari va giʻloflarMebel uchun qoplamalar</v>
      </c>
      <c r="B1312" s="35" t="s">
        <v>3193</v>
      </c>
      <c r="C1312" s="35" t="s">
        <v>4345</v>
      </c>
      <c r="D1312" s="35" t="s">
        <v>4585</v>
      </c>
      <c r="E1312" s="35" t="s">
        <v>4613</v>
      </c>
      <c r="F1312" s="36">
        <v>0.22</v>
      </c>
      <c r="G1312" s="31"/>
      <c r="H1312" s="31"/>
      <c r="I1312" s="31"/>
      <c r="J1312" s="31"/>
      <c r="K1312" s="31"/>
    </row>
    <row r="1313" spans="1:11" ht="14.4" x14ac:dyDescent="0.3">
      <c r="A1313" s="28" t="str">
        <f>B1313&amp;C1313&amp;D1313&amp;E1313</f>
        <v>Uy-roʻzgʻor buyumlariToʻqimachilikPardalar va karnizlarJalyuzi va plisse</v>
      </c>
      <c r="B1313" s="35" t="s">
        <v>3193</v>
      </c>
      <c r="C1313" s="35" t="s">
        <v>4345</v>
      </c>
      <c r="D1313" s="35" t="s">
        <v>4557</v>
      </c>
      <c r="E1313" s="35" t="s">
        <v>4614</v>
      </c>
      <c r="F1313" s="36">
        <v>0.22</v>
      </c>
      <c r="G1313" s="31"/>
      <c r="H1313" s="31"/>
      <c r="I1313" s="31"/>
      <c r="J1313" s="31"/>
      <c r="K1313" s="31"/>
    </row>
    <row r="1314" spans="1:11" ht="14.4" x14ac:dyDescent="0.3">
      <c r="A1314" s="28" t="str">
        <f>B1314&amp;C1314&amp;D1314&amp;E1314</f>
        <v>Xobbi va ijodQoʻl ishi uchunTikuvchilikTikuv mashinasi uchun aksessuarlar</v>
      </c>
      <c r="B1314" s="35" t="s">
        <v>3195</v>
      </c>
      <c r="C1314" s="35" t="s">
        <v>4615</v>
      </c>
      <c r="D1314" s="35" t="s">
        <v>4616</v>
      </c>
      <c r="E1314" s="35" t="s">
        <v>4617</v>
      </c>
      <c r="F1314" s="36">
        <v>0.22</v>
      </c>
      <c r="G1314" s="31"/>
      <c r="H1314" s="31"/>
      <c r="I1314" s="31"/>
      <c r="J1314" s="31"/>
      <c r="K1314" s="31"/>
    </row>
    <row r="1315" spans="1:11" ht="14.4" x14ac:dyDescent="0.3">
      <c r="A1315" s="28" t="str">
        <f>B1315&amp;C1315&amp;D1315&amp;E1315</f>
        <v>Xobbi va ijodRasmlar, foto ramkalar, otkritkalar yasashMavzuli rasmlarOdamlar</v>
      </c>
      <c r="B1315" s="35" t="s">
        <v>3195</v>
      </c>
      <c r="C1315" s="35" t="s">
        <v>4618</v>
      </c>
      <c r="D1315" s="35" t="s">
        <v>4619</v>
      </c>
      <c r="E1315" s="35" t="s">
        <v>4620</v>
      </c>
      <c r="F1315" s="36">
        <v>0.22</v>
      </c>
      <c r="G1315" s="31"/>
      <c r="H1315" s="31"/>
      <c r="I1315" s="31"/>
      <c r="J1315" s="31"/>
      <c r="K1315" s="31"/>
    </row>
    <row r="1316" spans="1:11" ht="14.4" x14ac:dyDescent="0.3">
      <c r="A1316" s="28" t="str">
        <f>B1316&amp;C1316&amp;D1316&amp;E1316</f>
        <v>Xobbi va ijodStol va karta oʻyinlariOʻyin kartalariOʻyin kartalari</v>
      </c>
      <c r="B1316" s="35" t="s">
        <v>3195</v>
      </c>
      <c r="C1316" s="35" t="s">
        <v>4621</v>
      </c>
      <c r="D1316" s="35" t="s">
        <v>4622</v>
      </c>
      <c r="E1316" s="35" t="s">
        <v>4622</v>
      </c>
      <c r="F1316" s="36">
        <v>0.22</v>
      </c>
      <c r="G1316" s="31"/>
      <c r="H1316" s="31"/>
      <c r="I1316" s="31"/>
      <c r="J1316" s="31"/>
      <c r="K1316" s="31"/>
    </row>
    <row r="1317" spans="1:11" ht="14.4" x14ac:dyDescent="0.3">
      <c r="A1317" s="28" t="str">
        <f>B1317&amp;C1317&amp;D1317&amp;E1317</f>
        <v>Xobbi va ijodPazl, mozaika va freskaQum bilan chizish uchun toʻplamlarQum bilan chizish uchun toʻplamlar</v>
      </c>
      <c r="B1317" s="35" t="s">
        <v>3195</v>
      </c>
      <c r="C1317" s="35" t="s">
        <v>4623</v>
      </c>
      <c r="D1317" s="35" t="s">
        <v>4624</v>
      </c>
      <c r="E1317" s="35" t="s">
        <v>4624</v>
      </c>
      <c r="F1317" s="36">
        <v>0.22</v>
      </c>
      <c r="G1317" s="31"/>
      <c r="H1317" s="31"/>
      <c r="I1317" s="31"/>
      <c r="J1317" s="31"/>
      <c r="K1317" s="31"/>
    </row>
    <row r="1318" spans="1:11" ht="14.4" x14ac:dyDescent="0.3">
      <c r="A1318" s="28" t="str">
        <f>B1318&amp;C1318&amp;D1318&amp;E1318</f>
        <v>Xobbi va ijodPazl, mozaika va freskaPazllarPazllar</v>
      </c>
      <c r="B1318" s="35" t="s">
        <v>3195</v>
      </c>
      <c r="C1318" s="35" t="s">
        <v>4623</v>
      </c>
      <c r="D1318" s="35" t="s">
        <v>4625</v>
      </c>
      <c r="E1318" s="35" t="s">
        <v>4625</v>
      </c>
      <c r="F1318" s="36">
        <v>0.22</v>
      </c>
      <c r="G1318" s="31"/>
      <c r="H1318" s="31"/>
      <c r="I1318" s="31"/>
      <c r="J1318" s="31"/>
      <c r="K1318" s="31"/>
    </row>
    <row r="1319" spans="1:11" ht="14.4" x14ac:dyDescent="0.3">
      <c r="A1319" s="28" t="str">
        <f>B1319&amp;C1319&amp;D1319&amp;E1319</f>
        <v>Xobbi va ijodRasm chizishChizish uchun planshetlarChizish uchun planshetlar</v>
      </c>
      <c r="B1319" s="35" t="s">
        <v>3195</v>
      </c>
      <c r="C1319" s="35" t="s">
        <v>4626</v>
      </c>
      <c r="D1319" s="35" t="s">
        <v>4627</v>
      </c>
      <c r="E1319" s="35" t="s">
        <v>4627</v>
      </c>
      <c r="F1319" s="36">
        <v>0.22</v>
      </c>
      <c r="G1319" s="31"/>
      <c r="H1319" s="31"/>
      <c r="I1319" s="31"/>
      <c r="J1319" s="31"/>
      <c r="K1319" s="31"/>
    </row>
    <row r="1320" spans="1:11" ht="14.4" x14ac:dyDescent="0.3">
      <c r="A1320" s="28" t="str">
        <f>B1320&amp;C1320&amp;D1320&amp;E1320</f>
        <v>Xobbi va ijodQoʻl ishi uchunTikuvchilikZamoklar</v>
      </c>
      <c r="B1320" s="35" t="s">
        <v>3195</v>
      </c>
      <c r="C1320" s="35" t="s">
        <v>4615</v>
      </c>
      <c r="D1320" s="35" t="s">
        <v>4616</v>
      </c>
      <c r="E1320" s="35" t="s">
        <v>4628</v>
      </c>
      <c r="F1320" s="36">
        <v>0.22</v>
      </c>
      <c r="G1320" s="31"/>
      <c r="H1320" s="31"/>
      <c r="I1320" s="31"/>
      <c r="J1320" s="31"/>
      <c r="K1320" s="31"/>
    </row>
    <row r="1321" spans="1:11" ht="14.4" x14ac:dyDescent="0.3">
      <c r="A1321" s="28" t="str">
        <f>B1321&amp;C1321&amp;D1321&amp;E1321</f>
        <v>Xobbi va ijodRasmlar, foto ramkalar, otkritkalar yasashMavzuli rasmlarKino va multfilmlar</v>
      </c>
      <c r="B1321" s="35" t="s">
        <v>3195</v>
      </c>
      <c r="C1321" s="35" t="s">
        <v>4618</v>
      </c>
      <c r="D1321" s="35" t="s">
        <v>4619</v>
      </c>
      <c r="E1321" s="35" t="s">
        <v>4629</v>
      </c>
      <c r="F1321" s="36">
        <v>0.22</v>
      </c>
      <c r="G1321" s="31"/>
      <c r="H1321" s="31"/>
      <c r="I1321" s="31"/>
      <c r="J1321" s="31"/>
      <c r="K1321" s="31"/>
    </row>
    <row r="1322" spans="1:11" ht="14.4" x14ac:dyDescent="0.3">
      <c r="A1322" s="28" t="str">
        <f>B1322&amp;C1322&amp;D1322&amp;E1322</f>
        <v>Xobbi va ijodQoʻl ishi uchunTikuvchilikTexnik tasmalar</v>
      </c>
      <c r="B1322" s="35" t="s">
        <v>3195</v>
      </c>
      <c r="C1322" s="35" t="s">
        <v>4615</v>
      </c>
      <c r="D1322" s="35" t="s">
        <v>4616</v>
      </c>
      <c r="E1322" s="35" t="s">
        <v>4630</v>
      </c>
      <c r="F1322" s="36">
        <v>0.22</v>
      </c>
      <c r="G1322" s="31"/>
      <c r="H1322" s="31"/>
      <c r="I1322" s="31"/>
      <c r="J1322" s="31"/>
      <c r="K1322" s="31"/>
    </row>
    <row r="1323" spans="1:11" ht="14.4" x14ac:dyDescent="0.3">
      <c r="A1323" s="28" t="str">
        <f>B1323&amp;C1323&amp;D1323&amp;E1323</f>
        <v>Xobbi va ijodBoshqa xobbilarSham yasashSham yasash</v>
      </c>
      <c r="B1323" s="35" t="s">
        <v>3195</v>
      </c>
      <c r="C1323" s="35" t="s">
        <v>4631</v>
      </c>
      <c r="D1323" s="35" t="s">
        <v>4632</v>
      </c>
      <c r="E1323" s="35" t="s">
        <v>4632</v>
      </c>
      <c r="F1323" s="36">
        <v>0.22</v>
      </c>
      <c r="G1323" s="31"/>
      <c r="H1323" s="31"/>
      <c r="I1323" s="31"/>
      <c r="J1323" s="31"/>
      <c r="K1323" s="31"/>
    </row>
    <row r="1324" spans="1:11" ht="14.4" x14ac:dyDescent="0.3">
      <c r="A1324" s="28" t="str">
        <f>B1324&amp;C1324&amp;D1324&amp;E1324</f>
        <v>Xobbi va ijodPazl, mozaika va freskaOlmos mozaikalarOlmos mozaikalar</v>
      </c>
      <c r="B1324" s="35" t="s">
        <v>3195</v>
      </c>
      <c r="C1324" s="35" t="s">
        <v>4623</v>
      </c>
      <c r="D1324" s="35" t="s">
        <v>4633</v>
      </c>
      <c r="E1324" s="35" t="s">
        <v>4633</v>
      </c>
      <c r="F1324" s="36">
        <v>0.22</v>
      </c>
      <c r="G1324" s="31"/>
      <c r="H1324" s="31"/>
      <c r="I1324" s="31"/>
      <c r="J1324" s="31"/>
      <c r="K1324" s="31"/>
    </row>
    <row r="1325" spans="1:11" ht="14.4" x14ac:dyDescent="0.3">
      <c r="A1325" s="28" t="str">
        <f>B1325&amp;C1325&amp;D1325&amp;E1325</f>
        <v>Xobbi va ijodStol va karta oʻyinlariStol va karta o'yinlari uchun aksessuarlarStol va karta o'yinlari uchun aksessuarlar</v>
      </c>
      <c r="B1325" s="35" t="s">
        <v>3195</v>
      </c>
      <c r="C1325" s="35" t="s">
        <v>4621</v>
      </c>
      <c r="D1325" s="35" t="s">
        <v>4634</v>
      </c>
      <c r="E1325" s="35" t="s">
        <v>4634</v>
      </c>
      <c r="F1325" s="36">
        <v>0.22</v>
      </c>
      <c r="G1325" s="31"/>
      <c r="H1325" s="31"/>
      <c r="I1325" s="31"/>
      <c r="J1325" s="31"/>
      <c r="K1325" s="31"/>
    </row>
    <row r="1326" spans="1:11" ht="14.4" x14ac:dyDescent="0.3">
      <c r="A1326" s="28" t="str">
        <f>B1326&amp;C1326&amp;D1326&amp;E1326</f>
        <v>Xobbi va ijodQoʻl ishi uchunToʻqishToʻqish uchun boshqa aksessuarlar</v>
      </c>
      <c r="B1326" s="35" t="s">
        <v>3195</v>
      </c>
      <c r="C1326" s="35" t="s">
        <v>4615</v>
      </c>
      <c r="D1326" s="35" t="s">
        <v>4635</v>
      </c>
      <c r="E1326" s="35" t="s">
        <v>4636</v>
      </c>
      <c r="F1326" s="36">
        <v>0.22</v>
      </c>
      <c r="G1326" s="31"/>
      <c r="H1326" s="31"/>
      <c r="I1326" s="31"/>
      <c r="J1326" s="31"/>
      <c r="K1326" s="31"/>
    </row>
    <row r="1327" spans="1:11" ht="14.4" x14ac:dyDescent="0.3">
      <c r="A1327" s="28" t="str">
        <f>B1327&amp;C1327&amp;D1327&amp;E1327</f>
        <v>Xobbi va ijodBoshqa xobbilarModellashtirishModellashtirish</v>
      </c>
      <c r="B1327" s="35" t="s">
        <v>3195</v>
      </c>
      <c r="C1327" s="35" t="s">
        <v>4631</v>
      </c>
      <c r="D1327" s="35" t="s">
        <v>4637</v>
      </c>
      <c r="E1327" s="35" t="s">
        <v>4637</v>
      </c>
      <c r="F1327" s="36">
        <v>0.22</v>
      </c>
      <c r="G1327" s="31"/>
      <c r="H1327" s="31"/>
      <c r="I1327" s="31"/>
      <c r="J1327" s="31"/>
      <c r="K1327" s="31"/>
    </row>
    <row r="1328" spans="1:11" ht="14.4" x14ac:dyDescent="0.3">
      <c r="A1328" s="28" t="str">
        <f>B1328&amp;C1328&amp;D1328&amp;E1328</f>
        <v>Xobbi va ijodStol va karta oʻyinlariShaxmatlar, shashkalar, nardalarShaxmatlar, shashkalar, nardalar</v>
      </c>
      <c r="B1328" s="35" t="s">
        <v>3195</v>
      </c>
      <c r="C1328" s="35" t="s">
        <v>4621</v>
      </c>
      <c r="D1328" s="35" t="s">
        <v>4638</v>
      </c>
      <c r="E1328" s="35" t="s">
        <v>4638</v>
      </c>
      <c r="F1328" s="36">
        <v>0.22</v>
      </c>
      <c r="G1328" s="31"/>
      <c r="H1328" s="31"/>
      <c r="I1328" s="31"/>
      <c r="J1328" s="31"/>
      <c r="K1328" s="31"/>
    </row>
    <row r="1329" spans="1:11" ht="14.4" x14ac:dyDescent="0.3">
      <c r="A1329" s="28" t="str">
        <f>B1329&amp;C1329&amp;D1329&amp;E1329</f>
        <v>Xobbi va ijodQoʻl ishi uchunTikuvchilikDekorativ lentalar</v>
      </c>
      <c r="B1329" s="35" t="s">
        <v>3195</v>
      </c>
      <c r="C1329" s="35" t="s">
        <v>4615</v>
      </c>
      <c r="D1329" s="35" t="s">
        <v>4616</v>
      </c>
      <c r="E1329" s="35" t="s">
        <v>4639</v>
      </c>
      <c r="F1329" s="36">
        <v>0.22</v>
      </c>
      <c r="G1329" s="31"/>
      <c r="H1329" s="31"/>
      <c r="I1329" s="31"/>
      <c r="J1329" s="31"/>
      <c r="K1329" s="31"/>
    </row>
    <row r="1330" spans="1:11" ht="14.4" x14ac:dyDescent="0.3">
      <c r="A1330" s="28" t="str">
        <f>B1330&amp;C1330&amp;D1330&amp;E1330</f>
        <v>Xobbi va ijodQoʻl ishi uchunToʻqishIp</v>
      </c>
      <c r="B1330" s="35" t="s">
        <v>3195</v>
      </c>
      <c r="C1330" s="35" t="s">
        <v>4615</v>
      </c>
      <c r="D1330" s="35" t="s">
        <v>4635</v>
      </c>
      <c r="E1330" s="35" t="s">
        <v>4640</v>
      </c>
      <c r="F1330" s="36">
        <v>0.22</v>
      </c>
      <c r="G1330" s="31"/>
      <c r="H1330" s="31"/>
      <c r="I1330" s="31"/>
      <c r="J1330" s="31"/>
      <c r="K1330" s="31"/>
    </row>
    <row r="1331" spans="1:11" ht="14.4" x14ac:dyDescent="0.3">
      <c r="A1331" s="28" t="str">
        <f>B1331&amp;C1331&amp;D1331&amp;E1331</f>
        <v>Xobbi va ijodRasm chizishYordamchi suyuqliklarYordamchi suyuqliklar</v>
      </c>
      <c r="B1331" s="35" t="s">
        <v>3195</v>
      </c>
      <c r="C1331" s="35" t="s">
        <v>4626</v>
      </c>
      <c r="D1331" s="35" t="s">
        <v>4641</v>
      </c>
      <c r="E1331" s="35" t="s">
        <v>4641</v>
      </c>
      <c r="F1331" s="36">
        <v>0.22</v>
      </c>
      <c r="G1331" s="31"/>
      <c r="H1331" s="31"/>
      <c r="I1331" s="31"/>
      <c r="J1331" s="31"/>
      <c r="K1331" s="31"/>
    </row>
    <row r="1332" spans="1:11" ht="14.4" x14ac:dyDescent="0.3">
      <c r="A1332" s="28" t="str">
        <f>B1332&amp;C1332&amp;D1332&amp;E1332</f>
        <v>Xobbi va ijodLepkaPolimer loyPolimer loy</v>
      </c>
      <c r="B1332" s="35" t="s">
        <v>3195</v>
      </c>
      <c r="C1332" s="35" t="s">
        <v>3284</v>
      </c>
      <c r="D1332" s="35" t="s">
        <v>4642</v>
      </c>
      <c r="E1332" s="35" t="s">
        <v>4642</v>
      </c>
      <c r="F1332" s="36">
        <v>0.22</v>
      </c>
      <c r="G1332" s="31"/>
      <c r="H1332" s="31"/>
      <c r="I1332" s="31"/>
      <c r="J1332" s="31"/>
      <c r="K1332" s="31"/>
    </row>
    <row r="1333" spans="1:11" ht="14.4" x14ac:dyDescent="0.3">
      <c r="A1333" s="28" t="str">
        <f>B1333&amp;C1333&amp;D1333&amp;E1333</f>
        <v>Xobbi va ijodQoʻl ishi uchunTeriga ishlov berishTeriga ishlov berish</v>
      </c>
      <c r="B1333" s="35" t="s">
        <v>3195</v>
      </c>
      <c r="C1333" s="35" t="s">
        <v>4615</v>
      </c>
      <c r="D1333" s="35" t="s">
        <v>4643</v>
      </c>
      <c r="E1333" s="35" t="s">
        <v>4643</v>
      </c>
      <c r="F1333" s="36">
        <v>0.22</v>
      </c>
      <c r="G1333" s="31"/>
      <c r="H1333" s="31"/>
      <c r="I1333" s="31"/>
      <c r="J1333" s="31"/>
      <c r="K1333" s="31"/>
    </row>
    <row r="1334" spans="1:11" ht="14.4" x14ac:dyDescent="0.3">
      <c r="A1334" s="28" t="str">
        <f>B1334&amp;C1334&amp;D1334&amp;E1334</f>
        <v>Xobbi va ijodRasm chizishChizmachilik toʻplamlariChizmachilik toʻplamlari</v>
      </c>
      <c r="B1334" s="35" t="s">
        <v>3195</v>
      </c>
      <c r="C1334" s="35" t="s">
        <v>4626</v>
      </c>
      <c r="D1334" s="35" t="s">
        <v>4644</v>
      </c>
      <c r="E1334" s="35" t="s">
        <v>4644</v>
      </c>
      <c r="F1334" s="36">
        <v>0.22</v>
      </c>
      <c r="G1334" s="31"/>
      <c r="H1334" s="31"/>
      <c r="I1334" s="31"/>
      <c r="J1334" s="31"/>
      <c r="K1334" s="31"/>
    </row>
    <row r="1335" spans="1:11" ht="14.4" x14ac:dyDescent="0.3">
      <c r="A1335" s="28" t="str">
        <f>B1335&amp;C1335&amp;D1335&amp;E1335</f>
        <v>Xobbi va ijodLepkaLepka uchun gips va massaLepka uchun gips va massa</v>
      </c>
      <c r="B1335" s="35" t="s">
        <v>3195</v>
      </c>
      <c r="C1335" s="35" t="s">
        <v>3284</v>
      </c>
      <c r="D1335" s="35" t="s">
        <v>4645</v>
      </c>
      <c r="E1335" s="35" t="s">
        <v>4645</v>
      </c>
      <c r="F1335" s="36">
        <v>0.22</v>
      </c>
      <c r="G1335" s="31"/>
      <c r="H1335" s="31"/>
      <c r="I1335" s="31"/>
      <c r="J1335" s="31"/>
      <c r="K1335" s="31"/>
    </row>
    <row r="1336" spans="1:11" ht="14.4" x14ac:dyDescent="0.3">
      <c r="A1336" s="28" t="str">
        <f>B1336&amp;C1336&amp;D1336&amp;E1336</f>
        <v>Xobbi va ijodMusiqiy asboblarZarbali va chertib chalinadigan musiqa asboblariZarbali va chertib chalinadigan musiqa asboblari</v>
      </c>
      <c r="B1336" s="35" t="s">
        <v>3195</v>
      </c>
      <c r="C1336" s="35" t="s">
        <v>4646</v>
      </c>
      <c r="D1336" s="35" t="s">
        <v>4647</v>
      </c>
      <c r="E1336" s="35" t="s">
        <v>4647</v>
      </c>
      <c r="F1336" s="36">
        <v>0.22</v>
      </c>
      <c r="G1336" s="31"/>
      <c r="H1336" s="31"/>
      <c r="I1336" s="31"/>
      <c r="J1336" s="31"/>
      <c r="K1336" s="31"/>
    </row>
    <row r="1337" spans="1:11" ht="14.4" x14ac:dyDescent="0.3">
      <c r="A1337" s="28" t="str">
        <f>B1337&amp;C1337&amp;D1337&amp;E1337</f>
        <v>Xobbi va ijodQoʻl ishi uchunTikuvchilikIgnalar</v>
      </c>
      <c r="B1337" s="35" t="s">
        <v>3195</v>
      </c>
      <c r="C1337" s="35" t="s">
        <v>4615</v>
      </c>
      <c r="D1337" s="35" t="s">
        <v>4616</v>
      </c>
      <c r="E1337" s="35" t="s">
        <v>4648</v>
      </c>
      <c r="F1337" s="36">
        <v>0.22</v>
      </c>
      <c r="G1337" s="31"/>
      <c r="H1337" s="31"/>
      <c r="I1337" s="31"/>
      <c r="J1337" s="31"/>
      <c r="K1337" s="31"/>
    </row>
    <row r="1338" spans="1:11" ht="14.4" x14ac:dyDescent="0.3">
      <c r="A1338" s="28" t="str">
        <f>B1338&amp;C1338&amp;D1338&amp;E1338</f>
        <v>Xobbi va ijodRasmlar, foto ramkalar, otkritkalar yasashOtkritka yasash uchun toʻplamlarOtkritka yasash uchun toʻplamlar</v>
      </c>
      <c r="B1338" s="35" t="s">
        <v>3195</v>
      </c>
      <c r="C1338" s="35" t="s">
        <v>4618</v>
      </c>
      <c r="D1338" s="35" t="s">
        <v>4649</v>
      </c>
      <c r="E1338" s="35" t="s">
        <v>4649</v>
      </c>
      <c r="F1338" s="36">
        <v>0.22</v>
      </c>
      <c r="G1338" s="31"/>
      <c r="H1338" s="31"/>
      <c r="I1338" s="31"/>
      <c r="J1338" s="31"/>
      <c r="K1338" s="31"/>
    </row>
    <row r="1339" spans="1:11" ht="14.4" x14ac:dyDescent="0.3">
      <c r="A1339" s="28" t="str">
        <f>B1339&amp;C1339&amp;D1339&amp;E1339</f>
        <v>Xobbi va ijodFol ochish va ezoterikaFol ochish kartalariFol ochish kartalari</v>
      </c>
      <c r="B1339" s="35" t="s">
        <v>3195</v>
      </c>
      <c r="C1339" s="35" t="s">
        <v>4650</v>
      </c>
      <c r="D1339" s="35" t="s">
        <v>4651</v>
      </c>
      <c r="E1339" s="35" t="s">
        <v>4651</v>
      </c>
      <c r="F1339" s="36">
        <v>0.22</v>
      </c>
      <c r="G1339" s="31"/>
      <c r="H1339" s="31"/>
      <c r="I1339" s="31"/>
      <c r="J1339" s="31"/>
      <c r="K1339" s="31"/>
    </row>
    <row r="1340" spans="1:11" ht="14.4" x14ac:dyDescent="0.3">
      <c r="A1340" s="28" t="str">
        <f>B1340&amp;C1340&amp;D1340&amp;E1340</f>
        <v>Xobbi va ijodLepkaSlepkalar yaratish uchun toʻplamlarSlepkalar yaratish uchun toʻplamlar</v>
      </c>
      <c r="B1340" s="35" t="s">
        <v>3195</v>
      </c>
      <c r="C1340" s="35" t="s">
        <v>3284</v>
      </c>
      <c r="D1340" s="35" t="s">
        <v>4652</v>
      </c>
      <c r="E1340" s="37" t="s">
        <v>4652</v>
      </c>
      <c r="F1340" s="36">
        <v>0.22</v>
      </c>
      <c r="G1340" s="31"/>
      <c r="H1340" s="31"/>
      <c r="I1340" s="31"/>
      <c r="J1340" s="31"/>
      <c r="K1340" s="31"/>
    </row>
    <row r="1341" spans="1:11" ht="14.4" x14ac:dyDescent="0.3">
      <c r="A1341" s="28" t="str">
        <f>B1341&amp;C1341&amp;D1341&amp;E1341</f>
        <v>Xobbi va ijodBoshqa xobbilarApplikatsiyaApplikatsiya</v>
      </c>
      <c r="B1341" s="35" t="s">
        <v>3195</v>
      </c>
      <c r="C1341" s="35" t="s">
        <v>4631</v>
      </c>
      <c r="D1341" s="35" t="s">
        <v>4653</v>
      </c>
      <c r="E1341" s="37" t="s">
        <v>4653</v>
      </c>
      <c r="F1341" s="36">
        <v>0.22</v>
      </c>
      <c r="G1341" s="31"/>
      <c r="H1341" s="31"/>
      <c r="I1341" s="31"/>
      <c r="J1341" s="31"/>
      <c r="K1341" s="31"/>
    </row>
    <row r="1342" spans="1:11" ht="14.4" x14ac:dyDescent="0.3">
      <c r="A1342" s="28" t="str">
        <f>B1342&amp;C1342&amp;D1342&amp;E1342</f>
        <v>Xobbi va ijodQoʻl ishi uchunPechvork va kviltingPechvork va kvilting</v>
      </c>
      <c r="B1342" s="35" t="s">
        <v>3195</v>
      </c>
      <c r="C1342" s="35" t="s">
        <v>4615</v>
      </c>
      <c r="D1342" s="35" t="s">
        <v>4654</v>
      </c>
      <c r="E1342" s="35" t="s">
        <v>4654</v>
      </c>
      <c r="F1342" s="36">
        <v>0.22</v>
      </c>
      <c r="G1342" s="31"/>
      <c r="H1342" s="31"/>
      <c r="I1342" s="31"/>
      <c r="J1342" s="31"/>
      <c r="K1342" s="31"/>
    </row>
    <row r="1343" spans="1:11" ht="14.4" x14ac:dyDescent="0.3">
      <c r="A1343" s="28" t="str">
        <f>B1343&amp;C1343&amp;D1343&amp;E1343</f>
        <v>Xobbi va ijodFol ochish va ezoterikaFol ochish uchun aksessuarlar va atributkalarFol ochish uchun aksessuarlar va atributkalar</v>
      </c>
      <c r="B1343" s="35" t="s">
        <v>3195</v>
      </c>
      <c r="C1343" s="35" t="s">
        <v>4650</v>
      </c>
      <c r="D1343" s="35" t="s">
        <v>4655</v>
      </c>
      <c r="E1343" s="35" t="s">
        <v>4655</v>
      </c>
      <c r="F1343" s="36">
        <v>0.22</v>
      </c>
      <c r="G1343" s="31"/>
      <c r="H1343" s="31"/>
      <c r="I1343" s="31"/>
      <c r="J1343" s="31"/>
      <c r="K1343" s="31"/>
    </row>
    <row r="1344" spans="1:11" ht="14.4" x14ac:dyDescent="0.3">
      <c r="A1344" s="28" t="str">
        <f>B1344&amp;C1344&amp;D1344&amp;E1344</f>
        <v>Xobbi va ijodFol ochish va ezoterikaSehrli aksessuarlar va materiallarSehrli aksessuarlar va materiallar</v>
      </c>
      <c r="B1344" s="35" t="s">
        <v>3195</v>
      </c>
      <c r="C1344" s="35" t="s">
        <v>4650</v>
      </c>
      <c r="D1344" s="35" t="s">
        <v>4656</v>
      </c>
      <c r="E1344" s="35" t="s">
        <v>4656</v>
      </c>
      <c r="F1344" s="36">
        <v>0.22</v>
      </c>
      <c r="G1344" s="31"/>
      <c r="H1344" s="31"/>
      <c r="I1344" s="31"/>
      <c r="J1344" s="31"/>
      <c r="K1344" s="31"/>
    </row>
    <row r="1345" spans="1:11" ht="14.4" x14ac:dyDescent="0.3">
      <c r="A1345" s="28" t="str">
        <f>B1345&amp;C1345&amp;D1345&amp;E1345</f>
        <v>Xobbi va ijodFol ochish va ezoterikaRunalarRunalar</v>
      </c>
      <c r="B1345" s="35" t="s">
        <v>3195</v>
      </c>
      <c r="C1345" s="35" t="s">
        <v>4650</v>
      </c>
      <c r="D1345" s="35" t="s">
        <v>4657</v>
      </c>
      <c r="E1345" s="35" t="s">
        <v>4657</v>
      </c>
      <c r="F1345" s="36">
        <v>0.22</v>
      </c>
      <c r="G1345" s="31"/>
      <c r="H1345" s="31"/>
      <c r="I1345" s="31"/>
      <c r="J1345" s="31"/>
      <c r="K1345" s="31"/>
    </row>
    <row r="1346" spans="1:11" ht="14.4" x14ac:dyDescent="0.3">
      <c r="A1346" s="28" t="str">
        <f>B1346&amp;C1346&amp;D1346&amp;E1346</f>
        <v>Xobbi va ijodBoshqa xobbilarDekupajDekupaj</v>
      </c>
      <c r="B1346" s="35" t="s">
        <v>3195</v>
      </c>
      <c r="C1346" s="35" t="s">
        <v>4631</v>
      </c>
      <c r="D1346" s="35" t="s">
        <v>4658</v>
      </c>
      <c r="E1346" s="35" t="s">
        <v>4658</v>
      </c>
      <c r="F1346" s="36">
        <v>0.22</v>
      </c>
      <c r="G1346" s="31"/>
      <c r="H1346" s="31"/>
      <c r="I1346" s="31"/>
      <c r="J1346" s="31"/>
      <c r="K1346" s="31"/>
    </row>
    <row r="1347" spans="1:11" ht="14.4" x14ac:dyDescent="0.3">
      <c r="A1347" s="28" t="str">
        <f>B1347&amp;C1347&amp;D1347&amp;E1347</f>
        <v>Xobbi va ijodQoʻl ishi uchunOʻyinchoqlar yasashOʻyinchoqlar yasash</v>
      </c>
      <c r="B1347" s="35" t="s">
        <v>3195</v>
      </c>
      <c r="C1347" s="35" t="s">
        <v>4615</v>
      </c>
      <c r="D1347" s="35" t="s">
        <v>4659</v>
      </c>
      <c r="E1347" s="35" t="s">
        <v>4659</v>
      </c>
      <c r="F1347" s="36">
        <v>0.22</v>
      </c>
      <c r="G1347" s="31"/>
      <c r="H1347" s="31"/>
      <c r="I1347" s="31"/>
      <c r="J1347" s="31"/>
      <c r="K1347" s="31"/>
    </row>
    <row r="1348" spans="1:11" ht="14.4" x14ac:dyDescent="0.3">
      <c r="A1348" s="28" t="str">
        <f>B1348&amp;C1348&amp;D1348&amp;E1348</f>
        <v>Xobbi va ijodBoshqa xobbilarKolleksiya yigʻishKolleksiya yigʻish</v>
      </c>
      <c r="B1348" s="35" t="s">
        <v>3195</v>
      </c>
      <c r="C1348" s="35" t="s">
        <v>4631</v>
      </c>
      <c r="D1348" s="35" t="s">
        <v>4660</v>
      </c>
      <c r="E1348" s="35" t="s">
        <v>4660</v>
      </c>
      <c r="F1348" s="36">
        <v>0.22</v>
      </c>
      <c r="G1348" s="31"/>
      <c r="H1348" s="31"/>
      <c r="I1348" s="31"/>
      <c r="J1348" s="31"/>
      <c r="K1348" s="31"/>
    </row>
    <row r="1349" spans="1:11" ht="14.4" x14ac:dyDescent="0.3">
      <c r="A1349" s="28" t="str">
        <f>B1349&amp;C1349&amp;D1349&amp;E1349</f>
        <v>Xobbi va ijodRasmlar, foto ramkalar, otkritkalar yasashMavzuli rasmlarPeyzajlar va tabiat</v>
      </c>
      <c r="B1349" s="35" t="s">
        <v>3195</v>
      </c>
      <c r="C1349" s="35" t="s">
        <v>4618</v>
      </c>
      <c r="D1349" s="35" t="s">
        <v>4619</v>
      </c>
      <c r="E1349" s="35" t="s">
        <v>4661</v>
      </c>
      <c r="F1349" s="36">
        <v>0.22</v>
      </c>
      <c r="G1349" s="31"/>
      <c r="H1349" s="31"/>
      <c r="I1349" s="31"/>
      <c r="J1349" s="31"/>
      <c r="K1349" s="31"/>
    </row>
    <row r="1350" spans="1:11" ht="14.4" x14ac:dyDescent="0.3">
      <c r="A1350" s="28" t="str">
        <f>B1350&amp;C1350&amp;D1350&amp;E1350</f>
        <v>Xobbi va ijodBoshqa xobbilarEpoksid qatroniEpoksid qatroni</v>
      </c>
      <c r="B1350" s="35" t="s">
        <v>3195</v>
      </c>
      <c r="C1350" s="35" t="s">
        <v>4631</v>
      </c>
      <c r="D1350" s="35" t="s">
        <v>4662</v>
      </c>
      <c r="E1350" s="35" t="s">
        <v>4662</v>
      </c>
      <c r="F1350" s="36">
        <v>0.22</v>
      </c>
      <c r="G1350" s="31"/>
      <c r="H1350" s="31"/>
      <c r="I1350" s="31"/>
      <c r="J1350" s="31"/>
      <c r="K1350" s="31"/>
    </row>
    <row r="1351" spans="1:11" ht="14.4" x14ac:dyDescent="0.3">
      <c r="A1351" s="28" t="str">
        <f>B1351&amp;C1351&amp;D1351&amp;E1351</f>
        <v>Xobbi va ijodQoʻl ishi uchunBoshqa hunarmandchilik buyumlariBoshqa hunarmandchilik buyumlari</v>
      </c>
      <c r="B1351" s="35" t="s">
        <v>3195</v>
      </c>
      <c r="C1351" s="35" t="s">
        <v>4615</v>
      </c>
      <c r="D1351" s="35" t="s">
        <v>4663</v>
      </c>
      <c r="E1351" s="35" t="s">
        <v>4663</v>
      </c>
      <c r="F1351" s="36">
        <v>0.22</v>
      </c>
      <c r="G1351" s="31"/>
      <c r="H1351" s="31"/>
      <c r="I1351" s="31"/>
      <c r="J1351" s="31"/>
      <c r="K1351" s="31"/>
    </row>
    <row r="1352" spans="1:11" ht="14.4" x14ac:dyDescent="0.3">
      <c r="A1352" s="28" t="str">
        <f>B1352&amp;C1352&amp;D1352&amp;E1352</f>
        <v>Xobbi va ijodRasm chizishChoʻtkalarChoʻtkalar</v>
      </c>
      <c r="B1352" s="35" t="s">
        <v>3195</v>
      </c>
      <c r="C1352" s="35" t="s">
        <v>4626</v>
      </c>
      <c r="D1352" s="35" t="s">
        <v>3783</v>
      </c>
      <c r="E1352" s="35" t="s">
        <v>3783</v>
      </c>
      <c r="F1352" s="36">
        <v>0.22</v>
      </c>
      <c r="G1352" s="31"/>
      <c r="H1352" s="31"/>
      <c r="I1352" s="31"/>
      <c r="J1352" s="31"/>
      <c r="K1352" s="31"/>
    </row>
    <row r="1353" spans="1:11" ht="14.4" x14ac:dyDescent="0.3">
      <c r="A1353" s="28" t="str">
        <f>B1353&amp;C1353&amp;D1353&amp;E1353</f>
        <v>Xobbi va ijodQoʻl ishi uchunToʻqishSpitsalar va ilgaklar</v>
      </c>
      <c r="B1353" s="35" t="s">
        <v>3195</v>
      </c>
      <c r="C1353" s="35" t="s">
        <v>4615</v>
      </c>
      <c r="D1353" s="35" t="s">
        <v>4635</v>
      </c>
      <c r="E1353" s="35" t="s">
        <v>4664</v>
      </c>
      <c r="F1353" s="36">
        <v>0.22</v>
      </c>
      <c r="G1353" s="31"/>
      <c r="H1353" s="31"/>
      <c r="I1353" s="31"/>
      <c r="J1353" s="31"/>
      <c r="K1353" s="31"/>
    </row>
    <row r="1354" spans="1:11" ht="14.4" x14ac:dyDescent="0.3">
      <c r="A1354" s="28" t="str">
        <f>B1354&amp;C1354&amp;D1354&amp;E1354</f>
        <v>Xobbi va ijodRasmlar, foto ramkalar, otkritkalar yasashMavzuli rasmlarHayvonlar va qushlar</v>
      </c>
      <c r="B1354" s="35" t="s">
        <v>3195</v>
      </c>
      <c r="C1354" s="35" t="s">
        <v>4618</v>
      </c>
      <c r="D1354" s="35" t="s">
        <v>4619</v>
      </c>
      <c r="E1354" s="35" t="s">
        <v>4665</v>
      </c>
      <c r="F1354" s="36">
        <v>0.22</v>
      </c>
      <c r="G1354" s="31"/>
      <c r="H1354" s="31"/>
      <c r="I1354" s="31"/>
      <c r="J1354" s="31"/>
      <c r="K1354" s="31"/>
    </row>
    <row r="1355" spans="1:11" ht="14.4" x14ac:dyDescent="0.3">
      <c r="A1355" s="28" t="str">
        <f>B1355&amp;C1355&amp;D1355&amp;E1355</f>
        <v>Xobbi va ijodQoʻl ishi uchunTikuvchilikAsboblar</v>
      </c>
      <c r="B1355" s="35" t="s">
        <v>3195</v>
      </c>
      <c r="C1355" s="35" t="s">
        <v>4615</v>
      </c>
      <c r="D1355" s="35" t="s">
        <v>4616</v>
      </c>
      <c r="E1355" s="35" t="s">
        <v>4048</v>
      </c>
      <c r="F1355" s="36">
        <v>0.22</v>
      </c>
      <c r="G1355" s="31"/>
      <c r="H1355" s="31"/>
      <c r="I1355" s="31"/>
      <c r="J1355" s="31"/>
      <c r="K1355" s="31"/>
    </row>
    <row r="1356" spans="1:11" ht="14.4" x14ac:dyDescent="0.3">
      <c r="A1356" s="28" t="str">
        <f>B1356&amp;C1356&amp;D1356&amp;E1356</f>
        <v>Xobbi va ijodMusiqiy asboblarPuflama cholgʻu asboblariPuflama cholgʻu asboblari</v>
      </c>
      <c r="B1356" s="35" t="s">
        <v>3195</v>
      </c>
      <c r="C1356" s="35" t="s">
        <v>4646</v>
      </c>
      <c r="D1356" s="35" t="s">
        <v>4666</v>
      </c>
      <c r="E1356" s="35" t="s">
        <v>4666</v>
      </c>
      <c r="F1356" s="36">
        <v>0.22</v>
      </c>
      <c r="G1356" s="31"/>
      <c r="H1356" s="31"/>
      <c r="I1356" s="31"/>
      <c r="J1356" s="31"/>
      <c r="K1356" s="31"/>
    </row>
    <row r="1357" spans="1:11" ht="14.4" x14ac:dyDescent="0.3">
      <c r="A1357" s="28" t="str">
        <f>B1357&amp;C1357&amp;D1357&amp;E1357</f>
        <v>Xobbi va ijodQoʻl ishi uchunTikuvchilikBezaklar</v>
      </c>
      <c r="B1357" s="35" t="s">
        <v>3195</v>
      </c>
      <c r="C1357" s="35" t="s">
        <v>4615</v>
      </c>
      <c r="D1357" s="35" t="s">
        <v>4616</v>
      </c>
      <c r="E1357" s="35" t="s">
        <v>4667</v>
      </c>
      <c r="F1357" s="36">
        <v>0.22</v>
      </c>
      <c r="G1357" s="31"/>
      <c r="H1357" s="31"/>
      <c r="I1357" s="31"/>
      <c r="J1357" s="31"/>
      <c r="K1357" s="31"/>
    </row>
    <row r="1358" spans="1:11" ht="14.4" x14ac:dyDescent="0.3">
      <c r="A1358" s="28" t="str">
        <f>B1358&amp;C1358&amp;D1358&amp;E1358</f>
        <v>Xobbi va ijodRasm chizishGrafikaMarkerlar</v>
      </c>
      <c r="B1358" s="35" t="s">
        <v>3195</v>
      </c>
      <c r="C1358" s="35" t="s">
        <v>4626</v>
      </c>
      <c r="D1358" s="35" t="s">
        <v>4668</v>
      </c>
      <c r="E1358" s="35" t="s">
        <v>4669</v>
      </c>
      <c r="F1358" s="36">
        <v>0.22</v>
      </c>
      <c r="G1358" s="31"/>
      <c r="H1358" s="31"/>
      <c r="I1358" s="31"/>
      <c r="J1358" s="31"/>
      <c r="K1358" s="31"/>
    </row>
    <row r="1359" spans="1:11" ht="14.4" x14ac:dyDescent="0.3">
      <c r="A1359" s="28" t="str">
        <f>B1359&amp;C1359&amp;D1359&amp;E1359</f>
        <v>Xobbi va ijodQoʻl ishi uchunTikuvchilikIplar</v>
      </c>
      <c r="B1359" s="35" t="s">
        <v>3195</v>
      </c>
      <c r="C1359" s="35" t="s">
        <v>4615</v>
      </c>
      <c r="D1359" s="35" t="s">
        <v>4616</v>
      </c>
      <c r="E1359" s="35" t="s">
        <v>4670</v>
      </c>
      <c r="F1359" s="36">
        <v>0.22</v>
      </c>
      <c r="G1359" s="31"/>
      <c r="H1359" s="31"/>
      <c r="I1359" s="31"/>
      <c r="J1359" s="31"/>
      <c r="K1359" s="31"/>
    </row>
    <row r="1360" spans="1:11" ht="14.4" x14ac:dyDescent="0.3">
      <c r="A1360" s="28" t="str">
        <f>B1360&amp;C1360&amp;D1360&amp;E1360</f>
        <v>Xobbi va ijodRasm chizishXolstlarXolstlar</v>
      </c>
      <c r="B1360" s="35" t="s">
        <v>3195</v>
      </c>
      <c r="C1360" s="35" t="s">
        <v>4626</v>
      </c>
      <c r="D1360" s="35" t="s">
        <v>4671</v>
      </c>
      <c r="E1360" s="35" t="s">
        <v>4671</v>
      </c>
      <c r="F1360" s="36">
        <v>0.22</v>
      </c>
      <c r="G1360" s="31"/>
      <c r="H1360" s="31"/>
      <c r="I1360" s="31"/>
      <c r="J1360" s="31"/>
      <c r="K1360" s="31"/>
    </row>
    <row r="1361" spans="1:11" ht="14.4" x14ac:dyDescent="0.3">
      <c r="A1361" s="28" t="str">
        <f>B1361&amp;C1361&amp;D1361&amp;E1361</f>
        <v>Xobbi va ijodRasmlar, foto ramkalar, otkritkalar yasashMavzuli rasmlarShaharlar va arxitektura</v>
      </c>
      <c r="B1361" s="35" t="s">
        <v>3195</v>
      </c>
      <c r="C1361" s="35" t="s">
        <v>4618</v>
      </c>
      <c r="D1361" s="35" t="s">
        <v>4619</v>
      </c>
      <c r="E1361" s="35" t="s">
        <v>4672</v>
      </c>
      <c r="F1361" s="36">
        <v>0.22</v>
      </c>
      <c r="G1361" s="31"/>
      <c r="H1361" s="31"/>
      <c r="I1361" s="31"/>
      <c r="J1361" s="31"/>
      <c r="K1361" s="31"/>
    </row>
    <row r="1362" spans="1:11" ht="14.4" x14ac:dyDescent="0.3">
      <c r="A1362" s="28" t="str">
        <f>B1362&amp;C1362&amp;D1362&amp;E1362</f>
        <v>Xobbi va ijodQoʻl ishi uchunTikuvchilikQaychilar</v>
      </c>
      <c r="B1362" s="35" t="s">
        <v>3195</v>
      </c>
      <c r="C1362" s="35" t="s">
        <v>4615</v>
      </c>
      <c r="D1362" s="35" t="s">
        <v>4616</v>
      </c>
      <c r="E1362" s="35" t="s">
        <v>3794</v>
      </c>
      <c r="F1362" s="36">
        <v>0.22</v>
      </c>
      <c r="G1362" s="31"/>
      <c r="H1362" s="31"/>
      <c r="I1362" s="31"/>
      <c r="J1362" s="31"/>
      <c r="K1362" s="31"/>
    </row>
    <row r="1363" spans="1:11" ht="14.4" x14ac:dyDescent="0.3">
      <c r="A1363" s="28" t="str">
        <f>B1363&amp;C1363&amp;D1363&amp;E1363</f>
        <v>Xobbi va ijodFol ochish va ezoterikaAmuletlar, tumorlar va talismanlarAmuletlar, tumorlar va talismanlar</v>
      </c>
      <c r="B1363" s="35" t="s">
        <v>3195</v>
      </c>
      <c r="C1363" s="35" t="s">
        <v>4650</v>
      </c>
      <c r="D1363" s="35" t="s">
        <v>4673</v>
      </c>
      <c r="E1363" s="35" t="s">
        <v>4673</v>
      </c>
      <c r="F1363" s="36">
        <v>0.22</v>
      </c>
      <c r="G1363" s="31"/>
      <c r="H1363" s="31"/>
      <c r="I1363" s="31"/>
      <c r="J1363" s="31"/>
      <c r="K1363" s="31"/>
    </row>
    <row r="1364" spans="1:11" ht="14.4" x14ac:dyDescent="0.3">
      <c r="A1364" s="28" t="str">
        <f>B1364&amp;C1364&amp;D1364&amp;E1364</f>
        <v>Xobbi va ijodLepkaAsboblarAsboblar</v>
      </c>
      <c r="B1364" s="35" t="s">
        <v>3195</v>
      </c>
      <c r="C1364" s="35" t="s">
        <v>3284</v>
      </c>
      <c r="D1364" s="35" t="s">
        <v>4048</v>
      </c>
      <c r="E1364" s="35" t="s">
        <v>4048</v>
      </c>
      <c r="F1364" s="36">
        <v>0.22</v>
      </c>
      <c r="G1364" s="31"/>
      <c r="H1364" s="31"/>
      <c r="I1364" s="31"/>
      <c r="J1364" s="31"/>
      <c r="K1364" s="31"/>
    </row>
    <row r="1365" spans="1:11" ht="14.4" x14ac:dyDescent="0.3">
      <c r="A1365" s="28" t="str">
        <f>B1365&amp;C1365&amp;D1365&amp;E1365</f>
        <v>Xobbi va ijodRasm chizishBoʻyash uchun rasmlar, naqshlar uchun toʻplamlarBoʻyash uchun rasmlar, naqshlar uchun toʻplamlar</v>
      </c>
      <c r="B1365" s="35" t="s">
        <v>3195</v>
      </c>
      <c r="C1365" s="35" t="s">
        <v>4626</v>
      </c>
      <c r="D1365" s="35" t="s">
        <v>4674</v>
      </c>
      <c r="E1365" s="37" t="s">
        <v>4674</v>
      </c>
      <c r="F1365" s="36">
        <v>0.22</v>
      </c>
      <c r="G1365" s="31"/>
      <c r="H1365" s="31"/>
      <c r="I1365" s="31"/>
      <c r="J1365" s="31"/>
      <c r="K1365" s="31"/>
    </row>
    <row r="1366" spans="1:11" ht="14.4" x14ac:dyDescent="0.3">
      <c r="A1366" s="28" t="str">
        <f>B1366&amp;C1366&amp;D1366&amp;E1366</f>
        <v>Xobbi va ijodRasm chizishMolbertlarMolbertlar</v>
      </c>
      <c r="B1366" s="35" t="s">
        <v>3195</v>
      </c>
      <c r="C1366" s="35" t="s">
        <v>4626</v>
      </c>
      <c r="D1366" s="35" t="s">
        <v>4675</v>
      </c>
      <c r="E1366" s="35" t="s">
        <v>4675</v>
      </c>
      <c r="F1366" s="36">
        <v>0.22</v>
      </c>
      <c r="G1366" s="31"/>
      <c r="H1366" s="31"/>
      <c r="I1366" s="31"/>
      <c r="J1366" s="31"/>
      <c r="K1366" s="31"/>
    </row>
    <row r="1367" spans="1:11" ht="14.4" x14ac:dyDescent="0.3">
      <c r="A1367" s="28" t="str">
        <f>B1367&amp;C1367&amp;D1367&amp;E1367</f>
        <v>Xobbi va ijodQoʻl ishi uchunMoldlarMoldlar</v>
      </c>
      <c r="B1367" s="35" t="s">
        <v>3195</v>
      </c>
      <c r="C1367" s="35" t="s">
        <v>4615</v>
      </c>
      <c r="D1367" s="35" t="s">
        <v>6206</v>
      </c>
      <c r="E1367" s="35" t="s">
        <v>6206</v>
      </c>
      <c r="F1367" s="36">
        <v>0.22</v>
      </c>
      <c r="G1367" s="31"/>
      <c r="H1367" s="31"/>
      <c r="I1367" s="31"/>
      <c r="J1367" s="31"/>
      <c r="K1367" s="31"/>
    </row>
    <row r="1368" spans="1:11" ht="14.4" x14ac:dyDescent="0.3">
      <c r="A1368" s="28" t="str">
        <f>B1368&amp;C1368&amp;D1368&amp;E1368</f>
        <v>Xobbi va ijodFol ochish va ezoterikaTaro kartalariTaro kartalari</v>
      </c>
      <c r="B1368" s="35" t="s">
        <v>3195</v>
      </c>
      <c r="C1368" s="35" t="s">
        <v>4650</v>
      </c>
      <c r="D1368" s="35" t="s">
        <v>6207</v>
      </c>
      <c r="E1368" s="35" t="s">
        <v>6207</v>
      </c>
      <c r="F1368" s="36">
        <v>0.22</v>
      </c>
      <c r="G1368" s="31"/>
      <c r="H1368" s="31"/>
      <c r="I1368" s="31"/>
      <c r="J1368" s="31"/>
      <c r="K1368" s="31"/>
    </row>
    <row r="1369" spans="1:11" ht="14.4" x14ac:dyDescent="0.3">
      <c r="A1369" s="28" t="str">
        <f>B1369&amp;C1369&amp;D1369&amp;E1369</f>
        <v>Xobbi va ijodRasm chizishBoʻyoqlar, pigmentlarBoʻyoqlar, pigmentlar</v>
      </c>
      <c r="B1369" s="35" t="s">
        <v>3195</v>
      </c>
      <c r="C1369" s="35" t="s">
        <v>4626</v>
      </c>
      <c r="D1369" s="35" t="s">
        <v>6208</v>
      </c>
      <c r="E1369" s="35" t="s">
        <v>6208</v>
      </c>
      <c r="F1369" s="36">
        <v>0.22</v>
      </c>
      <c r="G1369" s="31"/>
      <c r="H1369" s="31"/>
      <c r="I1369" s="31"/>
      <c r="J1369" s="31"/>
      <c r="K1369" s="31"/>
    </row>
    <row r="1370" spans="1:11" ht="14.4" x14ac:dyDescent="0.3">
      <c r="A1370" s="28" t="str">
        <f>B1370&amp;C1370&amp;D1370&amp;E1370</f>
        <v>Xobbi va ijodQoʻl ishi uchunTikuvchilikMatolar</v>
      </c>
      <c r="B1370" s="35" t="s">
        <v>3195</v>
      </c>
      <c r="C1370" s="35" t="s">
        <v>4615</v>
      </c>
      <c r="D1370" s="35" t="s">
        <v>4616</v>
      </c>
      <c r="E1370" s="35" t="s">
        <v>6209</v>
      </c>
      <c r="F1370" s="36">
        <v>0.22</v>
      </c>
      <c r="G1370" s="31"/>
      <c r="H1370" s="31"/>
      <c r="I1370" s="31"/>
      <c r="J1370" s="31"/>
      <c r="K1370" s="31"/>
    </row>
    <row r="1371" spans="1:11" ht="14.4" x14ac:dyDescent="0.3">
      <c r="A1371" s="28" t="str">
        <f>B1371&amp;C1371&amp;D1371&amp;E1371</f>
        <v>Xobbi va ijodStol va karta oʻyinlariLotoLoto</v>
      </c>
      <c r="B1371" s="35" t="s">
        <v>3195</v>
      </c>
      <c r="C1371" s="35" t="s">
        <v>4621</v>
      </c>
      <c r="D1371" s="35" t="s">
        <v>6210</v>
      </c>
      <c r="E1371" s="35" t="s">
        <v>6210</v>
      </c>
      <c r="F1371" s="36">
        <v>0.22</v>
      </c>
      <c r="G1371" s="31"/>
      <c r="H1371" s="31"/>
      <c r="I1371" s="31"/>
      <c r="J1371" s="31"/>
      <c r="K1371" s="31"/>
    </row>
    <row r="1372" spans="1:11" ht="14.4" x14ac:dyDescent="0.3">
      <c r="A1372" s="28" t="str">
        <f>B1372&amp;C1372&amp;D1372&amp;E1372</f>
        <v>Xobbi va ijodRasmlar, foto ramkalar, otkritkalar yasashMavzuli rasmlarGullar va natyurmortlar</v>
      </c>
      <c r="B1372" s="35" t="s">
        <v>3195</v>
      </c>
      <c r="C1372" s="35" t="s">
        <v>4618</v>
      </c>
      <c r="D1372" s="35" t="s">
        <v>4619</v>
      </c>
      <c r="E1372" s="35" t="s">
        <v>6211</v>
      </c>
      <c r="F1372" s="36">
        <v>0.22</v>
      </c>
      <c r="G1372" s="31"/>
      <c r="H1372" s="31"/>
      <c r="I1372" s="31"/>
      <c r="J1372" s="31"/>
      <c r="K1372" s="31"/>
    </row>
    <row r="1373" spans="1:11" ht="14.4" x14ac:dyDescent="0.3">
      <c r="A1373" s="28" t="str">
        <f>B1373&amp;C1373&amp;D1373&amp;E1373</f>
        <v>Xobbi va ijodRasmlar, foto ramkalar, otkritkalar yasashKviling toʻplamlariKviling toʻplamlari</v>
      </c>
      <c r="B1373" s="35" t="s">
        <v>3195</v>
      </c>
      <c r="C1373" s="35" t="s">
        <v>4618</v>
      </c>
      <c r="D1373" s="35" t="s">
        <v>6212</v>
      </c>
      <c r="E1373" s="35" t="s">
        <v>6212</v>
      </c>
      <c r="F1373" s="36">
        <v>0.22</v>
      </c>
      <c r="G1373" s="31"/>
      <c r="H1373" s="31"/>
      <c r="I1373" s="31"/>
      <c r="J1373" s="31"/>
      <c r="K1373" s="31"/>
    </row>
    <row r="1374" spans="1:11" ht="14.4" x14ac:dyDescent="0.3">
      <c r="A1374" s="28" t="str">
        <f>B1374&amp;C1374&amp;D1374&amp;E1374</f>
        <v>Xobbi va ijodStol va karta oʻyinlariDominoDomino</v>
      </c>
      <c r="B1374" s="35" t="s">
        <v>3195</v>
      </c>
      <c r="C1374" s="35" t="s">
        <v>4621</v>
      </c>
      <c r="D1374" s="35" t="s">
        <v>6213</v>
      </c>
      <c r="E1374" s="35" t="s">
        <v>6213</v>
      </c>
      <c r="F1374" s="36">
        <v>0.22</v>
      </c>
      <c r="G1374" s="31"/>
      <c r="H1374" s="31"/>
      <c r="I1374" s="31"/>
      <c r="J1374" s="31"/>
      <c r="K1374" s="31"/>
    </row>
    <row r="1375" spans="1:11" ht="14.4" x14ac:dyDescent="0.3">
      <c r="A1375" s="28" t="str">
        <f>B1375&amp;C1375&amp;D1375&amp;E1375</f>
        <v>Xobbi va ijodRasmlar, foto ramkalar, otkritkalar yasashPayetkalardan qilingan rasmlarPayetkalardan qilingan rasmlar</v>
      </c>
      <c r="B1375" s="35" t="s">
        <v>3195</v>
      </c>
      <c r="C1375" s="35" t="s">
        <v>4618</v>
      </c>
      <c r="D1375" s="35" t="s">
        <v>6214</v>
      </c>
      <c r="E1375" s="35" t="s">
        <v>6214</v>
      </c>
      <c r="F1375" s="36">
        <v>0.22</v>
      </c>
      <c r="G1375" s="31"/>
      <c r="H1375" s="31"/>
      <c r="I1375" s="31"/>
      <c r="J1375" s="31"/>
      <c r="K1375" s="31"/>
    </row>
    <row r="1376" spans="1:11" ht="14.4" x14ac:dyDescent="0.3">
      <c r="A1376" s="28" t="str">
        <f>B1376&amp;C1376&amp;D1376&amp;E1376</f>
        <v>Xobbi va ijodBoshqa xobbilarSovun tayyorlashSovun tayyorlash</v>
      </c>
      <c r="B1376" s="35" t="s">
        <v>3195</v>
      </c>
      <c r="C1376" s="35" t="s">
        <v>4631</v>
      </c>
      <c r="D1376" s="35" t="s">
        <v>6215</v>
      </c>
      <c r="E1376" s="35" t="s">
        <v>6215</v>
      </c>
      <c r="F1376" s="36">
        <v>0.22</v>
      </c>
      <c r="G1376" s="31"/>
      <c r="H1376" s="31"/>
      <c r="I1376" s="31"/>
      <c r="J1376" s="31"/>
      <c r="K1376" s="31"/>
    </row>
    <row r="1377" spans="1:11" ht="14.4" x14ac:dyDescent="0.3">
      <c r="A1377" s="28" t="str">
        <f>B1377&amp;C1377&amp;D1377&amp;E1377</f>
        <v>Xobbi va ijodRasm chizishAsboblar va jihozlarAsboblar va jihozlar</v>
      </c>
      <c r="B1377" s="35" t="s">
        <v>3195</v>
      </c>
      <c r="C1377" s="35" t="s">
        <v>4626</v>
      </c>
      <c r="D1377" s="35" t="s">
        <v>6216</v>
      </c>
      <c r="E1377" s="35" t="s">
        <v>6216</v>
      </c>
      <c r="F1377" s="36">
        <v>0.22</v>
      </c>
      <c r="G1377" s="31"/>
      <c r="H1377" s="31"/>
      <c r="I1377" s="31"/>
      <c r="J1377" s="31"/>
      <c r="K1377" s="31"/>
    </row>
    <row r="1378" spans="1:11" ht="14.4" x14ac:dyDescent="0.3">
      <c r="A1378" s="28" t="str">
        <f>B1378&amp;C1378&amp;D1378&amp;E1378</f>
        <v>Xobbi va ijodBoshqa xobbilarOrigamiOrigami</v>
      </c>
      <c r="B1378" s="35" t="s">
        <v>3195</v>
      </c>
      <c r="C1378" s="35" t="s">
        <v>4631</v>
      </c>
      <c r="D1378" s="35" t="s">
        <v>6217</v>
      </c>
      <c r="E1378" s="35" t="s">
        <v>6217</v>
      </c>
      <c r="F1378" s="36">
        <v>0.22</v>
      </c>
      <c r="G1378" s="31"/>
      <c r="H1378" s="31"/>
      <c r="I1378" s="31"/>
      <c r="J1378" s="31"/>
      <c r="K1378" s="31"/>
    </row>
    <row r="1379" spans="1:11" ht="14.4" x14ac:dyDescent="0.3">
      <c r="A1379" s="28" t="str">
        <f>B1379&amp;C1379&amp;D1379&amp;E1379</f>
        <v>Xobbi va ijodRasm chizishGrafikaKoʻmir</v>
      </c>
      <c r="B1379" s="35" t="s">
        <v>3195</v>
      </c>
      <c r="C1379" s="35" t="s">
        <v>4626</v>
      </c>
      <c r="D1379" s="35" t="s">
        <v>4668</v>
      </c>
      <c r="E1379" s="35" t="s">
        <v>3717</v>
      </c>
      <c r="F1379" s="36">
        <v>0.22</v>
      </c>
      <c r="G1379" s="31"/>
      <c r="H1379" s="31"/>
      <c r="I1379" s="31"/>
      <c r="J1379" s="31"/>
      <c r="K1379" s="31"/>
    </row>
    <row r="1380" spans="1:11" ht="14.4" x14ac:dyDescent="0.3">
      <c r="A1380" s="28" t="str">
        <f>B1380&amp;C1380&amp;D1380&amp;E1380</f>
        <v>Xobbi va ijodQoʻl ishi uchunKashta tikishKashta tikish</v>
      </c>
      <c r="B1380" s="35" t="s">
        <v>3195</v>
      </c>
      <c r="C1380" s="35" t="s">
        <v>4615</v>
      </c>
      <c r="D1380" s="35" t="s">
        <v>6218</v>
      </c>
      <c r="E1380" s="35" t="s">
        <v>6218</v>
      </c>
      <c r="F1380" s="36">
        <v>0.22</v>
      </c>
      <c r="G1380" s="31"/>
      <c r="H1380" s="31"/>
      <c r="I1380" s="31"/>
      <c r="J1380" s="31"/>
      <c r="K1380" s="31"/>
    </row>
    <row r="1381" spans="1:11" ht="14.4" x14ac:dyDescent="0.3">
      <c r="A1381" s="28" t="str">
        <f>B1381&amp;C1381&amp;D1381&amp;E1381</f>
        <v>Xobbi va ijodQoʻl ishi uchunToʻquvchilikToʻquvchilik</v>
      </c>
      <c r="B1381" s="35" t="s">
        <v>3195</v>
      </c>
      <c r="C1381" s="35" t="s">
        <v>4615</v>
      </c>
      <c r="D1381" s="35" t="s">
        <v>6219</v>
      </c>
      <c r="E1381" s="35" t="s">
        <v>6219</v>
      </c>
      <c r="F1381" s="36">
        <v>0.22</v>
      </c>
      <c r="G1381" s="31"/>
      <c r="H1381" s="31"/>
      <c r="I1381" s="31"/>
      <c r="J1381" s="31"/>
      <c r="K1381" s="31"/>
    </row>
    <row r="1382" spans="1:11" ht="14.4" x14ac:dyDescent="0.3">
      <c r="A1382" s="28" t="str">
        <f>B1382&amp;C1382&amp;D1382&amp;E1382</f>
        <v>Xobbi va ijodBoshqa xobbilarYogʻochni kuydirib naqsh solish, yogʻochdan qilingan buyumlarYogʻochni kuydirib naqsh solish, yogʻochdan qilingan buyumlar</v>
      </c>
      <c r="B1382" s="35" t="s">
        <v>3195</v>
      </c>
      <c r="C1382" s="35" t="s">
        <v>4631</v>
      </c>
      <c r="D1382" s="35" t="s">
        <v>6220</v>
      </c>
      <c r="E1382" s="35" t="s">
        <v>6220</v>
      </c>
      <c r="F1382" s="36">
        <v>0.22</v>
      </c>
      <c r="G1382" s="31"/>
      <c r="H1382" s="31"/>
      <c r="I1382" s="31"/>
      <c r="J1382" s="31"/>
      <c r="K1382" s="31"/>
    </row>
    <row r="1383" spans="1:11" ht="14.4" x14ac:dyDescent="0.3">
      <c r="A1383" s="28" t="str">
        <f>B1383&amp;C1383&amp;D1383&amp;E1383</f>
        <v>Xobbi va ijodMusiqiy asboblarMusiqa asboblari uchun aksessuarlarMusiqa asboblari uchun aksessuarlar</v>
      </c>
      <c r="B1383" s="35" t="s">
        <v>3195</v>
      </c>
      <c r="C1383" s="35" t="s">
        <v>4646</v>
      </c>
      <c r="D1383" s="35" t="s">
        <v>6221</v>
      </c>
      <c r="E1383" s="35" t="s">
        <v>6221</v>
      </c>
      <c r="F1383" s="36">
        <v>0.22</v>
      </c>
      <c r="G1383" s="31"/>
      <c r="H1383" s="31"/>
      <c r="I1383" s="31"/>
      <c r="J1383" s="31"/>
      <c r="K1383" s="31"/>
    </row>
    <row r="1384" spans="1:11" ht="14.4" x14ac:dyDescent="0.3">
      <c r="A1384" s="28" t="str">
        <f>B1384&amp;C1384&amp;D1384&amp;E1384</f>
        <v>Xobbi va ijodQoʻl ishi uchunQoʻl ishlari uchun materiallarQoʻl ishlari uchun materiallar</v>
      </c>
      <c r="B1384" s="35" t="s">
        <v>3195</v>
      </c>
      <c r="C1384" s="35" t="s">
        <v>4615</v>
      </c>
      <c r="D1384" s="35" t="s">
        <v>6222</v>
      </c>
      <c r="E1384" s="35" t="s">
        <v>6222</v>
      </c>
      <c r="F1384" s="36">
        <v>0.22</v>
      </c>
      <c r="G1384" s="31"/>
      <c r="H1384" s="31"/>
      <c r="I1384" s="31"/>
      <c r="J1384" s="31"/>
      <c r="K1384" s="31"/>
    </row>
    <row r="1385" spans="1:11" ht="14.4" x14ac:dyDescent="0.3">
      <c r="A1385" s="28" t="str">
        <f>B1385&amp;C1385&amp;D1385&amp;E1385</f>
        <v>Xobbi va ijodBoshqa xobbilarSkrapbukingSkrapbuking</v>
      </c>
      <c r="B1385" s="35" t="s">
        <v>3195</v>
      </c>
      <c r="C1385" s="35" t="s">
        <v>4631</v>
      </c>
      <c r="D1385" s="35" t="s">
        <v>6223</v>
      </c>
      <c r="E1385" s="35" t="s">
        <v>6223</v>
      </c>
      <c r="F1385" s="36">
        <v>0.22</v>
      </c>
      <c r="G1385" s="31"/>
      <c r="H1385" s="31"/>
      <c r="I1385" s="31"/>
      <c r="J1385" s="31"/>
      <c r="K1385" s="31"/>
    </row>
    <row r="1386" spans="1:11" ht="14.4" x14ac:dyDescent="0.3">
      <c r="A1386" s="28" t="str">
        <f>B1386&amp;C1386&amp;D1386&amp;E1386</f>
        <v>Xobbi va ijodQoʻl ishi uchunQoʻl ishlari uchun anjomlarQoʻl ishlari uchun anjomlar</v>
      </c>
      <c r="B1386" s="35" t="s">
        <v>3195</v>
      </c>
      <c r="C1386" s="35" t="s">
        <v>4615</v>
      </c>
      <c r="D1386" s="35" t="s">
        <v>6224</v>
      </c>
      <c r="E1386" s="35" t="s">
        <v>6224</v>
      </c>
      <c r="F1386" s="36">
        <v>0.22</v>
      </c>
      <c r="G1386" s="31"/>
      <c r="H1386" s="31"/>
      <c r="I1386" s="31"/>
      <c r="J1386" s="31"/>
      <c r="K1386" s="31"/>
    </row>
    <row r="1387" spans="1:11" ht="14.4" x14ac:dyDescent="0.3">
      <c r="A1387" s="28" t="str">
        <f>B1387&amp;C1387&amp;D1387&amp;E1387</f>
        <v>Xobbi va ijodQoʻl ishi uchunTikuvchilikBoshqa tikuv aksessuarlari</v>
      </c>
      <c r="B1387" s="35" t="s">
        <v>3195</v>
      </c>
      <c r="C1387" s="35" t="s">
        <v>4615</v>
      </c>
      <c r="D1387" s="35" t="s">
        <v>4616</v>
      </c>
      <c r="E1387" s="35" t="s">
        <v>6225</v>
      </c>
      <c r="F1387" s="36">
        <v>0.22</v>
      </c>
      <c r="G1387" s="31"/>
      <c r="H1387" s="31"/>
      <c r="I1387" s="31"/>
      <c r="J1387" s="31"/>
      <c r="K1387" s="31"/>
    </row>
    <row r="1388" spans="1:11" ht="14.4" x14ac:dyDescent="0.3">
      <c r="A1388" s="28" t="str">
        <f>B1388&amp;C1388&amp;D1388&amp;E1388</f>
        <v>Xobbi va ijodRasmlar, foto ramkalar, otkritkalar yasashFoto ramkalar yasash uchun toʻplamlarFoto ramkalar yasash uchun toʻplamlar</v>
      </c>
      <c r="B1388" s="35" t="s">
        <v>3195</v>
      </c>
      <c r="C1388" s="35" t="s">
        <v>4618</v>
      </c>
      <c r="D1388" s="35" t="s">
        <v>6226</v>
      </c>
      <c r="E1388" s="35" t="s">
        <v>6226</v>
      </c>
      <c r="F1388" s="36">
        <v>0.22</v>
      </c>
      <c r="G1388" s="31"/>
      <c r="H1388" s="31"/>
      <c r="I1388" s="31"/>
      <c r="J1388" s="31"/>
      <c r="K1388" s="31"/>
    </row>
    <row r="1389" spans="1:11" ht="14.4" x14ac:dyDescent="0.3">
      <c r="A1389" s="28" t="str">
        <f>B1389&amp;C1389&amp;D1389&amp;E1389</f>
        <v>Xobbi va ijodRasm chizishSketchbuklarSketchbuklar</v>
      </c>
      <c r="B1389" s="35" t="s">
        <v>3195</v>
      </c>
      <c r="C1389" s="35" t="s">
        <v>4626</v>
      </c>
      <c r="D1389" s="35" t="s">
        <v>6227</v>
      </c>
      <c r="E1389" s="35" t="s">
        <v>6227</v>
      </c>
      <c r="F1389" s="36">
        <v>0.22</v>
      </c>
      <c r="G1389" s="31"/>
      <c r="H1389" s="31"/>
      <c r="I1389" s="31"/>
      <c r="J1389" s="31"/>
      <c r="K1389" s="31"/>
    </row>
    <row r="1390" spans="1:11" ht="14.4" x14ac:dyDescent="0.3">
      <c r="A1390" s="28" t="str">
        <f>B1390&amp;C1390&amp;D1390&amp;E1390</f>
        <v>Xobbi va ijodRasmlar, foto ramkalar, otkritkalar yasashMavzuli rasmlarRomantika va sevgi</v>
      </c>
      <c r="B1390" s="35" t="s">
        <v>3195</v>
      </c>
      <c r="C1390" s="35" t="s">
        <v>4618</v>
      </c>
      <c r="D1390" s="35" t="s">
        <v>4619</v>
      </c>
      <c r="E1390" s="35" t="s">
        <v>6228</v>
      </c>
      <c r="F1390" s="36">
        <v>0.22</v>
      </c>
      <c r="G1390" s="31"/>
      <c r="H1390" s="31"/>
      <c r="I1390" s="31"/>
      <c r="J1390" s="31"/>
      <c r="K1390" s="31"/>
    </row>
    <row r="1391" spans="1:11" ht="14.4" x14ac:dyDescent="0.3">
      <c r="A1391" s="28" t="str">
        <f>B1391&amp;C1391&amp;D1391&amp;E1391</f>
        <v>Xobbi va ijodQoʻl ishi uchunTikuvchilikIplar va bogʻichlar</v>
      </c>
      <c r="B1391" s="35" t="s">
        <v>3195</v>
      </c>
      <c r="C1391" s="35" t="s">
        <v>4615</v>
      </c>
      <c r="D1391" s="35" t="s">
        <v>4616</v>
      </c>
      <c r="E1391" s="35" t="s">
        <v>6229</v>
      </c>
      <c r="F1391" s="36">
        <v>0.22</v>
      </c>
      <c r="G1391" s="31"/>
      <c r="H1391" s="31"/>
      <c r="I1391" s="31"/>
      <c r="J1391" s="31"/>
      <c r="K1391" s="31"/>
    </row>
    <row r="1392" spans="1:11" ht="14.4" x14ac:dyDescent="0.3">
      <c r="A1392" s="28" t="str">
        <f>B1392&amp;C1392&amp;D1392&amp;E1392</f>
        <v>Xobbi va ijodRasm chizishGrafikaTush</v>
      </c>
      <c r="B1392" s="35" t="s">
        <v>3195</v>
      </c>
      <c r="C1392" s="35" t="s">
        <v>4626</v>
      </c>
      <c r="D1392" s="35" t="s">
        <v>4668</v>
      </c>
      <c r="E1392" s="35" t="s">
        <v>6230</v>
      </c>
      <c r="F1392" s="36">
        <v>0.22</v>
      </c>
      <c r="G1392" s="31"/>
      <c r="H1392" s="31"/>
      <c r="I1392" s="31"/>
      <c r="J1392" s="31"/>
      <c r="K1392" s="31"/>
    </row>
    <row r="1393" spans="1:11" ht="14.4" x14ac:dyDescent="0.3">
      <c r="A1393" s="28" t="str">
        <f>B1393&amp;C1393&amp;D1393&amp;E1393</f>
        <v>Xobbi va ijodQoʻl ishi uchunTaqinchoqlar yasashTaqinchoqlar yasash</v>
      </c>
      <c r="B1393" s="35" t="s">
        <v>3195</v>
      </c>
      <c r="C1393" s="35" t="s">
        <v>4615</v>
      </c>
      <c r="D1393" s="35" t="s">
        <v>6232</v>
      </c>
      <c r="E1393" s="35" t="s">
        <v>6232</v>
      </c>
      <c r="F1393" s="36">
        <v>0.22</v>
      </c>
      <c r="G1393" s="31"/>
      <c r="H1393" s="31"/>
      <c r="I1393" s="31"/>
      <c r="J1393" s="31"/>
      <c r="K1393" s="31"/>
    </row>
    <row r="1394" spans="1:11" ht="14.4" x14ac:dyDescent="0.3">
      <c r="A1394" s="28" t="str">
        <f>B1394&amp;C1394&amp;D1394&amp;E1394</f>
        <v>Xobbi va ijodStol va karta oʻyinlariStol oʻyinlariStol oʻyinlari</v>
      </c>
      <c r="B1394" s="35" t="s">
        <v>3195</v>
      </c>
      <c r="C1394" s="35" t="s">
        <v>4621</v>
      </c>
      <c r="D1394" s="35" t="s">
        <v>6233</v>
      </c>
      <c r="E1394" s="35" t="s">
        <v>6233</v>
      </c>
      <c r="F1394" s="36">
        <v>0.22</v>
      </c>
      <c r="G1394" s="31"/>
      <c r="H1394" s="31"/>
      <c r="I1394" s="31"/>
      <c r="J1394" s="31"/>
      <c r="K1394" s="31"/>
    </row>
    <row r="1395" spans="1:11" ht="14.4" x14ac:dyDescent="0.3">
      <c r="A1395" s="28" t="str">
        <f>B1395&amp;C1395&amp;D1395&amp;E1395</f>
        <v>Xobbi va ijodRasm chizishGrafikaPastel</v>
      </c>
      <c r="B1395" s="35" t="s">
        <v>3195</v>
      </c>
      <c r="C1395" s="35" t="s">
        <v>4626</v>
      </c>
      <c r="D1395" s="35" t="s">
        <v>4668</v>
      </c>
      <c r="E1395" s="35" t="s">
        <v>6234</v>
      </c>
      <c r="F1395" s="36">
        <v>0.22</v>
      </c>
      <c r="G1395" s="31"/>
      <c r="H1395" s="31"/>
      <c r="I1395" s="31"/>
      <c r="J1395" s="31"/>
      <c r="K1395" s="31"/>
    </row>
    <row r="1396" spans="1:11" ht="14.4" x14ac:dyDescent="0.3">
      <c r="A1396" s="28" t="str">
        <f>B1396&amp;C1396&amp;D1396&amp;E1396</f>
        <v>Xobbi va ijodStol va karta oʻyinlariPoker uchun toʻplamlarPoker uchun toʻplamlar</v>
      </c>
      <c r="B1396" s="35" t="s">
        <v>3195</v>
      </c>
      <c r="C1396" s="35" t="s">
        <v>4621</v>
      </c>
      <c r="D1396" s="35" t="s">
        <v>6235</v>
      </c>
      <c r="E1396" s="35" t="s">
        <v>6235</v>
      </c>
      <c r="F1396" s="36">
        <v>0.22</v>
      </c>
      <c r="G1396" s="31"/>
      <c r="H1396" s="31"/>
      <c r="I1396" s="31"/>
      <c r="J1396" s="31"/>
      <c r="K1396" s="31"/>
    </row>
    <row r="1397" spans="1:11" ht="14.4" x14ac:dyDescent="0.3">
      <c r="A1397" s="28" t="str">
        <f>B1397&amp;C1397&amp;D1397&amp;E1397</f>
        <v>Xobbi va ijodQoʻl ishi uchunTikuvchilikFurnitura</v>
      </c>
      <c r="B1397" s="35" t="s">
        <v>3195</v>
      </c>
      <c r="C1397" s="35" t="s">
        <v>4615</v>
      </c>
      <c r="D1397" s="35" t="s">
        <v>4616</v>
      </c>
      <c r="E1397" s="35" t="s">
        <v>4064</v>
      </c>
      <c r="F1397" s="36">
        <v>0.22</v>
      </c>
      <c r="G1397" s="31"/>
      <c r="H1397" s="31"/>
      <c r="I1397" s="31"/>
      <c r="J1397" s="31"/>
      <c r="K1397" s="31"/>
    </row>
    <row r="1398" spans="1:11" ht="14.4" x14ac:dyDescent="0.3">
      <c r="A1398" s="28" t="str">
        <f>B1398&amp;C1398&amp;D1398&amp;E1398</f>
        <v>AksessuarlarSayohat uchun aksessuarlarUyqu uchun tovarlarUyqu uchun quloq tiqinlari</v>
      </c>
      <c r="B1398" s="35" t="s">
        <v>35</v>
      </c>
      <c r="C1398" s="35" t="s">
        <v>3158</v>
      </c>
      <c r="D1398" s="35" t="s">
        <v>4676</v>
      </c>
      <c r="E1398" s="35" t="s">
        <v>4677</v>
      </c>
      <c r="F1398" s="36">
        <v>0.2</v>
      </c>
      <c r="G1398" s="31"/>
      <c r="H1398" s="31"/>
      <c r="I1398" s="31"/>
      <c r="J1398" s="31"/>
      <c r="K1398" s="31"/>
    </row>
    <row r="1399" spans="1:11" ht="14.4" x14ac:dyDescent="0.3">
      <c r="A1399" s="28" t="str">
        <f>B1399&amp;C1399&amp;D1399&amp;E1399</f>
        <v>AksessuarlarSayohat uchun aksessuarlarUyqu uchun tovarlarUyqu yostiqchalari</v>
      </c>
      <c r="B1399" s="35" t="s">
        <v>35</v>
      </c>
      <c r="C1399" s="35" t="s">
        <v>3158</v>
      </c>
      <c r="D1399" s="35" t="s">
        <v>4676</v>
      </c>
      <c r="E1399" s="35" t="s">
        <v>4598</v>
      </c>
      <c r="F1399" s="36">
        <v>0.2</v>
      </c>
      <c r="G1399" s="31"/>
      <c r="H1399" s="31"/>
      <c r="I1399" s="31"/>
      <c r="J1399" s="31"/>
      <c r="K1399" s="31"/>
    </row>
    <row r="1400" spans="1:11" ht="14.4" x14ac:dyDescent="0.3">
      <c r="A1400" s="28" t="str">
        <f>B1400&amp;C1400&amp;D1400&amp;E1400</f>
        <v>AksessuarlarSayohat uchun aksessuarlarUyqu uchun tovarlarUxlash uchun niqoblar</v>
      </c>
      <c r="B1400" s="35" t="s">
        <v>35</v>
      </c>
      <c r="C1400" s="35" t="s">
        <v>3158</v>
      </c>
      <c r="D1400" s="35" t="s">
        <v>4676</v>
      </c>
      <c r="E1400" s="35" t="s">
        <v>4678</v>
      </c>
      <c r="F1400" s="36">
        <v>0.2</v>
      </c>
      <c r="G1400" s="31"/>
      <c r="H1400" s="31"/>
      <c r="I1400" s="31"/>
      <c r="J1400" s="31"/>
      <c r="K1400" s="31"/>
    </row>
    <row r="1401" spans="1:11" ht="14.4" x14ac:dyDescent="0.3">
      <c r="A1401" s="28" t="str">
        <f>B1401&amp;C1401&amp;D1401&amp;E1401</f>
        <v>AvtotovarlarAsboblar va uskunalarAvtomobil asboblari toʻplamiAvtomobil asboblari toʻplami</v>
      </c>
      <c r="B1401" s="35" t="s">
        <v>39</v>
      </c>
      <c r="C1401" s="35" t="s">
        <v>4679</v>
      </c>
      <c r="D1401" s="35" t="s">
        <v>4680</v>
      </c>
      <c r="E1401" s="35" t="s">
        <v>4680</v>
      </c>
      <c r="F1401" s="36">
        <v>0.2</v>
      </c>
      <c r="G1401" s="31"/>
      <c r="H1401" s="31"/>
      <c r="I1401" s="31"/>
      <c r="J1401" s="31"/>
      <c r="K1401" s="31"/>
    </row>
    <row r="1402" spans="1:11" ht="14.4" x14ac:dyDescent="0.3">
      <c r="A1402" s="28" t="str">
        <f>B1402&amp;C1402&amp;D1402&amp;E1402</f>
        <v>AvtotovarlarAvtomobil uchun elektronikaBort kompyuterlariBort kompyuterlari</v>
      </c>
      <c r="B1402" s="35" t="s">
        <v>39</v>
      </c>
      <c r="C1402" s="35" t="s">
        <v>4681</v>
      </c>
      <c r="D1402" s="35" t="s">
        <v>4682</v>
      </c>
      <c r="E1402" s="35" t="s">
        <v>4682</v>
      </c>
      <c r="F1402" s="36">
        <v>0.2</v>
      </c>
      <c r="G1402" s="31"/>
      <c r="H1402" s="31"/>
      <c r="I1402" s="31"/>
      <c r="J1402" s="31"/>
      <c r="K1402" s="31"/>
    </row>
    <row r="1403" spans="1:11" ht="14.4" x14ac:dyDescent="0.3">
      <c r="A1403" s="28" t="str">
        <f>B1403&amp;C1403&amp;D1403&amp;E1403</f>
        <v>AvtotovarlarAvtomobil uchun elektronikaVentilyatorlar va havo namlantirgichlarVentilyatorlar va havo namlantirgichlar</v>
      </c>
      <c r="B1403" s="35" t="s">
        <v>39</v>
      </c>
      <c r="C1403" s="35" t="s">
        <v>4681</v>
      </c>
      <c r="D1403" s="35" t="s">
        <v>4683</v>
      </c>
      <c r="E1403" s="35" t="s">
        <v>4683</v>
      </c>
      <c r="F1403" s="36">
        <v>0.2</v>
      </c>
      <c r="G1403" s="31"/>
      <c r="H1403" s="31"/>
      <c r="I1403" s="31"/>
      <c r="J1403" s="31"/>
      <c r="K1403" s="31"/>
    </row>
    <row r="1404" spans="1:11" ht="14.4" x14ac:dyDescent="0.3">
      <c r="A1404" s="28" t="str">
        <f>B1404&amp;C1404&amp;D1404&amp;E1404</f>
        <v>AvtotovarlarAsboblar va uskunalarAvtomobil kompressorlariAvtomobil kompressorlari</v>
      </c>
      <c r="B1404" s="35" t="s">
        <v>39</v>
      </c>
      <c r="C1404" s="35" t="s">
        <v>4679</v>
      </c>
      <c r="D1404" s="35" t="s">
        <v>4684</v>
      </c>
      <c r="E1404" s="35" t="s">
        <v>4684</v>
      </c>
      <c r="F1404" s="36">
        <v>0.2</v>
      </c>
      <c r="G1404" s="31"/>
      <c r="H1404" s="31"/>
      <c r="I1404" s="31"/>
      <c r="J1404" s="31"/>
      <c r="K1404" s="31"/>
    </row>
    <row r="1405" spans="1:11" ht="14.4" x14ac:dyDescent="0.3">
      <c r="A1405" s="28" t="str">
        <f>B1405&amp;C1405&amp;D1405&amp;E1405</f>
        <v>AvtotovarlarAvtomobil uchun elektronikaAvtomobil video kuzatuv tizimlariAvtomobil video kuzatuv tizimlari</v>
      </c>
      <c r="B1405" s="35" t="s">
        <v>39</v>
      </c>
      <c r="C1405" s="35" t="s">
        <v>4681</v>
      </c>
      <c r="D1405" s="35" t="s">
        <v>4685</v>
      </c>
      <c r="E1405" s="35" t="s">
        <v>4685</v>
      </c>
      <c r="F1405" s="36">
        <v>0.2</v>
      </c>
      <c r="G1405" s="31"/>
      <c r="H1405" s="31"/>
      <c r="I1405" s="31"/>
      <c r="J1405" s="31"/>
      <c r="K1405" s="31"/>
    </row>
    <row r="1406" spans="1:11" ht="14.4" x14ac:dyDescent="0.3">
      <c r="A1406" s="28" t="str">
        <f>B1406&amp;C1406&amp;D1406&amp;E1406</f>
        <v>AvtotovarlarAvtomobil uchun moylar va kimyoviy moddalarTormoz suyuqliklariTormoz suyuqliklari</v>
      </c>
      <c r="B1406" s="35" t="s">
        <v>39</v>
      </c>
      <c r="C1406" s="35" t="s">
        <v>3609</v>
      </c>
      <c r="D1406" s="35" t="s">
        <v>4686</v>
      </c>
      <c r="E1406" s="35" t="s">
        <v>4686</v>
      </c>
      <c r="F1406" s="36">
        <v>0.2</v>
      </c>
      <c r="G1406" s="31"/>
      <c r="H1406" s="31"/>
      <c r="I1406" s="31"/>
      <c r="J1406" s="31"/>
      <c r="K1406" s="31"/>
    </row>
    <row r="1407" spans="1:11" ht="14.4" x14ac:dyDescent="0.3">
      <c r="A1407" s="28" t="str">
        <f>B1407&amp;C1407&amp;D1407&amp;E1407</f>
        <v>AvtotovarlarAvtomobil uchun elektronikaShinalar bosimi datchiklariShinalar bosimi datchiklari</v>
      </c>
      <c r="B1407" s="35" t="s">
        <v>39</v>
      </c>
      <c r="C1407" s="35" t="s">
        <v>4681</v>
      </c>
      <c r="D1407" s="35" t="s">
        <v>4687</v>
      </c>
      <c r="E1407" s="35" t="s">
        <v>4687</v>
      </c>
      <c r="F1407" s="36">
        <v>0.2</v>
      </c>
      <c r="G1407" s="31"/>
      <c r="H1407" s="31"/>
      <c r="I1407" s="31"/>
      <c r="J1407" s="31"/>
      <c r="K1407" s="31"/>
    </row>
    <row r="1408" spans="1:11" ht="14.4" x14ac:dyDescent="0.3">
      <c r="A1408" s="28" t="str">
        <f>B1408&amp;C1408&amp;D1408&amp;E1408</f>
        <v>AvtotovarlarAvtomobil uchun elektronikaAvtomobil proyektorlariAvtomobil proyektorlari</v>
      </c>
      <c r="B1408" s="35" t="s">
        <v>39</v>
      </c>
      <c r="C1408" s="35" t="s">
        <v>4681</v>
      </c>
      <c r="D1408" s="35" t="s">
        <v>4688</v>
      </c>
      <c r="E1408" s="35" t="s">
        <v>4688</v>
      </c>
      <c r="F1408" s="36">
        <v>0.2</v>
      </c>
      <c r="G1408" s="31"/>
      <c r="H1408" s="31"/>
      <c r="I1408" s="31"/>
      <c r="J1408" s="31"/>
      <c r="K1408" s="31"/>
    </row>
    <row r="1409" spans="1:11" ht="14.4" x14ac:dyDescent="0.3">
      <c r="A1409" s="28" t="str">
        <f>B1409&amp;C1409&amp;D1409&amp;E1409</f>
        <v>AvtotovarlarAvtomobil uchun elektronikaTamakini tutatish rozetkalari va kabellariTamakini tutatish rozetkalari va kabellari</v>
      </c>
      <c r="B1409" s="35" t="s">
        <v>39</v>
      </c>
      <c r="C1409" s="35" t="s">
        <v>4681</v>
      </c>
      <c r="D1409" s="35" t="s">
        <v>4689</v>
      </c>
      <c r="E1409" s="35" t="s">
        <v>4689</v>
      </c>
      <c r="F1409" s="36">
        <v>0.2</v>
      </c>
      <c r="G1409" s="31"/>
      <c r="H1409" s="31"/>
      <c r="I1409" s="31"/>
      <c r="J1409" s="31"/>
      <c r="K1409" s="31"/>
    </row>
    <row r="1410" spans="1:11" ht="14.4" x14ac:dyDescent="0.3">
      <c r="A1410" s="28" t="str">
        <f>B1410&amp;C1410&amp;D1410&amp;E1410</f>
        <v>AvtotovarlarShinalar va disklarKameralarKameralar</v>
      </c>
      <c r="B1410" s="35" t="s">
        <v>39</v>
      </c>
      <c r="C1410" s="35" t="s">
        <v>3275</v>
      </c>
      <c r="D1410" s="35" t="s">
        <v>4690</v>
      </c>
      <c r="E1410" s="35" t="s">
        <v>4690</v>
      </c>
      <c r="F1410" s="36">
        <v>0.2</v>
      </c>
      <c r="G1410" s="31"/>
      <c r="H1410" s="31"/>
      <c r="I1410" s="31"/>
      <c r="J1410" s="31"/>
      <c r="K1410" s="31"/>
    </row>
    <row r="1411" spans="1:11" ht="14.4" x14ac:dyDescent="0.3">
      <c r="A1411" s="28" t="str">
        <f>B1411&amp;C1411&amp;D1411&amp;E1411</f>
        <v>AvtotovarlarAvtomobil uchun elektronikaYuguruvchi yozuvlar tasmasiYuguruvchi yozuvlar tasmasi</v>
      </c>
      <c r="B1411" s="35" t="s">
        <v>39</v>
      </c>
      <c r="C1411" s="35" t="s">
        <v>4681</v>
      </c>
      <c r="D1411" s="35" t="s">
        <v>4691</v>
      </c>
      <c r="E1411" s="35" t="s">
        <v>4691</v>
      </c>
      <c r="F1411" s="36">
        <v>0.2</v>
      </c>
      <c r="G1411" s="31"/>
      <c r="H1411" s="31"/>
      <c r="I1411" s="31"/>
      <c r="J1411" s="31"/>
      <c r="K1411" s="31"/>
    </row>
    <row r="1412" spans="1:11" ht="14.4" x14ac:dyDescent="0.3">
      <c r="A1412" s="28" t="str">
        <f>B1412&amp;C1412&amp;D1412&amp;E1412</f>
        <v>AvtotovarlarAvtomobil uchun elektronikaAvtomobil uchun zaryadlash qurilmalariAvtomobil uchun zaryadlash qurilmalari</v>
      </c>
      <c r="B1412" s="35" t="s">
        <v>39</v>
      </c>
      <c r="C1412" s="35" t="s">
        <v>4681</v>
      </c>
      <c r="D1412" s="35" t="s">
        <v>4692</v>
      </c>
      <c r="E1412" s="35" t="s">
        <v>4692</v>
      </c>
      <c r="F1412" s="36">
        <v>0.2</v>
      </c>
      <c r="G1412" s="31"/>
      <c r="H1412" s="31"/>
      <c r="I1412" s="31"/>
      <c r="J1412" s="31"/>
      <c r="K1412" s="31"/>
    </row>
    <row r="1413" spans="1:11" ht="14.4" x14ac:dyDescent="0.3">
      <c r="A1413" s="28" t="str">
        <f>B1413&amp;C1413&amp;D1413&amp;E1413</f>
        <v>AvtotovarlarAvtotovushAvtotovush uchun aksessuarlarAvtotovush uchun aksessuarlar</v>
      </c>
      <c r="B1413" s="35" t="s">
        <v>39</v>
      </c>
      <c r="C1413" s="35" t="s">
        <v>4693</v>
      </c>
      <c r="D1413" s="35" t="s">
        <v>4694</v>
      </c>
      <c r="E1413" s="35" t="s">
        <v>4694</v>
      </c>
      <c r="F1413" s="36">
        <v>0.2</v>
      </c>
      <c r="G1413" s="31"/>
      <c r="H1413" s="31"/>
      <c r="I1413" s="31"/>
      <c r="J1413" s="31"/>
      <c r="K1413" s="31"/>
    </row>
    <row r="1414" spans="1:11" ht="14.4" x14ac:dyDescent="0.3">
      <c r="A1414" s="28" t="str">
        <f>B1414&amp;C1414&amp;D1414&amp;E1414</f>
        <v>AvtotovarlarAvtomobil uchun elektronikaVideoregistratorlar uchun aksessuarlarVideoregistratorlar uchun aksessuarlar</v>
      </c>
      <c r="B1414" s="35" t="s">
        <v>39</v>
      </c>
      <c r="C1414" s="35" t="s">
        <v>4681</v>
      </c>
      <c r="D1414" s="35" t="s">
        <v>4695</v>
      </c>
      <c r="E1414" s="35" t="s">
        <v>4695</v>
      </c>
      <c r="F1414" s="36">
        <v>0.2</v>
      </c>
      <c r="G1414" s="31"/>
      <c r="H1414" s="31"/>
      <c r="I1414" s="31"/>
      <c r="J1414" s="31"/>
      <c r="K1414" s="31"/>
    </row>
    <row r="1415" spans="1:11" ht="14.4" x14ac:dyDescent="0.3">
      <c r="A1415" s="28" t="str">
        <f>B1415&amp;C1415&amp;D1415&amp;E1415</f>
        <v>AvtotovarlarAkkumulyatorlar va aksessuarlarAkkumulyatorlar uchun zaryadlovchi qurilmalariAkkumulyatorlar uchun zaryadlovchi qurilmalari</v>
      </c>
      <c r="B1415" s="35" t="s">
        <v>39</v>
      </c>
      <c r="C1415" s="35" t="s">
        <v>4696</v>
      </c>
      <c r="D1415" s="35" t="s">
        <v>3391</v>
      </c>
      <c r="E1415" s="35" t="s">
        <v>3391</v>
      </c>
      <c r="F1415" s="36">
        <v>0.2</v>
      </c>
      <c r="G1415" s="31"/>
      <c r="H1415" s="31"/>
      <c r="I1415" s="31"/>
      <c r="J1415" s="31"/>
      <c r="K1415" s="31"/>
    </row>
    <row r="1416" spans="1:11" ht="14.4" x14ac:dyDescent="0.3">
      <c r="A1416" s="28" t="str">
        <f>B1416&amp;C1416&amp;D1416&amp;E1416</f>
        <v>AvtotovarlarAvtomobil ehtiyot qismlariOld oyna tozalagichlarOld oyna tozalagichlar</v>
      </c>
      <c r="B1416" s="35" t="s">
        <v>39</v>
      </c>
      <c r="C1416" s="35" t="s">
        <v>4697</v>
      </c>
      <c r="D1416" s="35" t="s">
        <v>4698</v>
      </c>
      <c r="E1416" s="35" t="s">
        <v>4698</v>
      </c>
      <c r="F1416" s="36">
        <v>0.2</v>
      </c>
      <c r="G1416" s="31"/>
      <c r="H1416" s="31"/>
      <c r="I1416" s="31"/>
      <c r="J1416" s="31"/>
      <c r="K1416" s="31"/>
    </row>
    <row r="1417" spans="1:11" ht="14.4" x14ac:dyDescent="0.3">
      <c r="A1417" s="28" t="str">
        <f>B1417&amp;C1417&amp;D1417&amp;E1417</f>
        <v>AvtotovarlarAsboblar va uskunalarQoʻl asboblariQoʻl asboblari</v>
      </c>
      <c r="B1417" s="35" t="s">
        <v>39</v>
      </c>
      <c r="C1417" s="35" t="s">
        <v>4679</v>
      </c>
      <c r="D1417" s="35" t="s">
        <v>4699</v>
      </c>
      <c r="E1417" s="35" t="s">
        <v>4699</v>
      </c>
      <c r="F1417" s="36">
        <v>0.2</v>
      </c>
      <c r="G1417" s="31"/>
      <c r="H1417" s="31"/>
      <c r="I1417" s="31"/>
      <c r="J1417" s="31"/>
      <c r="K1417" s="31"/>
    </row>
    <row r="1418" spans="1:11" ht="14.4" x14ac:dyDescent="0.3">
      <c r="A1418" s="28" t="str">
        <f>B1418&amp;C1418&amp;D1418&amp;E1418</f>
        <v>AvtotovarlarAvtomobil uchun moylar va kimyoviy moddalarMotor moylariMotor moylari</v>
      </c>
      <c r="B1418" s="35" t="s">
        <v>39</v>
      </c>
      <c r="C1418" s="35" t="s">
        <v>3609</v>
      </c>
      <c r="D1418" s="35" t="s">
        <v>4700</v>
      </c>
      <c r="E1418" s="35" t="s">
        <v>4700</v>
      </c>
      <c r="F1418" s="36">
        <v>0.2</v>
      </c>
      <c r="G1418" s="31"/>
      <c r="H1418" s="31"/>
      <c r="I1418" s="31"/>
      <c r="J1418" s="31"/>
      <c r="K1418" s="31"/>
    </row>
    <row r="1419" spans="1:11" ht="14.4" x14ac:dyDescent="0.3">
      <c r="A1419" s="28" t="str">
        <f>B1419&amp;C1419&amp;D1419&amp;E1419</f>
        <v>AvtotovarlarAkkumulyatorlar va aksessuarlarAkkumulyator batareyalariAkkumulyator batareyalari</v>
      </c>
      <c r="B1419" s="35" t="s">
        <v>39</v>
      </c>
      <c r="C1419" s="35" t="s">
        <v>4696</v>
      </c>
      <c r="D1419" s="35" t="s">
        <v>4701</v>
      </c>
      <c r="E1419" s="35" t="s">
        <v>4701</v>
      </c>
      <c r="F1419" s="36">
        <v>0.2</v>
      </c>
      <c r="G1419" s="31"/>
      <c r="H1419" s="31"/>
      <c r="I1419" s="31"/>
      <c r="J1419" s="31"/>
      <c r="K1419" s="31"/>
    </row>
    <row r="1420" spans="1:11" ht="14.4" x14ac:dyDescent="0.3">
      <c r="A1420" s="28" t="str">
        <f>B1420&amp;C1420&amp;D1420&amp;E1420</f>
        <v>AvtotovarlarShinalar va disklarDisklar uchun kolpaklarDisklar uchun kolpaklar</v>
      </c>
      <c r="B1420" s="35" t="s">
        <v>39</v>
      </c>
      <c r="C1420" s="35" t="s">
        <v>3275</v>
      </c>
      <c r="D1420" s="35" t="s">
        <v>4702</v>
      </c>
      <c r="E1420" s="35" t="s">
        <v>4702</v>
      </c>
      <c r="F1420" s="36">
        <v>0.2</v>
      </c>
      <c r="G1420" s="31"/>
      <c r="H1420" s="31"/>
      <c r="I1420" s="31"/>
      <c r="J1420" s="31"/>
      <c r="K1420" s="31"/>
    </row>
    <row r="1421" spans="1:11" ht="14.4" x14ac:dyDescent="0.3">
      <c r="A1421" s="28" t="str">
        <f>B1421&amp;C1421&amp;D1421&amp;E1421</f>
        <v>AvtotovarlarAsboblar va uskunalarMahkamlagichlarMahkamlagichlar</v>
      </c>
      <c r="B1421" s="35" t="s">
        <v>39</v>
      </c>
      <c r="C1421" s="35" t="s">
        <v>4679</v>
      </c>
      <c r="D1421" s="35" t="s">
        <v>3330</v>
      </c>
      <c r="E1421" s="35" t="s">
        <v>3330</v>
      </c>
      <c r="F1421" s="36">
        <v>0.2</v>
      </c>
      <c r="G1421" s="31"/>
      <c r="H1421" s="31"/>
      <c r="I1421" s="31"/>
      <c r="J1421" s="31"/>
      <c r="K1421" s="31"/>
    </row>
    <row r="1422" spans="1:11" ht="14.4" x14ac:dyDescent="0.3">
      <c r="A1422" s="28" t="str">
        <f>B1422&amp;C1422&amp;D1422&amp;E1422</f>
        <v>AvtotovarlarAkkumulyatorlar va aksessuarlarAkkumulyator klemmalariAkkumulyator klemmalari</v>
      </c>
      <c r="B1422" s="35" t="s">
        <v>39</v>
      </c>
      <c r="C1422" s="35" t="s">
        <v>4696</v>
      </c>
      <c r="D1422" s="35" t="s">
        <v>4703</v>
      </c>
      <c r="E1422" s="35" t="s">
        <v>4703</v>
      </c>
      <c r="F1422" s="36">
        <v>0.2</v>
      </c>
      <c r="G1422" s="31"/>
      <c r="H1422" s="31"/>
      <c r="I1422" s="31"/>
      <c r="J1422" s="31"/>
      <c r="K1422" s="31"/>
    </row>
    <row r="1423" spans="1:11" ht="14.4" x14ac:dyDescent="0.3">
      <c r="A1423" s="28" t="str">
        <f>B1423&amp;C1423&amp;D1423&amp;E1423</f>
        <v>AvtotovarlarAkkumulyatorlar va aksessuarlarAvtomobil akkumulyatori aksessuarlariAvtomobil akkumulyatori aksessuarlari</v>
      </c>
      <c r="B1423" s="35" t="s">
        <v>39</v>
      </c>
      <c r="C1423" s="35" t="s">
        <v>4696</v>
      </c>
      <c r="D1423" s="35" t="s">
        <v>4704</v>
      </c>
      <c r="E1423" s="35" t="s">
        <v>4704</v>
      </c>
      <c r="F1423" s="36">
        <v>0.2</v>
      </c>
      <c r="G1423" s="31"/>
      <c r="H1423" s="31"/>
      <c r="I1423" s="31"/>
      <c r="J1423" s="31"/>
      <c r="K1423" s="31"/>
    </row>
    <row r="1424" spans="1:11" ht="14.4" x14ac:dyDescent="0.3">
      <c r="A1424" s="28" t="str">
        <f>B1424&amp;C1424&amp;D1424&amp;E1424</f>
        <v>AvtotovarlarAkkumulyatorlar va aksessuarlarOʻt oldirish simlariOʻt oldirish simlari</v>
      </c>
      <c r="B1424" s="35" t="s">
        <v>39</v>
      </c>
      <c r="C1424" s="35" t="s">
        <v>4696</v>
      </c>
      <c r="D1424" s="35" t="s">
        <v>4705</v>
      </c>
      <c r="E1424" s="35" t="s">
        <v>4705</v>
      </c>
      <c r="F1424" s="36">
        <v>0.2</v>
      </c>
      <c r="G1424" s="31"/>
      <c r="H1424" s="31"/>
      <c r="I1424" s="31"/>
      <c r="J1424" s="31"/>
      <c r="K1424" s="31"/>
    </row>
    <row r="1425" spans="1:11" ht="14.4" x14ac:dyDescent="0.3">
      <c r="A1425" s="28" t="str">
        <f>B1425&amp;C1425&amp;D1425&amp;E1425</f>
        <v>AvtotovarlarShinalar va disklarSirpanishga qarshi zanjirlar va lentalarSirpanishga qarshi zanjirlar va lentalar</v>
      </c>
      <c r="B1425" s="35" t="s">
        <v>39</v>
      </c>
      <c r="C1425" s="35" t="s">
        <v>3275</v>
      </c>
      <c r="D1425" s="35" t="s">
        <v>4706</v>
      </c>
      <c r="E1425" s="35" t="s">
        <v>4706</v>
      </c>
      <c r="F1425" s="36">
        <v>0.2</v>
      </c>
      <c r="G1425" s="31"/>
      <c r="H1425" s="31"/>
      <c r="I1425" s="31"/>
      <c r="J1425" s="31"/>
      <c r="K1425" s="31"/>
    </row>
    <row r="1426" spans="1:11" ht="14.4" x14ac:dyDescent="0.3">
      <c r="A1426" s="28" t="str">
        <f>B1426&amp;C1426&amp;D1426&amp;E1426</f>
        <v>AvtotovarlarAvtomobil uchun elektronikaAvtomobillar uchun baland aloqaAvtomobillar uchun baland aloqa</v>
      </c>
      <c r="B1426" s="35" t="s">
        <v>39</v>
      </c>
      <c r="C1426" s="35" t="s">
        <v>4681</v>
      </c>
      <c r="D1426" s="35" t="s">
        <v>4707</v>
      </c>
      <c r="E1426" s="35" t="s">
        <v>4707</v>
      </c>
      <c r="F1426" s="36">
        <v>0.2</v>
      </c>
      <c r="G1426" s="31"/>
      <c r="H1426" s="31"/>
      <c r="I1426" s="31"/>
      <c r="J1426" s="31"/>
      <c r="K1426" s="31"/>
    </row>
    <row r="1427" spans="1:11" ht="14.4" x14ac:dyDescent="0.3">
      <c r="A1427" s="28" t="str">
        <f>B1427&amp;C1427&amp;D1427&amp;E1427</f>
        <v>AvtotovarlarAvtomobil uchun elektronikaAvtomobil invertorlariAvtomobil invertorlari</v>
      </c>
      <c r="B1427" s="35" t="s">
        <v>39</v>
      </c>
      <c r="C1427" s="35" t="s">
        <v>4681</v>
      </c>
      <c r="D1427" s="35" t="s">
        <v>4708</v>
      </c>
      <c r="E1427" s="35" t="s">
        <v>4708</v>
      </c>
      <c r="F1427" s="36">
        <v>0.2</v>
      </c>
      <c r="G1427" s="31"/>
      <c r="H1427" s="31"/>
      <c r="I1427" s="31"/>
      <c r="J1427" s="31"/>
      <c r="K1427" s="31"/>
    </row>
    <row r="1428" spans="1:11" ht="14.4" x14ac:dyDescent="0.3">
      <c r="A1428" s="28" t="str">
        <f>B1428&amp;C1428&amp;D1428&amp;E1428</f>
        <v>AvtotovarlarAksessuarlar va jihozlarTyuning va tashqi bezakHaydovchilar uchun sovgʻalar toʻplami</v>
      </c>
      <c r="B1428" s="35" t="s">
        <v>39</v>
      </c>
      <c r="C1428" s="35" t="s">
        <v>3585</v>
      </c>
      <c r="D1428" s="35" t="s">
        <v>3588</v>
      </c>
      <c r="E1428" s="35" t="s">
        <v>4709</v>
      </c>
      <c r="F1428" s="36">
        <v>0.2</v>
      </c>
      <c r="G1428" s="31"/>
      <c r="H1428" s="31"/>
      <c r="I1428" s="31"/>
      <c r="J1428" s="31"/>
      <c r="K1428" s="31"/>
    </row>
    <row r="1429" spans="1:11" ht="14.4" x14ac:dyDescent="0.3">
      <c r="A1429" s="28" t="str">
        <f>B1429&amp;C1429&amp;D1429&amp;E1429</f>
        <v>AvtotovarlarAsboblar va uskunalarDomkratlarDomkratlar</v>
      </c>
      <c r="B1429" s="35" t="s">
        <v>39</v>
      </c>
      <c r="C1429" s="35" t="s">
        <v>4679</v>
      </c>
      <c r="D1429" s="35" t="s">
        <v>4710</v>
      </c>
      <c r="E1429" s="35" t="s">
        <v>4710</v>
      </c>
      <c r="F1429" s="36">
        <v>0.2</v>
      </c>
      <c r="G1429" s="31"/>
      <c r="H1429" s="31"/>
      <c r="I1429" s="31"/>
      <c r="J1429" s="31"/>
      <c r="K1429" s="31"/>
    </row>
    <row r="1430" spans="1:11" ht="14.4" x14ac:dyDescent="0.3">
      <c r="A1430" s="28" t="str">
        <f>B1430&amp;C1430&amp;D1430&amp;E1430</f>
        <v>AvtotovarlarAvtomobil uchun elektronikaAlkotesterlarAlkotesterlar</v>
      </c>
      <c r="B1430" s="35" t="s">
        <v>39</v>
      </c>
      <c r="C1430" s="35" t="s">
        <v>4681</v>
      </c>
      <c r="D1430" s="35" t="s">
        <v>4711</v>
      </c>
      <c r="E1430" s="35" t="s">
        <v>4711</v>
      </c>
      <c r="F1430" s="36">
        <v>0.2</v>
      </c>
      <c r="G1430" s="31"/>
      <c r="H1430" s="31"/>
      <c r="I1430" s="31"/>
      <c r="J1430" s="31"/>
      <c r="K1430" s="31"/>
    </row>
    <row r="1431" spans="1:11" ht="14.4" x14ac:dyDescent="0.3">
      <c r="A1431" s="28" t="str">
        <f>B1431&amp;C1431&amp;D1431&amp;E1431</f>
        <v>AvtotovarlarAvtomobil uchun moylar va kimyoviy moddalarTez ishga tushirish uchun suyuqliklarTez ishga tushirish uchun suyuqliklar</v>
      </c>
      <c r="B1431" s="35" t="s">
        <v>39</v>
      </c>
      <c r="C1431" s="35" t="s">
        <v>3609</v>
      </c>
      <c r="D1431" s="35" t="s">
        <v>4712</v>
      </c>
      <c r="E1431" s="35" t="s">
        <v>4712</v>
      </c>
      <c r="F1431" s="36">
        <v>0.2</v>
      </c>
      <c r="G1431" s="31"/>
      <c r="H1431" s="31"/>
      <c r="I1431" s="31"/>
      <c r="J1431" s="31"/>
      <c r="K1431" s="31"/>
    </row>
    <row r="1432" spans="1:11" ht="14.4" x14ac:dyDescent="0.3">
      <c r="A1432" s="28" t="str">
        <f>B1432&amp;C1432&amp;D1432&amp;E1432</f>
        <v>AvtotovarlarAvtomobilni parvarishiAntigraviyAntigraviy</v>
      </c>
      <c r="B1432" s="35" t="s">
        <v>39</v>
      </c>
      <c r="C1432" s="35" t="s">
        <v>3616</v>
      </c>
      <c r="D1432" s="35" t="s">
        <v>4713</v>
      </c>
      <c r="E1432" s="35" t="s">
        <v>4713</v>
      </c>
      <c r="F1432" s="36">
        <v>0.2</v>
      </c>
      <c r="G1432" s="31"/>
      <c r="H1432" s="31"/>
      <c r="I1432" s="31"/>
      <c r="J1432" s="31"/>
      <c r="K1432" s="31"/>
    </row>
    <row r="1433" spans="1:11" ht="14.4" x14ac:dyDescent="0.3">
      <c r="A1433" s="28" t="str">
        <f>B1433&amp;C1433&amp;D1433&amp;E1433</f>
        <v>AvtotovarlarAvtomobil uchun elektronikaGPS signalini kamaytirgichlarGPS signalini kamaytirgichlar</v>
      </c>
      <c r="B1433" s="35" t="s">
        <v>39</v>
      </c>
      <c r="C1433" s="35" t="s">
        <v>4681</v>
      </c>
      <c r="D1433" s="35" t="s">
        <v>4714</v>
      </c>
      <c r="E1433" s="35" t="s">
        <v>4714</v>
      </c>
      <c r="F1433" s="36">
        <v>0.2</v>
      </c>
      <c r="G1433" s="31"/>
      <c r="H1433" s="31"/>
      <c r="I1433" s="31"/>
      <c r="J1433" s="31"/>
      <c r="K1433" s="31"/>
    </row>
    <row r="1434" spans="1:11" ht="14.4" x14ac:dyDescent="0.3">
      <c r="A1434" s="28" t="str">
        <f>B1434&amp;C1434&amp;D1434&amp;E1434</f>
        <v>AvtotovarlarAvtomobil uchun elektronikaAvtomobil uchun datchiklarAvtomobil uchun datchiklar</v>
      </c>
      <c r="B1434" s="35" t="s">
        <v>39</v>
      </c>
      <c r="C1434" s="35" t="s">
        <v>4681</v>
      </c>
      <c r="D1434" s="35" t="s">
        <v>4715</v>
      </c>
      <c r="E1434" s="35" t="s">
        <v>4715</v>
      </c>
      <c r="F1434" s="36">
        <v>0.2</v>
      </c>
      <c r="G1434" s="31"/>
      <c r="H1434" s="31"/>
      <c r="I1434" s="31"/>
      <c r="J1434" s="31"/>
      <c r="K1434" s="31"/>
    </row>
    <row r="1435" spans="1:11" ht="14.4" x14ac:dyDescent="0.3">
      <c r="A1435" s="28" t="str">
        <f>B1435&amp;C1435&amp;D1435&amp;E1435</f>
        <v>AvtotovarlarMototexnikalar, motoekipirovka uchun tovarlarMototsiklchilar uchun ekipirovkaMototsiklchilar uchun ekipirovka</v>
      </c>
      <c r="B1435" s="35" t="s">
        <v>39</v>
      </c>
      <c r="C1435" s="35" t="s">
        <v>3594</v>
      </c>
      <c r="D1435" s="35" t="s">
        <v>4716</v>
      </c>
      <c r="E1435" s="35" t="s">
        <v>4716</v>
      </c>
      <c r="F1435" s="36">
        <v>0.2</v>
      </c>
      <c r="G1435" s="31"/>
      <c r="H1435" s="31"/>
      <c r="I1435" s="31"/>
      <c r="J1435" s="31"/>
      <c r="K1435" s="31"/>
    </row>
    <row r="1436" spans="1:11" ht="14.4" x14ac:dyDescent="0.3">
      <c r="A1436" s="28" t="str">
        <f>B1436&amp;C1436&amp;D1436&amp;E1436</f>
        <v>AvtotovarlarShinalar va disklarDisklarDisklar</v>
      </c>
      <c r="B1436" s="35" t="s">
        <v>39</v>
      </c>
      <c r="C1436" s="35" t="s">
        <v>3275</v>
      </c>
      <c r="D1436" s="35" t="s">
        <v>4717</v>
      </c>
      <c r="E1436" s="35" t="s">
        <v>4717</v>
      </c>
      <c r="F1436" s="36">
        <v>0.2</v>
      </c>
      <c r="G1436" s="31"/>
      <c r="H1436" s="31"/>
      <c r="I1436" s="31"/>
      <c r="J1436" s="31"/>
      <c r="K1436" s="31"/>
    </row>
    <row r="1437" spans="1:11" ht="14.4" x14ac:dyDescent="0.3">
      <c r="A1437" s="28" t="str">
        <f>B1437&amp;C1437&amp;D1437&amp;E1437</f>
        <v>AvtotovarlarAvtotovushFM-transmitterlariFM-transmitterlari</v>
      </c>
      <c r="B1437" s="35" t="s">
        <v>39</v>
      </c>
      <c r="C1437" s="35" t="s">
        <v>4693</v>
      </c>
      <c r="D1437" s="35" t="s">
        <v>4718</v>
      </c>
      <c r="E1437" s="35" t="s">
        <v>4718</v>
      </c>
      <c r="F1437" s="36">
        <v>0.2</v>
      </c>
      <c r="G1437" s="31"/>
      <c r="H1437" s="31"/>
      <c r="I1437" s="31"/>
      <c r="J1437" s="31"/>
      <c r="K1437" s="31"/>
    </row>
    <row r="1438" spans="1:11" ht="14.4" x14ac:dyDescent="0.3">
      <c r="A1438" s="28" t="str">
        <f>B1438&amp;C1438&amp;D1438&amp;E1438</f>
        <v>AvtotovarlarAsboblar va uskunalarAvtomobil asboblari uchun aksessuarlarAvtomobil asboblari uchun aksessuarlar</v>
      </c>
      <c r="B1438" s="35" t="s">
        <v>39</v>
      </c>
      <c r="C1438" s="35" t="s">
        <v>4679</v>
      </c>
      <c r="D1438" s="35" t="s">
        <v>4719</v>
      </c>
      <c r="E1438" s="35" t="s">
        <v>4719</v>
      </c>
      <c r="F1438" s="36">
        <v>0.2</v>
      </c>
      <c r="G1438" s="31"/>
      <c r="H1438" s="31"/>
      <c r="I1438" s="31"/>
      <c r="J1438" s="31"/>
      <c r="K1438" s="31"/>
    </row>
    <row r="1439" spans="1:11" ht="14.4" x14ac:dyDescent="0.3">
      <c r="A1439" s="28" t="str">
        <f>B1439&amp;C1439&amp;D1439&amp;E1439</f>
        <v>AvtotovarlarAvtomobil uchun elektronikaAvtomobillar uchun quvvat bloklariAvtomobillar uchun quvvat bloklari</v>
      </c>
      <c r="B1439" s="35" t="s">
        <v>39</v>
      </c>
      <c r="C1439" s="35" t="s">
        <v>4681</v>
      </c>
      <c r="D1439" s="35" t="s">
        <v>4720</v>
      </c>
      <c r="E1439" s="35" t="s">
        <v>4720</v>
      </c>
      <c r="F1439" s="36">
        <v>0.2</v>
      </c>
      <c r="G1439" s="31"/>
      <c r="H1439" s="31"/>
      <c r="I1439" s="31"/>
      <c r="J1439" s="31"/>
      <c r="K1439" s="31"/>
    </row>
    <row r="1440" spans="1:11" ht="14.4" x14ac:dyDescent="0.3">
      <c r="A1440" s="28" t="str">
        <f>B1440&amp;C1440&amp;D1440&amp;E1440</f>
        <v>AvtotovarlarAvtomobil uchun moylar va kimyoviy moddalarGidravlik suyuqliklar va moylarGidravlik suyuqliklar va moylar</v>
      </c>
      <c r="B1440" s="35" t="s">
        <v>39</v>
      </c>
      <c r="C1440" s="35" t="s">
        <v>3609</v>
      </c>
      <c r="D1440" s="35" t="s">
        <v>4721</v>
      </c>
      <c r="E1440" s="35" t="s">
        <v>4721</v>
      </c>
      <c r="F1440" s="36">
        <v>0.2</v>
      </c>
      <c r="G1440" s="31"/>
      <c r="H1440" s="31"/>
      <c r="I1440" s="31"/>
      <c r="J1440" s="31"/>
      <c r="K1440" s="31"/>
    </row>
    <row r="1441" spans="1:11" ht="14.4" x14ac:dyDescent="0.3">
      <c r="A1441" s="28" t="str">
        <f>B1441&amp;C1441&amp;D1441&amp;E1441</f>
        <v>AvtotovarlarAvtomobil uchun elektronikaOʻt oldirish viklyuchatellariOʻt oldirish viklyuchatellari</v>
      </c>
      <c r="B1441" s="35" t="s">
        <v>39</v>
      </c>
      <c r="C1441" s="35" t="s">
        <v>4681</v>
      </c>
      <c r="D1441" s="35" t="s">
        <v>4722</v>
      </c>
      <c r="E1441" s="35" t="s">
        <v>4722</v>
      </c>
      <c r="F1441" s="36">
        <v>0.2</v>
      </c>
      <c r="G1441" s="31"/>
      <c r="H1441" s="31"/>
      <c r="I1441" s="31"/>
      <c r="J1441" s="31"/>
      <c r="K1441" s="31"/>
    </row>
    <row r="1442" spans="1:11" ht="14.4" x14ac:dyDescent="0.3">
      <c r="A1442" s="28" t="str">
        <f>B1442&amp;C1442&amp;D1442&amp;E1442</f>
        <v>AvtotovarlarAvtotovushAvtomobil antennalariAvtomobil antennalari</v>
      </c>
      <c r="B1442" s="35" t="s">
        <v>39</v>
      </c>
      <c r="C1442" s="35" t="s">
        <v>4693</v>
      </c>
      <c r="D1442" s="35" t="s">
        <v>4723</v>
      </c>
      <c r="E1442" s="35" t="s">
        <v>4723</v>
      </c>
      <c r="F1442" s="36">
        <v>0.2</v>
      </c>
      <c r="G1442" s="31"/>
      <c r="H1442" s="31"/>
      <c r="I1442" s="31"/>
      <c r="J1442" s="31"/>
      <c r="K1442" s="31"/>
    </row>
    <row r="1443" spans="1:11" ht="14.4" x14ac:dyDescent="0.3">
      <c r="A1443" s="28" t="str">
        <f>B1443&amp;C1443&amp;D1443&amp;E1443</f>
        <v>Bolalar tovarlariOʻyinchoqlar va oʻyinlar3 yoshgacha boʻlgan bolalar uchun3 yoshgacha boʻlgan bolalar uchun</v>
      </c>
      <c r="B1443" s="35" t="s">
        <v>3153</v>
      </c>
      <c r="C1443" s="35" t="s">
        <v>4724</v>
      </c>
      <c r="D1443" s="35" t="s">
        <v>4725</v>
      </c>
      <c r="E1443" s="35" t="s">
        <v>4725</v>
      </c>
      <c r="F1443" s="36">
        <v>0.2</v>
      </c>
      <c r="G1443" s="31"/>
      <c r="H1443" s="31"/>
      <c r="I1443" s="31"/>
      <c r="J1443" s="31"/>
      <c r="K1443" s="31"/>
    </row>
    <row r="1444" spans="1:11" ht="14.4" x14ac:dyDescent="0.3">
      <c r="A1444" s="28" t="str">
        <f>B1444&amp;C1444&amp;D1444&amp;E1444</f>
        <v>Bolalar tovarlariGigiyena va tagliklarСhaqaloq parvarishiBolalar uchun paxtali tayoqchalar</v>
      </c>
      <c r="B1444" s="35" t="s">
        <v>3153</v>
      </c>
      <c r="C1444" s="35" t="s">
        <v>3290</v>
      </c>
      <c r="D1444" s="35" t="s">
        <v>4726</v>
      </c>
      <c r="E1444" s="35" t="s">
        <v>4727</v>
      </c>
      <c r="F1444" s="36">
        <v>0.2</v>
      </c>
      <c r="G1444" s="31"/>
      <c r="H1444" s="31"/>
      <c r="I1444" s="31"/>
      <c r="J1444" s="31"/>
      <c r="K1444" s="31"/>
    </row>
    <row r="1445" spans="1:11" ht="14.4" x14ac:dyDescent="0.3">
      <c r="A1445" s="28" t="str">
        <f>B1445&amp;C1445&amp;D1445&amp;E1445</f>
        <v>Bolalar tovarlariDam olish va oʻyin-kulgiLepkaModellashtirish asboblari va to'plamlari</v>
      </c>
      <c r="B1445" s="35" t="s">
        <v>3153</v>
      </c>
      <c r="C1445" s="35" t="s">
        <v>3280</v>
      </c>
      <c r="D1445" s="35" t="s">
        <v>3284</v>
      </c>
      <c r="E1445" s="35" t="s">
        <v>4728</v>
      </c>
      <c r="F1445" s="36">
        <v>0.2</v>
      </c>
      <c r="G1445" s="31"/>
      <c r="H1445" s="31"/>
      <c r="I1445" s="31"/>
      <c r="J1445" s="31"/>
      <c r="K1445" s="31"/>
    </row>
    <row r="1446" spans="1:11" ht="14.4" x14ac:dyDescent="0.3">
      <c r="A1446" s="28" t="str">
        <f>B1446&amp;C1446&amp;D1446&amp;E1446</f>
        <v>Bolalar tovarlariBolalar sporti va faol hordiqKichkintoylar uchun argʻimchoqlar va shezlonglarKichkintoylar uchun argʻimchoqlar va shezlonglar</v>
      </c>
      <c r="B1446" s="35" t="s">
        <v>3153</v>
      </c>
      <c r="C1446" s="35" t="s">
        <v>3680</v>
      </c>
      <c r="D1446" s="35" t="s">
        <v>4729</v>
      </c>
      <c r="E1446" s="35" t="s">
        <v>4729</v>
      </c>
      <c r="F1446" s="36">
        <v>0.2</v>
      </c>
      <c r="G1446" s="31"/>
      <c r="H1446" s="31"/>
      <c r="I1446" s="31"/>
      <c r="J1446" s="31"/>
      <c r="K1446" s="31"/>
    </row>
    <row r="1447" spans="1:11" ht="14.4" x14ac:dyDescent="0.3">
      <c r="A1447" s="28" t="str">
        <f>B1447&amp;C1447&amp;D1447&amp;E1447</f>
        <v>Bolalar tovarlariGigiyena va tagliklarChoʻmilish va parvarishGubkalar va mochalkalar</v>
      </c>
      <c r="B1447" s="35" t="s">
        <v>3153</v>
      </c>
      <c r="C1447" s="35" t="s">
        <v>3290</v>
      </c>
      <c r="D1447" s="35" t="s">
        <v>3291</v>
      </c>
      <c r="E1447" s="35" t="s">
        <v>4730</v>
      </c>
      <c r="F1447" s="36">
        <v>0.2</v>
      </c>
      <c r="G1447" s="31"/>
      <c r="H1447" s="31"/>
      <c r="I1447" s="31"/>
      <c r="J1447" s="31"/>
      <c r="K1447" s="31"/>
    </row>
    <row r="1448" spans="1:11" ht="14.4" x14ac:dyDescent="0.3">
      <c r="A1448" s="28" t="str">
        <f>B1448&amp;C1448&amp;D1448&amp;E1448</f>
        <v>Bolalar tovarlariBolalar xonasiDekoratsiya va chiroqlarBoʻy oʻlchagichlar</v>
      </c>
      <c r="B1448" s="35" t="s">
        <v>3153</v>
      </c>
      <c r="C1448" s="35" t="s">
        <v>3287</v>
      </c>
      <c r="D1448" s="35" t="s">
        <v>3691</v>
      </c>
      <c r="E1448" s="35" t="s">
        <v>4731</v>
      </c>
      <c r="F1448" s="36">
        <v>0.2</v>
      </c>
      <c r="G1448" s="31"/>
      <c r="H1448" s="31"/>
      <c r="I1448" s="31"/>
      <c r="J1448" s="31"/>
      <c r="K1448" s="31"/>
    </row>
    <row r="1449" spans="1:11" ht="14.4" x14ac:dyDescent="0.3">
      <c r="A1449" s="28" t="str">
        <f>B1449&amp;C1449&amp;D1449&amp;E1449</f>
        <v>Bolalar tovarlariGigiyena va tagliklarBolalar kosmetikasiBolalar uchun balzamlar va soch spreylari</v>
      </c>
      <c r="B1449" s="35" t="s">
        <v>3153</v>
      </c>
      <c r="C1449" s="35" t="s">
        <v>3290</v>
      </c>
      <c r="D1449" s="35" t="s">
        <v>4732</v>
      </c>
      <c r="E1449" s="35" t="s">
        <v>4733</v>
      </c>
      <c r="F1449" s="36">
        <v>0.2</v>
      </c>
      <c r="G1449" s="31"/>
      <c r="H1449" s="31"/>
      <c r="I1449" s="31"/>
      <c r="J1449" s="31"/>
      <c r="K1449" s="31"/>
    </row>
    <row r="1450" spans="1:11" ht="14.4" x14ac:dyDescent="0.3">
      <c r="A1450" s="28" t="str">
        <f>B1450&amp;C1450&amp;D1450&amp;E1450</f>
        <v>Bolalar tovarlariBolalar xonasiBolalar uchun mebel va aksessuarlarSandiqlar</v>
      </c>
      <c r="B1450" s="35" t="s">
        <v>3153</v>
      </c>
      <c r="C1450" s="35" t="s">
        <v>3287</v>
      </c>
      <c r="D1450" s="35" t="s">
        <v>4734</v>
      </c>
      <c r="E1450" s="35" t="s">
        <v>4735</v>
      </c>
      <c r="F1450" s="36">
        <v>0.2</v>
      </c>
      <c r="G1450" s="31"/>
      <c r="H1450" s="31"/>
      <c r="I1450" s="31"/>
      <c r="J1450" s="31"/>
      <c r="K1450" s="31"/>
    </row>
    <row r="1451" spans="1:11" ht="14.4" x14ac:dyDescent="0.3">
      <c r="A1451" s="28" t="str">
        <f>B1451&amp;C1451&amp;D1451&amp;E1451</f>
        <v>Bolalar tovarlariGigiyena va tagliklarKichkintoylar uchun pelyonkalar va yoʻrgaklarBir martali ishlatiladigan tagliklar</v>
      </c>
      <c r="B1451" s="35" t="s">
        <v>3153</v>
      </c>
      <c r="C1451" s="35" t="s">
        <v>3290</v>
      </c>
      <c r="D1451" s="35" t="s">
        <v>4736</v>
      </c>
      <c r="E1451" s="35" t="s">
        <v>4737</v>
      </c>
      <c r="F1451" s="36">
        <v>0.2</v>
      </c>
      <c r="G1451" s="31"/>
      <c r="H1451" s="31"/>
      <c r="I1451" s="31"/>
      <c r="J1451" s="31"/>
      <c r="K1451" s="31"/>
    </row>
    <row r="1452" spans="1:11" ht="14.4" x14ac:dyDescent="0.3">
      <c r="A1452" s="28" t="str">
        <f>B1452&amp;C1452&amp;D1452&amp;E1452</f>
        <v>Bolalar tovarlariGigiyena va tagliklarBolalar kosmetikasiBolalar shampunlari</v>
      </c>
      <c r="B1452" s="35" t="s">
        <v>3153</v>
      </c>
      <c r="C1452" s="35" t="s">
        <v>3290</v>
      </c>
      <c r="D1452" s="35" t="s">
        <v>4732</v>
      </c>
      <c r="E1452" s="35" t="s">
        <v>4738</v>
      </c>
      <c r="F1452" s="36">
        <v>0.2</v>
      </c>
      <c r="G1452" s="31"/>
      <c r="H1452" s="31"/>
      <c r="I1452" s="31"/>
      <c r="J1452" s="31"/>
      <c r="K1452" s="31"/>
    </row>
    <row r="1453" spans="1:11" ht="14.4" x14ac:dyDescent="0.3">
      <c r="A1453" s="28" t="str">
        <f>B1453&amp;C1453&amp;D1453&amp;E1453</f>
        <v>Bolalar tovarlariDam olish va oʻyin-kulgiStol va karta oʻyinlariBolalar uchun stol oʻyinlari</v>
      </c>
      <c r="B1453" s="35" t="s">
        <v>3153</v>
      </c>
      <c r="C1453" s="35" t="s">
        <v>3280</v>
      </c>
      <c r="D1453" s="35" t="s">
        <v>4621</v>
      </c>
      <c r="E1453" s="35" t="s">
        <v>4739</v>
      </c>
      <c r="F1453" s="36">
        <v>0.2</v>
      </c>
      <c r="G1453" s="31"/>
      <c r="H1453" s="31"/>
      <c r="I1453" s="31"/>
      <c r="J1453" s="31"/>
      <c r="K1453" s="31"/>
    </row>
    <row r="1454" spans="1:11" ht="14.4" x14ac:dyDescent="0.3">
      <c r="A1454" s="28" t="str">
        <f>B1454&amp;C1454&amp;D1454&amp;E1454</f>
        <v>Bolalar tovarlariBolalar xonasiBolalar uchun mebel va aksessuarlarStullar, kursilar va kreslolar</v>
      </c>
      <c r="B1454" s="35" t="s">
        <v>3153</v>
      </c>
      <c r="C1454" s="35" t="s">
        <v>3287</v>
      </c>
      <c r="D1454" s="35" t="s">
        <v>4734</v>
      </c>
      <c r="E1454" s="35" t="s">
        <v>4740</v>
      </c>
      <c r="F1454" s="36">
        <v>0.2</v>
      </c>
      <c r="G1454" s="31"/>
      <c r="H1454" s="31"/>
      <c r="I1454" s="31"/>
      <c r="J1454" s="31"/>
      <c r="K1454" s="31"/>
    </row>
    <row r="1455" spans="1:11" ht="14.4" x14ac:dyDescent="0.3">
      <c r="A1455" s="28" t="str">
        <f>B1455&amp;C1455&amp;D1455&amp;E1455</f>
        <v>Bolalar tovarlariOʻyinchoqlar va oʻyinlarOʻrgatuvchi va rivojlantiruvchi oʻyinchoqlarOʻrgatuvchi va rivojlantiruvchi oʻyinchoqlar</v>
      </c>
      <c r="B1455" s="35" t="s">
        <v>3153</v>
      </c>
      <c r="C1455" s="35" t="s">
        <v>4724</v>
      </c>
      <c r="D1455" s="35" t="s">
        <v>4741</v>
      </c>
      <c r="E1455" s="35" t="s">
        <v>4741</v>
      </c>
      <c r="F1455" s="36">
        <v>0.2</v>
      </c>
      <c r="G1455" s="31"/>
      <c r="H1455" s="31"/>
      <c r="I1455" s="31"/>
      <c r="J1455" s="31"/>
      <c r="K1455" s="31"/>
    </row>
    <row r="1456" spans="1:11" ht="14.4" x14ac:dyDescent="0.3">
      <c r="A1456" s="28" t="str">
        <f>B1456&amp;C1456&amp;D1456&amp;E1456</f>
        <v>Bolalar tovarlariBolalar xonasiDekoratsiya va chiroqlarSavatlar va organayzerlar</v>
      </c>
      <c r="B1456" s="35" t="s">
        <v>3153</v>
      </c>
      <c r="C1456" s="35" t="s">
        <v>3287</v>
      </c>
      <c r="D1456" s="35" t="s">
        <v>3691</v>
      </c>
      <c r="E1456" s="35" t="s">
        <v>4742</v>
      </c>
      <c r="F1456" s="36">
        <v>0.2</v>
      </c>
      <c r="G1456" s="31"/>
      <c r="H1456" s="31"/>
      <c r="I1456" s="31"/>
      <c r="J1456" s="31"/>
      <c r="K1456" s="31"/>
    </row>
    <row r="1457" spans="1:11" ht="14.4" x14ac:dyDescent="0.3">
      <c r="A1457" s="28" t="str">
        <f>B1457&amp;C1457&amp;D1457&amp;E1457</f>
        <v>Bolalar tovarlariOvqatlantirish uchun tovarlarOvqatlantirish uchun idishlar va anjomlariShishalarni tozalash uchun cho'tkalar va shisha tozalagichlar</v>
      </c>
      <c r="B1457" s="35" t="s">
        <v>3153</v>
      </c>
      <c r="C1457" s="35" t="s">
        <v>3282</v>
      </c>
      <c r="D1457" s="35" t="s">
        <v>4743</v>
      </c>
      <c r="E1457" s="35" t="s">
        <v>4744</v>
      </c>
      <c r="F1457" s="36">
        <v>0.2</v>
      </c>
      <c r="G1457" s="31"/>
      <c r="H1457" s="31"/>
      <c r="I1457" s="31"/>
      <c r="J1457" s="31"/>
      <c r="K1457" s="31"/>
    </row>
    <row r="1458" spans="1:11" ht="14.4" x14ac:dyDescent="0.3">
      <c r="A1458" s="28" t="str">
        <f>B1458&amp;C1458&amp;D1458&amp;E1458</f>
        <v>Bolalar tovarlariBolalar xonasiUyqu uchun barcha narsalarPashshaxonalar va chivindan himoya toʻrlari</v>
      </c>
      <c r="B1458" s="35" t="s">
        <v>3153</v>
      </c>
      <c r="C1458" s="35" t="s">
        <v>3287</v>
      </c>
      <c r="D1458" s="35" t="s">
        <v>4745</v>
      </c>
      <c r="E1458" s="35" t="s">
        <v>4746</v>
      </c>
      <c r="F1458" s="36">
        <v>0.2</v>
      </c>
      <c r="G1458" s="31"/>
      <c r="H1458" s="31"/>
      <c r="I1458" s="31"/>
      <c r="J1458" s="31"/>
      <c r="K1458" s="31"/>
    </row>
    <row r="1459" spans="1:11" ht="14.4" x14ac:dyDescent="0.3">
      <c r="A1459" s="28" t="str">
        <f>B1459&amp;C1459&amp;D1459&amp;E1459</f>
        <v>Bolalar tovarlariDam olish va oʻyin-kulgiStol va karta oʻyinlariBolalar uchun loto</v>
      </c>
      <c r="B1459" s="35" t="s">
        <v>3153</v>
      </c>
      <c r="C1459" s="35" t="s">
        <v>3280</v>
      </c>
      <c r="D1459" s="35" t="s">
        <v>4621</v>
      </c>
      <c r="E1459" s="35" t="s">
        <v>4747</v>
      </c>
      <c r="F1459" s="36">
        <v>0.2</v>
      </c>
      <c r="G1459" s="31"/>
      <c r="H1459" s="31"/>
      <c r="I1459" s="31"/>
      <c r="J1459" s="31"/>
      <c r="K1459" s="31"/>
    </row>
    <row r="1460" spans="1:11" ht="14.4" x14ac:dyDescent="0.3">
      <c r="A1460" s="28" t="str">
        <f>B1460&amp;C1460&amp;D1460&amp;E1460</f>
        <v>Bolalar tovarlariOʻyinchoqlar va oʻyinlarOʻrgatuvchi va rivojlantiruvchi oʻyinchoqlarRivojlantiruvchi mozaikalar va gilamchalar</v>
      </c>
      <c r="B1460" s="35" t="s">
        <v>3153</v>
      </c>
      <c r="C1460" s="35" t="s">
        <v>4724</v>
      </c>
      <c r="D1460" s="35" t="s">
        <v>4741</v>
      </c>
      <c r="E1460" s="35" t="s">
        <v>4748</v>
      </c>
      <c r="F1460" s="36">
        <v>0.2</v>
      </c>
      <c r="G1460" s="31"/>
      <c r="H1460" s="31"/>
      <c r="I1460" s="31"/>
      <c r="J1460" s="31"/>
      <c r="K1460" s="31"/>
    </row>
    <row r="1461" spans="1:11" ht="14.4" x14ac:dyDescent="0.3">
      <c r="A1461" s="28" t="str">
        <f>B1461&amp;C1461&amp;D1461&amp;E1461</f>
        <v>Bolalar tovarlariOʻyinchoqlar va oʻyinlarOʻyinchoqlarni saqlashOʻyinchoqlarni saqlash</v>
      </c>
      <c r="B1461" s="35" t="s">
        <v>3153</v>
      </c>
      <c r="C1461" s="35" t="s">
        <v>4724</v>
      </c>
      <c r="D1461" s="35" t="s">
        <v>4749</v>
      </c>
      <c r="E1461" s="35" t="s">
        <v>4749</v>
      </c>
      <c r="F1461" s="36">
        <v>0.2</v>
      </c>
      <c r="G1461" s="31"/>
      <c r="H1461" s="31"/>
      <c r="I1461" s="31"/>
      <c r="J1461" s="31"/>
      <c r="K1461" s="31"/>
    </row>
    <row r="1462" spans="1:11" ht="14.4" x14ac:dyDescent="0.3">
      <c r="A1462" s="28" t="str">
        <f>B1462&amp;C1462&amp;D1462&amp;E1462</f>
        <v>Bolalar tovarlariGigiyena va tagliklarСhaqaloq parvarishiBurun aspiratorlari</v>
      </c>
      <c r="B1462" s="35" t="s">
        <v>3153</v>
      </c>
      <c r="C1462" s="35" t="s">
        <v>3290</v>
      </c>
      <c r="D1462" s="35" t="s">
        <v>4726</v>
      </c>
      <c r="E1462" s="35" t="s">
        <v>4750</v>
      </c>
      <c r="F1462" s="36">
        <v>0.2</v>
      </c>
      <c r="G1462" s="31"/>
      <c r="H1462" s="31"/>
      <c r="I1462" s="31"/>
      <c r="J1462" s="31"/>
      <c r="K1462" s="31"/>
    </row>
    <row r="1463" spans="1:11" ht="14.4" x14ac:dyDescent="0.3">
      <c r="A1463" s="28" t="str">
        <f>B1463&amp;C1463&amp;D1463&amp;E1463</f>
        <v>Bolalar tovarlariOʻyinchoqlar va oʻyinlarKonstruktorlarMagnitli</v>
      </c>
      <c r="B1463" s="35" t="s">
        <v>3153</v>
      </c>
      <c r="C1463" s="35" t="s">
        <v>4724</v>
      </c>
      <c r="D1463" s="35" t="s">
        <v>4751</v>
      </c>
      <c r="E1463" s="35" t="s">
        <v>4752</v>
      </c>
      <c r="F1463" s="36">
        <v>0.2</v>
      </c>
      <c r="G1463" s="31"/>
      <c r="H1463" s="31"/>
      <c r="I1463" s="31"/>
      <c r="J1463" s="31"/>
      <c r="K1463" s="31"/>
    </row>
    <row r="1464" spans="1:11" ht="14.4" x14ac:dyDescent="0.3">
      <c r="A1464" s="28" t="str">
        <f>B1464&amp;C1464&amp;D1464&amp;E1464</f>
        <v>Bolalar tovarlariBolalar xonasiDekoratsiya va chiroqlarBolalar uchun yoritgichlar</v>
      </c>
      <c r="B1464" s="35" t="s">
        <v>3153</v>
      </c>
      <c r="C1464" s="35" t="s">
        <v>3287</v>
      </c>
      <c r="D1464" s="35" t="s">
        <v>3691</v>
      </c>
      <c r="E1464" s="35" t="s">
        <v>4753</v>
      </c>
      <c r="F1464" s="36">
        <v>0.2</v>
      </c>
      <c r="G1464" s="31"/>
      <c r="H1464" s="31"/>
      <c r="I1464" s="31"/>
      <c r="J1464" s="31"/>
      <c r="K1464" s="31"/>
    </row>
    <row r="1465" spans="1:11" ht="14.4" x14ac:dyDescent="0.3">
      <c r="A1465" s="28" t="str">
        <f>B1465&amp;C1465&amp;D1465&amp;E1465</f>
        <v>Bolalar tovarlariBolalar sporti va faol hordiqOʻyin majmualari va oʻyin maydonchalariOʻyin majmualari va oʻyin maydonchalari</v>
      </c>
      <c r="B1465" s="35" t="s">
        <v>3153</v>
      </c>
      <c r="C1465" s="35" t="s">
        <v>3680</v>
      </c>
      <c r="D1465" s="35" t="s">
        <v>4754</v>
      </c>
      <c r="E1465" s="35" t="s">
        <v>4754</v>
      </c>
      <c r="F1465" s="36">
        <v>0.2</v>
      </c>
      <c r="G1465" s="31"/>
      <c r="H1465" s="31"/>
      <c r="I1465" s="31"/>
      <c r="J1465" s="31"/>
      <c r="K1465" s="31"/>
    </row>
    <row r="1466" spans="1:11" ht="14.4" x14ac:dyDescent="0.3">
      <c r="A1466" s="28" t="str">
        <f>B1466&amp;C1466&amp;D1466&amp;E1466</f>
        <v>Bolalar tovarlariGigiyena va tagliklarСhaqaloq parvarishiBolalar uchun salfetkalar</v>
      </c>
      <c r="B1466" s="35" t="s">
        <v>3153</v>
      </c>
      <c r="C1466" s="35" t="s">
        <v>3290</v>
      </c>
      <c r="D1466" s="35" t="s">
        <v>4726</v>
      </c>
      <c r="E1466" s="35" t="s">
        <v>4755</v>
      </c>
      <c r="F1466" s="36">
        <v>0.2</v>
      </c>
      <c r="G1466" s="31"/>
      <c r="H1466" s="31"/>
      <c r="I1466" s="31"/>
      <c r="J1466" s="31"/>
      <c r="K1466" s="31"/>
    </row>
    <row r="1467" spans="1:11" ht="14.4" x14ac:dyDescent="0.3">
      <c r="A1467" s="28" t="str">
        <f>B1467&amp;C1467&amp;D1467&amp;E1467</f>
        <v>Bolalar tovarlariOʻyinchoqlar va oʻyinlarYogʻoch oʻyinchoqlarYogʻoch oʻyinchoqlar</v>
      </c>
      <c r="B1467" s="35" t="s">
        <v>3153</v>
      </c>
      <c r="C1467" s="35" t="s">
        <v>4724</v>
      </c>
      <c r="D1467" s="35" t="s">
        <v>4756</v>
      </c>
      <c r="E1467" s="35" t="s">
        <v>4756</v>
      </c>
      <c r="F1467" s="36">
        <v>0.2</v>
      </c>
      <c r="G1467" s="31"/>
      <c r="H1467" s="31"/>
      <c r="I1467" s="31"/>
      <c r="J1467" s="31"/>
      <c r="K1467" s="31"/>
    </row>
    <row r="1468" spans="1:11" ht="14.4" x14ac:dyDescent="0.3">
      <c r="A1468" s="28" t="str">
        <f>B1468&amp;C1468&amp;D1468&amp;E1468</f>
        <v>Bolalar tovarlariBolalar xonasiBolalar uchun mebel va aksessuarlarBolalar uchun mebel toʻplamlari</v>
      </c>
      <c r="B1468" s="35" t="s">
        <v>3153</v>
      </c>
      <c r="C1468" s="35" t="s">
        <v>3287</v>
      </c>
      <c r="D1468" s="35" t="s">
        <v>4734</v>
      </c>
      <c r="E1468" s="35" t="s">
        <v>4757</v>
      </c>
      <c r="F1468" s="36">
        <v>0.2</v>
      </c>
      <c r="G1468" s="31"/>
      <c r="H1468" s="31"/>
      <c r="I1468" s="31"/>
      <c r="J1468" s="31"/>
      <c r="K1468" s="31"/>
    </row>
    <row r="1469" spans="1:11" ht="14.4" x14ac:dyDescent="0.3">
      <c r="A1469" s="28" t="str">
        <f>B1469&amp;C1469&amp;D1469&amp;E1469</f>
        <v>Bolalar tovarlariOʻyinchoqlar va oʻyinlarKonstruktorlarYogʻochdan</v>
      </c>
      <c r="B1469" s="35" t="s">
        <v>3153</v>
      </c>
      <c r="C1469" s="35" t="s">
        <v>4724</v>
      </c>
      <c r="D1469" s="35" t="s">
        <v>4751</v>
      </c>
      <c r="E1469" s="35" t="s">
        <v>4758</v>
      </c>
      <c r="F1469" s="36">
        <v>0.2</v>
      </c>
      <c r="G1469" s="31"/>
      <c r="H1469" s="31"/>
      <c r="I1469" s="31"/>
      <c r="J1469" s="31"/>
      <c r="K1469" s="31"/>
    </row>
    <row r="1470" spans="1:11" ht="14.4" x14ac:dyDescent="0.3">
      <c r="A1470" s="28" t="str">
        <f>B1470&amp;C1470&amp;D1470&amp;E1470</f>
        <v>Bolalar tovarlariBolalar xonasiUyqu uchun barcha narsalarChoyshablar</v>
      </c>
      <c r="B1470" s="35" t="s">
        <v>3153</v>
      </c>
      <c r="C1470" s="35" t="s">
        <v>3287</v>
      </c>
      <c r="D1470" s="35" t="s">
        <v>4745</v>
      </c>
      <c r="E1470" s="35" t="s">
        <v>4574</v>
      </c>
      <c r="F1470" s="36">
        <v>0.2</v>
      </c>
      <c r="G1470" s="31"/>
      <c r="H1470" s="31"/>
      <c r="I1470" s="31"/>
      <c r="J1470" s="31"/>
      <c r="K1470" s="31"/>
    </row>
    <row r="1471" spans="1:11" ht="14.4" x14ac:dyDescent="0.3">
      <c r="A1471" s="28" t="str">
        <f>B1471&amp;C1471&amp;D1471&amp;E1471</f>
        <v>Bolalar tovarlariOvqatlantirish uchun tovarlarOvqatlantirish uchun idishlar va anjomlariBolalar uchun oshxona anjomlari</v>
      </c>
      <c r="B1471" s="35" t="s">
        <v>3153</v>
      </c>
      <c r="C1471" s="35" t="s">
        <v>3282</v>
      </c>
      <c r="D1471" s="35" t="s">
        <v>4743</v>
      </c>
      <c r="E1471" s="35" t="s">
        <v>4759</v>
      </c>
      <c r="F1471" s="36">
        <v>0.2</v>
      </c>
      <c r="G1471" s="31"/>
      <c r="H1471" s="31"/>
      <c r="I1471" s="31"/>
      <c r="J1471" s="31"/>
      <c r="K1471" s="31"/>
    </row>
    <row r="1472" spans="1:11" ht="14.4" x14ac:dyDescent="0.3">
      <c r="A1472" s="28" t="str">
        <f>B1472&amp;C1472&amp;D1472&amp;E1472</f>
        <v>Bolalar tovarlariOʻyinchoqlar va oʻyinlarQoʻgʻirchoqlar va aksessuarlarQoʻgʻirchoqlar va aksessuarlar</v>
      </c>
      <c r="B1472" s="35" t="s">
        <v>3153</v>
      </c>
      <c r="C1472" s="35" t="s">
        <v>4724</v>
      </c>
      <c r="D1472" s="35" t="s">
        <v>4760</v>
      </c>
      <c r="E1472" s="35" t="s">
        <v>4760</v>
      </c>
      <c r="F1472" s="36">
        <v>0.2</v>
      </c>
      <c r="G1472" s="31"/>
      <c r="H1472" s="31"/>
      <c r="I1472" s="31"/>
      <c r="J1472" s="31"/>
      <c r="K1472" s="31"/>
    </row>
    <row r="1473" spans="1:11" ht="14.4" x14ac:dyDescent="0.3">
      <c r="A1473" s="28" t="str">
        <f>B1473&amp;C1473&amp;D1473&amp;E1473</f>
        <v>Bolalar tovarlariOvqatlantirish uchun tovarlarOvqatlantirish uchun idishlar va anjomlariBolalar ovqatlari uchun konteynerlar</v>
      </c>
      <c r="B1473" s="35" t="s">
        <v>3153</v>
      </c>
      <c r="C1473" s="35" t="s">
        <v>3282</v>
      </c>
      <c r="D1473" s="35" t="s">
        <v>4743</v>
      </c>
      <c r="E1473" s="35" t="s">
        <v>4761</v>
      </c>
      <c r="F1473" s="36">
        <v>0.2</v>
      </c>
      <c r="G1473" s="31"/>
      <c r="H1473" s="31"/>
      <c r="I1473" s="31"/>
      <c r="J1473" s="31"/>
      <c r="K1473" s="31"/>
    </row>
    <row r="1474" spans="1:11" ht="14.4" x14ac:dyDescent="0.3">
      <c r="A1474" s="28" t="str">
        <f>B1474&amp;C1474&amp;D1474&amp;E1474</f>
        <v>Bolalar tovarlariDam olish va oʻyin-kulgiBolalar uchun chizishBolalar uchun chizish</v>
      </c>
      <c r="B1474" s="35" t="s">
        <v>3153</v>
      </c>
      <c r="C1474" s="35" t="s">
        <v>3280</v>
      </c>
      <c r="D1474" s="35" t="s">
        <v>4762</v>
      </c>
      <c r="E1474" s="35" t="s">
        <v>4762</v>
      </c>
      <c r="F1474" s="36">
        <v>0.2</v>
      </c>
      <c r="G1474" s="31"/>
      <c r="H1474" s="31"/>
      <c r="I1474" s="31"/>
      <c r="J1474" s="31"/>
      <c r="K1474" s="31"/>
    </row>
    <row r="1475" spans="1:11" ht="14.4" x14ac:dyDescent="0.3">
      <c r="A1475" s="28" t="str">
        <f>B1475&amp;C1475&amp;D1475&amp;E1475</f>
        <v>Bolalar tovarlariBolalar sporti va faol hordiqOchiq havoda oʻynaladigan oʻyinlarSport oʻyinlari</v>
      </c>
      <c r="B1475" s="35" t="s">
        <v>3153</v>
      </c>
      <c r="C1475" s="35" t="s">
        <v>3680</v>
      </c>
      <c r="D1475" s="35" t="s">
        <v>3681</v>
      </c>
      <c r="E1475" s="35" t="s">
        <v>4763</v>
      </c>
      <c r="F1475" s="36">
        <v>0.2</v>
      </c>
      <c r="G1475" s="31"/>
      <c r="H1475" s="31"/>
      <c r="I1475" s="31"/>
      <c r="J1475" s="31"/>
      <c r="K1475" s="31"/>
    </row>
    <row r="1476" spans="1:11" ht="14.4" x14ac:dyDescent="0.3">
      <c r="A1476" s="28" t="str">
        <f>B1476&amp;C1476&amp;D1476&amp;E1476</f>
        <v>Bolalar tovarlariBolalar sporti va faol hordiqQum va qumdonlarModellashtirish uchun qumdonlar</v>
      </c>
      <c r="B1476" s="35" t="s">
        <v>3153</v>
      </c>
      <c r="C1476" s="35" t="s">
        <v>3680</v>
      </c>
      <c r="D1476" s="35" t="s">
        <v>4764</v>
      </c>
      <c r="E1476" s="35" t="s">
        <v>4765</v>
      </c>
      <c r="F1476" s="36">
        <v>0.2</v>
      </c>
      <c r="G1476" s="31"/>
      <c r="H1476" s="31"/>
      <c r="I1476" s="31"/>
      <c r="J1476" s="31"/>
      <c r="K1476" s="31"/>
    </row>
    <row r="1477" spans="1:11" ht="14.4" x14ac:dyDescent="0.3">
      <c r="A1477" s="28" t="str">
        <f>B1477&amp;C1477&amp;D1477&amp;E1477</f>
        <v>Bolalar tovarlariBolalar xonasiUyqu uchun barcha narsalarKokonlar va pozitsionerlar</v>
      </c>
      <c r="B1477" s="35" t="s">
        <v>3153</v>
      </c>
      <c r="C1477" s="35" t="s">
        <v>3287</v>
      </c>
      <c r="D1477" s="35" t="s">
        <v>4745</v>
      </c>
      <c r="E1477" s="35" t="s">
        <v>4766</v>
      </c>
      <c r="F1477" s="36">
        <v>0.2</v>
      </c>
      <c r="G1477" s="31"/>
      <c r="H1477" s="31"/>
      <c r="I1477" s="31"/>
      <c r="J1477" s="31"/>
      <c r="K1477" s="31"/>
    </row>
    <row r="1478" spans="1:11" ht="14.4" x14ac:dyDescent="0.3">
      <c r="A1478" s="28" t="str">
        <f>B1478&amp;C1478&amp;D1478&amp;E1478</f>
        <v>Bolalar tovarlariBolalar xonasiDekoratsiya va chiroqlarInteryer uchun yopishma rasmlar va plakatlar</v>
      </c>
      <c r="B1478" s="35" t="s">
        <v>3153</v>
      </c>
      <c r="C1478" s="35" t="s">
        <v>3287</v>
      </c>
      <c r="D1478" s="35" t="s">
        <v>3691</v>
      </c>
      <c r="E1478" s="35" t="s">
        <v>4767</v>
      </c>
      <c r="F1478" s="36">
        <v>0.2</v>
      </c>
      <c r="G1478" s="31"/>
      <c r="H1478" s="31"/>
      <c r="I1478" s="31"/>
      <c r="J1478" s="31"/>
      <c r="K1478" s="31"/>
    </row>
    <row r="1479" spans="1:11" ht="14.4" x14ac:dyDescent="0.3">
      <c r="A1479" s="28" t="str">
        <f>B1479&amp;C1479&amp;D1479&amp;E1479</f>
        <v>Bolalar tovarlariGigiyena va tagliklarChoʻmilish va parvarishVannachalar va tepalikchalar</v>
      </c>
      <c r="B1479" s="35" t="s">
        <v>3153</v>
      </c>
      <c r="C1479" s="35" t="s">
        <v>3290</v>
      </c>
      <c r="D1479" s="35" t="s">
        <v>3291</v>
      </c>
      <c r="E1479" s="35" t="s">
        <v>4768</v>
      </c>
      <c r="F1479" s="36">
        <v>0.2</v>
      </c>
      <c r="G1479" s="31"/>
      <c r="H1479" s="31"/>
      <c r="I1479" s="31"/>
      <c r="J1479" s="31"/>
      <c r="K1479" s="31"/>
    </row>
    <row r="1480" spans="1:11" ht="14.4" x14ac:dyDescent="0.3">
      <c r="A1480" s="28" t="str">
        <f>B1480&amp;C1480&amp;D1480&amp;E1480</f>
        <v>Bolalar tovarlariGigiyena va tagliklarBolalar kosmetikasiBolalar uchun dush gellari</v>
      </c>
      <c r="B1480" s="35" t="s">
        <v>3153</v>
      </c>
      <c r="C1480" s="35" t="s">
        <v>3290</v>
      </c>
      <c r="D1480" s="35" t="s">
        <v>4732</v>
      </c>
      <c r="E1480" s="35" t="s">
        <v>4769</v>
      </c>
      <c r="F1480" s="36">
        <v>0.2</v>
      </c>
      <c r="G1480" s="31"/>
      <c r="H1480" s="31"/>
      <c r="I1480" s="31"/>
      <c r="J1480" s="31"/>
      <c r="K1480" s="31"/>
    </row>
    <row r="1481" spans="1:11" ht="14.4" x14ac:dyDescent="0.3">
      <c r="A1481" s="28" t="str">
        <f>B1481&amp;C1481&amp;D1481&amp;E1481</f>
        <v>Bolalar tovarlariOvqatlantirish uchun tovarlarShishalar va suv ichirgichlarShishalar va suv ichirgichlar</v>
      </c>
      <c r="B1481" s="35" t="s">
        <v>3153</v>
      </c>
      <c r="C1481" s="35" t="s">
        <v>3282</v>
      </c>
      <c r="D1481" s="35" t="s">
        <v>4770</v>
      </c>
      <c r="E1481" s="35" t="s">
        <v>4770</v>
      </c>
      <c r="F1481" s="36">
        <v>0.2</v>
      </c>
      <c r="G1481" s="31"/>
      <c r="H1481" s="31"/>
      <c r="I1481" s="31"/>
      <c r="J1481" s="31"/>
      <c r="K1481" s="31"/>
    </row>
    <row r="1482" spans="1:11" ht="14.4" x14ac:dyDescent="0.3">
      <c r="A1482" s="28" t="str">
        <f>B1482&amp;C1482&amp;D1482&amp;E1482</f>
        <v>Bolalar tovarlariOʻyinchoqlar va oʻyinlarOʻrgatuvchi va rivojlantiruvchi oʻyinchoqlarBoshqotirmalar</v>
      </c>
      <c r="B1482" s="35" t="s">
        <v>3153</v>
      </c>
      <c r="C1482" s="35" t="s">
        <v>4724</v>
      </c>
      <c r="D1482" s="35" t="s">
        <v>4741</v>
      </c>
      <c r="E1482" s="35" t="s">
        <v>4771</v>
      </c>
      <c r="F1482" s="36">
        <v>0.2</v>
      </c>
      <c r="G1482" s="31"/>
      <c r="H1482" s="31"/>
      <c r="I1482" s="31"/>
      <c r="J1482" s="31"/>
      <c r="K1482" s="31"/>
    </row>
    <row r="1483" spans="1:11" ht="14.4" x14ac:dyDescent="0.3">
      <c r="A1483" s="28" t="str">
        <f>B1483&amp;C1483&amp;D1483&amp;E1483</f>
        <v>Bolalar tovarlariOʻyinchoqlar va oʻyinlarOʻrgatuvchi va rivojlantiruvchi oʻyinchoqlarSyujetli-rolli oʻyinlar</v>
      </c>
      <c r="B1483" s="35" t="s">
        <v>3153</v>
      </c>
      <c r="C1483" s="35" t="s">
        <v>4724</v>
      </c>
      <c r="D1483" s="35" t="s">
        <v>4741</v>
      </c>
      <c r="E1483" s="35" t="s">
        <v>4772</v>
      </c>
      <c r="F1483" s="36">
        <v>0.2</v>
      </c>
      <c r="G1483" s="31"/>
      <c r="H1483" s="31"/>
      <c r="I1483" s="31"/>
      <c r="J1483" s="31"/>
      <c r="K1483" s="31"/>
    </row>
    <row r="1484" spans="1:11" ht="14.4" x14ac:dyDescent="0.3">
      <c r="A1484" s="28" t="str">
        <f>B1484&amp;C1484&amp;D1484&amp;E1484</f>
        <v>Bolalar tovarlariGigiyena va tagliklarBolalar kosmetikasiBolalar kremlari</v>
      </c>
      <c r="B1484" s="35" t="s">
        <v>3153</v>
      </c>
      <c r="C1484" s="35" t="s">
        <v>3290</v>
      </c>
      <c r="D1484" s="35" t="s">
        <v>4732</v>
      </c>
      <c r="E1484" s="35" t="s">
        <v>4773</v>
      </c>
      <c r="F1484" s="36">
        <v>0.2</v>
      </c>
      <c r="G1484" s="31"/>
      <c r="H1484" s="31"/>
      <c r="I1484" s="31"/>
      <c r="J1484" s="31"/>
      <c r="K1484" s="31"/>
    </row>
    <row r="1485" spans="1:11" ht="14.4" x14ac:dyDescent="0.3">
      <c r="A1485" s="28" t="str">
        <f>B1485&amp;C1485&amp;D1485&amp;E1485</f>
        <v>Bolalar tovarlariBolalar xonasiUyqu uchun barcha narsalarYostiqlar</v>
      </c>
      <c r="B1485" s="35" t="s">
        <v>3153</v>
      </c>
      <c r="C1485" s="35" t="s">
        <v>3287</v>
      </c>
      <c r="D1485" s="35" t="s">
        <v>4745</v>
      </c>
      <c r="E1485" s="35" t="s">
        <v>4559</v>
      </c>
      <c r="F1485" s="36">
        <v>0.2</v>
      </c>
      <c r="G1485" s="31"/>
      <c r="H1485" s="31"/>
      <c r="I1485" s="31"/>
      <c r="J1485" s="31"/>
      <c r="K1485" s="31"/>
    </row>
    <row r="1486" spans="1:11" ht="14.4" x14ac:dyDescent="0.3">
      <c r="A1486" s="28" t="str">
        <f>B1486&amp;C1486&amp;D1486&amp;E1486</f>
        <v>Bolalar tovarlariBolalar sporti va faol hordiqXodunok va sakrogʻichlarXodunok va sakrogʻichlar</v>
      </c>
      <c r="B1486" s="35" t="s">
        <v>3153</v>
      </c>
      <c r="C1486" s="35" t="s">
        <v>3680</v>
      </c>
      <c r="D1486" s="35" t="s">
        <v>4774</v>
      </c>
      <c r="E1486" s="35" t="s">
        <v>4774</v>
      </c>
      <c r="F1486" s="36">
        <v>0.2</v>
      </c>
      <c r="G1486" s="31"/>
      <c r="H1486" s="31"/>
      <c r="I1486" s="31"/>
      <c r="J1486" s="31"/>
      <c r="K1486" s="31"/>
    </row>
    <row r="1487" spans="1:11" ht="14.4" x14ac:dyDescent="0.3">
      <c r="A1487" s="28" t="str">
        <f>B1487&amp;C1487&amp;D1487&amp;E1487</f>
        <v>Bolalar tovarlariBolalar xonasiUyqu uchun barcha narsalarKoʻrpalar, yopinchiqlar, choyshablar</v>
      </c>
      <c r="B1487" s="35" t="s">
        <v>3153</v>
      </c>
      <c r="C1487" s="35" t="s">
        <v>3287</v>
      </c>
      <c r="D1487" s="35" t="s">
        <v>4745</v>
      </c>
      <c r="E1487" s="35" t="s">
        <v>4775</v>
      </c>
      <c r="F1487" s="36">
        <v>0.2</v>
      </c>
      <c r="G1487" s="31"/>
      <c r="H1487" s="31"/>
      <c r="I1487" s="31"/>
      <c r="J1487" s="31"/>
      <c r="K1487" s="31"/>
    </row>
    <row r="1488" spans="1:11" ht="14.4" x14ac:dyDescent="0.3">
      <c r="A1488" s="28" t="str">
        <f>B1488&amp;C1488&amp;D1488&amp;E1488</f>
        <v>Bolalar tovarlariGigiyena va tagliklarChoʻmilish va parvarishChoʻmilish uchun qalpoqlar va koziryoklar</v>
      </c>
      <c r="B1488" s="35" t="s">
        <v>3153</v>
      </c>
      <c r="C1488" s="35" t="s">
        <v>3290</v>
      </c>
      <c r="D1488" s="35" t="s">
        <v>3291</v>
      </c>
      <c r="E1488" s="35" t="s">
        <v>4776</v>
      </c>
      <c r="F1488" s="36">
        <v>0.2</v>
      </c>
      <c r="G1488" s="31"/>
      <c r="H1488" s="31"/>
      <c r="I1488" s="31"/>
      <c r="J1488" s="31"/>
      <c r="K1488" s="31"/>
    </row>
    <row r="1489" spans="1:11" ht="14.4" x14ac:dyDescent="0.3">
      <c r="A1489" s="28" t="str">
        <f>B1489&amp;C1489&amp;D1489&amp;E1489</f>
        <v>Bolalar tovarlariGigiyena va tagliklarOgʻiz boʻshligʻi gigiyenasiBolalar tish choʻtkalari</v>
      </c>
      <c r="B1489" s="35" t="s">
        <v>3153</v>
      </c>
      <c r="C1489" s="35" t="s">
        <v>3290</v>
      </c>
      <c r="D1489" s="35" t="s">
        <v>4777</v>
      </c>
      <c r="E1489" s="35" t="s">
        <v>4778</v>
      </c>
      <c r="F1489" s="36">
        <v>0.2</v>
      </c>
      <c r="G1489" s="31"/>
      <c r="H1489" s="31"/>
      <c r="I1489" s="31"/>
      <c r="J1489" s="31"/>
      <c r="K1489" s="31"/>
    </row>
    <row r="1490" spans="1:11" ht="14.4" x14ac:dyDescent="0.3">
      <c r="A1490" s="28" t="str">
        <f>B1490&amp;C1490&amp;D1490&amp;E1490</f>
        <v>Bolalar tovarlariGigiyena va tagliklarChoʻmilish va parvarishSuv termometrlari</v>
      </c>
      <c r="B1490" s="35" t="s">
        <v>3153</v>
      </c>
      <c r="C1490" s="35" t="s">
        <v>3290</v>
      </c>
      <c r="D1490" s="35" t="s">
        <v>3291</v>
      </c>
      <c r="E1490" s="35" t="s">
        <v>4779</v>
      </c>
      <c r="F1490" s="36">
        <v>0.2</v>
      </c>
      <c r="G1490" s="31"/>
      <c r="H1490" s="31"/>
      <c r="I1490" s="31"/>
      <c r="J1490" s="31"/>
      <c r="K1490" s="31"/>
    </row>
    <row r="1491" spans="1:11" ht="14.4" x14ac:dyDescent="0.3">
      <c r="A1491" s="28" t="str">
        <f>B1491&amp;C1491&amp;D1491&amp;E1491</f>
        <v>Bolalar tovarlariBolalar xonasiUyqu uchun barcha narsalarBolalar matraslari</v>
      </c>
      <c r="B1491" s="35" t="s">
        <v>3153</v>
      </c>
      <c r="C1491" s="35" t="s">
        <v>3287</v>
      </c>
      <c r="D1491" s="35" t="s">
        <v>4745</v>
      </c>
      <c r="E1491" s="35" t="s">
        <v>4780</v>
      </c>
      <c r="F1491" s="36">
        <v>0.2</v>
      </c>
      <c r="G1491" s="31"/>
      <c r="H1491" s="31"/>
      <c r="I1491" s="31"/>
      <c r="J1491" s="31"/>
      <c r="K1491" s="31"/>
    </row>
    <row r="1492" spans="1:11" ht="14.4" x14ac:dyDescent="0.3">
      <c r="A1492" s="28" t="str">
        <f>B1492&amp;C1492&amp;D1492&amp;E1492</f>
        <v>Bolalar tovarlariGigiyena va tagliklarСhaqaloq parvarishiBolalar taroqlari va choʻtkalari</v>
      </c>
      <c r="B1492" s="35" t="s">
        <v>3153</v>
      </c>
      <c r="C1492" s="35" t="s">
        <v>3290</v>
      </c>
      <c r="D1492" s="35" t="s">
        <v>4726</v>
      </c>
      <c r="E1492" s="35" t="s">
        <v>4781</v>
      </c>
      <c r="F1492" s="36">
        <v>0.2</v>
      </c>
      <c r="G1492" s="31"/>
      <c r="H1492" s="31"/>
      <c r="I1492" s="31"/>
      <c r="J1492" s="31"/>
      <c r="K1492" s="31"/>
    </row>
    <row r="1493" spans="1:11" ht="14.4" x14ac:dyDescent="0.3">
      <c r="A1493" s="28" t="str">
        <f>B1493&amp;C1493&amp;D1493&amp;E1493</f>
        <v>Bolalar tovarlariOvqatlantirish uchun tovarlarOvqatlantirish uchun idishlar va anjomlariBolalar uchun krujkalar</v>
      </c>
      <c r="B1493" s="35" t="s">
        <v>3153</v>
      </c>
      <c r="C1493" s="35" t="s">
        <v>3282</v>
      </c>
      <c r="D1493" s="35" t="s">
        <v>4743</v>
      </c>
      <c r="E1493" s="35" t="s">
        <v>4782</v>
      </c>
      <c r="F1493" s="36">
        <v>0.2</v>
      </c>
      <c r="G1493" s="31"/>
      <c r="H1493" s="31"/>
      <c r="I1493" s="31"/>
      <c r="J1493" s="31"/>
      <c r="K1493" s="31"/>
    </row>
    <row r="1494" spans="1:11" ht="14.4" x14ac:dyDescent="0.3">
      <c r="A1494" s="28" t="str">
        <f>B1494&amp;C1494&amp;D1494&amp;E1494</f>
        <v>Bolalar tovarlariBolalar xonasiBolalar uchun mebel va aksessuarlarBolalar uchun stollar</v>
      </c>
      <c r="B1494" s="35" t="s">
        <v>3153</v>
      </c>
      <c r="C1494" s="35" t="s">
        <v>3287</v>
      </c>
      <c r="D1494" s="35" t="s">
        <v>4734</v>
      </c>
      <c r="E1494" s="35" t="s">
        <v>4783</v>
      </c>
      <c r="F1494" s="36">
        <v>0.2</v>
      </c>
      <c r="G1494" s="31"/>
      <c r="H1494" s="31"/>
      <c r="I1494" s="31"/>
      <c r="J1494" s="31"/>
      <c r="K1494" s="31"/>
    </row>
    <row r="1495" spans="1:11" ht="14.4" x14ac:dyDescent="0.3">
      <c r="A1495" s="28" t="str">
        <f>B1495&amp;C1495&amp;D1495&amp;E1495</f>
        <v>Bolalar tovarlariGigiyena va tagliklarСhaqaloq parvarishiBolalar uchun isitgichlar va kamarlar</v>
      </c>
      <c r="B1495" s="35" t="s">
        <v>3153</v>
      </c>
      <c r="C1495" s="35" t="s">
        <v>3290</v>
      </c>
      <c r="D1495" s="35" t="s">
        <v>4726</v>
      </c>
      <c r="E1495" s="35" t="s">
        <v>4784</v>
      </c>
      <c r="F1495" s="36">
        <v>0.2</v>
      </c>
      <c r="G1495" s="31"/>
      <c r="H1495" s="31"/>
      <c r="I1495" s="31"/>
      <c r="J1495" s="31"/>
      <c r="K1495" s="31"/>
    </row>
    <row r="1496" spans="1:11" ht="14.4" x14ac:dyDescent="0.3">
      <c r="A1496" s="28" t="str">
        <f>B1496&amp;C1496&amp;D1496&amp;E1496</f>
        <v>Bolalar tovarlariOʻyinchoqlar va oʻyinlarOʻyinchoqlar – antistressOʻyinchoqlar – antistress</v>
      </c>
      <c r="B1496" s="35" t="s">
        <v>3153</v>
      </c>
      <c r="C1496" s="35" t="s">
        <v>4724</v>
      </c>
      <c r="D1496" s="35" t="s">
        <v>4785</v>
      </c>
      <c r="E1496" s="35" t="s">
        <v>4785</v>
      </c>
      <c r="F1496" s="36">
        <v>0.2</v>
      </c>
      <c r="G1496" s="31"/>
      <c r="H1496" s="31"/>
      <c r="I1496" s="31"/>
      <c r="J1496" s="31"/>
      <c r="K1496" s="31"/>
    </row>
    <row r="1497" spans="1:11" ht="14.4" x14ac:dyDescent="0.3">
      <c r="A1497" s="28" t="str">
        <f>B1497&amp;C1497&amp;D1497&amp;E1497</f>
        <v>Bolalar tovarlariBolalar xonasiBolalar uchun mebel va aksessuarlarManejlar</v>
      </c>
      <c r="B1497" s="35" t="s">
        <v>3153</v>
      </c>
      <c r="C1497" s="35" t="s">
        <v>3287</v>
      </c>
      <c r="D1497" s="35" t="s">
        <v>4734</v>
      </c>
      <c r="E1497" s="35" t="s">
        <v>4786</v>
      </c>
      <c r="F1497" s="36">
        <v>0.2</v>
      </c>
      <c r="G1497" s="31"/>
      <c r="H1497" s="31"/>
      <c r="I1497" s="31"/>
      <c r="J1497" s="31"/>
      <c r="K1497" s="31"/>
    </row>
    <row r="1498" spans="1:11" ht="14.4" x14ac:dyDescent="0.3">
      <c r="A1498" s="28" t="str">
        <f>B1498&amp;C1498&amp;D1498&amp;E1498</f>
        <v>Bolalar tovarlariOʻyinchoqlar va oʻyinlarKonstruktorlarMetalldan</v>
      </c>
      <c r="B1498" s="35" t="s">
        <v>3153</v>
      </c>
      <c r="C1498" s="35" t="s">
        <v>4724</v>
      </c>
      <c r="D1498" s="35" t="s">
        <v>4751</v>
      </c>
      <c r="E1498" s="35" t="s">
        <v>4787</v>
      </c>
      <c r="F1498" s="36">
        <v>0.2</v>
      </c>
      <c r="G1498" s="31"/>
      <c r="H1498" s="31"/>
      <c r="I1498" s="31"/>
      <c r="J1498" s="31"/>
      <c r="K1498" s="31"/>
    </row>
    <row r="1499" spans="1:11" ht="14.4" x14ac:dyDescent="0.3">
      <c r="A1499" s="28" t="str">
        <f>B1499&amp;C1499&amp;D1499&amp;E1499</f>
        <v>Bolalar tovarlariOʻyinchoqlar va oʻyinlarKonstruktorlarBloklar</v>
      </c>
      <c r="B1499" s="35" t="s">
        <v>3153</v>
      </c>
      <c r="C1499" s="35" t="s">
        <v>4724</v>
      </c>
      <c r="D1499" s="35" t="s">
        <v>4751</v>
      </c>
      <c r="E1499" s="35" t="s">
        <v>4788</v>
      </c>
      <c r="F1499" s="36">
        <v>0.2</v>
      </c>
      <c r="G1499" s="31"/>
      <c r="H1499" s="31"/>
      <c r="I1499" s="31"/>
      <c r="J1499" s="31"/>
      <c r="K1499" s="31"/>
    </row>
    <row r="1500" spans="1:11" ht="14.4" x14ac:dyDescent="0.3">
      <c r="A1500" s="28" t="str">
        <f>B1500&amp;C1500&amp;D1500&amp;E1500</f>
        <v>Bolalar tovarlariOvqatlantirish uchun tovarlarOvqatlantirish uchun idishlar va anjomlariAralasmalar va dori-darmonlar uchun dozatorlar</v>
      </c>
      <c r="B1500" s="35" t="s">
        <v>3153</v>
      </c>
      <c r="C1500" s="35" t="s">
        <v>3282</v>
      </c>
      <c r="D1500" s="35" t="s">
        <v>4743</v>
      </c>
      <c r="E1500" s="35" t="s">
        <v>4789</v>
      </c>
      <c r="F1500" s="36">
        <v>0.2</v>
      </c>
      <c r="G1500" s="31"/>
      <c r="H1500" s="31"/>
      <c r="I1500" s="31"/>
      <c r="J1500" s="31"/>
      <c r="K1500" s="31"/>
    </row>
    <row r="1501" spans="1:11" ht="14.4" x14ac:dyDescent="0.3">
      <c r="A1501" s="28" t="str">
        <f>B1501&amp;C1501&amp;D1501&amp;E1501</f>
        <v>Bolalar tovarlariGigiyena va tagliklarBolalar kosmetikasiBolalar gigienasi uchun to'plamlar</v>
      </c>
      <c r="B1501" s="35" t="s">
        <v>3153</v>
      </c>
      <c r="C1501" s="35" t="s">
        <v>3290</v>
      </c>
      <c r="D1501" s="35" t="s">
        <v>4732</v>
      </c>
      <c r="E1501" s="35" t="s">
        <v>4790</v>
      </c>
      <c r="F1501" s="36">
        <v>0.2</v>
      </c>
      <c r="G1501" s="31"/>
      <c r="H1501" s="31"/>
      <c r="I1501" s="31"/>
      <c r="J1501" s="31"/>
      <c r="K1501" s="31"/>
    </row>
    <row r="1502" spans="1:11" ht="14.4" x14ac:dyDescent="0.3">
      <c r="A1502" s="28" t="str">
        <f>B1502&amp;C1502&amp;D1502&amp;E1502</f>
        <v>Bolalar tovarlariOvqatlantirish uchun tovarlarEmzgichlar, soʻrgʻichlar va aksessuarlarEmzgichlar, soʻrgʻichlar va aksessuarlar</v>
      </c>
      <c r="B1502" s="35" t="s">
        <v>3153</v>
      </c>
      <c r="C1502" s="35" t="s">
        <v>3282</v>
      </c>
      <c r="D1502" s="35" t="s">
        <v>4791</v>
      </c>
      <c r="E1502" s="35" t="s">
        <v>4791</v>
      </c>
      <c r="F1502" s="36">
        <v>0.2</v>
      </c>
      <c r="G1502" s="31"/>
      <c r="H1502" s="31"/>
      <c r="I1502" s="31"/>
      <c r="J1502" s="31"/>
      <c r="K1502" s="31"/>
    </row>
    <row r="1503" spans="1:11" ht="14.4" x14ac:dyDescent="0.3">
      <c r="A1503" s="28" t="str">
        <f>B1503&amp;C1503&amp;D1503&amp;E1503</f>
        <v>Bolalar tovarlariBolalar sporti va faol hordiqBolalar transportiBolalar uchun himoya ekipirovka</v>
      </c>
      <c r="B1503" s="35" t="s">
        <v>3153</v>
      </c>
      <c r="C1503" s="35" t="s">
        <v>3680</v>
      </c>
      <c r="D1503" s="35" t="s">
        <v>4792</v>
      </c>
      <c r="E1503" s="35" t="s">
        <v>4793</v>
      </c>
      <c r="F1503" s="36">
        <v>0.2</v>
      </c>
      <c r="G1503" s="31"/>
      <c r="H1503" s="31"/>
      <c r="I1503" s="31"/>
      <c r="J1503" s="31"/>
      <c r="K1503" s="31"/>
    </row>
    <row r="1504" spans="1:11" ht="14.4" x14ac:dyDescent="0.3">
      <c r="A1504" s="28" t="str">
        <f>B1504&amp;C1504&amp;D1504&amp;E1504</f>
        <v>Bolalar tovarlariDam olish va oʻyin-kulgiStol va karta oʻyinlariBolalar uchun domino</v>
      </c>
      <c r="B1504" s="35" t="s">
        <v>3153</v>
      </c>
      <c r="C1504" s="35" t="s">
        <v>3280</v>
      </c>
      <c r="D1504" s="35" t="s">
        <v>4621</v>
      </c>
      <c r="E1504" s="35" t="s">
        <v>4794</v>
      </c>
      <c r="F1504" s="36">
        <v>0.2</v>
      </c>
      <c r="G1504" s="31"/>
      <c r="H1504" s="31"/>
      <c r="I1504" s="31"/>
      <c r="J1504" s="31"/>
      <c r="K1504" s="31"/>
    </row>
    <row r="1505" spans="1:11" ht="14.4" x14ac:dyDescent="0.3">
      <c r="A1505" s="28" t="str">
        <f>B1505&amp;C1505&amp;D1505&amp;E1505</f>
        <v>Bolalar tovarlariBolalar xonasiUyqu uchun barcha narsalarKrovatchalar uchun bortikchalar</v>
      </c>
      <c r="B1505" s="35" t="s">
        <v>3153</v>
      </c>
      <c r="C1505" s="35" t="s">
        <v>3287</v>
      </c>
      <c r="D1505" s="35" t="s">
        <v>4745</v>
      </c>
      <c r="E1505" s="35" t="s">
        <v>4795</v>
      </c>
      <c r="F1505" s="36">
        <v>0.2</v>
      </c>
      <c r="G1505" s="31"/>
      <c r="H1505" s="31"/>
      <c r="I1505" s="31"/>
      <c r="J1505" s="31"/>
      <c r="K1505" s="31"/>
    </row>
    <row r="1506" spans="1:11" ht="14.4" x14ac:dyDescent="0.3">
      <c r="A1506" s="28" t="str">
        <f>B1506&amp;C1506&amp;D1506&amp;E1506</f>
        <v>Bolalar tovarlariOʻyinchoqlar va oʻyinlarOʻyinchoq qurollar va blasterlarOʻyinchoq qurollar va blasterlar</v>
      </c>
      <c r="B1506" s="35" t="s">
        <v>3153</v>
      </c>
      <c r="C1506" s="35" t="s">
        <v>4724</v>
      </c>
      <c r="D1506" s="35" t="s">
        <v>4796</v>
      </c>
      <c r="E1506" s="35" t="s">
        <v>4796</v>
      </c>
      <c r="F1506" s="36">
        <v>0.2</v>
      </c>
      <c r="G1506" s="31"/>
      <c r="H1506" s="31"/>
      <c r="I1506" s="31"/>
      <c r="J1506" s="31"/>
      <c r="K1506" s="31"/>
    </row>
    <row r="1507" spans="1:11" ht="14.4" x14ac:dyDescent="0.3">
      <c r="A1507" s="28" t="str">
        <f>B1507&amp;C1507&amp;D1507&amp;E1507</f>
        <v>Bolalar tovarlariOʻyinchoqlar va oʻyinlarQoʻgʻirchoqlar uychalariQoʻgʻirchoqlar uychalari</v>
      </c>
      <c r="B1507" s="35" t="s">
        <v>3153</v>
      </c>
      <c r="C1507" s="35" t="s">
        <v>4724</v>
      </c>
      <c r="D1507" s="35" t="s">
        <v>4797</v>
      </c>
      <c r="E1507" s="35" t="s">
        <v>4797</v>
      </c>
      <c r="F1507" s="36">
        <v>0.2</v>
      </c>
      <c r="G1507" s="31"/>
      <c r="H1507" s="31"/>
      <c r="I1507" s="31"/>
      <c r="J1507" s="31"/>
      <c r="K1507" s="31"/>
    </row>
    <row r="1508" spans="1:11" ht="14.4" x14ac:dyDescent="0.3">
      <c r="A1508" s="28" t="str">
        <f>B1508&amp;C1508&amp;D1508&amp;E1508</f>
        <v>Bolalar tovarlariGigiyena va tagliklarBolalar kosmetikasiBolalar uchun prisipkalar</v>
      </c>
      <c r="B1508" s="35" t="s">
        <v>3153</v>
      </c>
      <c r="C1508" s="35" t="s">
        <v>3290</v>
      </c>
      <c r="D1508" s="35" t="s">
        <v>4732</v>
      </c>
      <c r="E1508" s="35" t="s">
        <v>4798</v>
      </c>
      <c r="F1508" s="36">
        <v>0.2</v>
      </c>
      <c r="G1508" s="31"/>
      <c r="H1508" s="31"/>
      <c r="I1508" s="31"/>
      <c r="J1508" s="31"/>
      <c r="K1508" s="31"/>
    </row>
    <row r="1509" spans="1:11" ht="14.4" x14ac:dyDescent="0.3">
      <c r="A1509" s="28" t="str">
        <f>B1509&amp;C1509&amp;D1509&amp;E1509</f>
        <v>Bolalar tovarlariGigiyena va tagliklarKichkintoylar uchun pelyonkalar va yoʻrgaklarKleyonkalar va matras qoplamalari</v>
      </c>
      <c r="B1509" s="35" t="s">
        <v>3153</v>
      </c>
      <c r="C1509" s="35" t="s">
        <v>3290</v>
      </c>
      <c r="D1509" s="35" t="s">
        <v>4736</v>
      </c>
      <c r="E1509" s="35" t="s">
        <v>4799</v>
      </c>
      <c r="F1509" s="36">
        <v>0.2</v>
      </c>
      <c r="G1509" s="31"/>
      <c r="H1509" s="31"/>
      <c r="I1509" s="31"/>
      <c r="J1509" s="31"/>
      <c r="K1509" s="31"/>
    </row>
    <row r="1510" spans="1:11" ht="14.4" x14ac:dyDescent="0.3">
      <c r="A1510" s="28" t="str">
        <f>B1510&amp;C1510&amp;D1510&amp;E1510</f>
        <v>Bolalar tovarlariGigiyena va tagliklarOgʻiz boʻshligʻi gigiyenasiBolalar uchun tishlagichlar</v>
      </c>
      <c r="B1510" s="35" t="s">
        <v>3153</v>
      </c>
      <c r="C1510" s="35" t="s">
        <v>3290</v>
      </c>
      <c r="D1510" s="35" t="s">
        <v>4777</v>
      </c>
      <c r="E1510" s="35" t="s">
        <v>4800</v>
      </c>
      <c r="F1510" s="36">
        <v>0.2</v>
      </c>
      <c r="G1510" s="31"/>
      <c r="H1510" s="31"/>
      <c r="I1510" s="31"/>
      <c r="J1510" s="31"/>
      <c r="K1510" s="31"/>
    </row>
    <row r="1511" spans="1:11" ht="14.4" x14ac:dyDescent="0.3">
      <c r="A1511" s="28" t="str">
        <f>B1511&amp;C1511&amp;D1511&amp;E1511</f>
        <v>Bolalar tovarlariBolalar xonasiUyqu uchun barcha narsalarKrovatcha uchun organayzer</v>
      </c>
      <c r="B1511" s="35" t="s">
        <v>3153</v>
      </c>
      <c r="C1511" s="35" t="s">
        <v>3287</v>
      </c>
      <c r="D1511" s="35" t="s">
        <v>4745</v>
      </c>
      <c r="E1511" s="35" t="s">
        <v>4801</v>
      </c>
      <c r="F1511" s="36">
        <v>0.2</v>
      </c>
      <c r="G1511" s="31"/>
      <c r="H1511" s="31"/>
      <c r="I1511" s="31"/>
      <c r="J1511" s="31"/>
      <c r="K1511" s="31"/>
    </row>
    <row r="1512" spans="1:11" ht="14.4" x14ac:dyDescent="0.3">
      <c r="A1512" s="28" t="str">
        <f>B1512&amp;C1512&amp;D1512&amp;E1512</f>
        <v>Bolalar tovarlariOʻyinchoqlar va oʻyinlarFigurachalar va aksessuarlarFigurachalar va aksessuarlar</v>
      </c>
      <c r="B1512" s="35" t="s">
        <v>3153</v>
      </c>
      <c r="C1512" s="35" t="s">
        <v>4724</v>
      </c>
      <c r="D1512" s="35" t="s">
        <v>4802</v>
      </c>
      <c r="E1512" s="35" t="s">
        <v>4802</v>
      </c>
      <c r="F1512" s="36">
        <v>0.2</v>
      </c>
      <c r="G1512" s="31"/>
      <c r="H1512" s="31"/>
      <c r="I1512" s="31"/>
      <c r="J1512" s="31"/>
      <c r="K1512" s="31"/>
    </row>
    <row r="1513" spans="1:11" ht="14.4" x14ac:dyDescent="0.3">
      <c r="A1513" s="28" t="str">
        <f>B1513&amp;C1513&amp;D1513&amp;E1513</f>
        <v>Bolalar tovarlariGigiyena va tagliklarKichkintoylar uchun pelyonkalar va yoʻrgaklarPilla tagliklari</v>
      </c>
      <c r="B1513" s="35" t="s">
        <v>3153</v>
      </c>
      <c r="C1513" s="35" t="s">
        <v>3290</v>
      </c>
      <c r="D1513" s="35" t="s">
        <v>4736</v>
      </c>
      <c r="E1513" s="35" t="s">
        <v>4803</v>
      </c>
      <c r="F1513" s="36">
        <v>0.2</v>
      </c>
      <c r="G1513" s="31"/>
      <c r="H1513" s="31"/>
      <c r="I1513" s="31"/>
      <c r="J1513" s="31"/>
      <c r="K1513" s="31"/>
    </row>
    <row r="1514" spans="1:11" ht="14.4" x14ac:dyDescent="0.3">
      <c r="A1514" s="28" t="str">
        <f>B1514&amp;C1514&amp;D1514&amp;E1514</f>
        <v>Bolalar tovarlariOʻyinchoqlar va oʻyinlarOʻyinchoq transportOʻyinchoq transport</v>
      </c>
      <c r="B1514" s="35" t="s">
        <v>3153</v>
      </c>
      <c r="C1514" s="35" t="s">
        <v>4724</v>
      </c>
      <c r="D1514" s="35" t="s">
        <v>4804</v>
      </c>
      <c r="E1514" s="35" t="s">
        <v>4804</v>
      </c>
      <c r="F1514" s="36">
        <v>0.2</v>
      </c>
      <c r="G1514" s="31"/>
      <c r="H1514" s="31"/>
      <c r="I1514" s="31"/>
      <c r="J1514" s="31"/>
      <c r="K1514" s="31"/>
    </row>
    <row r="1515" spans="1:11" ht="14.4" x14ac:dyDescent="0.3">
      <c r="A1515" s="28" t="str">
        <f>B1515&amp;C1515&amp;D1515&amp;E1515</f>
        <v>Bolalar tovarlariGigiyena va tagliklarBolalar kosmetikasiChoʻmilish uchun vositalar</v>
      </c>
      <c r="B1515" s="35" t="s">
        <v>3153</v>
      </c>
      <c r="C1515" s="35" t="s">
        <v>3290</v>
      </c>
      <c r="D1515" s="35" t="s">
        <v>4732</v>
      </c>
      <c r="E1515" s="35" t="s">
        <v>4805</v>
      </c>
      <c r="F1515" s="36">
        <v>0.2</v>
      </c>
      <c r="G1515" s="31"/>
      <c r="H1515" s="31"/>
      <c r="I1515" s="31"/>
      <c r="J1515" s="31"/>
      <c r="K1515" s="31"/>
    </row>
    <row r="1516" spans="1:11" ht="14.4" x14ac:dyDescent="0.3">
      <c r="A1516" s="28" t="str">
        <f>B1516&amp;C1516&amp;D1516&amp;E1516</f>
        <v>Bolalar tovarlariAravachalar va avtomobil uchun oʻrindiqlarRyukzaklar, slinglar, kenguru-sumkalarRyukzaklar, slinglar, kenguru-sumkalar</v>
      </c>
      <c r="B1516" s="35" t="s">
        <v>3153</v>
      </c>
      <c r="C1516" s="35" t="s">
        <v>3694</v>
      </c>
      <c r="D1516" s="35" t="s">
        <v>4806</v>
      </c>
      <c r="E1516" s="35" t="s">
        <v>4806</v>
      </c>
      <c r="F1516" s="36">
        <v>0.2</v>
      </c>
      <c r="G1516" s="31"/>
      <c r="H1516" s="31"/>
      <c r="I1516" s="31"/>
      <c r="J1516" s="31"/>
      <c r="K1516" s="31"/>
    </row>
    <row r="1517" spans="1:11" ht="14.4" x14ac:dyDescent="0.3">
      <c r="A1517" s="28" t="str">
        <f>B1517&amp;C1517&amp;D1517&amp;E1517</f>
        <v>Bolalar tovarlariOʻyinchoqlar va oʻyinlarOʻrgatuvchi va rivojlantiruvchi oʻyinchoqlarBizibordlar</v>
      </c>
      <c r="B1517" s="35" t="s">
        <v>3153</v>
      </c>
      <c r="C1517" s="35" t="s">
        <v>4724</v>
      </c>
      <c r="D1517" s="35" t="s">
        <v>4741</v>
      </c>
      <c r="E1517" s="35" t="s">
        <v>4807</v>
      </c>
      <c r="F1517" s="36">
        <v>0.2</v>
      </c>
      <c r="G1517" s="31"/>
      <c r="H1517" s="31"/>
      <c r="I1517" s="31"/>
      <c r="J1517" s="31"/>
      <c r="K1517" s="31"/>
    </row>
    <row r="1518" spans="1:11" ht="14.4" x14ac:dyDescent="0.3">
      <c r="A1518" s="28" t="str">
        <f>B1518&amp;C1518&amp;D1518&amp;E1518</f>
        <v>Bolalar tovarlariDam olish va oʻyin-kulgiBolalar uchun pazllarBolalar uchun pazllar</v>
      </c>
      <c r="B1518" s="35" t="s">
        <v>3153</v>
      </c>
      <c r="C1518" s="35" t="s">
        <v>3280</v>
      </c>
      <c r="D1518" s="35" t="s">
        <v>4808</v>
      </c>
      <c r="E1518" s="35" t="s">
        <v>4808</v>
      </c>
      <c r="F1518" s="36">
        <v>0.2</v>
      </c>
      <c r="G1518" s="31"/>
      <c r="H1518" s="31"/>
      <c r="I1518" s="31"/>
      <c r="J1518" s="31"/>
      <c r="K1518" s="31"/>
    </row>
    <row r="1519" spans="1:11" ht="14.4" x14ac:dyDescent="0.3">
      <c r="A1519" s="28" t="str">
        <f>B1519&amp;C1519&amp;D1519&amp;E1519</f>
        <v>Bolalar tovarlariOvqatlantirish uchun tovarlarOvqatlantirish uchun idishlar va anjomlariBolalar uchun likopchalar va miskalar</v>
      </c>
      <c r="B1519" s="35" t="s">
        <v>3153</v>
      </c>
      <c r="C1519" s="35" t="s">
        <v>3282</v>
      </c>
      <c r="D1519" s="35" t="s">
        <v>4743</v>
      </c>
      <c r="E1519" s="35" t="s">
        <v>4809</v>
      </c>
      <c r="F1519" s="36">
        <v>0.2</v>
      </c>
      <c r="G1519" s="31"/>
      <c r="H1519" s="31"/>
      <c r="I1519" s="31"/>
      <c r="J1519" s="31"/>
      <c r="K1519" s="31"/>
    </row>
    <row r="1520" spans="1:11" ht="14.4" x14ac:dyDescent="0.3">
      <c r="A1520" s="28" t="str">
        <f>B1520&amp;C1520&amp;D1520&amp;E1520</f>
        <v>Bolalar tovarlariOʻyinchoqlar va oʻyinlarRadioboshqaruvli modellar va oʻyinchoqlarRadioboshqaruvli modellar va oʻyinchoqlar</v>
      </c>
      <c r="B1520" s="35" t="s">
        <v>3153</v>
      </c>
      <c r="C1520" s="35" t="s">
        <v>4724</v>
      </c>
      <c r="D1520" s="35" t="s">
        <v>4810</v>
      </c>
      <c r="E1520" s="35" t="s">
        <v>4810</v>
      </c>
      <c r="F1520" s="36">
        <v>0.2</v>
      </c>
      <c r="G1520" s="31"/>
      <c r="H1520" s="31"/>
      <c r="I1520" s="31"/>
      <c r="J1520" s="31"/>
      <c r="K1520" s="31"/>
    </row>
    <row r="1521" spans="1:11" ht="14.4" x14ac:dyDescent="0.3">
      <c r="A1521" s="28" t="str">
        <f>B1521&amp;C1521&amp;D1521&amp;E1521</f>
        <v>Bolalar tovarlariOʻyinchoqlar va oʻyinlarYumshoq oʻyinchoqlarYumshoq oʻyinchoqlar</v>
      </c>
      <c r="B1521" s="35" t="s">
        <v>3153</v>
      </c>
      <c r="C1521" s="35" t="s">
        <v>4724</v>
      </c>
      <c r="D1521" s="35" t="s">
        <v>4811</v>
      </c>
      <c r="E1521" s="35" t="s">
        <v>4811</v>
      </c>
      <c r="F1521" s="36">
        <v>0.2</v>
      </c>
      <c r="G1521" s="31"/>
      <c r="H1521" s="31"/>
      <c r="I1521" s="31"/>
      <c r="J1521" s="31"/>
      <c r="K1521" s="31"/>
    </row>
    <row r="1522" spans="1:11" ht="14.4" x14ac:dyDescent="0.3">
      <c r="A1522" s="28" t="str">
        <f>B1522&amp;C1522&amp;D1522&amp;E1522</f>
        <v>Bolalar tovarlariGigiyena va tagliklarChoʻmilish va parvarishChoʻmilish uchun gilamchalar</v>
      </c>
      <c r="B1522" s="35" t="s">
        <v>3153</v>
      </c>
      <c r="C1522" s="35" t="s">
        <v>3290</v>
      </c>
      <c r="D1522" s="35" t="s">
        <v>3291</v>
      </c>
      <c r="E1522" s="35" t="s">
        <v>4812</v>
      </c>
      <c r="F1522" s="36">
        <v>0.2</v>
      </c>
      <c r="G1522" s="31"/>
      <c r="H1522" s="31"/>
      <c r="I1522" s="31"/>
      <c r="J1522" s="31"/>
      <c r="K1522" s="31"/>
    </row>
    <row r="1523" spans="1:11" ht="14.4" x14ac:dyDescent="0.3">
      <c r="A1523" s="28" t="str">
        <f>B1523&amp;C1523&amp;D1523&amp;E1523</f>
        <v>Bolalar tovarlariGigiyena va tagliklarСhaqaloq parvarishiBolalar quloqlarini tozalash uchun asboblar to'plami</v>
      </c>
      <c r="B1523" s="35" t="s">
        <v>3153</v>
      </c>
      <c r="C1523" s="35" t="s">
        <v>3290</v>
      </c>
      <c r="D1523" s="35" t="s">
        <v>4726</v>
      </c>
      <c r="E1523" s="35" t="s">
        <v>4813</v>
      </c>
      <c r="F1523" s="36">
        <v>0.2</v>
      </c>
      <c r="G1523" s="31"/>
      <c r="H1523" s="31"/>
      <c r="I1523" s="31"/>
      <c r="J1523" s="31"/>
      <c r="K1523" s="31"/>
    </row>
    <row r="1524" spans="1:11" ht="14.4" x14ac:dyDescent="0.3">
      <c r="A1524" s="28" t="str">
        <f>B1524&amp;C1524&amp;D1524&amp;E1524</f>
        <v>Bolalar tovarlariGigiyena va tagliklarBolalar kosmetikasiBolalar uchun molochkolar</v>
      </c>
      <c r="B1524" s="35" t="s">
        <v>3153</v>
      </c>
      <c r="C1524" s="35" t="s">
        <v>3290</v>
      </c>
      <c r="D1524" s="35" t="s">
        <v>4732</v>
      </c>
      <c r="E1524" s="35" t="s">
        <v>4814</v>
      </c>
      <c r="F1524" s="36">
        <v>0.2</v>
      </c>
      <c r="G1524" s="31"/>
      <c r="H1524" s="31"/>
      <c r="I1524" s="31"/>
      <c r="J1524" s="31"/>
      <c r="K1524" s="31"/>
    </row>
    <row r="1525" spans="1:11" ht="14.4" x14ac:dyDescent="0.3">
      <c r="A1525" s="28" t="str">
        <f>B1525&amp;C1525&amp;D1525&amp;E1525</f>
        <v>Bolalar tovarlariOʻyinchoqlar va oʻyinlarRobototexnika va Stem-oʻyinchoqlarRobototexnika va Stem-oʻyinchoqlar</v>
      </c>
      <c r="B1525" s="35" t="s">
        <v>3153</v>
      </c>
      <c r="C1525" s="35" t="s">
        <v>4724</v>
      </c>
      <c r="D1525" s="35" t="s">
        <v>4815</v>
      </c>
      <c r="E1525" s="35" t="s">
        <v>4815</v>
      </c>
      <c r="F1525" s="36">
        <v>0.2</v>
      </c>
      <c r="G1525" s="31"/>
      <c r="H1525" s="31"/>
      <c r="I1525" s="31"/>
      <c r="J1525" s="31"/>
      <c r="K1525" s="31"/>
    </row>
    <row r="1526" spans="1:11" ht="14.4" x14ac:dyDescent="0.3">
      <c r="A1526" s="28" t="str">
        <f>B1526&amp;C1526&amp;D1526&amp;E1526</f>
        <v>Bolalar tovarlariOʻyinchoqlar va oʻyinlarOʻrgatuvchi va rivojlantiruvchi oʻyinchoqlarBolalar piramidalari</v>
      </c>
      <c r="B1526" s="35" t="s">
        <v>3153</v>
      </c>
      <c r="C1526" s="35" t="s">
        <v>4724</v>
      </c>
      <c r="D1526" s="35" t="s">
        <v>4741</v>
      </c>
      <c r="E1526" s="35" t="s">
        <v>4816</v>
      </c>
      <c r="F1526" s="36">
        <v>0.2</v>
      </c>
      <c r="G1526" s="31"/>
      <c r="H1526" s="31"/>
      <c r="I1526" s="31"/>
      <c r="J1526" s="31"/>
      <c r="K1526" s="31"/>
    </row>
    <row r="1527" spans="1:11" ht="14.4" x14ac:dyDescent="0.3">
      <c r="A1527" s="28" t="str">
        <f>B1527&amp;C1527&amp;D1527&amp;E1527</f>
        <v>Bolalar tovarlariDam olish va oʻyin-kulgiStol va karta oʻyinlariBolalar uchun shaxmatlar va shashkalar</v>
      </c>
      <c r="B1527" s="35" t="s">
        <v>3153</v>
      </c>
      <c r="C1527" s="35" t="s">
        <v>3280</v>
      </c>
      <c r="D1527" s="35" t="s">
        <v>4621</v>
      </c>
      <c r="E1527" s="35" t="s">
        <v>4817</v>
      </c>
      <c r="F1527" s="36">
        <v>0.2</v>
      </c>
      <c r="G1527" s="31"/>
      <c r="H1527" s="31"/>
      <c r="I1527" s="31"/>
      <c r="J1527" s="31"/>
      <c r="K1527" s="31"/>
    </row>
    <row r="1528" spans="1:11" ht="14.4" x14ac:dyDescent="0.3">
      <c r="A1528" s="28" t="str">
        <f>B1528&amp;C1528&amp;D1528&amp;E1528</f>
        <v>Bolalar tovarlariOʻyinchoqlar va oʻyinlarOʻrgatuvchi va rivojlantiruvchi oʻyinchoqlarTajribalar va eksperimentlar uchun toʻplamlar</v>
      </c>
      <c r="B1528" s="35" t="s">
        <v>3153</v>
      </c>
      <c r="C1528" s="35" t="s">
        <v>4724</v>
      </c>
      <c r="D1528" s="35" t="s">
        <v>4741</v>
      </c>
      <c r="E1528" s="35" t="s">
        <v>4818</v>
      </c>
      <c r="F1528" s="36">
        <v>0.2</v>
      </c>
      <c r="G1528" s="31"/>
      <c r="H1528" s="31"/>
      <c r="I1528" s="31"/>
      <c r="J1528" s="31"/>
      <c r="K1528" s="31"/>
    </row>
    <row r="1529" spans="1:11" ht="14.4" x14ac:dyDescent="0.3">
      <c r="A1529" s="28" t="str">
        <f>B1529&amp;C1529&amp;D1529&amp;E1529</f>
        <v>Bolalar tovarlariBolalar xonasiBolalar uchun mebel va aksessuarlarBolalar rasm dastgohlari</v>
      </c>
      <c r="B1529" s="35" t="s">
        <v>3153</v>
      </c>
      <c r="C1529" s="35" t="s">
        <v>3287</v>
      </c>
      <c r="D1529" s="35" t="s">
        <v>4734</v>
      </c>
      <c r="E1529" s="35" t="s">
        <v>4819</v>
      </c>
      <c r="F1529" s="36">
        <v>0.2</v>
      </c>
      <c r="G1529" s="31"/>
      <c r="H1529" s="31"/>
      <c r="I1529" s="31"/>
      <c r="J1529" s="31"/>
      <c r="K1529" s="31"/>
    </row>
    <row r="1530" spans="1:11" ht="14.4" x14ac:dyDescent="0.3">
      <c r="A1530" s="28" t="str">
        <f>B1530&amp;C1530&amp;D1530&amp;E1530</f>
        <v>Bolalar tovarlariBolalar xonasiBolalar uchun mebel va aksessuarlarPenalli stollar va doskalar</v>
      </c>
      <c r="B1530" s="35" t="s">
        <v>3153</v>
      </c>
      <c r="C1530" s="35" t="s">
        <v>3287</v>
      </c>
      <c r="D1530" s="35" t="s">
        <v>4734</v>
      </c>
      <c r="E1530" s="35" t="s">
        <v>4820</v>
      </c>
      <c r="F1530" s="36">
        <v>0.2</v>
      </c>
      <c r="G1530" s="31"/>
      <c r="H1530" s="31"/>
      <c r="I1530" s="31"/>
      <c r="J1530" s="31"/>
      <c r="K1530" s="31"/>
    </row>
    <row r="1531" spans="1:11" ht="14.4" x14ac:dyDescent="0.3">
      <c r="A1531" s="28" t="str">
        <f>B1531&amp;C1531&amp;D1531&amp;E1531</f>
        <v>Bolalar tovarlariOʻyinchoqlar va oʻyinlarSlaymlarSlaymlar</v>
      </c>
      <c r="B1531" s="35" t="s">
        <v>3153</v>
      </c>
      <c r="C1531" s="35" t="s">
        <v>4724</v>
      </c>
      <c r="D1531" s="35" t="s">
        <v>4821</v>
      </c>
      <c r="E1531" s="35" t="s">
        <v>4821</v>
      </c>
      <c r="F1531" s="36">
        <v>0.2</v>
      </c>
      <c r="G1531" s="31"/>
      <c r="H1531" s="31"/>
      <c r="I1531" s="31"/>
      <c r="J1531" s="31"/>
      <c r="K1531" s="31"/>
    </row>
    <row r="1532" spans="1:11" ht="14.4" x14ac:dyDescent="0.3">
      <c r="A1532" s="28" t="str">
        <f>B1532&amp;C1532&amp;D1532&amp;E1532</f>
        <v>Bolalar tovarlariGigiyena va tagliklarBolalar kosmetikasiBolalar sovuni</v>
      </c>
      <c r="B1532" s="35" t="s">
        <v>3153</v>
      </c>
      <c r="C1532" s="35" t="s">
        <v>3290</v>
      </c>
      <c r="D1532" s="35" t="s">
        <v>4732</v>
      </c>
      <c r="E1532" s="35" t="s">
        <v>4822</v>
      </c>
      <c r="F1532" s="36">
        <v>0.2</v>
      </c>
      <c r="G1532" s="31"/>
      <c r="H1532" s="31"/>
      <c r="I1532" s="31"/>
      <c r="J1532" s="31"/>
      <c r="K1532" s="31"/>
    </row>
    <row r="1533" spans="1:11" ht="14.4" x14ac:dyDescent="0.3">
      <c r="A1533" s="28" t="str">
        <f>B1533&amp;C1533&amp;D1533&amp;E1533</f>
        <v>Bolalar tovarlariBolalar sporti va faol hordiqQum va qumdonlarKinetik qum</v>
      </c>
      <c r="B1533" s="35" t="s">
        <v>3153</v>
      </c>
      <c r="C1533" s="35" t="s">
        <v>3680</v>
      </c>
      <c r="D1533" s="35" t="s">
        <v>4764</v>
      </c>
      <c r="E1533" s="35" t="s">
        <v>4823</v>
      </c>
      <c r="F1533" s="36">
        <v>0.2</v>
      </c>
      <c r="G1533" s="31"/>
      <c r="H1533" s="31"/>
      <c r="I1533" s="31"/>
      <c r="J1533" s="31"/>
      <c r="K1533" s="31"/>
    </row>
    <row r="1534" spans="1:11" ht="14.4" x14ac:dyDescent="0.3">
      <c r="A1534" s="28" t="str">
        <f>B1534&amp;C1534&amp;D1534&amp;E1534</f>
        <v>Bolalar tovarlariGigiyena va tagliklarBolalar kosmetikasiBolalar uchun dekorativ kosmetika</v>
      </c>
      <c r="B1534" s="35" t="s">
        <v>3153</v>
      </c>
      <c r="C1534" s="35" t="s">
        <v>3290</v>
      </c>
      <c r="D1534" s="35" t="s">
        <v>4732</v>
      </c>
      <c r="E1534" s="35" t="s">
        <v>4824</v>
      </c>
      <c r="F1534" s="36">
        <v>0.2</v>
      </c>
      <c r="G1534" s="31"/>
      <c r="H1534" s="31"/>
      <c r="I1534" s="31"/>
      <c r="J1534" s="31"/>
      <c r="K1534" s="31"/>
    </row>
    <row r="1535" spans="1:11" ht="14.4" x14ac:dyDescent="0.3">
      <c r="A1535" s="28" t="str">
        <f>B1535&amp;C1535&amp;D1535&amp;E1535</f>
        <v>Bolalar tovarlariOvqatlantirish uchun tovarlarOvqatlantirish uchun idishlar va anjomlariOziqlantirish uchun idishlar to'plami</v>
      </c>
      <c r="B1535" s="35" t="s">
        <v>3153</v>
      </c>
      <c r="C1535" s="35" t="s">
        <v>3282</v>
      </c>
      <c r="D1535" s="35" t="s">
        <v>4743</v>
      </c>
      <c r="E1535" s="35" t="s">
        <v>4825</v>
      </c>
      <c r="F1535" s="36">
        <v>0.2</v>
      </c>
      <c r="G1535" s="31"/>
      <c r="H1535" s="31"/>
      <c r="I1535" s="31"/>
      <c r="J1535" s="31"/>
      <c r="K1535" s="31"/>
    </row>
    <row r="1536" spans="1:11" ht="14.4" x14ac:dyDescent="0.3">
      <c r="A1536" s="28" t="str">
        <f>B1536&amp;C1536&amp;D1536&amp;E1536</f>
        <v>Bolalar tovarlariGigiyena va tagliklarTuvaklar va bolalar hojatxona oʻrindiqlariTuvaklar va bolalar hojatxona oʻrindiqlari</v>
      </c>
      <c r="B1536" s="35" t="s">
        <v>3153</v>
      </c>
      <c r="C1536" s="35" t="s">
        <v>3290</v>
      </c>
      <c r="D1536" s="35" t="s">
        <v>4826</v>
      </c>
      <c r="E1536" s="35" t="s">
        <v>4826</v>
      </c>
      <c r="F1536" s="36">
        <v>0.2</v>
      </c>
      <c r="G1536" s="31"/>
      <c r="H1536" s="31"/>
      <c r="I1536" s="31"/>
      <c r="J1536" s="31"/>
      <c r="K1536" s="31"/>
    </row>
    <row r="1537" spans="1:11" ht="14.4" x14ac:dyDescent="0.3">
      <c r="A1537" s="28" t="str">
        <f>B1537&amp;C1537&amp;D1537&amp;E1537</f>
        <v>Bolalar tovarlariGigiyena va tagliklarKichkintoylar uchun pelyonkalar va yoʻrgaklarQayta ishlatiladigan tagliklar</v>
      </c>
      <c r="B1537" s="35" t="s">
        <v>3153</v>
      </c>
      <c r="C1537" s="35" t="s">
        <v>3290</v>
      </c>
      <c r="D1537" s="35" t="s">
        <v>4736</v>
      </c>
      <c r="E1537" s="35" t="s">
        <v>4827</v>
      </c>
      <c r="F1537" s="36">
        <v>0.2</v>
      </c>
      <c r="G1537" s="31"/>
      <c r="H1537" s="31"/>
      <c r="I1537" s="31"/>
      <c r="J1537" s="31"/>
      <c r="K1537" s="31"/>
    </row>
    <row r="1538" spans="1:11" ht="14.4" x14ac:dyDescent="0.3">
      <c r="A1538" s="28" t="str">
        <f>B1538&amp;C1538&amp;D1538&amp;E1538</f>
        <v>Bolalar tovarlariGigiyena va tagliklarOgʻiz boʻshligʻi gigiyenasiBolalar tish pastalari</v>
      </c>
      <c r="B1538" s="35" t="s">
        <v>3153</v>
      </c>
      <c r="C1538" s="35" t="s">
        <v>3290</v>
      </c>
      <c r="D1538" s="35" t="s">
        <v>4777</v>
      </c>
      <c r="E1538" s="35" t="s">
        <v>4828</v>
      </c>
      <c r="F1538" s="36">
        <v>0.2</v>
      </c>
      <c r="G1538" s="31"/>
      <c r="H1538" s="31"/>
      <c r="I1538" s="31"/>
      <c r="J1538" s="31"/>
      <c r="K1538" s="31"/>
    </row>
    <row r="1539" spans="1:11" ht="14.4" x14ac:dyDescent="0.3">
      <c r="A1539" s="28" t="str">
        <f>B1539&amp;C1539&amp;D1539&amp;E1539</f>
        <v>Bolalar tovarlariGigiyena va tagliklarСhaqaloq parvarishiBolalar uchun manikyur toʻplamlari</v>
      </c>
      <c r="B1539" s="35" t="s">
        <v>3153</v>
      </c>
      <c r="C1539" s="35" t="s">
        <v>3290</v>
      </c>
      <c r="D1539" s="35" t="s">
        <v>4726</v>
      </c>
      <c r="E1539" s="35" t="s">
        <v>4829</v>
      </c>
      <c r="F1539" s="36">
        <v>0.2</v>
      </c>
      <c r="G1539" s="31"/>
      <c r="H1539" s="31"/>
      <c r="I1539" s="31"/>
      <c r="J1539" s="31"/>
      <c r="K1539" s="31"/>
    </row>
    <row r="1540" spans="1:11" ht="14.4" x14ac:dyDescent="0.3">
      <c r="A1540" s="28" t="str">
        <f>B1540&amp;C1540&amp;D1540&amp;E1540</f>
        <v>Dacha, bogʻ va tomorqaDacha va bogʻlarni dekorativ parvarishlashBogʻ uchun yoʻlaklar va toʻsiqlarBogʻ uchun yoʻlaklar va toʻsiqlar</v>
      </c>
      <c r="B1540" s="35" t="s">
        <v>3157</v>
      </c>
      <c r="C1540" s="35" t="s">
        <v>3293</v>
      </c>
      <c r="D1540" s="35" t="s">
        <v>4830</v>
      </c>
      <c r="E1540" s="35" t="s">
        <v>4830</v>
      </c>
      <c r="F1540" s="36">
        <v>0.2</v>
      </c>
      <c r="G1540" s="31"/>
      <c r="H1540" s="31"/>
      <c r="I1540" s="31"/>
      <c r="J1540" s="31"/>
      <c r="K1540" s="31"/>
    </row>
    <row r="1541" spans="1:11" ht="14.4" x14ac:dyDescent="0.3">
      <c r="A1541" s="28" t="str">
        <f>B1541&amp;C1541&amp;D1541&amp;E1541</f>
        <v>Dacha, bogʻ va tomorqaBogʻ texnikasiBog' texnikasi uchun aksessuarlar va sarflov materiallariBog' texnikasi uchun aksessuarlar va sarflov materiallari</v>
      </c>
      <c r="B1541" s="35" t="s">
        <v>3157</v>
      </c>
      <c r="C1541" s="35" t="s">
        <v>4831</v>
      </c>
      <c r="D1541" s="35" t="s">
        <v>4832</v>
      </c>
      <c r="E1541" s="35" t="s">
        <v>4832</v>
      </c>
      <c r="F1541" s="36">
        <v>0.2</v>
      </c>
      <c r="G1541" s="31"/>
      <c r="H1541" s="31"/>
      <c r="I1541" s="31"/>
      <c r="J1541" s="31"/>
      <c r="K1541" s="31"/>
    </row>
    <row r="1542" spans="1:11" ht="14.4" x14ac:dyDescent="0.3">
      <c r="A1542" s="28" t="str">
        <f>B1542&amp;C1542&amp;D1542&amp;E1542</f>
        <v>Dacha, bogʻ va tomorqaBogʻ asboblariAravalar va tachkalarAravalar va tachkalar</v>
      </c>
      <c r="B1542" s="35" t="s">
        <v>3157</v>
      </c>
      <c r="C1542" s="35" t="s">
        <v>3296</v>
      </c>
      <c r="D1542" s="35" t="s">
        <v>4833</v>
      </c>
      <c r="E1542" s="35" t="s">
        <v>4833</v>
      </c>
      <c r="F1542" s="36">
        <v>0.2</v>
      </c>
      <c r="G1542" s="31"/>
      <c r="H1542" s="31"/>
      <c r="I1542" s="31"/>
      <c r="J1542" s="31"/>
      <c r="K1542" s="31"/>
    </row>
    <row r="1543" spans="1:11" ht="14.4" x14ac:dyDescent="0.3">
      <c r="A1543" s="28" t="str">
        <f>B1543&amp;C1543&amp;D1543&amp;E1543</f>
        <v>Dacha, bogʻ va tomorqaBogʻ texnikasiYuqori bosimli moykalar va aksessuarlarYuqori bosimli moykalar</v>
      </c>
      <c r="B1543" s="35" t="s">
        <v>3157</v>
      </c>
      <c r="C1543" s="35" t="s">
        <v>4831</v>
      </c>
      <c r="D1543" s="35" t="s">
        <v>4834</v>
      </c>
      <c r="E1543" s="35" t="s">
        <v>4835</v>
      </c>
      <c r="F1543" s="36">
        <v>0.2</v>
      </c>
      <c r="G1543" s="31"/>
      <c r="H1543" s="31"/>
      <c r="I1543" s="31"/>
      <c r="J1543" s="31"/>
      <c r="K1543" s="31"/>
    </row>
    <row r="1544" spans="1:11" ht="14.4" x14ac:dyDescent="0.3">
      <c r="A1544" s="28" t="str">
        <f>B1544&amp;C1544&amp;D1544&amp;E1544</f>
        <v>Dacha, bogʻ va tomorqaOʻgʻitlar va oʻsimliklar parvarishiPanalash materialiPanalash materiali</v>
      </c>
      <c r="B1544" s="35" t="s">
        <v>3157</v>
      </c>
      <c r="C1544" s="35" t="s">
        <v>3706</v>
      </c>
      <c r="D1544" s="35" t="s">
        <v>4836</v>
      </c>
      <c r="E1544" s="37" t="s">
        <v>4836</v>
      </c>
      <c r="F1544" s="36">
        <v>0.2</v>
      </c>
      <c r="G1544" s="31"/>
      <c r="H1544" s="31"/>
      <c r="I1544" s="31"/>
      <c r="J1544" s="31"/>
      <c r="K1544" s="31"/>
    </row>
    <row r="1545" spans="1:11" ht="14.4" x14ac:dyDescent="0.3">
      <c r="A1545" s="28" t="str">
        <f>B1545&amp;C1545&amp;D1545&amp;E1545</f>
        <v>Dacha, bogʻ va tomorqaDacha va bogʻlarni dekorativ parvarishlashDushlar va qoʻl yuvgichlarDushlar va qoʻl yuvgichlar</v>
      </c>
      <c r="B1545" s="35" t="s">
        <v>3157</v>
      </c>
      <c r="C1545" s="35" t="s">
        <v>3293</v>
      </c>
      <c r="D1545" s="35" t="s">
        <v>4837</v>
      </c>
      <c r="E1545" s="35" t="s">
        <v>4837</v>
      </c>
      <c r="F1545" s="36">
        <v>0.2</v>
      </c>
      <c r="G1545" s="31"/>
      <c r="H1545" s="31"/>
      <c r="I1545" s="31"/>
      <c r="J1545" s="31"/>
      <c r="K1545" s="31"/>
    </row>
    <row r="1546" spans="1:11" ht="14.4" x14ac:dyDescent="0.3">
      <c r="A1546" s="28" t="str">
        <f>B1546&amp;C1546&amp;D1546&amp;E1546</f>
        <v>Dacha, bogʻ va tomorqaBogʻ texnikasiYuqori bosimli moykalar va aksessuarlarYuqori bosimli moykalar uchun aksessuarlar</v>
      </c>
      <c r="B1546" s="35" t="s">
        <v>3157</v>
      </c>
      <c r="C1546" s="35" t="s">
        <v>4831</v>
      </c>
      <c r="D1546" s="35" t="s">
        <v>4834</v>
      </c>
      <c r="E1546" s="35" t="s">
        <v>4838</v>
      </c>
      <c r="F1546" s="36">
        <v>0.2</v>
      </c>
      <c r="G1546" s="31"/>
      <c r="H1546" s="31"/>
      <c r="I1546" s="31"/>
      <c r="J1546" s="31"/>
      <c r="K1546" s="31"/>
    </row>
    <row r="1547" spans="1:11" ht="14.4" x14ac:dyDescent="0.3">
      <c r="A1547" s="28" t="str">
        <f>B1547&amp;C1547&amp;D1547&amp;E1547</f>
        <v>Dacha, bogʻ va tomorqaBogʻ texnikasiDaraxtlar va butalarni kesishDaraxtlar va butalarni kesish</v>
      </c>
      <c r="B1547" s="35" t="s">
        <v>3157</v>
      </c>
      <c r="C1547" s="35" t="s">
        <v>4831</v>
      </c>
      <c r="D1547" s="35" t="s">
        <v>3719</v>
      </c>
      <c r="E1547" s="35" t="s">
        <v>3719</v>
      </c>
      <c r="F1547" s="36">
        <v>0.2</v>
      </c>
      <c r="G1547" s="31"/>
      <c r="H1547" s="31"/>
      <c r="I1547" s="31"/>
      <c r="J1547" s="31"/>
      <c r="K1547" s="31"/>
    </row>
    <row r="1548" spans="1:11" ht="14.4" x14ac:dyDescent="0.3">
      <c r="A1548" s="28" t="str">
        <f>B1548&amp;C1548&amp;D1548&amp;E1548</f>
        <v>Dacha, bogʻ va tomorqaPiknik, barbekyu, grillGrillar, mangallar uchun sumkalar va gʻiloflarGrillar, mangallar uchun sumkalar va gʻiloflar</v>
      </c>
      <c r="B1548" s="35" t="s">
        <v>3157</v>
      </c>
      <c r="C1548" s="35" t="s">
        <v>3708</v>
      </c>
      <c r="D1548" s="35" t="s">
        <v>4839</v>
      </c>
      <c r="E1548" s="35" t="s">
        <v>4839</v>
      </c>
      <c r="F1548" s="36">
        <v>0.2</v>
      </c>
      <c r="G1548" s="31"/>
      <c r="H1548" s="31"/>
      <c r="I1548" s="31"/>
      <c r="J1548" s="31"/>
      <c r="K1548" s="31"/>
    </row>
    <row r="1549" spans="1:11" ht="14.4" x14ac:dyDescent="0.3">
      <c r="A1549" s="28" t="str">
        <f>B1549&amp;C1549&amp;D1549&amp;E1549</f>
        <v>Dacha, bogʻ va tomorqaPiknik, barbekyu, grillShampurlarShampurlar</v>
      </c>
      <c r="B1549" s="35" t="s">
        <v>3157</v>
      </c>
      <c r="C1549" s="35" t="s">
        <v>3708</v>
      </c>
      <c r="D1549" s="35" t="s">
        <v>4840</v>
      </c>
      <c r="E1549" s="35" t="s">
        <v>4840</v>
      </c>
      <c r="F1549" s="36">
        <v>0.2</v>
      </c>
      <c r="G1549" s="31"/>
      <c r="H1549" s="31"/>
      <c r="I1549" s="31"/>
      <c r="J1549" s="31"/>
      <c r="K1549" s="31"/>
    </row>
    <row r="1550" spans="1:11" ht="14.4" x14ac:dyDescent="0.3">
      <c r="A1550" s="28" t="str">
        <f>B1550&amp;C1550&amp;D1550&amp;E1550</f>
        <v>Dacha, bogʻ va tomorqaDacha va bogʻlarni dekorativ parvarishlashKompostlar va kompost faollashtirgichlariKompostlar va kompost faollashtirgichlari</v>
      </c>
      <c r="B1550" s="35" t="s">
        <v>3157</v>
      </c>
      <c r="C1550" s="35" t="s">
        <v>3293</v>
      </c>
      <c r="D1550" s="35" t="s">
        <v>4841</v>
      </c>
      <c r="E1550" s="35" t="s">
        <v>4841</v>
      </c>
      <c r="F1550" s="36">
        <v>0.2</v>
      </c>
      <c r="G1550" s="31"/>
      <c r="H1550" s="31"/>
      <c r="I1550" s="31"/>
      <c r="J1550" s="31"/>
      <c r="K1550" s="31"/>
    </row>
    <row r="1551" spans="1:11" ht="14.4" x14ac:dyDescent="0.3">
      <c r="A1551" s="28" t="str">
        <f>B1551&amp;C1551&amp;D1551&amp;E1551</f>
        <v>Dacha, bogʻ va tomorqaBogʻ texnikasiMaydalagichlar va havo puflagichlarMaydalagichlar va havo puflagichlar</v>
      </c>
      <c r="B1551" s="35" t="s">
        <v>3157</v>
      </c>
      <c r="C1551" s="35" t="s">
        <v>4831</v>
      </c>
      <c r="D1551" s="35" t="s">
        <v>4842</v>
      </c>
      <c r="E1551" s="35" t="s">
        <v>4842</v>
      </c>
      <c r="F1551" s="36">
        <v>0.2</v>
      </c>
      <c r="G1551" s="31"/>
      <c r="H1551" s="31"/>
      <c r="I1551" s="31"/>
      <c r="J1551" s="31"/>
      <c r="K1551" s="31"/>
    </row>
    <row r="1552" spans="1:11" ht="14.4" x14ac:dyDescent="0.3">
      <c r="A1552" s="28" t="str">
        <f>B1552&amp;C1552&amp;D1552&amp;E1552</f>
        <v>Dacha, bogʻ va tomorqaBogʻ texnikasiBoshqa bogʻ texnikasiBoshqa bogʻ texnikasi</v>
      </c>
      <c r="B1552" s="35" t="s">
        <v>3157</v>
      </c>
      <c r="C1552" s="35" t="s">
        <v>4831</v>
      </c>
      <c r="D1552" s="35" t="s">
        <v>4843</v>
      </c>
      <c r="E1552" s="35" t="s">
        <v>4843</v>
      </c>
      <c r="F1552" s="36">
        <v>0.2</v>
      </c>
      <c r="G1552" s="31"/>
      <c r="H1552" s="31"/>
      <c r="I1552" s="31"/>
      <c r="J1552" s="31"/>
      <c r="K1552" s="31"/>
    </row>
    <row r="1553" spans="1:11" ht="14.4" x14ac:dyDescent="0.3">
      <c r="A1553" s="28" t="str">
        <f>B1553&amp;C1553&amp;D1553&amp;E1553</f>
        <v>ElektronikaKompyuter texnikasiKompyuter aksessuarlariKompyuterlar uchun tagliklar</v>
      </c>
      <c r="B1553" s="35" t="s">
        <v>3161</v>
      </c>
      <c r="C1553" s="35" t="s">
        <v>3311</v>
      </c>
      <c r="D1553" s="35" t="s">
        <v>3354</v>
      </c>
      <c r="E1553" s="35" t="s">
        <v>4844</v>
      </c>
      <c r="F1553" s="36">
        <v>0.2</v>
      </c>
      <c r="G1553" s="31"/>
      <c r="H1553" s="31"/>
      <c r="I1553" s="31"/>
      <c r="J1553" s="31"/>
      <c r="K1553" s="31"/>
    </row>
    <row r="1554" spans="1:11" ht="14.4" x14ac:dyDescent="0.3">
      <c r="A1554" s="28" t="str">
        <f>B1554&amp;C1554&amp;D1554&amp;E1554</f>
        <v>ElektronikaFoto va video texnikaFoto va video kameralarVideokameralar</v>
      </c>
      <c r="B1554" s="35" t="s">
        <v>3161</v>
      </c>
      <c r="C1554" s="35" t="s">
        <v>3347</v>
      </c>
      <c r="D1554" s="35" t="s">
        <v>3743</v>
      </c>
      <c r="E1554" s="35" t="s">
        <v>4845</v>
      </c>
      <c r="F1554" s="36">
        <v>0.2</v>
      </c>
      <c r="G1554" s="31"/>
      <c r="H1554" s="31"/>
      <c r="I1554" s="31"/>
      <c r="J1554" s="31"/>
      <c r="K1554" s="31"/>
    </row>
    <row r="1555" spans="1:11" ht="14.4" x14ac:dyDescent="0.3">
      <c r="A1555" s="28" t="str">
        <f>B1555&amp;C1555&amp;D1555&amp;E1555</f>
        <v>ElektronikaTelevizorlar va videotexnikalarTelevizor aksessuarlariTelevizor ehtiyot qismlari</v>
      </c>
      <c r="B1555" s="35" t="s">
        <v>3161</v>
      </c>
      <c r="C1555" s="35" t="s">
        <v>3328</v>
      </c>
      <c r="D1555" s="35" t="s">
        <v>4846</v>
      </c>
      <c r="E1555" s="35" t="s">
        <v>4847</v>
      </c>
      <c r="F1555" s="36">
        <v>0.2</v>
      </c>
      <c r="G1555" s="31"/>
      <c r="H1555" s="31"/>
      <c r="I1555" s="31"/>
      <c r="J1555" s="31"/>
      <c r="K1555" s="31"/>
    </row>
    <row r="1556" spans="1:11" ht="14.4" x14ac:dyDescent="0.3">
      <c r="A1556" s="28" t="str">
        <f>B1556&amp;C1556&amp;D1556&amp;E1556</f>
        <v>ElektronikaFoto va video texnikaFoto va video kameralar uchun aksessuarlarObyektivlar</v>
      </c>
      <c r="B1556" s="35" t="s">
        <v>3161</v>
      </c>
      <c r="C1556" s="35" t="s">
        <v>3347</v>
      </c>
      <c r="D1556" s="35" t="s">
        <v>3348</v>
      </c>
      <c r="E1556" s="35" t="s">
        <v>4848</v>
      </c>
      <c r="F1556" s="36">
        <v>0.2</v>
      </c>
      <c r="G1556" s="31"/>
      <c r="H1556" s="31"/>
      <c r="I1556" s="31"/>
      <c r="J1556" s="31"/>
      <c r="K1556" s="31"/>
    </row>
    <row r="1557" spans="1:11" ht="14.4" x14ac:dyDescent="0.3">
      <c r="A1557" s="28" t="str">
        <f>B1557&amp;C1557&amp;D1557&amp;E1557</f>
        <v>ElektronikaQuloqchinlar va audio texnikalarQuloqchinlarSimsiz quloqchinlar</v>
      </c>
      <c r="B1557" s="35" t="s">
        <v>3161</v>
      </c>
      <c r="C1557" s="35" t="s">
        <v>3306</v>
      </c>
      <c r="D1557" s="35" t="s">
        <v>3259</v>
      </c>
      <c r="E1557" s="35" t="s">
        <v>4849</v>
      </c>
      <c r="F1557" s="36">
        <v>0.2</v>
      </c>
      <c r="G1557" s="31"/>
      <c r="H1557" s="31"/>
      <c r="I1557" s="31"/>
      <c r="J1557" s="31"/>
      <c r="K1557" s="31"/>
    </row>
    <row r="1558" spans="1:11" ht="14.4" x14ac:dyDescent="0.3">
      <c r="A1558" s="28" t="str">
        <f>B1558&amp;C1558&amp;D1558&amp;E1558</f>
        <v>ElektronikaQuloqchinlar va audio texnikalarAudiotexnikaDiktofonlar</v>
      </c>
      <c r="B1558" s="35" t="s">
        <v>3161</v>
      </c>
      <c r="C1558" s="35" t="s">
        <v>3306</v>
      </c>
      <c r="D1558" s="35" t="s">
        <v>4850</v>
      </c>
      <c r="E1558" s="35" t="s">
        <v>4851</v>
      </c>
      <c r="F1558" s="36">
        <v>0.2</v>
      </c>
      <c r="G1558" s="31"/>
      <c r="H1558" s="31"/>
      <c r="I1558" s="31"/>
      <c r="J1558" s="31"/>
      <c r="K1558" s="31"/>
    </row>
    <row r="1559" spans="1:11" ht="14.4" x14ac:dyDescent="0.3">
      <c r="A1559" s="28" t="str">
        <f>B1559&amp;C1559&amp;D1559&amp;E1559</f>
        <v>ElektronikaQuloqchinlar va audio texnikalarQuloqchinlarSimli quloqchinlar</v>
      </c>
      <c r="B1559" s="35" t="s">
        <v>3161</v>
      </c>
      <c r="C1559" s="35" t="s">
        <v>3306</v>
      </c>
      <c r="D1559" s="35" t="s">
        <v>3259</v>
      </c>
      <c r="E1559" s="35" t="s">
        <v>4852</v>
      </c>
      <c r="F1559" s="36">
        <v>0.2</v>
      </c>
      <c r="G1559" s="31"/>
      <c r="H1559" s="31"/>
      <c r="I1559" s="31"/>
      <c r="J1559" s="31"/>
      <c r="K1559" s="31"/>
    </row>
    <row r="1560" spans="1:11" ht="14.4" x14ac:dyDescent="0.3">
      <c r="A1560" s="28" t="str">
        <f>B1560&amp;C1560&amp;D1560&amp;E1560</f>
        <v>ElektronikaSoatlar va elektron budilniklarAromabudilniklar va katrijlarAromabudilniklar va katrijlar</v>
      </c>
      <c r="B1560" s="35" t="s">
        <v>3161</v>
      </c>
      <c r="C1560" s="35" t="s">
        <v>3753</v>
      </c>
      <c r="D1560" s="35" t="s">
        <v>4853</v>
      </c>
      <c r="E1560" s="35" t="s">
        <v>4853</v>
      </c>
      <c r="F1560" s="36">
        <v>0.2</v>
      </c>
      <c r="G1560" s="31"/>
      <c r="H1560" s="31"/>
      <c r="I1560" s="31"/>
      <c r="J1560" s="31"/>
      <c r="K1560" s="31"/>
    </row>
    <row r="1561" spans="1:11" ht="14.4" x14ac:dyDescent="0.3">
      <c r="A1561" s="28" t="str">
        <f>B1561&amp;C1561&amp;D1561&amp;E1561</f>
        <v>ElektronikaAqlli uy va xavfsizlikAqlli uyAqlli uy uchun aksessuarlar</v>
      </c>
      <c r="B1561" s="35" t="s">
        <v>3161</v>
      </c>
      <c r="C1561" s="35" t="s">
        <v>4854</v>
      </c>
      <c r="D1561" s="35" t="s">
        <v>4855</v>
      </c>
      <c r="E1561" s="35" t="s">
        <v>4856</v>
      </c>
      <c r="F1561" s="36">
        <v>0.2</v>
      </c>
      <c r="G1561" s="31"/>
      <c r="H1561" s="31"/>
      <c r="I1561" s="31"/>
      <c r="J1561" s="31"/>
      <c r="K1561" s="31"/>
    </row>
    <row r="1562" spans="1:11" ht="14.4" x14ac:dyDescent="0.3">
      <c r="A1562" s="28" t="str">
        <f>B1562&amp;C1562&amp;D1562&amp;E1562</f>
        <v>ElektronikaQuloqchinlar va audio texnikalarAudiotexnikaMikrofonlar</v>
      </c>
      <c r="B1562" s="35" t="s">
        <v>3161</v>
      </c>
      <c r="C1562" s="35" t="s">
        <v>3306</v>
      </c>
      <c r="D1562" s="35" t="s">
        <v>4850</v>
      </c>
      <c r="E1562" s="35" t="s">
        <v>4857</v>
      </c>
      <c r="F1562" s="36">
        <v>0.2</v>
      </c>
      <c r="G1562" s="31"/>
      <c r="H1562" s="31"/>
      <c r="I1562" s="31"/>
      <c r="J1562" s="31"/>
      <c r="K1562" s="31"/>
    </row>
    <row r="1563" spans="1:11" ht="14.4" x14ac:dyDescent="0.3">
      <c r="A1563" s="28" t="str">
        <f>B1563&amp;C1563&amp;D1563&amp;E1563</f>
        <v>ElektronikaAqlli uy va xavfsizlikUy xavfsizligiShaxsiy signalizatsiya</v>
      </c>
      <c r="B1563" s="35" t="s">
        <v>3161</v>
      </c>
      <c r="C1563" s="35" t="s">
        <v>4854</v>
      </c>
      <c r="D1563" s="35" t="s">
        <v>4858</v>
      </c>
      <c r="E1563" s="35" t="s">
        <v>4859</v>
      </c>
      <c r="F1563" s="36">
        <v>0.2</v>
      </c>
      <c r="G1563" s="31"/>
      <c r="H1563" s="31"/>
      <c r="I1563" s="31"/>
      <c r="J1563" s="31"/>
      <c r="K1563" s="31"/>
    </row>
    <row r="1564" spans="1:11" ht="14.4" x14ac:dyDescent="0.3">
      <c r="A1564" s="28" t="str">
        <f>B1564&amp;C1564&amp;D1564&amp;E1564</f>
        <v>ElektronikaFoto va video texnikaFoto va video kameralar uchun aksessuarlarEkshn kamera uchun aksessuarlar</v>
      </c>
      <c r="B1564" s="35" t="s">
        <v>3161</v>
      </c>
      <c r="C1564" s="35" t="s">
        <v>3347</v>
      </c>
      <c r="D1564" s="35" t="s">
        <v>3348</v>
      </c>
      <c r="E1564" s="35" t="s">
        <v>4860</v>
      </c>
      <c r="F1564" s="36">
        <v>0.2</v>
      </c>
      <c r="G1564" s="31"/>
      <c r="H1564" s="31"/>
      <c r="I1564" s="31"/>
      <c r="J1564" s="31"/>
      <c r="K1564" s="31"/>
    </row>
    <row r="1565" spans="1:11" ht="14.4" x14ac:dyDescent="0.3">
      <c r="A1565" s="28" t="str">
        <f>B1565&amp;C1565&amp;D1565&amp;E1565</f>
        <v>ElektronikaOfis texnikasiAksessuarlar va ofis jihozlari parvarishiQattiq siyoh</v>
      </c>
      <c r="B1565" s="35" t="s">
        <v>3161</v>
      </c>
      <c r="C1565" s="35" t="s">
        <v>3300</v>
      </c>
      <c r="D1565" s="35" t="s">
        <v>3377</v>
      </c>
      <c r="E1565" s="35" t="s">
        <v>4861</v>
      </c>
      <c r="F1565" s="36">
        <v>0.2</v>
      </c>
      <c r="G1565" s="31"/>
      <c r="H1565" s="31"/>
      <c r="I1565" s="31"/>
      <c r="J1565" s="31"/>
      <c r="K1565" s="31"/>
    </row>
    <row r="1566" spans="1:11" ht="14.4" x14ac:dyDescent="0.3">
      <c r="A1566" s="28" t="str">
        <f>B1566&amp;C1566&amp;D1566&amp;E1566</f>
        <v>ElektronikaTelevizorlar va videotexnikalarTelevizor aksessuarlari3D koʻzoynak</v>
      </c>
      <c r="B1566" s="35" t="s">
        <v>3161</v>
      </c>
      <c r="C1566" s="35" t="s">
        <v>3328</v>
      </c>
      <c r="D1566" s="35" t="s">
        <v>4846</v>
      </c>
      <c r="E1566" s="35" t="s">
        <v>4862</v>
      </c>
      <c r="F1566" s="36">
        <v>0.2</v>
      </c>
      <c r="G1566" s="31"/>
      <c r="H1566" s="31"/>
      <c r="I1566" s="31"/>
      <c r="J1566" s="31"/>
      <c r="K1566" s="31"/>
    </row>
    <row r="1567" spans="1:11" ht="14.4" x14ac:dyDescent="0.3">
      <c r="A1567" s="28" t="str">
        <f>B1567&amp;C1567&amp;D1567&amp;E1567</f>
        <v>ElektronikaTelevizorlar va videotexnikalarProyektorlar va aksessuarlarProyeksiya ekranlari</v>
      </c>
      <c r="B1567" s="35" t="s">
        <v>3161</v>
      </c>
      <c r="C1567" s="35" t="s">
        <v>3328</v>
      </c>
      <c r="D1567" s="35" t="s">
        <v>3329</v>
      </c>
      <c r="E1567" s="35" t="s">
        <v>4863</v>
      </c>
      <c r="F1567" s="36">
        <v>0.2</v>
      </c>
      <c r="G1567" s="31"/>
      <c r="H1567" s="31"/>
      <c r="I1567" s="31"/>
      <c r="J1567" s="31"/>
      <c r="K1567" s="31"/>
    </row>
    <row r="1568" spans="1:11" ht="14.4" x14ac:dyDescent="0.3">
      <c r="A1568" s="28" t="str">
        <f>B1568&amp;C1568&amp;D1568&amp;E1568</f>
        <v>ElektronikaKompyuter texnikasiKompyuter texnikalari uchun butlovchi qismlarBoshqa elektrotexnika</v>
      </c>
      <c r="B1568" s="35" t="s">
        <v>3161</v>
      </c>
      <c r="C1568" s="35" t="s">
        <v>3311</v>
      </c>
      <c r="D1568" s="35" t="s">
        <v>3399</v>
      </c>
      <c r="E1568" s="35" t="s">
        <v>4864</v>
      </c>
      <c r="F1568" s="36">
        <v>0.2</v>
      </c>
      <c r="G1568" s="31"/>
      <c r="H1568" s="31"/>
      <c r="I1568" s="31"/>
      <c r="J1568" s="31"/>
      <c r="K1568" s="31"/>
    </row>
    <row r="1569" spans="1:11" ht="14.4" x14ac:dyDescent="0.3">
      <c r="A1569" s="28" t="str">
        <f>B1569&amp;C1569&amp;D1569&amp;E1569</f>
        <v>ElektronikaFoto va video texnikaFotosuratchilar uchun uskunalarStabilizatorlar</v>
      </c>
      <c r="B1569" s="35" t="s">
        <v>3161</v>
      </c>
      <c r="C1569" s="35" t="s">
        <v>3347</v>
      </c>
      <c r="D1569" s="35" t="s">
        <v>3748</v>
      </c>
      <c r="E1569" s="35" t="s">
        <v>4865</v>
      </c>
      <c r="F1569" s="36">
        <v>0.2</v>
      </c>
      <c r="G1569" s="31"/>
      <c r="H1569" s="31"/>
      <c r="I1569" s="31"/>
      <c r="J1569" s="31"/>
      <c r="K1569" s="31"/>
    </row>
    <row r="1570" spans="1:11" ht="14.4" x14ac:dyDescent="0.3">
      <c r="A1570" s="28" t="str">
        <f>B1570&amp;C1570&amp;D1570&amp;E1570</f>
        <v>ElektronikaFoto va video texnikaFotosuratchilar uchun uskunalarStudiya jihozlari</v>
      </c>
      <c r="B1570" s="35" t="s">
        <v>3161</v>
      </c>
      <c r="C1570" s="35" t="s">
        <v>3347</v>
      </c>
      <c r="D1570" s="35" t="s">
        <v>3748</v>
      </c>
      <c r="E1570" s="35" t="s">
        <v>3384</v>
      </c>
      <c r="F1570" s="36">
        <v>0.2</v>
      </c>
      <c r="G1570" s="31"/>
      <c r="H1570" s="31"/>
      <c r="I1570" s="31"/>
      <c r="J1570" s="31"/>
      <c r="K1570" s="31"/>
    </row>
    <row r="1571" spans="1:11" ht="14.4" x14ac:dyDescent="0.3">
      <c r="A1571" s="28" t="str">
        <f>B1571&amp;C1571&amp;D1571&amp;E1571</f>
        <v>ElektronikaQuloqchinlar va audio texnikalarAudiotexnikaMikrofon aksessuarlari</v>
      </c>
      <c r="B1571" s="35" t="s">
        <v>3161</v>
      </c>
      <c r="C1571" s="35" t="s">
        <v>3306</v>
      </c>
      <c r="D1571" s="35" t="s">
        <v>4850</v>
      </c>
      <c r="E1571" s="35" t="s">
        <v>4866</v>
      </c>
      <c r="F1571" s="36">
        <v>0.2</v>
      </c>
      <c r="G1571" s="31"/>
      <c r="H1571" s="31"/>
      <c r="I1571" s="31"/>
      <c r="J1571" s="31"/>
      <c r="K1571" s="31"/>
    </row>
    <row r="1572" spans="1:11" ht="14.4" x14ac:dyDescent="0.3">
      <c r="A1572" s="28" t="str">
        <f>B1572&amp;C1572&amp;D1572&amp;E1572</f>
        <v>ElektronikaFoto va video texnikaFotosuratchilar uchun uskunalarKartridjlar va kamera rulosi</v>
      </c>
      <c r="B1572" s="35" t="s">
        <v>3161</v>
      </c>
      <c r="C1572" s="35" t="s">
        <v>3347</v>
      </c>
      <c r="D1572" s="35" t="s">
        <v>3748</v>
      </c>
      <c r="E1572" s="35" t="s">
        <v>4867</v>
      </c>
      <c r="F1572" s="36">
        <v>0.2</v>
      </c>
      <c r="G1572" s="31"/>
      <c r="H1572" s="31"/>
      <c r="I1572" s="31"/>
      <c r="J1572" s="31"/>
      <c r="K1572" s="31"/>
    </row>
    <row r="1573" spans="1:11" ht="14.4" x14ac:dyDescent="0.3">
      <c r="A1573" s="28" t="str">
        <f>B1573&amp;C1573&amp;D1573&amp;E1573</f>
        <v>ElektronikaFoto va video texnikaFoto va video kameralar uchun aksessuarlarObyektivkalar uchun uzatuvchi halqalar/adapterlar</v>
      </c>
      <c r="B1573" s="35" t="s">
        <v>3161</v>
      </c>
      <c r="C1573" s="35" t="s">
        <v>3347</v>
      </c>
      <c r="D1573" s="35" t="s">
        <v>3348</v>
      </c>
      <c r="E1573" s="35" t="s">
        <v>4868</v>
      </c>
      <c r="F1573" s="36">
        <v>0.2</v>
      </c>
      <c r="G1573" s="31"/>
      <c r="H1573" s="31"/>
      <c r="I1573" s="31"/>
      <c r="J1573" s="31"/>
      <c r="K1573" s="31"/>
    </row>
    <row r="1574" spans="1:11" ht="14.4" x14ac:dyDescent="0.3">
      <c r="A1574" s="28" t="str">
        <f>B1574&amp;C1574&amp;D1574&amp;E1574</f>
        <v>ElektronikaAqlli uy va xavfsizlikUy xavfsizligiUy va dacha uchun xavfsizlik uskunalari</v>
      </c>
      <c r="B1574" s="35" t="s">
        <v>3161</v>
      </c>
      <c r="C1574" s="35" t="s">
        <v>4854</v>
      </c>
      <c r="D1574" s="35" t="s">
        <v>4858</v>
      </c>
      <c r="E1574" s="35" t="s">
        <v>4869</v>
      </c>
      <c r="F1574" s="36">
        <v>0.2</v>
      </c>
      <c r="G1574" s="31"/>
      <c r="H1574" s="31"/>
      <c r="I1574" s="31"/>
      <c r="J1574" s="31"/>
      <c r="K1574" s="31"/>
    </row>
    <row r="1575" spans="1:11" ht="14.4" x14ac:dyDescent="0.3">
      <c r="A1575" s="28" t="str">
        <f>B1575&amp;C1575&amp;D1575&amp;E1575</f>
        <v>ElektronikaOptik anjomlarTeatr binokllariTeatr binokllari</v>
      </c>
      <c r="B1575" s="35" t="s">
        <v>3161</v>
      </c>
      <c r="C1575" s="35" t="s">
        <v>4870</v>
      </c>
      <c r="D1575" s="35" t="s">
        <v>4871</v>
      </c>
      <c r="E1575" s="35" t="s">
        <v>4871</v>
      </c>
      <c r="F1575" s="36">
        <v>0.2</v>
      </c>
      <c r="G1575" s="31"/>
      <c r="H1575" s="31"/>
      <c r="I1575" s="31"/>
      <c r="J1575" s="31"/>
      <c r="K1575" s="31"/>
    </row>
    <row r="1576" spans="1:11" ht="14.4" x14ac:dyDescent="0.3">
      <c r="A1576" s="28" t="str">
        <f>B1576&amp;C1576&amp;D1576&amp;E1576</f>
        <v>ElektronikaFoto va video texnikaFoto va video kameralar uchun aksessuarlarMasofaviy boshqaruv pultlari</v>
      </c>
      <c r="B1576" s="35" t="s">
        <v>3161</v>
      </c>
      <c r="C1576" s="35" t="s">
        <v>3347</v>
      </c>
      <c r="D1576" s="35" t="s">
        <v>3348</v>
      </c>
      <c r="E1576" s="35" t="s">
        <v>4872</v>
      </c>
      <c r="F1576" s="36">
        <v>0.2</v>
      </c>
      <c r="G1576" s="31"/>
      <c r="H1576" s="31"/>
      <c r="I1576" s="31"/>
      <c r="J1576" s="31"/>
      <c r="K1576" s="31"/>
    </row>
    <row r="1577" spans="1:11" ht="14.4" x14ac:dyDescent="0.3">
      <c r="A1577" s="28" t="str">
        <f>B1577&amp;C1577&amp;D1577&amp;E1577</f>
        <v>ElektronikaOptik anjomlarMikroskoplarMikroskoplar</v>
      </c>
      <c r="B1577" s="35" t="s">
        <v>3161</v>
      </c>
      <c r="C1577" s="35" t="s">
        <v>4870</v>
      </c>
      <c r="D1577" s="35" t="s">
        <v>4873</v>
      </c>
      <c r="E1577" s="35" t="s">
        <v>4873</v>
      </c>
      <c r="F1577" s="36">
        <v>0.2</v>
      </c>
      <c r="G1577" s="31"/>
      <c r="H1577" s="31"/>
      <c r="I1577" s="31"/>
      <c r="J1577" s="31"/>
      <c r="K1577" s="31"/>
    </row>
    <row r="1578" spans="1:11" ht="14.4" x14ac:dyDescent="0.3">
      <c r="A1578" s="28" t="str">
        <f>B1578&amp;C1578&amp;D1578&amp;E1578</f>
        <v>ElektronikaOptik anjomlarOkulyarlarOkulyarlar</v>
      </c>
      <c r="B1578" s="35" t="s">
        <v>3161</v>
      </c>
      <c r="C1578" s="35" t="s">
        <v>4870</v>
      </c>
      <c r="D1578" s="35" t="s">
        <v>4874</v>
      </c>
      <c r="E1578" s="35" t="s">
        <v>4874</v>
      </c>
      <c r="F1578" s="36">
        <v>0.2</v>
      </c>
      <c r="G1578" s="31"/>
      <c r="H1578" s="31"/>
      <c r="I1578" s="31"/>
      <c r="J1578" s="31"/>
      <c r="K1578" s="31"/>
    </row>
    <row r="1579" spans="1:11" ht="14.4" x14ac:dyDescent="0.3">
      <c r="A1579" s="28" t="str">
        <f>B1579&amp;C1579&amp;D1579&amp;E1579</f>
        <v>ElektronikaKompyuter texnikasiKompyuterning tashqi qurilmalariHDMI uskunasi</v>
      </c>
      <c r="B1579" s="35" t="s">
        <v>3161</v>
      </c>
      <c r="C1579" s="35" t="s">
        <v>3311</v>
      </c>
      <c r="D1579" s="35" t="s">
        <v>3388</v>
      </c>
      <c r="E1579" s="35" t="s">
        <v>4875</v>
      </c>
      <c r="F1579" s="36">
        <v>0.2</v>
      </c>
      <c r="G1579" s="31"/>
      <c r="H1579" s="31"/>
      <c r="I1579" s="31"/>
      <c r="J1579" s="31"/>
      <c r="K1579" s="31"/>
    </row>
    <row r="1580" spans="1:11" ht="14.4" x14ac:dyDescent="0.3">
      <c r="A1580" s="28" t="str">
        <f>B1580&amp;C1580&amp;D1580&amp;E1580</f>
        <v>ElektronikaTelevizorlar va videotexnikalarProyektorlar va aksessuarlarTaqdimot uchun pultlar</v>
      </c>
      <c r="B1580" s="35" t="s">
        <v>3161</v>
      </c>
      <c r="C1580" s="35" t="s">
        <v>3328</v>
      </c>
      <c r="D1580" s="35" t="s">
        <v>3329</v>
      </c>
      <c r="E1580" s="35" t="s">
        <v>4876</v>
      </c>
      <c r="F1580" s="36">
        <v>0.2</v>
      </c>
      <c r="G1580" s="31"/>
      <c r="H1580" s="31"/>
      <c r="I1580" s="31"/>
      <c r="J1580" s="31"/>
      <c r="K1580" s="31"/>
    </row>
    <row r="1581" spans="1:11" ht="14.4" x14ac:dyDescent="0.3">
      <c r="A1581" s="28" t="str">
        <f>B1581&amp;C1581&amp;D1581&amp;E1581</f>
        <v>ElektronikaKompyuter texnikasiKompyuter texnikalari uchun butlovchi qismlarKorpuslar</v>
      </c>
      <c r="B1581" s="35" t="s">
        <v>3161</v>
      </c>
      <c r="C1581" s="35" t="s">
        <v>3311</v>
      </c>
      <c r="D1581" s="35" t="s">
        <v>3399</v>
      </c>
      <c r="E1581" s="35" t="s">
        <v>4877</v>
      </c>
      <c r="F1581" s="36">
        <v>0.2</v>
      </c>
      <c r="G1581" s="31"/>
      <c r="H1581" s="31"/>
      <c r="I1581" s="31"/>
      <c r="J1581" s="31"/>
      <c r="K1581" s="31"/>
    </row>
    <row r="1582" spans="1:11" ht="14.4" x14ac:dyDescent="0.3">
      <c r="A1582" s="28" t="str">
        <f>B1582&amp;C1582&amp;D1582&amp;E1582</f>
        <v>ElektronikaFoto va video texnikaFotosuratchilar uchun uskunalarFotostudiya uchun chiroq</v>
      </c>
      <c r="B1582" s="35" t="s">
        <v>3161</v>
      </c>
      <c r="C1582" s="35" t="s">
        <v>3347</v>
      </c>
      <c r="D1582" s="35" t="s">
        <v>3748</v>
      </c>
      <c r="E1582" s="35" t="s">
        <v>4878</v>
      </c>
      <c r="F1582" s="36">
        <v>0.2</v>
      </c>
      <c r="G1582" s="31"/>
      <c r="H1582" s="31"/>
      <c r="I1582" s="31"/>
      <c r="J1582" s="31"/>
      <c r="K1582" s="31"/>
    </row>
    <row r="1583" spans="1:11" ht="14.4" x14ac:dyDescent="0.3">
      <c r="A1583" s="28" t="str">
        <f>B1583&amp;C1583&amp;D1583&amp;E1583</f>
        <v>ElektronikaQuloqchinlar va audio texnikalarAudiotexnikaKarnaylar</v>
      </c>
      <c r="B1583" s="35" t="s">
        <v>3161</v>
      </c>
      <c r="C1583" s="35" t="s">
        <v>3306</v>
      </c>
      <c r="D1583" s="35" t="s">
        <v>4850</v>
      </c>
      <c r="E1583" s="35" t="s">
        <v>4879</v>
      </c>
      <c r="F1583" s="36">
        <v>0.2</v>
      </c>
      <c r="G1583" s="31"/>
      <c r="H1583" s="31"/>
      <c r="I1583" s="31"/>
      <c r="J1583" s="31"/>
      <c r="K1583" s="31"/>
    </row>
    <row r="1584" spans="1:11" ht="14.4" x14ac:dyDescent="0.3">
      <c r="A1584" s="28" t="str">
        <f>B1584&amp;C1584&amp;D1584&amp;E1584</f>
        <v>ElektronikaFoto va video texnikaFotosuratchilar uchun uskunalarQarov va himoya</v>
      </c>
      <c r="B1584" s="35" t="s">
        <v>3161</v>
      </c>
      <c r="C1584" s="35" t="s">
        <v>3347</v>
      </c>
      <c r="D1584" s="35" t="s">
        <v>3748</v>
      </c>
      <c r="E1584" s="35" t="s">
        <v>4880</v>
      </c>
      <c r="F1584" s="36">
        <v>0.2</v>
      </c>
      <c r="G1584" s="31"/>
      <c r="H1584" s="31"/>
      <c r="I1584" s="31"/>
      <c r="J1584" s="31"/>
      <c r="K1584" s="31"/>
    </row>
    <row r="1585" spans="1:11" ht="14.4" x14ac:dyDescent="0.3">
      <c r="A1585" s="28" t="str">
        <f>B1585&amp;C1585&amp;D1585&amp;E1585</f>
        <v>ElektronikaQuloqchinlar va audio texnikalarAudiotexnikaCD pleyerlar va pleyerlar</v>
      </c>
      <c r="B1585" s="35" t="s">
        <v>3161</v>
      </c>
      <c r="C1585" s="35" t="s">
        <v>3306</v>
      </c>
      <c r="D1585" s="35" t="s">
        <v>4850</v>
      </c>
      <c r="E1585" s="35" t="s">
        <v>4881</v>
      </c>
      <c r="F1585" s="36">
        <v>0.2</v>
      </c>
      <c r="G1585" s="31"/>
      <c r="H1585" s="31"/>
      <c r="I1585" s="31"/>
      <c r="J1585" s="31"/>
      <c r="K1585" s="31"/>
    </row>
    <row r="1586" spans="1:11" ht="14.4" x14ac:dyDescent="0.3">
      <c r="A1586" s="28" t="str">
        <f>B1586&amp;C1586&amp;D1586&amp;E1586</f>
        <v>ElektronikaKompyuter texnikasiDasturiy taʼminotDasturiy taʼminot</v>
      </c>
      <c r="B1586" s="35" t="s">
        <v>3161</v>
      </c>
      <c r="C1586" s="35" t="s">
        <v>3311</v>
      </c>
      <c r="D1586" s="35" t="s">
        <v>4882</v>
      </c>
      <c r="E1586" s="35" t="s">
        <v>4882</v>
      </c>
      <c r="F1586" s="36">
        <v>0.2</v>
      </c>
      <c r="G1586" s="31"/>
      <c r="H1586" s="31"/>
      <c r="I1586" s="31"/>
      <c r="J1586" s="31"/>
      <c r="K1586" s="31"/>
    </row>
    <row r="1587" spans="1:11" ht="14.4" x14ac:dyDescent="0.3">
      <c r="A1587" s="28" t="str">
        <f>B1587&amp;C1587&amp;D1587&amp;E1587</f>
        <v>ElektronikaAqlli uy va xavfsizlikVideokuzatuvDarvozalar uchun avtomatika</v>
      </c>
      <c r="B1587" s="35" t="s">
        <v>3161</v>
      </c>
      <c r="C1587" s="35" t="s">
        <v>4854</v>
      </c>
      <c r="D1587" s="35" t="s">
        <v>4883</v>
      </c>
      <c r="E1587" s="35" t="s">
        <v>4884</v>
      </c>
      <c r="F1587" s="36">
        <v>0.2</v>
      </c>
      <c r="G1587" s="31"/>
      <c r="H1587" s="31"/>
      <c r="I1587" s="31"/>
      <c r="J1587" s="31"/>
      <c r="K1587" s="31"/>
    </row>
    <row r="1588" spans="1:11" ht="14.4" x14ac:dyDescent="0.3">
      <c r="A1588" s="28" t="str">
        <f>B1588&amp;C1588&amp;D1588&amp;E1588</f>
        <v>ElektronikaTelevizorlar va videotexnikalarTelevizor aksessuarlariTelevizorlar uchun antennalar</v>
      </c>
      <c r="B1588" s="35" t="s">
        <v>3161</v>
      </c>
      <c r="C1588" s="35" t="s">
        <v>3328</v>
      </c>
      <c r="D1588" s="35" t="s">
        <v>4846</v>
      </c>
      <c r="E1588" s="35" t="s">
        <v>4885</v>
      </c>
      <c r="F1588" s="36">
        <v>0.2</v>
      </c>
      <c r="G1588" s="31"/>
      <c r="H1588" s="31"/>
      <c r="I1588" s="31"/>
      <c r="J1588" s="31"/>
      <c r="K1588" s="31"/>
    </row>
    <row r="1589" spans="1:11" ht="14.4" x14ac:dyDescent="0.3">
      <c r="A1589" s="28" t="str">
        <f>B1589&amp;C1589&amp;D1589&amp;E1589</f>
        <v>ElektronikaSmartfonlar va telefonlarSmartfonlar uchun aksessuarlarMobil suratga olish uchun aksessuarlar</v>
      </c>
      <c r="B1589" s="35" t="s">
        <v>3161</v>
      </c>
      <c r="C1589" s="35" t="s">
        <v>3303</v>
      </c>
      <c r="D1589" s="35" t="s">
        <v>3304</v>
      </c>
      <c r="E1589" s="35" t="s">
        <v>4886</v>
      </c>
      <c r="F1589" s="36">
        <v>0.2</v>
      </c>
      <c r="G1589" s="31"/>
      <c r="H1589" s="31"/>
      <c r="I1589" s="31"/>
      <c r="J1589" s="31"/>
      <c r="K1589" s="31"/>
    </row>
    <row r="1590" spans="1:11" ht="14.4" x14ac:dyDescent="0.3">
      <c r="A1590" s="28" t="str">
        <f>B1590&amp;C1590&amp;D1590&amp;E1590</f>
        <v>ElektronikaQuloqchinlar va audio texnikalarAudiotexnikaKompyuter akustikasi</v>
      </c>
      <c r="B1590" s="35" t="s">
        <v>3161</v>
      </c>
      <c r="C1590" s="35" t="s">
        <v>3306</v>
      </c>
      <c r="D1590" s="35" t="s">
        <v>4850</v>
      </c>
      <c r="E1590" s="35" t="s">
        <v>4887</v>
      </c>
      <c r="F1590" s="36">
        <v>0.2</v>
      </c>
      <c r="G1590" s="31"/>
      <c r="H1590" s="31"/>
      <c r="I1590" s="31"/>
      <c r="J1590" s="31"/>
      <c r="K1590" s="31"/>
    </row>
    <row r="1591" spans="1:11" ht="14.4" x14ac:dyDescent="0.3">
      <c r="A1591" s="28" t="str">
        <f>B1591&amp;C1591&amp;D1591&amp;E1591</f>
        <v>ElektronikaAqlli uy va xavfsizlikVideokuzatuvVideokuzatuv kamerasi mulyajlari</v>
      </c>
      <c r="B1591" s="35" t="s">
        <v>3161</v>
      </c>
      <c r="C1591" s="35" t="s">
        <v>4854</v>
      </c>
      <c r="D1591" s="35" t="s">
        <v>4883</v>
      </c>
      <c r="E1591" s="35" t="s">
        <v>4888</v>
      </c>
      <c r="F1591" s="36">
        <v>0.2</v>
      </c>
      <c r="G1591" s="31"/>
      <c r="H1591" s="31"/>
      <c r="I1591" s="31"/>
      <c r="J1591" s="31"/>
      <c r="K1591" s="31"/>
    </row>
    <row r="1592" spans="1:11" ht="14.4" x14ac:dyDescent="0.3">
      <c r="A1592" s="28" t="str">
        <f>B1592&amp;C1592&amp;D1592&amp;E1592</f>
        <v>ElektronikaFoto va video texnikaFotosuratchilar uchun uskunalarFotofonlar</v>
      </c>
      <c r="B1592" s="35" t="s">
        <v>3161</v>
      </c>
      <c r="C1592" s="35" t="s">
        <v>3347</v>
      </c>
      <c r="D1592" s="35" t="s">
        <v>3748</v>
      </c>
      <c r="E1592" s="35" t="s">
        <v>4889</v>
      </c>
      <c r="F1592" s="36">
        <v>0.2</v>
      </c>
      <c r="G1592" s="31"/>
      <c r="H1592" s="31"/>
      <c r="I1592" s="31"/>
      <c r="J1592" s="31"/>
      <c r="K1592" s="31"/>
    </row>
    <row r="1593" spans="1:11" ht="14.4" x14ac:dyDescent="0.3">
      <c r="A1593" s="28" t="str">
        <f>B1593&amp;C1593&amp;D1593&amp;E1593</f>
        <v>ElektronikaKompyuter texnikasiKompyuterning tashqi qurilmalariTashqi optik privodlar</v>
      </c>
      <c r="B1593" s="35" t="s">
        <v>3161</v>
      </c>
      <c r="C1593" s="35" t="s">
        <v>3311</v>
      </c>
      <c r="D1593" s="35" t="s">
        <v>3388</v>
      </c>
      <c r="E1593" s="35" t="s">
        <v>4890</v>
      </c>
      <c r="F1593" s="36">
        <v>0.2</v>
      </c>
      <c r="G1593" s="31"/>
      <c r="H1593" s="31"/>
      <c r="I1593" s="31"/>
      <c r="J1593" s="31"/>
      <c r="K1593" s="31"/>
    </row>
    <row r="1594" spans="1:11" ht="14.4" x14ac:dyDescent="0.3">
      <c r="A1594" s="28" t="str">
        <f>B1594&amp;C1594&amp;D1594&amp;E1594</f>
        <v>ElektronikaAqlli uy va xavfsizlikUy xavfsizligiDNBT (Dostupni nazorat qilish va boshqarish tizimi)</v>
      </c>
      <c r="B1594" s="35" t="s">
        <v>3161</v>
      </c>
      <c r="C1594" s="35" t="s">
        <v>4854</v>
      </c>
      <c r="D1594" s="35" t="s">
        <v>4858</v>
      </c>
      <c r="E1594" s="35" t="s">
        <v>4891</v>
      </c>
      <c r="F1594" s="36">
        <v>0.2</v>
      </c>
      <c r="G1594" s="31"/>
      <c r="H1594" s="31"/>
      <c r="I1594" s="31"/>
      <c r="J1594" s="31"/>
      <c r="K1594" s="31"/>
    </row>
    <row r="1595" spans="1:11" ht="14.4" x14ac:dyDescent="0.3">
      <c r="A1595" s="28" t="str">
        <f>B1595&amp;C1595&amp;D1595&amp;E1595</f>
        <v>ElektronikaKompyuter texnikasiKompyuter aksessuarlariTrekbollar</v>
      </c>
      <c r="B1595" s="35" t="s">
        <v>3161</v>
      </c>
      <c r="C1595" s="35" t="s">
        <v>3311</v>
      </c>
      <c r="D1595" s="35" t="s">
        <v>3354</v>
      </c>
      <c r="E1595" s="35" t="s">
        <v>4892</v>
      </c>
      <c r="F1595" s="36">
        <v>0.2</v>
      </c>
      <c r="G1595" s="31"/>
      <c r="H1595" s="31"/>
      <c r="I1595" s="31"/>
      <c r="J1595" s="31"/>
      <c r="K1595" s="31"/>
    </row>
    <row r="1596" spans="1:11" ht="14.4" x14ac:dyDescent="0.3">
      <c r="A1596" s="28" t="str">
        <f>B1596&amp;C1596&amp;D1596&amp;E1596</f>
        <v>ElektronikaTelevizorlar va videotexnikalarTelevizor aksessuarlariMasofadan boshqarish pultlari uchun gʻiloflar</v>
      </c>
      <c r="B1596" s="35" t="s">
        <v>3161</v>
      </c>
      <c r="C1596" s="35" t="s">
        <v>3328</v>
      </c>
      <c r="D1596" s="35" t="s">
        <v>4846</v>
      </c>
      <c r="E1596" s="35" t="s">
        <v>4893</v>
      </c>
      <c r="F1596" s="36">
        <v>0.2</v>
      </c>
      <c r="G1596" s="31"/>
      <c r="H1596" s="31"/>
      <c r="I1596" s="31"/>
      <c r="J1596" s="31"/>
      <c r="K1596" s="31"/>
    </row>
    <row r="1597" spans="1:11" ht="14.4" x14ac:dyDescent="0.3">
      <c r="A1597" s="28" t="str">
        <f>B1597&amp;C1597&amp;D1597&amp;E1597</f>
        <v>ElektronikaFoto va video texnikaFotosuratchilar uchun uskunalarSoftbokslar</v>
      </c>
      <c r="B1597" s="35" t="s">
        <v>3161</v>
      </c>
      <c r="C1597" s="35" t="s">
        <v>3347</v>
      </c>
      <c r="D1597" s="35" t="s">
        <v>3748</v>
      </c>
      <c r="E1597" s="35" t="s">
        <v>4894</v>
      </c>
      <c r="F1597" s="36">
        <v>0.2</v>
      </c>
      <c r="G1597" s="31"/>
      <c r="H1597" s="31"/>
      <c r="I1597" s="31"/>
      <c r="J1597" s="31"/>
      <c r="K1597" s="31"/>
    </row>
    <row r="1598" spans="1:11" ht="14.4" x14ac:dyDescent="0.3">
      <c r="A1598" s="28" t="str">
        <f>B1598&amp;C1598&amp;D1598&amp;E1598</f>
        <v>ElektronikaAqlli uy va xavfsizlikAqlli uyAqlli rozetkalar</v>
      </c>
      <c r="B1598" s="35" t="s">
        <v>3161</v>
      </c>
      <c r="C1598" s="35" t="s">
        <v>4854</v>
      </c>
      <c r="D1598" s="35" t="s">
        <v>4855</v>
      </c>
      <c r="E1598" s="35" t="s">
        <v>4895</v>
      </c>
      <c r="F1598" s="36">
        <v>0.2</v>
      </c>
      <c r="G1598" s="31"/>
      <c r="H1598" s="31"/>
      <c r="I1598" s="31"/>
      <c r="J1598" s="31"/>
      <c r="K1598" s="31"/>
    </row>
    <row r="1599" spans="1:11" ht="14.4" x14ac:dyDescent="0.3">
      <c r="A1599" s="28" t="str">
        <f>B1599&amp;C1599&amp;D1599&amp;E1599</f>
        <v>ElektronikaKompyuter texnikasiKompyuterning tashqi qurilmalariWi-fi kontrollerlari</v>
      </c>
      <c r="B1599" s="35" t="s">
        <v>3161</v>
      </c>
      <c r="C1599" s="35" t="s">
        <v>3311</v>
      </c>
      <c r="D1599" s="35" t="s">
        <v>3388</v>
      </c>
      <c r="E1599" s="35" t="s">
        <v>4896</v>
      </c>
      <c r="F1599" s="36">
        <v>0.2</v>
      </c>
      <c r="G1599" s="31"/>
      <c r="H1599" s="31"/>
      <c r="I1599" s="31"/>
      <c r="J1599" s="31"/>
      <c r="K1599" s="31"/>
    </row>
    <row r="1600" spans="1:11" ht="14.4" x14ac:dyDescent="0.3">
      <c r="A1600" s="28" t="str">
        <f>B1600&amp;C1600&amp;D1600&amp;E1600</f>
        <v>ElektronikaTelevizorlar va videotexnikalarTelevizor aksessuarlariBoshqa televizor aksessuarlari</v>
      </c>
      <c r="B1600" s="35" t="s">
        <v>3161</v>
      </c>
      <c r="C1600" s="35" t="s">
        <v>3328</v>
      </c>
      <c r="D1600" s="35" t="s">
        <v>4846</v>
      </c>
      <c r="E1600" s="35" t="s">
        <v>4897</v>
      </c>
      <c r="F1600" s="36">
        <v>0.2</v>
      </c>
      <c r="G1600" s="31"/>
      <c r="H1600" s="31"/>
      <c r="I1600" s="31"/>
      <c r="J1600" s="31"/>
      <c r="K1600" s="31"/>
    </row>
    <row r="1601" spans="1:11" ht="14.4" x14ac:dyDescent="0.3">
      <c r="A1601" s="28" t="str">
        <f>B1601&amp;C1601&amp;D1601&amp;E1601</f>
        <v>ElektronikaQuloqchinlar va audio texnikalarQuloqchinlarOʻyin uchun quloqchinlar</v>
      </c>
      <c r="B1601" s="35" t="s">
        <v>3161</v>
      </c>
      <c r="C1601" s="35" t="s">
        <v>3306</v>
      </c>
      <c r="D1601" s="35" t="s">
        <v>3259</v>
      </c>
      <c r="E1601" s="35" t="s">
        <v>4898</v>
      </c>
      <c r="F1601" s="36">
        <v>0.2</v>
      </c>
      <c r="G1601" s="31"/>
      <c r="H1601" s="31"/>
      <c r="I1601" s="31"/>
      <c r="J1601" s="31"/>
      <c r="K1601" s="31"/>
    </row>
    <row r="1602" spans="1:11" ht="14.4" x14ac:dyDescent="0.3">
      <c r="A1602" s="28" t="str">
        <f>B1602&amp;C1602&amp;D1602&amp;E1602</f>
        <v>ElektronikaTelevizorlar va videotexnikalarTyuner va resiverlarDVB-T2 tyunerlar</v>
      </c>
      <c r="B1602" s="35" t="s">
        <v>3161</v>
      </c>
      <c r="C1602" s="35" t="s">
        <v>3328</v>
      </c>
      <c r="D1602" s="35" t="s">
        <v>4899</v>
      </c>
      <c r="E1602" s="35" t="s">
        <v>4900</v>
      </c>
      <c r="F1602" s="36">
        <v>0.2</v>
      </c>
      <c r="G1602" s="31"/>
      <c r="H1602" s="31"/>
      <c r="I1602" s="31"/>
      <c r="J1602" s="31"/>
      <c r="K1602" s="31"/>
    </row>
    <row r="1603" spans="1:11" ht="14.4" x14ac:dyDescent="0.3">
      <c r="A1603" s="28" t="str">
        <f>B1603&amp;C1603&amp;D1603&amp;E1603</f>
        <v>ElektronikaQuloqchinlar va audio texnikalarPeriferiya va aksessuarlarOld kuchaytirgichlar</v>
      </c>
      <c r="B1603" s="35" t="s">
        <v>3161</v>
      </c>
      <c r="C1603" s="35" t="s">
        <v>3306</v>
      </c>
      <c r="D1603" s="35" t="s">
        <v>3373</v>
      </c>
      <c r="E1603" s="35" t="s">
        <v>4901</v>
      </c>
      <c r="F1603" s="36">
        <v>0.2</v>
      </c>
      <c r="G1603" s="31"/>
      <c r="H1603" s="31"/>
      <c r="I1603" s="31"/>
      <c r="J1603" s="31"/>
      <c r="K1603" s="31"/>
    </row>
    <row r="1604" spans="1:11" ht="14.4" x14ac:dyDescent="0.3">
      <c r="A1604" s="28" t="str">
        <f>B1604&amp;C1604&amp;D1604&amp;E1604</f>
        <v>ElektronikaAqlli uy va xavfsizlikUy xavfsizligiXavfsizlik tizimlari uchun datchiklar</v>
      </c>
      <c r="B1604" s="35" t="s">
        <v>3161</v>
      </c>
      <c r="C1604" s="35" t="s">
        <v>4854</v>
      </c>
      <c r="D1604" s="35" t="s">
        <v>4858</v>
      </c>
      <c r="E1604" s="35" t="s">
        <v>4902</v>
      </c>
      <c r="F1604" s="36">
        <v>0.2</v>
      </c>
      <c r="G1604" s="31"/>
      <c r="H1604" s="31"/>
      <c r="I1604" s="31"/>
      <c r="J1604" s="31"/>
      <c r="K1604" s="31"/>
    </row>
    <row r="1605" spans="1:11" ht="14.4" x14ac:dyDescent="0.3">
      <c r="A1605" s="28" t="str">
        <f>B1605&amp;C1605&amp;D1605&amp;E1605</f>
        <v>ElektronikaTelevizorlar va videotexnikalarTelevizor uchun stend va kronshteynlarTelevizor uchun kronshteynlar</v>
      </c>
      <c r="B1605" s="35" t="s">
        <v>3161</v>
      </c>
      <c r="C1605" s="35" t="s">
        <v>3328</v>
      </c>
      <c r="D1605" s="35" t="s">
        <v>4903</v>
      </c>
      <c r="E1605" s="35" t="s">
        <v>4904</v>
      </c>
      <c r="F1605" s="36">
        <v>0.2</v>
      </c>
      <c r="G1605" s="31"/>
      <c r="H1605" s="31"/>
      <c r="I1605" s="31"/>
      <c r="J1605" s="31"/>
      <c r="K1605" s="31"/>
    </row>
    <row r="1606" spans="1:11" ht="14.4" x14ac:dyDescent="0.3">
      <c r="A1606" s="28" t="str">
        <f>B1606&amp;C1606&amp;D1606&amp;E1606</f>
        <v>ElektronikaKompyuter texnikasiKompyuterning tashqi qurilmalariTarmoq qurilmasi uchun antenna</v>
      </c>
      <c r="B1606" s="35" t="s">
        <v>3161</v>
      </c>
      <c r="C1606" s="35" t="s">
        <v>3311</v>
      </c>
      <c r="D1606" s="35" t="s">
        <v>3388</v>
      </c>
      <c r="E1606" s="35" t="s">
        <v>4905</v>
      </c>
      <c r="F1606" s="36">
        <v>0.2</v>
      </c>
      <c r="G1606" s="31"/>
      <c r="H1606" s="31"/>
      <c r="I1606" s="31"/>
      <c r="J1606" s="31"/>
      <c r="K1606" s="31"/>
    </row>
    <row r="1607" spans="1:11" ht="14.4" x14ac:dyDescent="0.3">
      <c r="A1607" s="28" t="str">
        <f>B1607&amp;C1607&amp;D1607&amp;E1607</f>
        <v>ElektronikaTelevizorlar va videotexnikalarTV-pristavkalar va media pleerlarDVD-pleyerlar</v>
      </c>
      <c r="B1607" s="35" t="s">
        <v>3161</v>
      </c>
      <c r="C1607" s="35" t="s">
        <v>3328</v>
      </c>
      <c r="D1607" s="35" t="s">
        <v>4906</v>
      </c>
      <c r="E1607" s="35" t="s">
        <v>4907</v>
      </c>
      <c r="F1607" s="36">
        <v>0.2</v>
      </c>
      <c r="G1607" s="31"/>
      <c r="H1607" s="31"/>
      <c r="I1607" s="31"/>
      <c r="J1607" s="31"/>
      <c r="K1607" s="31"/>
    </row>
    <row r="1608" spans="1:11" ht="14.4" x14ac:dyDescent="0.3">
      <c r="A1608" s="28" t="str">
        <f>B1608&amp;C1608&amp;D1608&amp;E1608</f>
        <v>ElektronikaTelevizorlar va videotexnikalarRaqamli va sun'iy yo'ldosh TVCAM modullari</v>
      </c>
      <c r="B1608" s="35" t="s">
        <v>3161</v>
      </c>
      <c r="C1608" s="35" t="s">
        <v>3328</v>
      </c>
      <c r="D1608" s="35" t="s">
        <v>4908</v>
      </c>
      <c r="E1608" s="35" t="s">
        <v>4909</v>
      </c>
      <c r="F1608" s="36">
        <v>0.2</v>
      </c>
      <c r="G1608" s="31"/>
      <c r="H1608" s="31"/>
      <c r="I1608" s="31"/>
      <c r="J1608" s="31"/>
      <c r="K1608" s="31"/>
    </row>
    <row r="1609" spans="1:11" ht="14.4" x14ac:dyDescent="0.3">
      <c r="A1609" s="28" t="str">
        <f>B1609&amp;C1609&amp;D1609&amp;E1609</f>
        <v>ElektronikaTelevizorlar va videotexnikalarTV-pristavkalar va media pleerlarSmart-TV pristavkalar</v>
      </c>
      <c r="B1609" s="35" t="s">
        <v>3161</v>
      </c>
      <c r="C1609" s="35" t="s">
        <v>3328</v>
      </c>
      <c r="D1609" s="35" t="s">
        <v>4906</v>
      </c>
      <c r="E1609" s="35" t="s">
        <v>4910</v>
      </c>
      <c r="F1609" s="36">
        <v>0.2</v>
      </c>
      <c r="G1609" s="31"/>
      <c r="H1609" s="31"/>
      <c r="I1609" s="31"/>
      <c r="J1609" s="31"/>
      <c r="K1609" s="31"/>
    </row>
    <row r="1610" spans="1:11" ht="14.4" x14ac:dyDescent="0.3">
      <c r="A1610" s="28" t="str">
        <f>B1610&amp;C1610&amp;D1610&amp;E1610</f>
        <v>ElektronikaTelevizorlar va videotexnikalarTelevizor aksessuarlariMasofadan boshqarish pultlari TV uchun</v>
      </c>
      <c r="B1610" s="35" t="s">
        <v>3161</v>
      </c>
      <c r="C1610" s="35" t="s">
        <v>3328</v>
      </c>
      <c r="D1610" s="35" t="s">
        <v>4846</v>
      </c>
      <c r="E1610" s="35" t="s">
        <v>4911</v>
      </c>
      <c r="F1610" s="36">
        <v>0.2</v>
      </c>
      <c r="G1610" s="31"/>
      <c r="H1610" s="31"/>
      <c r="I1610" s="31"/>
      <c r="J1610" s="31"/>
      <c r="K1610" s="31"/>
    </row>
    <row r="1611" spans="1:11" ht="14.4" x14ac:dyDescent="0.3">
      <c r="A1611" s="28" t="str">
        <f>B1611&amp;C1611&amp;D1611&amp;E1611</f>
        <v>ElektronikaAqlli uy va xavfsizlikAqlli uyAqlli uylarni boshqarish</v>
      </c>
      <c r="B1611" s="35" t="s">
        <v>3161</v>
      </c>
      <c r="C1611" s="35" t="s">
        <v>4854</v>
      </c>
      <c r="D1611" s="35" t="s">
        <v>4855</v>
      </c>
      <c r="E1611" s="35" t="s">
        <v>4912</v>
      </c>
      <c r="F1611" s="36">
        <v>0.2</v>
      </c>
      <c r="G1611" s="31"/>
      <c r="H1611" s="31"/>
      <c r="I1611" s="31"/>
      <c r="J1611" s="31"/>
      <c r="K1611" s="31"/>
    </row>
    <row r="1612" spans="1:11" ht="14.4" x14ac:dyDescent="0.3">
      <c r="A1612" s="28" t="str">
        <f>B1612&amp;C1612&amp;D1612&amp;E1612</f>
        <v>ElektronikaTelevizorlar va videotexnikalarRaqamli va sun'iy yo'ldosh TVSunʼiy yoʻldosh bilan ishlaydigan televizorlar uchun toʻplamlar</v>
      </c>
      <c r="B1612" s="35" t="s">
        <v>3161</v>
      </c>
      <c r="C1612" s="35" t="s">
        <v>3328</v>
      </c>
      <c r="D1612" s="35" t="s">
        <v>4908</v>
      </c>
      <c r="E1612" s="35" t="s">
        <v>4913</v>
      </c>
      <c r="F1612" s="36">
        <v>0.2</v>
      </c>
      <c r="G1612" s="31"/>
      <c r="H1612" s="31"/>
      <c r="I1612" s="31"/>
      <c r="J1612" s="31"/>
      <c r="K1612" s="31"/>
    </row>
    <row r="1613" spans="1:11" ht="14.4" x14ac:dyDescent="0.3">
      <c r="A1613" s="28" t="str">
        <f>B1613&amp;C1613&amp;D1613&amp;E1613</f>
        <v>ElektronikaAqlli uy va xavfsizlikUy xavfsizligiElektron kalitlar va pultlar</v>
      </c>
      <c r="B1613" s="35" t="s">
        <v>3161</v>
      </c>
      <c r="C1613" s="35" t="s">
        <v>4854</v>
      </c>
      <c r="D1613" s="35" t="s">
        <v>4858</v>
      </c>
      <c r="E1613" s="35" t="s">
        <v>4914</v>
      </c>
      <c r="F1613" s="36">
        <v>0.2</v>
      </c>
      <c r="G1613" s="31"/>
      <c r="H1613" s="31"/>
      <c r="I1613" s="31"/>
      <c r="J1613" s="31"/>
      <c r="K1613" s="31"/>
    </row>
    <row r="1614" spans="1:11" ht="14.4" x14ac:dyDescent="0.3">
      <c r="A1614" s="28" t="str">
        <f>B1614&amp;C1614&amp;D1614&amp;E1614</f>
        <v>ElektronikaOptik anjomlarTeleskoplarTeleskoplar</v>
      </c>
      <c r="B1614" s="35" t="s">
        <v>3161</v>
      </c>
      <c r="C1614" s="35" t="s">
        <v>4870</v>
      </c>
      <c r="D1614" s="35" t="s">
        <v>4915</v>
      </c>
      <c r="E1614" s="35" t="s">
        <v>4915</v>
      </c>
      <c r="F1614" s="36">
        <v>0.2</v>
      </c>
      <c r="G1614" s="31"/>
      <c r="H1614" s="31"/>
      <c r="I1614" s="31"/>
      <c r="J1614" s="31"/>
      <c r="K1614" s="31"/>
    </row>
    <row r="1615" spans="1:11" ht="14.4" x14ac:dyDescent="0.3">
      <c r="A1615" s="28" t="str">
        <f>B1615&amp;C1615&amp;D1615&amp;E1615</f>
        <v>ElektronikaFoto va video texnikaFotosuratchilar uchun uskunalarFoto qutilar</v>
      </c>
      <c r="B1615" s="35" t="s">
        <v>3161</v>
      </c>
      <c r="C1615" s="35" t="s">
        <v>3347</v>
      </c>
      <c r="D1615" s="35" t="s">
        <v>3748</v>
      </c>
      <c r="E1615" s="35" t="s">
        <v>4916</v>
      </c>
      <c r="F1615" s="36">
        <v>0.2</v>
      </c>
      <c r="G1615" s="31"/>
      <c r="H1615" s="31"/>
      <c r="I1615" s="31"/>
      <c r="J1615" s="31"/>
      <c r="K1615" s="31"/>
    </row>
    <row r="1616" spans="1:11" ht="14.4" x14ac:dyDescent="0.3">
      <c r="A1616" s="28" t="str">
        <f>B1616&amp;C1616&amp;D1616&amp;E1616</f>
        <v>ElektronikaQuloqchinlar va audio texnikalarAudiotexnikaMagnitofonlar</v>
      </c>
      <c r="B1616" s="35" t="s">
        <v>3161</v>
      </c>
      <c r="C1616" s="35" t="s">
        <v>3306</v>
      </c>
      <c r="D1616" s="35" t="s">
        <v>4850</v>
      </c>
      <c r="E1616" s="35" t="s">
        <v>4917</v>
      </c>
      <c r="F1616" s="36">
        <v>0.2</v>
      </c>
      <c r="G1616" s="31"/>
      <c r="H1616" s="31"/>
      <c r="I1616" s="31"/>
      <c r="J1616" s="31"/>
      <c r="K1616" s="31"/>
    </row>
    <row r="1617" spans="1:11" ht="14.4" x14ac:dyDescent="0.3">
      <c r="A1617" s="28" t="str">
        <f>B1617&amp;C1617&amp;D1617&amp;E1617</f>
        <v>ElektronikaAqlli uy va xavfsizlikAqlli uyShinam uy uchun toʻplamlar</v>
      </c>
      <c r="B1617" s="35" t="s">
        <v>3161</v>
      </c>
      <c r="C1617" s="35" t="s">
        <v>4854</v>
      </c>
      <c r="D1617" s="35" t="s">
        <v>4855</v>
      </c>
      <c r="E1617" s="35" t="s">
        <v>4918</v>
      </c>
      <c r="F1617" s="36">
        <v>0.2</v>
      </c>
      <c r="G1617" s="31"/>
      <c r="H1617" s="31"/>
      <c r="I1617" s="31"/>
      <c r="J1617" s="31"/>
      <c r="K1617" s="31"/>
    </row>
    <row r="1618" spans="1:11" ht="14.4" x14ac:dyDescent="0.3">
      <c r="A1618" s="28" t="str">
        <f>B1618&amp;C1618&amp;D1618&amp;E1618</f>
        <v>ElektronikaAqlli uy va xavfsizlikUy xavfsizligiXabar berish moslamalari</v>
      </c>
      <c r="B1618" s="35" t="s">
        <v>3161</v>
      </c>
      <c r="C1618" s="35" t="s">
        <v>4854</v>
      </c>
      <c r="D1618" s="35" t="s">
        <v>4858</v>
      </c>
      <c r="E1618" s="35" t="s">
        <v>4919</v>
      </c>
      <c r="F1618" s="36">
        <v>0.2</v>
      </c>
      <c r="G1618" s="31"/>
      <c r="H1618" s="31"/>
      <c r="I1618" s="31"/>
      <c r="J1618" s="31"/>
      <c r="K1618" s="31"/>
    </row>
    <row r="1619" spans="1:11" ht="14.4" x14ac:dyDescent="0.3">
      <c r="A1619" s="28" t="str">
        <f>B1619&amp;C1619&amp;D1619&amp;E1619</f>
        <v>ElektronikaFoto va video texnikaFoto va video kameralar uchun aksessuarlarFotokamera uchun tutqichlar</v>
      </c>
      <c r="B1619" s="35" t="s">
        <v>3161</v>
      </c>
      <c r="C1619" s="35" t="s">
        <v>3347</v>
      </c>
      <c r="D1619" s="35" t="s">
        <v>3348</v>
      </c>
      <c r="E1619" s="35" t="s">
        <v>4920</v>
      </c>
      <c r="F1619" s="36">
        <v>0.2</v>
      </c>
      <c r="G1619" s="31"/>
      <c r="H1619" s="31"/>
      <c r="I1619" s="31"/>
      <c r="J1619" s="31"/>
      <c r="K1619" s="31"/>
    </row>
    <row r="1620" spans="1:11" ht="14.4" x14ac:dyDescent="0.3">
      <c r="A1620" s="28" t="str">
        <f>B1620&amp;C1620&amp;D1620&amp;E1620</f>
        <v>ElektronikaAqlli uy va xavfsizlikVideokuzatuvRegistratorlar</v>
      </c>
      <c r="B1620" s="35" t="s">
        <v>3161</v>
      </c>
      <c r="C1620" s="35" t="s">
        <v>4854</v>
      </c>
      <c r="D1620" s="35" t="s">
        <v>4883</v>
      </c>
      <c r="E1620" s="35" t="s">
        <v>4921</v>
      </c>
      <c r="F1620" s="36">
        <v>0.2</v>
      </c>
      <c r="G1620" s="31"/>
      <c r="H1620" s="31"/>
      <c r="I1620" s="31"/>
      <c r="J1620" s="31"/>
      <c r="K1620" s="31"/>
    </row>
    <row r="1621" spans="1:11" ht="14.4" x14ac:dyDescent="0.3">
      <c r="A1621" s="28" t="str">
        <f>B1621&amp;C1621&amp;D1621&amp;E1621</f>
        <v>ElektronikaTelevizorlar va videotexnikalarTelevizor aksessuarlariEkranlar uchun tozalagichlar va salfetkalar</v>
      </c>
      <c r="B1621" s="35" t="s">
        <v>3161</v>
      </c>
      <c r="C1621" s="35" t="s">
        <v>3328</v>
      </c>
      <c r="D1621" s="35" t="s">
        <v>4846</v>
      </c>
      <c r="E1621" s="35" t="s">
        <v>4922</v>
      </c>
      <c r="F1621" s="36">
        <v>0.2</v>
      </c>
      <c r="G1621" s="31"/>
      <c r="H1621" s="31"/>
      <c r="I1621" s="31"/>
      <c r="J1621" s="31"/>
      <c r="K1621" s="31"/>
    </row>
    <row r="1622" spans="1:11" ht="14.4" x14ac:dyDescent="0.3">
      <c r="A1622" s="28" t="str">
        <f>B1622&amp;C1622&amp;D1622&amp;E1622</f>
        <v>ElektronikaAqlli uy va xavfsizlikUy xavfsizligiElektron qulflar</v>
      </c>
      <c r="B1622" s="35" t="s">
        <v>3161</v>
      </c>
      <c r="C1622" s="35" t="s">
        <v>4854</v>
      </c>
      <c r="D1622" s="35" t="s">
        <v>4858</v>
      </c>
      <c r="E1622" s="35" t="s">
        <v>4923</v>
      </c>
      <c r="F1622" s="36">
        <v>0.2</v>
      </c>
      <c r="G1622" s="31"/>
      <c r="H1622" s="31"/>
      <c r="I1622" s="31"/>
      <c r="J1622" s="31"/>
      <c r="K1622" s="31"/>
    </row>
    <row r="1623" spans="1:11" ht="14.4" x14ac:dyDescent="0.3">
      <c r="A1623" s="28" t="str">
        <f>B1623&amp;C1623&amp;D1623&amp;E1623</f>
        <v>ElektronikaOptik anjomlarMikroskoplar uchun aksessuarlarMikroskoplar uchun aksessuarlar</v>
      </c>
      <c r="B1623" s="35" t="s">
        <v>3161</v>
      </c>
      <c r="C1623" s="35" t="s">
        <v>4870</v>
      </c>
      <c r="D1623" s="35" t="s">
        <v>4924</v>
      </c>
      <c r="E1623" s="35" t="s">
        <v>4924</v>
      </c>
      <c r="F1623" s="36">
        <v>0.2</v>
      </c>
      <c r="G1623" s="31"/>
      <c r="H1623" s="31"/>
      <c r="I1623" s="31"/>
      <c r="J1623" s="31"/>
      <c r="K1623" s="31"/>
    </row>
    <row r="1624" spans="1:11" ht="14.4" x14ac:dyDescent="0.3">
      <c r="A1624" s="28" t="str">
        <f>B1624&amp;C1624&amp;D1624&amp;E1624</f>
        <v>ElektronikaKompyuter texnikasiKompyuter texnikalari uchun butlovchi qismlarQuvvat bloklari</v>
      </c>
      <c r="B1624" s="35" t="s">
        <v>3161</v>
      </c>
      <c r="C1624" s="35" t="s">
        <v>3311</v>
      </c>
      <c r="D1624" s="35" t="s">
        <v>3399</v>
      </c>
      <c r="E1624" s="35" t="s">
        <v>4925</v>
      </c>
      <c r="F1624" s="36">
        <v>0.2</v>
      </c>
      <c r="G1624" s="31"/>
      <c r="H1624" s="31"/>
      <c r="I1624" s="31"/>
      <c r="J1624" s="31"/>
      <c r="K1624" s="31"/>
    </row>
    <row r="1625" spans="1:11" ht="14.4" x14ac:dyDescent="0.3">
      <c r="A1625" s="28" t="str">
        <f>B1625&amp;C1625&amp;D1625&amp;E1625</f>
        <v>ElektronikaTelevizorlar va videotexnikalarTelevizor aksessuarlariTV signal kuchaytirgichlar</v>
      </c>
      <c r="B1625" s="35" t="s">
        <v>3161</v>
      </c>
      <c r="C1625" s="35" t="s">
        <v>3328</v>
      </c>
      <c r="D1625" s="35" t="s">
        <v>4846</v>
      </c>
      <c r="E1625" s="35" t="s">
        <v>4926</v>
      </c>
      <c r="F1625" s="36">
        <v>0.2</v>
      </c>
      <c r="G1625" s="31"/>
      <c r="H1625" s="31"/>
      <c r="I1625" s="31"/>
      <c r="J1625" s="31"/>
      <c r="K1625" s="31"/>
    </row>
    <row r="1626" spans="1:11" ht="14.4" x14ac:dyDescent="0.3">
      <c r="A1626" s="28" t="str">
        <f>B1626&amp;C1626&amp;D1626&amp;E1626</f>
        <v>ElektronikaFoto va video texnikaFotosuratchilar uchun uskunalarAks qaytargichlar va reflektorlar</v>
      </c>
      <c r="B1626" s="35" t="s">
        <v>3161</v>
      </c>
      <c r="C1626" s="35" t="s">
        <v>3347</v>
      </c>
      <c r="D1626" s="35" t="s">
        <v>3748</v>
      </c>
      <c r="E1626" s="35" t="s">
        <v>4927</v>
      </c>
      <c r="F1626" s="36">
        <v>0.2</v>
      </c>
      <c r="G1626" s="31"/>
      <c r="H1626" s="31"/>
      <c r="I1626" s="31"/>
      <c r="J1626" s="31"/>
      <c r="K1626" s="31"/>
    </row>
    <row r="1627" spans="1:11" ht="14.4" x14ac:dyDescent="0.3">
      <c r="A1627" s="28" t="str">
        <f>B1627&amp;C1627&amp;D1627&amp;E1627</f>
        <v>ElektronikaFoto va video texnikaFoto va video kameralar uchun aksessuarlarNur filtrlari</v>
      </c>
      <c r="B1627" s="35" t="s">
        <v>3161</v>
      </c>
      <c r="C1627" s="35" t="s">
        <v>3347</v>
      </c>
      <c r="D1627" s="35" t="s">
        <v>3348</v>
      </c>
      <c r="E1627" s="35" t="s">
        <v>4928</v>
      </c>
      <c r="F1627" s="36">
        <v>0.2</v>
      </c>
      <c r="G1627" s="31"/>
      <c r="H1627" s="31"/>
      <c r="I1627" s="31"/>
      <c r="J1627" s="31"/>
      <c r="K1627" s="31"/>
    </row>
    <row r="1628" spans="1:11" ht="14.4" x14ac:dyDescent="0.3">
      <c r="A1628" s="28" t="str">
        <f>B1628&amp;C1628&amp;D1628&amp;E1628</f>
        <v>ElektronikaOptik anjomlarTeleskop aksessuarlariTeleskop aksessuarlari</v>
      </c>
      <c r="B1628" s="35" t="s">
        <v>3161</v>
      </c>
      <c r="C1628" s="35" t="s">
        <v>4870</v>
      </c>
      <c r="D1628" s="35" t="s">
        <v>4929</v>
      </c>
      <c r="E1628" s="35" t="s">
        <v>4929</v>
      </c>
      <c r="F1628" s="36">
        <v>0.2</v>
      </c>
      <c r="G1628" s="31"/>
      <c r="H1628" s="31"/>
      <c r="I1628" s="31"/>
      <c r="J1628" s="31"/>
      <c r="K1628" s="31"/>
    </row>
    <row r="1629" spans="1:11" ht="14.4" x14ac:dyDescent="0.3">
      <c r="A1629" s="28" t="str">
        <f>B1629&amp;C1629&amp;D1629&amp;E1629</f>
        <v>ElektronikaQuloqchinlar va audio texnikalarAudiotexnikaRadiotoʻlqin tutuvchi qurilmalar</v>
      </c>
      <c r="B1629" s="35" t="s">
        <v>3161</v>
      </c>
      <c r="C1629" s="35" t="s">
        <v>3306</v>
      </c>
      <c r="D1629" s="35" t="s">
        <v>4850</v>
      </c>
      <c r="E1629" s="35" t="s">
        <v>4930</v>
      </c>
      <c r="F1629" s="36">
        <v>0.2</v>
      </c>
      <c r="G1629" s="31"/>
      <c r="H1629" s="31"/>
      <c r="I1629" s="31"/>
      <c r="J1629" s="31"/>
      <c r="K1629" s="31"/>
    </row>
    <row r="1630" spans="1:11" ht="14.4" x14ac:dyDescent="0.3">
      <c r="A1630" s="28" t="str">
        <f>B1630&amp;C1630&amp;D1630&amp;E1630</f>
        <v>Goʻzallik va parvarishErkaklar uchunSoqol olish uchunBritvalar, ustaralar va almashtiriladigan kassetalar</v>
      </c>
      <c r="B1630" s="35" t="s">
        <v>3165</v>
      </c>
      <c r="C1630" s="35" t="s">
        <v>4931</v>
      </c>
      <c r="D1630" s="35" t="s">
        <v>4932</v>
      </c>
      <c r="E1630" s="35" t="s">
        <v>4933</v>
      </c>
      <c r="F1630" s="36">
        <v>0.2</v>
      </c>
      <c r="G1630" s="31"/>
      <c r="H1630" s="31"/>
      <c r="I1630" s="31"/>
      <c r="J1630" s="31"/>
      <c r="K1630" s="31"/>
    </row>
    <row r="1631" spans="1:11" ht="14.4" x14ac:dyDescent="0.3">
      <c r="A1631" s="28" t="str">
        <f>B1631&amp;C1631&amp;D1631&amp;E1631</f>
        <v>Goʻzallik va parvarishSochlar parvarishiBoʻyash va kimyoviy jingalak qilishOchartiruvchi vositalar</v>
      </c>
      <c r="B1631" s="35" t="s">
        <v>3165</v>
      </c>
      <c r="C1631" s="35" t="s">
        <v>3785</v>
      </c>
      <c r="D1631" s="35" t="s">
        <v>4934</v>
      </c>
      <c r="E1631" s="35" t="s">
        <v>4935</v>
      </c>
      <c r="F1631" s="36">
        <v>0.2</v>
      </c>
      <c r="G1631" s="31"/>
      <c r="H1631" s="31"/>
      <c r="I1631" s="31"/>
      <c r="J1631" s="31"/>
      <c r="K1631" s="31"/>
    </row>
    <row r="1632" spans="1:11" ht="14.4" x14ac:dyDescent="0.3">
      <c r="A1632" s="28" t="str">
        <f>B1632&amp;C1632&amp;D1632&amp;E1632</f>
        <v>Goʻzallik va parvarishShaxsiy gigiyenaOgʻiz boʻshligʻi gigiyenasiElektr tish choʻtkalari va irrigatorlar uchun aksessuarlar</v>
      </c>
      <c r="B1632" s="35" t="s">
        <v>3165</v>
      </c>
      <c r="C1632" s="35" t="s">
        <v>4936</v>
      </c>
      <c r="D1632" s="35" t="s">
        <v>4777</v>
      </c>
      <c r="E1632" s="35" t="s">
        <v>4937</v>
      </c>
      <c r="F1632" s="36">
        <v>0.2</v>
      </c>
      <c r="G1632" s="31"/>
      <c r="H1632" s="31"/>
      <c r="I1632" s="31"/>
      <c r="J1632" s="31"/>
      <c r="K1632" s="31"/>
    </row>
    <row r="1633" spans="1:11" ht="14.4" x14ac:dyDescent="0.3">
      <c r="A1633" s="28" t="str">
        <f>B1633&amp;C1633&amp;D1633&amp;E1633</f>
        <v>Goʻzallik va parvarishManikyur va pedikyurTirnoq yopishtirish uchun materiallarTirnoq o'stirish uchun shakllar</v>
      </c>
      <c r="B1633" s="35" t="s">
        <v>3165</v>
      </c>
      <c r="C1633" s="35" t="s">
        <v>3767</v>
      </c>
      <c r="D1633" s="35" t="s">
        <v>3792</v>
      </c>
      <c r="E1633" s="35" t="s">
        <v>4938</v>
      </c>
      <c r="F1633" s="36">
        <v>0.2</v>
      </c>
      <c r="G1633" s="31"/>
      <c r="H1633" s="31"/>
      <c r="I1633" s="31"/>
      <c r="J1633" s="31"/>
      <c r="K1633" s="31"/>
    </row>
    <row r="1634" spans="1:11" ht="14.4" x14ac:dyDescent="0.3">
      <c r="A1634" s="28" t="str">
        <f>B1634&amp;C1634&amp;D1634&amp;E1634</f>
        <v>Goʻzallik va parvarishYuz parvarishiNamlash va oziqlantirishEssensiyalar</v>
      </c>
      <c r="B1634" s="35" t="s">
        <v>3165</v>
      </c>
      <c r="C1634" s="35" t="s">
        <v>4939</v>
      </c>
      <c r="D1634" s="35" t="s">
        <v>4940</v>
      </c>
      <c r="E1634" s="35" t="s">
        <v>4941</v>
      </c>
      <c r="F1634" s="36">
        <v>0.2</v>
      </c>
      <c r="G1634" s="31"/>
      <c r="H1634" s="31"/>
      <c r="I1634" s="31"/>
      <c r="J1634" s="31"/>
      <c r="K1634" s="31"/>
    </row>
    <row r="1635" spans="1:11" ht="14.4" x14ac:dyDescent="0.3">
      <c r="A1635" s="28" t="str">
        <f>B1635&amp;C1635&amp;D1635&amp;E1635</f>
        <v>Goʻzallik va parvarishYuz parvarishiTozalash va yuvishYuvinish uchun gel</v>
      </c>
      <c r="B1635" s="35" t="s">
        <v>3165</v>
      </c>
      <c r="C1635" s="35" t="s">
        <v>4939</v>
      </c>
      <c r="D1635" s="35" t="s">
        <v>4942</v>
      </c>
      <c r="E1635" s="35" t="s">
        <v>4943</v>
      </c>
      <c r="F1635" s="36">
        <v>0.2</v>
      </c>
      <c r="G1635" s="31"/>
      <c r="H1635" s="31"/>
      <c r="I1635" s="31"/>
      <c r="J1635" s="31"/>
      <c r="K1635" s="31"/>
    </row>
    <row r="1636" spans="1:11" ht="14.4" x14ac:dyDescent="0.3">
      <c r="A1636" s="28" t="str">
        <f>B1636&amp;C1636&amp;D1636&amp;E1636</f>
        <v>Goʻzallik va parvarishGo'zallik to'plamlariTana parvarishi uchun kosmetika toʻplamlariTana parvarishi uchun kosmetika toʻplamlari</v>
      </c>
      <c r="B1636" s="35" t="s">
        <v>3165</v>
      </c>
      <c r="C1636" s="35" t="s">
        <v>4944</v>
      </c>
      <c r="D1636" s="35" t="s">
        <v>4945</v>
      </c>
      <c r="E1636" s="35" t="s">
        <v>4945</v>
      </c>
      <c r="F1636" s="36">
        <v>0.2</v>
      </c>
      <c r="G1636" s="31"/>
      <c r="H1636" s="31"/>
      <c r="I1636" s="31"/>
      <c r="J1636" s="31"/>
      <c r="K1636" s="31"/>
    </row>
    <row r="1637" spans="1:11" ht="14.4" x14ac:dyDescent="0.3">
      <c r="A1637" s="28" t="str">
        <f>B1637&amp;C1637&amp;D1637&amp;E1637</f>
        <v>Goʻzallik va parvarishKoreya kosmetikasiYuz parvarishiEssensiyalar</v>
      </c>
      <c r="B1637" s="35" t="s">
        <v>3165</v>
      </c>
      <c r="C1637" s="35" t="s">
        <v>4946</v>
      </c>
      <c r="D1637" s="35" t="s">
        <v>4939</v>
      </c>
      <c r="E1637" s="35" t="s">
        <v>4941</v>
      </c>
      <c r="F1637" s="36">
        <v>0.2</v>
      </c>
      <c r="G1637" s="31"/>
      <c r="H1637" s="31"/>
      <c r="I1637" s="31"/>
      <c r="J1637" s="31"/>
      <c r="K1637" s="31"/>
    </row>
    <row r="1638" spans="1:11" ht="14.4" x14ac:dyDescent="0.3">
      <c r="A1638" s="28" t="str">
        <f>B1638&amp;C1638&amp;D1638&amp;E1638</f>
        <v>Goʻzallik va parvarishYuz parvarishiMuammoli terilar uchun mahsulotlarYuvinish uchun koʻpik</v>
      </c>
      <c r="B1638" s="35" t="s">
        <v>3165</v>
      </c>
      <c r="C1638" s="35" t="s">
        <v>4939</v>
      </c>
      <c r="D1638" s="35" t="s">
        <v>4947</v>
      </c>
      <c r="E1638" s="35" t="s">
        <v>4948</v>
      </c>
      <c r="F1638" s="36">
        <v>0.2</v>
      </c>
      <c r="G1638" s="31"/>
      <c r="H1638" s="31"/>
      <c r="I1638" s="31"/>
      <c r="J1638" s="31"/>
      <c r="K1638" s="31"/>
    </row>
    <row r="1639" spans="1:11" ht="14.4" x14ac:dyDescent="0.3">
      <c r="A1639" s="28" t="str">
        <f>B1639&amp;C1639&amp;D1639&amp;E1639</f>
        <v>Goʻzallik va parvarishShaxsiy gigiyenaIntim gigiyenaKattalar uchun pelyonkalar va tagliklar</v>
      </c>
      <c r="B1639" s="35" t="s">
        <v>3165</v>
      </c>
      <c r="C1639" s="35" t="s">
        <v>4936</v>
      </c>
      <c r="D1639" s="35" t="s">
        <v>4949</v>
      </c>
      <c r="E1639" s="35" t="s">
        <v>4950</v>
      </c>
      <c r="F1639" s="36">
        <v>0.2</v>
      </c>
      <c r="G1639" s="31"/>
      <c r="H1639" s="31"/>
      <c r="I1639" s="31"/>
      <c r="J1639" s="31"/>
      <c r="K1639" s="31"/>
    </row>
    <row r="1640" spans="1:11" ht="14.4" x14ac:dyDescent="0.3">
      <c r="A1640" s="28" t="str">
        <f>B1640&amp;C1640&amp;D1640&amp;E1640</f>
        <v>Goʻzallik va parvarishShaxsiy gigiyenaOgʻiz boʻshligʻi gigiyenasiTish choʻtkalari</v>
      </c>
      <c r="B1640" s="35" t="s">
        <v>3165</v>
      </c>
      <c r="C1640" s="35" t="s">
        <v>4936</v>
      </c>
      <c r="D1640" s="35" t="s">
        <v>4777</v>
      </c>
      <c r="E1640" s="35" t="s">
        <v>4951</v>
      </c>
      <c r="F1640" s="36">
        <v>0.2</v>
      </c>
      <c r="G1640" s="31"/>
      <c r="H1640" s="31"/>
      <c r="I1640" s="31"/>
      <c r="J1640" s="31"/>
      <c r="K1640" s="31"/>
    </row>
    <row r="1641" spans="1:11" ht="14.4" x14ac:dyDescent="0.3">
      <c r="A1641" s="28" t="str">
        <f>B1641&amp;C1641&amp;D1641&amp;E1641</f>
        <v>Goʻzallik va parvarishMakiyajYuzMakiyaj qotirgichlari</v>
      </c>
      <c r="B1641" s="35" t="s">
        <v>3165</v>
      </c>
      <c r="C1641" s="35" t="s">
        <v>3405</v>
      </c>
      <c r="D1641" s="35" t="s">
        <v>4952</v>
      </c>
      <c r="E1641" s="35" t="s">
        <v>4953</v>
      </c>
      <c r="F1641" s="36">
        <v>0.2</v>
      </c>
      <c r="G1641" s="31"/>
      <c r="H1641" s="31"/>
      <c r="I1641" s="31"/>
      <c r="J1641" s="31"/>
      <c r="K1641" s="31"/>
    </row>
    <row r="1642" spans="1:11" ht="14.4" x14ac:dyDescent="0.3">
      <c r="A1642" s="28" t="str">
        <f>B1642&amp;C1642&amp;D1642&amp;E1642</f>
        <v>Goʻzallik va parvarishTana parvarishiDush va vanna uchun vositalarSkrablar va pilinglar</v>
      </c>
      <c r="B1642" s="35" t="s">
        <v>3165</v>
      </c>
      <c r="C1642" s="35" t="s">
        <v>3760</v>
      </c>
      <c r="D1642" s="35" t="s">
        <v>4954</v>
      </c>
      <c r="E1642" s="35" t="s">
        <v>4955</v>
      </c>
      <c r="F1642" s="36">
        <v>0.2</v>
      </c>
      <c r="G1642" s="31"/>
      <c r="H1642" s="31"/>
      <c r="I1642" s="31"/>
      <c r="J1642" s="31"/>
      <c r="K1642" s="31"/>
    </row>
    <row r="1643" spans="1:11" ht="14.4" x14ac:dyDescent="0.3">
      <c r="A1643" s="28" t="str">
        <f>B1643&amp;C1643&amp;D1643&amp;E1643</f>
        <v>Goʻzallik va parvarishSochlar parvarishiTozalash va parvarish uchun vositalarKremlar</v>
      </c>
      <c r="B1643" s="35" t="s">
        <v>3165</v>
      </c>
      <c r="C1643" s="35" t="s">
        <v>3785</v>
      </c>
      <c r="D1643" s="35" t="s">
        <v>4956</v>
      </c>
      <c r="E1643" s="35" t="s">
        <v>4957</v>
      </c>
      <c r="F1643" s="36">
        <v>0.2</v>
      </c>
      <c r="G1643" s="31"/>
      <c r="H1643" s="31"/>
      <c r="I1643" s="31"/>
      <c r="J1643" s="31"/>
      <c r="K1643" s="31"/>
    </row>
    <row r="1644" spans="1:11" ht="14.4" x14ac:dyDescent="0.3">
      <c r="A1644" s="28" t="str">
        <f>B1644&amp;C1644&amp;D1644&amp;E1644</f>
        <v>Goʻzallik va parvarishTana parvarishiNamlash va oziqlantirishTana uchun kremlar</v>
      </c>
      <c r="B1644" s="35" t="s">
        <v>3165</v>
      </c>
      <c r="C1644" s="35" t="s">
        <v>3760</v>
      </c>
      <c r="D1644" s="35" t="s">
        <v>4940</v>
      </c>
      <c r="E1644" s="35" t="s">
        <v>4958</v>
      </c>
      <c r="F1644" s="36">
        <v>0.2</v>
      </c>
      <c r="G1644" s="31"/>
      <c r="H1644" s="31"/>
      <c r="I1644" s="31"/>
      <c r="J1644" s="31"/>
      <c r="K1644" s="31"/>
    </row>
    <row r="1645" spans="1:11" ht="14.4" x14ac:dyDescent="0.3">
      <c r="A1645" s="28" t="str">
        <f>B1645&amp;C1645&amp;D1645&amp;E1645</f>
        <v>Goʻzallik va parvarishMakiyajKoʻzlarKipriklarni laminatsiyalash</v>
      </c>
      <c r="B1645" s="35" t="s">
        <v>3165</v>
      </c>
      <c r="C1645" s="35" t="s">
        <v>3405</v>
      </c>
      <c r="D1645" s="35" t="s">
        <v>4959</v>
      </c>
      <c r="E1645" s="35" t="s">
        <v>4960</v>
      </c>
      <c r="F1645" s="36">
        <v>0.2</v>
      </c>
      <c r="G1645" s="31"/>
      <c r="H1645" s="31"/>
      <c r="I1645" s="31"/>
      <c r="J1645" s="31"/>
      <c r="K1645" s="31"/>
    </row>
    <row r="1646" spans="1:11" ht="14.4" x14ac:dyDescent="0.3">
      <c r="A1646" s="28" t="str">
        <f>B1646&amp;C1646&amp;D1646&amp;E1646</f>
        <v>Goʻzallik va parvarishGo'zallik to'plamlariParfyumeriya toʻplamiParfyumeriya toʻplami</v>
      </c>
      <c r="B1646" s="35" t="s">
        <v>3165</v>
      </c>
      <c r="C1646" s="35" t="s">
        <v>4944</v>
      </c>
      <c r="D1646" s="35" t="s">
        <v>4961</v>
      </c>
      <c r="E1646" s="35" t="s">
        <v>4961</v>
      </c>
      <c r="F1646" s="36">
        <v>0.2</v>
      </c>
      <c r="G1646" s="31"/>
      <c r="H1646" s="31"/>
      <c r="I1646" s="31"/>
      <c r="J1646" s="31"/>
      <c r="K1646" s="31"/>
    </row>
    <row r="1647" spans="1:11" ht="14.4" x14ac:dyDescent="0.3">
      <c r="A1647" s="28" t="str">
        <f>B1647&amp;C1647&amp;D1647&amp;E1647</f>
        <v>Goʻzallik va parvarishYuz parvarishiNamlash va oziqlantirishYogʻlar</v>
      </c>
      <c r="B1647" s="35" t="s">
        <v>3165</v>
      </c>
      <c r="C1647" s="35" t="s">
        <v>4939</v>
      </c>
      <c r="D1647" s="35" t="s">
        <v>4940</v>
      </c>
      <c r="E1647" s="35" t="s">
        <v>4962</v>
      </c>
      <c r="F1647" s="36">
        <v>0.2</v>
      </c>
      <c r="G1647" s="31"/>
      <c r="H1647" s="31"/>
      <c r="I1647" s="31"/>
      <c r="J1647" s="31"/>
      <c r="K1647" s="31"/>
    </row>
    <row r="1648" spans="1:11" ht="14.4" x14ac:dyDescent="0.3">
      <c r="A1648" s="28" t="str">
        <f>B1648&amp;C1648&amp;D1648&amp;E1648</f>
        <v>Goʻzallik va parvarishErkaklar uchunSoqol va moʻylovlar uchunSoqol va mo'ylov uchun zardoblar va yogʻlar</v>
      </c>
      <c r="B1648" s="35" t="s">
        <v>3165</v>
      </c>
      <c r="C1648" s="35" t="s">
        <v>4931</v>
      </c>
      <c r="D1648" s="35" t="s">
        <v>4963</v>
      </c>
      <c r="E1648" s="35" t="s">
        <v>4964</v>
      </c>
      <c r="F1648" s="36">
        <v>0.2</v>
      </c>
      <c r="G1648" s="31"/>
      <c r="H1648" s="31"/>
      <c r="I1648" s="31"/>
      <c r="J1648" s="31"/>
      <c r="K1648" s="31"/>
    </row>
    <row r="1649" spans="1:11" ht="14.4" x14ac:dyDescent="0.3">
      <c r="A1649" s="28" t="str">
        <f>B1649&amp;C1649&amp;D1649&amp;E1649</f>
        <v>Goʻzallik va parvarishKoreya kosmetikasiYuz parvarishiTonerlar</v>
      </c>
      <c r="B1649" s="35" t="s">
        <v>3165</v>
      </c>
      <c r="C1649" s="35" t="s">
        <v>4946</v>
      </c>
      <c r="D1649" s="35" t="s">
        <v>4939</v>
      </c>
      <c r="E1649" s="35" t="s">
        <v>3340</v>
      </c>
      <c r="F1649" s="36">
        <v>0.2</v>
      </c>
      <c r="G1649" s="31"/>
      <c r="H1649" s="31"/>
      <c r="I1649" s="31"/>
      <c r="J1649" s="31"/>
      <c r="K1649" s="31"/>
    </row>
    <row r="1650" spans="1:11" ht="14.4" x14ac:dyDescent="0.3">
      <c r="A1650" s="28" t="str">
        <f>B1650&amp;C1650&amp;D1650&amp;E1650</f>
        <v>Goʻzallik va parvarishKoreya kosmetikasiYuz parvarishiTungi kremlar</v>
      </c>
      <c r="B1650" s="35" t="s">
        <v>3165</v>
      </c>
      <c r="C1650" s="35" t="s">
        <v>4946</v>
      </c>
      <c r="D1650" s="35" t="s">
        <v>4939</v>
      </c>
      <c r="E1650" s="35" t="s">
        <v>4965</v>
      </c>
      <c r="F1650" s="36">
        <v>0.2</v>
      </c>
      <c r="G1650" s="31"/>
      <c r="H1650" s="31"/>
      <c r="I1650" s="31"/>
      <c r="J1650" s="31"/>
      <c r="K1650" s="31"/>
    </row>
    <row r="1651" spans="1:11" ht="14.4" x14ac:dyDescent="0.3">
      <c r="A1651" s="28" t="str">
        <f>B1651&amp;C1651&amp;D1651&amp;E1651</f>
        <v>Goʻzallik va parvarishShaxsiy gigiyenaOgʻiz boʻshligʻi gigiyenasiTish protezlarini parvarish qilish</v>
      </c>
      <c r="B1651" s="35" t="s">
        <v>3165</v>
      </c>
      <c r="C1651" s="35" t="s">
        <v>4936</v>
      </c>
      <c r="D1651" s="35" t="s">
        <v>4777</v>
      </c>
      <c r="E1651" s="35" t="s">
        <v>4966</v>
      </c>
      <c r="F1651" s="36">
        <v>0.2</v>
      </c>
      <c r="G1651" s="31"/>
      <c r="H1651" s="31"/>
      <c r="I1651" s="31"/>
      <c r="J1651" s="31"/>
      <c r="K1651" s="31"/>
    </row>
    <row r="1652" spans="1:11" ht="14.4" x14ac:dyDescent="0.3">
      <c r="A1652" s="28" t="str">
        <f>B1652&amp;C1652&amp;D1652&amp;E1652</f>
        <v>Goʻzallik va parvarishTana parvarishiDush va vanna uchun vositalarVanna uchun tuz</v>
      </c>
      <c r="B1652" s="35" t="s">
        <v>3165</v>
      </c>
      <c r="C1652" s="35" t="s">
        <v>3760</v>
      </c>
      <c r="D1652" s="35" t="s">
        <v>4954</v>
      </c>
      <c r="E1652" s="35" t="s">
        <v>4967</v>
      </c>
      <c r="F1652" s="36">
        <v>0.2</v>
      </c>
      <c r="G1652" s="31"/>
      <c r="H1652" s="31"/>
      <c r="I1652" s="31"/>
      <c r="J1652" s="31"/>
      <c r="K1652" s="31"/>
    </row>
    <row r="1653" spans="1:11" ht="14.4" x14ac:dyDescent="0.3">
      <c r="A1653" s="28" t="str">
        <f>B1653&amp;C1653&amp;D1653&amp;E1653</f>
        <v>Goʻzallik va parvarishTana parvarishiQuyoshda toblanish va quyoshdan himoyaQuyoshda toblanish uchun vositalar</v>
      </c>
      <c r="B1653" s="35" t="s">
        <v>3165</v>
      </c>
      <c r="C1653" s="35" t="s">
        <v>3760</v>
      </c>
      <c r="D1653" s="35" t="s">
        <v>4968</v>
      </c>
      <c r="E1653" s="35" t="s">
        <v>4969</v>
      </c>
      <c r="F1653" s="36">
        <v>0.2</v>
      </c>
      <c r="G1653" s="31"/>
      <c r="H1653" s="31"/>
      <c r="I1653" s="31"/>
      <c r="J1653" s="31"/>
      <c r="K1653" s="31"/>
    </row>
    <row r="1654" spans="1:11" ht="14.4" x14ac:dyDescent="0.3">
      <c r="A1654" s="28" t="str">
        <f>B1654&amp;C1654&amp;D1654&amp;E1654</f>
        <v>Goʻzallik va parvarishShaxsiy gigiyenaDepilyatsiya va epilyatsiyaDepilatsiyadan oldin va keyin foydalaniladigan vositalar</v>
      </c>
      <c r="B1654" s="35" t="s">
        <v>3165</v>
      </c>
      <c r="C1654" s="35" t="s">
        <v>4936</v>
      </c>
      <c r="D1654" s="35" t="s">
        <v>4970</v>
      </c>
      <c r="E1654" s="35" t="s">
        <v>4971</v>
      </c>
      <c r="F1654" s="36">
        <v>0.2</v>
      </c>
      <c r="G1654" s="31"/>
      <c r="H1654" s="31"/>
      <c r="I1654" s="31"/>
      <c r="J1654" s="31"/>
      <c r="K1654" s="31"/>
    </row>
    <row r="1655" spans="1:11" ht="14.4" x14ac:dyDescent="0.3">
      <c r="A1655" s="28" t="str">
        <f>B1655&amp;C1655&amp;D1655&amp;E1655</f>
        <v>Goʻzallik va parvarishKoreya kosmetikasiYuz parvarishiYuz uchun balzamlar va gellar</v>
      </c>
      <c r="B1655" s="35" t="s">
        <v>3165</v>
      </c>
      <c r="C1655" s="35" t="s">
        <v>4946</v>
      </c>
      <c r="D1655" s="35" t="s">
        <v>4939</v>
      </c>
      <c r="E1655" s="35" t="s">
        <v>4972</v>
      </c>
      <c r="F1655" s="36">
        <v>0.2</v>
      </c>
      <c r="G1655" s="31"/>
      <c r="H1655" s="31"/>
      <c r="I1655" s="31"/>
      <c r="J1655" s="31"/>
      <c r="K1655" s="31"/>
    </row>
    <row r="1656" spans="1:11" ht="14.4" x14ac:dyDescent="0.3">
      <c r="A1656" s="28" t="str">
        <f>B1656&amp;C1656&amp;D1656&amp;E1656</f>
        <v>Goʻzallik va parvarishKoreya kosmetikasiTana parvarishiOyoq uchun kremlar</v>
      </c>
      <c r="B1656" s="35" t="s">
        <v>3165</v>
      </c>
      <c r="C1656" s="35" t="s">
        <v>4946</v>
      </c>
      <c r="D1656" s="35" t="s">
        <v>3760</v>
      </c>
      <c r="E1656" s="35" t="s">
        <v>4973</v>
      </c>
      <c r="F1656" s="36">
        <v>0.2</v>
      </c>
      <c r="G1656" s="31"/>
      <c r="H1656" s="31"/>
      <c r="I1656" s="31"/>
      <c r="J1656" s="31"/>
      <c r="K1656" s="31"/>
    </row>
    <row r="1657" spans="1:11" ht="14.4" x14ac:dyDescent="0.3">
      <c r="A1657" s="28" t="str">
        <f>B1657&amp;C1657&amp;D1657&amp;E1657</f>
        <v>Goʻzallik va parvarishSochlar parvarishiSartarosh uchun professional asboblarPostij uchun uskunalar</v>
      </c>
      <c r="B1657" s="35" t="s">
        <v>3165</v>
      </c>
      <c r="C1657" s="35" t="s">
        <v>3785</v>
      </c>
      <c r="D1657" s="35" t="s">
        <v>4974</v>
      </c>
      <c r="E1657" s="35" t="s">
        <v>4975</v>
      </c>
      <c r="F1657" s="36">
        <v>0.2</v>
      </c>
      <c r="G1657" s="31"/>
      <c r="H1657" s="31"/>
      <c r="I1657" s="31"/>
      <c r="J1657" s="31"/>
      <c r="K1657" s="31"/>
    </row>
    <row r="1658" spans="1:11" ht="14.4" x14ac:dyDescent="0.3">
      <c r="A1658" s="28" t="str">
        <f>B1658&amp;C1658&amp;D1658&amp;E1658</f>
        <v>Goʻzallik va parvarishMakiyajQoshlarQosh uchun soyalar</v>
      </c>
      <c r="B1658" s="35" t="s">
        <v>3165</v>
      </c>
      <c r="C1658" s="35" t="s">
        <v>3405</v>
      </c>
      <c r="D1658" s="35" t="s">
        <v>4976</v>
      </c>
      <c r="E1658" s="35" t="s">
        <v>4977</v>
      </c>
      <c r="F1658" s="36">
        <v>0.2</v>
      </c>
      <c r="G1658" s="31"/>
      <c r="H1658" s="31"/>
      <c r="I1658" s="31"/>
      <c r="J1658" s="31"/>
      <c r="K1658" s="31"/>
    </row>
    <row r="1659" spans="1:11" ht="14.4" x14ac:dyDescent="0.3">
      <c r="A1659" s="28" t="str">
        <f>B1659&amp;C1659&amp;D1659&amp;E1659</f>
        <v>Goʻzallik va parvarishSochlar parvarishiTurmaklash uchun vositalarBlesk</v>
      </c>
      <c r="B1659" s="35" t="s">
        <v>3165</v>
      </c>
      <c r="C1659" s="35" t="s">
        <v>3785</v>
      </c>
      <c r="D1659" s="35" t="s">
        <v>4978</v>
      </c>
      <c r="E1659" s="35" t="s">
        <v>4979</v>
      </c>
      <c r="F1659" s="36">
        <v>0.2</v>
      </c>
      <c r="G1659" s="31"/>
      <c r="H1659" s="31"/>
      <c r="I1659" s="31"/>
      <c r="J1659" s="31"/>
      <c r="K1659" s="31"/>
    </row>
    <row r="1660" spans="1:11" ht="14.4" x14ac:dyDescent="0.3">
      <c r="A1660" s="28" t="str">
        <f>B1660&amp;C1660&amp;D1660&amp;E1660</f>
        <v>Goʻzallik va parvarishManikyur va pedikyurTirnoqlar dizayniBiserlar, yaltiroq toshlar va yaltiroqlar</v>
      </c>
      <c r="B1660" s="35" t="s">
        <v>3165</v>
      </c>
      <c r="C1660" s="35" t="s">
        <v>3767</v>
      </c>
      <c r="D1660" s="35" t="s">
        <v>3776</v>
      </c>
      <c r="E1660" s="35" t="s">
        <v>4980</v>
      </c>
      <c r="F1660" s="36">
        <v>0.2</v>
      </c>
      <c r="G1660" s="31"/>
      <c r="H1660" s="31"/>
      <c r="I1660" s="31"/>
      <c r="J1660" s="31"/>
      <c r="K1660" s="31"/>
    </row>
    <row r="1661" spans="1:11" ht="14.4" x14ac:dyDescent="0.3">
      <c r="A1661" s="28" t="str">
        <f>B1661&amp;C1661&amp;D1661&amp;E1661</f>
        <v>Goʻzallik va parvarishShaxsiy gigiyenaSovunKosmetik sovun</v>
      </c>
      <c r="B1661" s="35" t="s">
        <v>3165</v>
      </c>
      <c r="C1661" s="35" t="s">
        <v>4936</v>
      </c>
      <c r="D1661" s="35" t="s">
        <v>3815</v>
      </c>
      <c r="E1661" s="35" t="s">
        <v>4981</v>
      </c>
      <c r="F1661" s="36">
        <v>0.2</v>
      </c>
      <c r="G1661" s="31"/>
      <c r="H1661" s="31"/>
      <c r="I1661" s="31"/>
      <c r="J1661" s="31"/>
      <c r="K1661" s="31"/>
    </row>
    <row r="1662" spans="1:11" ht="14.4" x14ac:dyDescent="0.3">
      <c r="A1662" s="28" t="str">
        <f>B1662&amp;C1662&amp;D1662&amp;E1662</f>
        <v>Goʻzallik va parvarishManikyur va pedikyurTirnoq yopishtirish uchun materiallarTirnoq o'stirish uchun gellar va upalar</v>
      </c>
      <c r="B1662" s="35" t="s">
        <v>3165</v>
      </c>
      <c r="C1662" s="35" t="s">
        <v>3767</v>
      </c>
      <c r="D1662" s="35" t="s">
        <v>3792</v>
      </c>
      <c r="E1662" s="35" t="s">
        <v>4982</v>
      </c>
      <c r="F1662" s="36">
        <v>0.2</v>
      </c>
      <c r="G1662" s="31"/>
      <c r="H1662" s="31"/>
      <c r="I1662" s="31"/>
      <c r="J1662" s="31"/>
      <c r="K1662" s="31"/>
    </row>
    <row r="1663" spans="1:11" ht="14.4" x14ac:dyDescent="0.3">
      <c r="A1663" s="28" t="str">
        <f>B1663&amp;C1663&amp;D1663&amp;E1663</f>
        <v>Goʻzallik va parvarishShaxsiy gigiyenaOgʻiz boʻshligʻi gigiyenasiElektr tish choʻtkalari</v>
      </c>
      <c r="B1663" s="35" t="s">
        <v>3165</v>
      </c>
      <c r="C1663" s="35" t="s">
        <v>4936</v>
      </c>
      <c r="D1663" s="35" t="s">
        <v>4777</v>
      </c>
      <c r="E1663" s="35" t="s">
        <v>4983</v>
      </c>
      <c r="F1663" s="36">
        <v>0.2</v>
      </c>
      <c r="G1663" s="31"/>
      <c r="H1663" s="31"/>
      <c r="I1663" s="31"/>
      <c r="J1663" s="31"/>
      <c r="K1663" s="31"/>
    </row>
    <row r="1664" spans="1:11" ht="14.4" x14ac:dyDescent="0.3">
      <c r="A1664" s="28" t="str">
        <f>B1664&amp;C1664&amp;D1664&amp;E1664</f>
        <v>Goʻzallik va parvarishErkaklar uchunErkaklar parfyumlariOdekolonlar</v>
      </c>
      <c r="B1664" s="35" t="s">
        <v>3165</v>
      </c>
      <c r="C1664" s="35" t="s">
        <v>4931</v>
      </c>
      <c r="D1664" s="35" t="s">
        <v>4984</v>
      </c>
      <c r="E1664" s="35" t="s">
        <v>3765</v>
      </c>
      <c r="F1664" s="36">
        <v>0.2</v>
      </c>
      <c r="G1664" s="31"/>
      <c r="H1664" s="31"/>
      <c r="I1664" s="31"/>
      <c r="J1664" s="31"/>
      <c r="K1664" s="31"/>
    </row>
    <row r="1665" spans="1:11" ht="14.4" x14ac:dyDescent="0.3">
      <c r="A1665" s="28" t="str">
        <f>B1665&amp;C1665&amp;D1665&amp;E1665</f>
        <v>Goʻzallik va parvarishShaxsiy gigiyenaOgʻiz boʻshligʻi gigiyenasiElektr tish choʻtkalari va irrigatorlar uchun nasadkalar</v>
      </c>
      <c r="B1665" s="35" t="s">
        <v>3165</v>
      </c>
      <c r="C1665" s="35" t="s">
        <v>4936</v>
      </c>
      <c r="D1665" s="35" t="s">
        <v>4777</v>
      </c>
      <c r="E1665" s="35" t="s">
        <v>4985</v>
      </c>
      <c r="F1665" s="36">
        <v>0.2</v>
      </c>
      <c r="G1665" s="31"/>
      <c r="H1665" s="31"/>
      <c r="I1665" s="31"/>
      <c r="J1665" s="31"/>
      <c r="K1665" s="31"/>
    </row>
    <row r="1666" spans="1:11" ht="14.4" x14ac:dyDescent="0.3">
      <c r="A1666" s="28" t="str">
        <f>B1666&amp;C1666&amp;D1666&amp;E1666</f>
        <v>Goʻzallik va parvarishShaxsiy gigiyenaOgʻiz boʻshligʻi gigiyenasiOgʻizni yuvish va parvarishlash</v>
      </c>
      <c r="B1666" s="35" t="s">
        <v>3165</v>
      </c>
      <c r="C1666" s="35" t="s">
        <v>4936</v>
      </c>
      <c r="D1666" s="35" t="s">
        <v>4777</v>
      </c>
      <c r="E1666" s="35" t="s">
        <v>4986</v>
      </c>
      <c r="F1666" s="36">
        <v>0.2</v>
      </c>
      <c r="G1666" s="31"/>
      <c r="H1666" s="31"/>
      <c r="I1666" s="31"/>
      <c r="J1666" s="31"/>
      <c r="K1666" s="31"/>
    </row>
    <row r="1667" spans="1:11" ht="14.4" x14ac:dyDescent="0.3">
      <c r="A1667" s="28" t="str">
        <f>B1667&amp;C1667&amp;D1667&amp;E1667</f>
        <v>Goʻzallik va parvarishYuz parvarishiTozalash va yuvishTeri parvarishi uchun muss</v>
      </c>
      <c r="B1667" s="35" t="s">
        <v>3165</v>
      </c>
      <c r="C1667" s="35" t="s">
        <v>4939</v>
      </c>
      <c r="D1667" s="35" t="s">
        <v>4942</v>
      </c>
      <c r="E1667" s="35" t="s">
        <v>4987</v>
      </c>
      <c r="F1667" s="36">
        <v>0.2</v>
      </c>
      <c r="G1667" s="31"/>
      <c r="H1667" s="31"/>
      <c r="I1667" s="31"/>
      <c r="J1667" s="31"/>
      <c r="K1667" s="31"/>
    </row>
    <row r="1668" spans="1:11" ht="14.4" x14ac:dyDescent="0.3">
      <c r="A1668" s="28" t="str">
        <f>B1668&amp;C1668&amp;D1668&amp;E1668</f>
        <v>Goʻzallik va parvarishErkaklar uchunSoqol va moʻylovlar uchunSoqol va mo'ylov uchun shampunlar</v>
      </c>
      <c r="B1668" s="35" t="s">
        <v>3165</v>
      </c>
      <c r="C1668" s="35" t="s">
        <v>4931</v>
      </c>
      <c r="D1668" s="35" t="s">
        <v>4963</v>
      </c>
      <c r="E1668" s="35" t="s">
        <v>4988</v>
      </c>
      <c r="F1668" s="36">
        <v>0.2</v>
      </c>
      <c r="G1668" s="31"/>
      <c r="H1668" s="31"/>
      <c r="I1668" s="31"/>
      <c r="J1668" s="31"/>
      <c r="K1668" s="31"/>
    </row>
    <row r="1669" spans="1:11" ht="14.4" x14ac:dyDescent="0.3">
      <c r="A1669" s="28" t="str">
        <f>B1669&amp;C1669&amp;D1669&amp;E1669</f>
        <v>Goʻzallik va parvarishSochlar parvarishiSartarosh uchun professional asboblarQaychilar</v>
      </c>
      <c r="B1669" s="35" t="s">
        <v>3165</v>
      </c>
      <c r="C1669" s="35" t="s">
        <v>3785</v>
      </c>
      <c r="D1669" s="35" t="s">
        <v>4974</v>
      </c>
      <c r="E1669" s="35" t="s">
        <v>3794</v>
      </c>
      <c r="F1669" s="36">
        <v>0.2</v>
      </c>
      <c r="G1669" s="31"/>
      <c r="H1669" s="31"/>
      <c r="I1669" s="31"/>
      <c r="J1669" s="31"/>
      <c r="K1669" s="31"/>
    </row>
    <row r="1670" spans="1:11" ht="14.4" x14ac:dyDescent="0.3">
      <c r="A1670" s="28" t="str">
        <f>B1670&amp;C1670&amp;D1670&amp;E1670</f>
        <v>Goʻzallik va parvarishKoreya kosmetikasiYuz terisini tozalashYuvinish uchun ko'piklar</v>
      </c>
      <c r="B1670" s="35" t="s">
        <v>3165</v>
      </c>
      <c r="C1670" s="35" t="s">
        <v>4946</v>
      </c>
      <c r="D1670" s="35" t="s">
        <v>4989</v>
      </c>
      <c r="E1670" s="35" t="s">
        <v>4990</v>
      </c>
      <c r="F1670" s="36">
        <v>0.2</v>
      </c>
      <c r="G1670" s="31"/>
      <c r="H1670" s="31"/>
      <c r="I1670" s="31"/>
      <c r="J1670" s="31"/>
      <c r="K1670" s="31"/>
    </row>
    <row r="1671" spans="1:11" ht="14.4" x14ac:dyDescent="0.3">
      <c r="A1671" s="28" t="str">
        <f>B1671&amp;C1671&amp;D1671&amp;E1671</f>
        <v>Goʻzallik va parvarishTana parvarishiDush va vanna uchun vositalarVanna uchun koʻpik</v>
      </c>
      <c r="B1671" s="35" t="s">
        <v>3165</v>
      </c>
      <c r="C1671" s="35" t="s">
        <v>3760</v>
      </c>
      <c r="D1671" s="35" t="s">
        <v>4954</v>
      </c>
      <c r="E1671" s="35" t="s">
        <v>4991</v>
      </c>
      <c r="F1671" s="36">
        <v>0.2</v>
      </c>
      <c r="G1671" s="31"/>
      <c r="H1671" s="31"/>
      <c r="I1671" s="31"/>
      <c r="J1671" s="31"/>
      <c r="K1671" s="31"/>
    </row>
    <row r="1672" spans="1:11" ht="14.4" x14ac:dyDescent="0.3">
      <c r="A1672" s="28" t="str">
        <f>B1672&amp;C1672&amp;D1672&amp;E1672</f>
        <v>Goʻzallik va parvarishKoreya kosmetikasiMakiyajQoshlar</v>
      </c>
      <c r="B1672" s="35" t="s">
        <v>3165</v>
      </c>
      <c r="C1672" s="35" t="s">
        <v>4946</v>
      </c>
      <c r="D1672" s="35" t="s">
        <v>3405</v>
      </c>
      <c r="E1672" s="35" t="s">
        <v>4976</v>
      </c>
      <c r="F1672" s="36">
        <v>0.2</v>
      </c>
      <c r="G1672" s="31"/>
      <c r="H1672" s="31"/>
      <c r="I1672" s="31"/>
      <c r="J1672" s="31"/>
      <c r="K1672" s="31"/>
    </row>
    <row r="1673" spans="1:11" ht="14.4" x14ac:dyDescent="0.3">
      <c r="A1673" s="28" t="str">
        <f>B1673&amp;C1673&amp;D1673&amp;E1673</f>
        <v>Goʻzallik va parvarishMakiyajVaqtinchalik tatuirovkalar va mehendi uchun xinaVaqtinchalik tatuirovkalar va mehendi uchun xina</v>
      </c>
      <c r="B1673" s="35" t="s">
        <v>3165</v>
      </c>
      <c r="C1673" s="35" t="s">
        <v>3405</v>
      </c>
      <c r="D1673" s="35" t="s">
        <v>4992</v>
      </c>
      <c r="E1673" s="35" t="s">
        <v>4992</v>
      </c>
      <c r="F1673" s="36">
        <v>0.2</v>
      </c>
      <c r="G1673" s="31"/>
      <c r="H1673" s="31"/>
      <c r="I1673" s="31"/>
      <c r="J1673" s="31"/>
      <c r="K1673" s="31"/>
    </row>
    <row r="1674" spans="1:11" ht="14.4" x14ac:dyDescent="0.3">
      <c r="A1674" s="28" t="str">
        <f>B1674&amp;C1674&amp;D1674&amp;E1674</f>
        <v>Goʻzallik va parvarishMakiyajKoʻzlarKiprik uchun tushlar</v>
      </c>
      <c r="B1674" s="35" t="s">
        <v>3165</v>
      </c>
      <c r="C1674" s="35" t="s">
        <v>3405</v>
      </c>
      <c r="D1674" s="35" t="s">
        <v>4959</v>
      </c>
      <c r="E1674" s="35" t="s">
        <v>4993</v>
      </c>
      <c r="F1674" s="36">
        <v>0.2</v>
      </c>
      <c r="G1674" s="31"/>
      <c r="H1674" s="31"/>
      <c r="I1674" s="31"/>
      <c r="J1674" s="31"/>
      <c r="K1674" s="31"/>
    </row>
    <row r="1675" spans="1:11" ht="14.4" x14ac:dyDescent="0.3">
      <c r="A1675" s="28" t="str">
        <f>B1675&amp;C1675&amp;D1675&amp;E1675</f>
        <v>Goʻzallik va parvarishKoreya kosmetikasiYuz parvarishiYuz parvarishi</v>
      </c>
      <c r="B1675" s="35" t="s">
        <v>3165</v>
      </c>
      <c r="C1675" s="35" t="s">
        <v>4946</v>
      </c>
      <c r="D1675" s="35" t="s">
        <v>4939</v>
      </c>
      <c r="E1675" s="35" t="s">
        <v>4939</v>
      </c>
      <c r="F1675" s="36">
        <v>0.2</v>
      </c>
      <c r="G1675" s="31"/>
      <c r="H1675" s="31"/>
      <c r="I1675" s="31"/>
      <c r="J1675" s="31"/>
      <c r="K1675" s="31"/>
    </row>
    <row r="1676" spans="1:11" ht="14.4" x14ac:dyDescent="0.3">
      <c r="A1676" s="28" t="str">
        <f>B1676&amp;C1676&amp;D1676&amp;E1676</f>
        <v>Goʻzallik va parvarishYuz parvarishiNamlash va oziqlantirishFlyuidlar</v>
      </c>
      <c r="B1676" s="35" t="s">
        <v>3165</v>
      </c>
      <c r="C1676" s="35" t="s">
        <v>4939</v>
      </c>
      <c r="D1676" s="35" t="s">
        <v>4940</v>
      </c>
      <c r="E1676" s="35" t="s">
        <v>4994</v>
      </c>
      <c r="F1676" s="36">
        <v>0.2</v>
      </c>
      <c r="G1676" s="31"/>
      <c r="H1676" s="31"/>
      <c r="I1676" s="31"/>
      <c r="J1676" s="31"/>
      <c r="K1676" s="31"/>
    </row>
    <row r="1677" spans="1:11" ht="14.4" x14ac:dyDescent="0.3">
      <c r="A1677" s="28" t="str">
        <f>B1677&amp;C1677&amp;D1677&amp;E1677</f>
        <v>Goʻzallik va parvarishSochlar parvarishiTurmaklash uchun vositalarUlama sochlar uchun tovarlar</v>
      </c>
      <c r="B1677" s="35" t="s">
        <v>3165</v>
      </c>
      <c r="C1677" s="35" t="s">
        <v>3785</v>
      </c>
      <c r="D1677" s="35" t="s">
        <v>4978</v>
      </c>
      <c r="E1677" s="35" t="s">
        <v>4995</v>
      </c>
      <c r="F1677" s="36">
        <v>0.2</v>
      </c>
      <c r="G1677" s="31"/>
      <c r="H1677" s="31"/>
      <c r="I1677" s="31"/>
      <c r="J1677" s="31"/>
      <c r="K1677" s="31"/>
    </row>
    <row r="1678" spans="1:11" ht="14.4" x14ac:dyDescent="0.3">
      <c r="A1678" s="28" t="str">
        <f>B1678&amp;C1678&amp;D1678&amp;E1678</f>
        <v>Goʻzallik va parvarishYuz parvarishiMuammoli terilar uchun mahsulotlarKremlar</v>
      </c>
      <c r="B1678" s="35" t="s">
        <v>3165</v>
      </c>
      <c r="C1678" s="35" t="s">
        <v>4939</v>
      </c>
      <c r="D1678" s="35" t="s">
        <v>4947</v>
      </c>
      <c r="E1678" s="35" t="s">
        <v>4957</v>
      </c>
      <c r="F1678" s="36">
        <v>0.2</v>
      </c>
      <c r="G1678" s="31"/>
      <c r="H1678" s="31"/>
      <c r="I1678" s="31"/>
      <c r="J1678" s="31"/>
      <c r="K1678" s="31"/>
    </row>
    <row r="1679" spans="1:11" ht="14.4" x14ac:dyDescent="0.3">
      <c r="A1679" s="28" t="str">
        <f>B1679&amp;C1679&amp;D1679&amp;E1679</f>
        <v>Goʻzallik va parvarishShaxsiy gigiyenaQogʻoz va paxta mahsulotlariPaxtali tayoqchalar</v>
      </c>
      <c r="B1679" s="35" t="s">
        <v>3165</v>
      </c>
      <c r="C1679" s="35" t="s">
        <v>4936</v>
      </c>
      <c r="D1679" s="35" t="s">
        <v>4996</v>
      </c>
      <c r="E1679" s="35" t="s">
        <v>4997</v>
      </c>
      <c r="F1679" s="36">
        <v>0.2</v>
      </c>
      <c r="G1679" s="31"/>
      <c r="H1679" s="31"/>
      <c r="I1679" s="31"/>
      <c r="J1679" s="31"/>
      <c r="K1679" s="31"/>
    </row>
    <row r="1680" spans="1:11" ht="14.4" x14ac:dyDescent="0.3">
      <c r="A1680" s="28" t="str">
        <f>B1680&amp;C1680&amp;D1680&amp;E1680</f>
        <v>Goʻzallik va parvarishTana parvarishiNamlash va oziqlantirishOyoq uchun niqoblar</v>
      </c>
      <c r="B1680" s="35" t="s">
        <v>3165</v>
      </c>
      <c r="C1680" s="35" t="s">
        <v>3760</v>
      </c>
      <c r="D1680" s="35" t="s">
        <v>4940</v>
      </c>
      <c r="E1680" s="35" t="s">
        <v>4998</v>
      </c>
      <c r="F1680" s="36">
        <v>0.2</v>
      </c>
      <c r="G1680" s="31"/>
      <c r="H1680" s="31"/>
      <c r="I1680" s="31"/>
      <c r="J1680" s="31"/>
      <c r="K1680" s="31"/>
    </row>
    <row r="1681" spans="1:11" ht="14.4" x14ac:dyDescent="0.3">
      <c r="A1681" s="28" t="str">
        <f>B1681&amp;C1681&amp;D1681&amp;E1681</f>
        <v>Goʻzallik va parvarishGo'zallik to'plamlariMakiyaj toʻplamlariMakiyaj toʻplamlari</v>
      </c>
      <c r="B1681" s="35" t="s">
        <v>3165</v>
      </c>
      <c r="C1681" s="35" t="s">
        <v>4944</v>
      </c>
      <c r="D1681" s="35" t="s">
        <v>4999</v>
      </c>
      <c r="E1681" s="35" t="s">
        <v>4999</v>
      </c>
      <c r="F1681" s="36">
        <v>0.2</v>
      </c>
      <c r="G1681" s="31"/>
      <c r="H1681" s="31"/>
      <c r="I1681" s="31"/>
      <c r="J1681" s="31"/>
      <c r="K1681" s="31"/>
    </row>
    <row r="1682" spans="1:11" ht="14.4" x14ac:dyDescent="0.3">
      <c r="A1682" s="28" t="str">
        <f>B1682&amp;C1682&amp;D1682&amp;E1682</f>
        <v>Goʻzallik va parvarishYuz parvarishiMuammoli terilar uchun mahsulotlarZardoblar</v>
      </c>
      <c r="B1682" s="35" t="s">
        <v>3165</v>
      </c>
      <c r="C1682" s="35" t="s">
        <v>4939</v>
      </c>
      <c r="D1682" s="35" t="s">
        <v>4947</v>
      </c>
      <c r="E1682" s="35" t="s">
        <v>5000</v>
      </c>
      <c r="F1682" s="36">
        <v>0.2</v>
      </c>
      <c r="G1682" s="31"/>
      <c r="H1682" s="31"/>
      <c r="I1682" s="31"/>
      <c r="J1682" s="31"/>
      <c r="K1682" s="31"/>
    </row>
    <row r="1683" spans="1:11" ht="14.4" x14ac:dyDescent="0.3">
      <c r="A1683" s="28" t="str">
        <f>B1683&amp;C1683&amp;D1683&amp;E1683</f>
        <v>Goʻzallik va parvarishTana parvarishiNamlash va oziqlantirishTana uchun stiklar</v>
      </c>
      <c r="B1683" s="35" t="s">
        <v>3165</v>
      </c>
      <c r="C1683" s="35" t="s">
        <v>3760</v>
      </c>
      <c r="D1683" s="35" t="s">
        <v>4940</v>
      </c>
      <c r="E1683" s="35" t="s">
        <v>5001</v>
      </c>
      <c r="F1683" s="36">
        <v>0.2</v>
      </c>
      <c r="G1683" s="31"/>
      <c r="H1683" s="31"/>
      <c r="I1683" s="31"/>
      <c r="J1683" s="31"/>
      <c r="K1683" s="31"/>
    </row>
    <row r="1684" spans="1:11" ht="14.4" x14ac:dyDescent="0.3">
      <c r="A1684" s="28" t="str">
        <f>B1684&amp;C1684&amp;D1684&amp;E1684</f>
        <v>Goʻzallik va parvarishErkaklar uchunErkaklar parfyumlariAtirlar</v>
      </c>
      <c r="B1684" s="35" t="s">
        <v>3165</v>
      </c>
      <c r="C1684" s="35" t="s">
        <v>4931</v>
      </c>
      <c r="D1684" s="35" t="s">
        <v>4984</v>
      </c>
      <c r="E1684" s="35" t="s">
        <v>3766</v>
      </c>
      <c r="F1684" s="36">
        <v>0.2</v>
      </c>
      <c r="G1684" s="31"/>
      <c r="H1684" s="31"/>
      <c r="I1684" s="31"/>
      <c r="J1684" s="31"/>
      <c r="K1684" s="31"/>
    </row>
    <row r="1685" spans="1:11" ht="14.4" x14ac:dyDescent="0.3">
      <c r="A1685" s="28" t="str">
        <f>B1685&amp;C1685&amp;D1685&amp;E1685</f>
        <v>Goʻzallik va parvarishAromaterapiyaEfir moylariEfir moylari</v>
      </c>
      <c r="B1685" s="35" t="s">
        <v>3165</v>
      </c>
      <c r="C1685" s="35" t="s">
        <v>5002</v>
      </c>
      <c r="D1685" s="35" t="s">
        <v>5003</v>
      </c>
      <c r="E1685" s="35" t="s">
        <v>5003</v>
      </c>
      <c r="F1685" s="36">
        <v>0.2</v>
      </c>
      <c r="G1685" s="31"/>
      <c r="H1685" s="31"/>
      <c r="I1685" s="31"/>
      <c r="J1685" s="31"/>
      <c r="K1685" s="31"/>
    </row>
    <row r="1686" spans="1:11" ht="14.4" x14ac:dyDescent="0.3">
      <c r="A1686" s="28" t="str">
        <f>B1686&amp;C1686&amp;D1686&amp;E1686</f>
        <v>Goʻzallik va parvarishMakiyajYuzCC kremlari</v>
      </c>
      <c r="B1686" s="35" t="s">
        <v>3165</v>
      </c>
      <c r="C1686" s="35" t="s">
        <v>3405</v>
      </c>
      <c r="D1686" s="35" t="s">
        <v>4952</v>
      </c>
      <c r="E1686" s="35" t="s">
        <v>5004</v>
      </c>
      <c r="F1686" s="36">
        <v>0.2</v>
      </c>
      <c r="G1686" s="31"/>
      <c r="H1686" s="31"/>
      <c r="I1686" s="31"/>
      <c r="J1686" s="31"/>
      <c r="K1686" s="31"/>
    </row>
    <row r="1687" spans="1:11" ht="14.4" x14ac:dyDescent="0.3">
      <c r="A1687" s="28" t="str">
        <f>B1687&amp;C1687&amp;D1687&amp;E1687</f>
        <v>Goʻzallik va parvarishSochlar parvarishiTozalash va parvarish uchun vositalarBalzamlar va konditsionerlar</v>
      </c>
      <c r="B1687" s="35" t="s">
        <v>3165</v>
      </c>
      <c r="C1687" s="35" t="s">
        <v>3785</v>
      </c>
      <c r="D1687" s="35" t="s">
        <v>4956</v>
      </c>
      <c r="E1687" s="35" t="s">
        <v>5005</v>
      </c>
      <c r="F1687" s="36">
        <v>0.2</v>
      </c>
      <c r="G1687" s="31"/>
      <c r="H1687" s="31"/>
      <c r="I1687" s="31"/>
      <c r="J1687" s="31"/>
      <c r="K1687" s="31"/>
    </row>
    <row r="1688" spans="1:11" ht="14.4" x14ac:dyDescent="0.3">
      <c r="A1688" s="28" t="str">
        <f>B1688&amp;C1688&amp;D1688&amp;E1688</f>
        <v>Goʻzallik va parvarishYuz parvarishiPatchalarPatchalar</v>
      </c>
      <c r="B1688" s="35" t="s">
        <v>3165</v>
      </c>
      <c r="C1688" s="35" t="s">
        <v>4939</v>
      </c>
      <c r="D1688" s="35" t="s">
        <v>5006</v>
      </c>
      <c r="E1688" s="35" t="s">
        <v>5006</v>
      </c>
      <c r="F1688" s="36">
        <v>0.2</v>
      </c>
      <c r="G1688" s="31"/>
      <c r="H1688" s="31"/>
      <c r="I1688" s="31"/>
      <c r="J1688" s="31"/>
      <c r="K1688" s="31"/>
    </row>
    <row r="1689" spans="1:11" ht="14.4" x14ac:dyDescent="0.3">
      <c r="A1689" s="28" t="str">
        <f>B1689&amp;C1689&amp;D1689&amp;E1689</f>
        <v>Goʻzallik va parvarishMakiyajYuzKushonlar</v>
      </c>
      <c r="B1689" s="35" t="s">
        <v>3165</v>
      </c>
      <c r="C1689" s="35" t="s">
        <v>3405</v>
      </c>
      <c r="D1689" s="35" t="s">
        <v>4952</v>
      </c>
      <c r="E1689" s="35" t="s">
        <v>5007</v>
      </c>
      <c r="F1689" s="36">
        <v>0.2</v>
      </c>
      <c r="G1689" s="31"/>
      <c r="H1689" s="31"/>
      <c r="I1689" s="31"/>
      <c r="J1689" s="31"/>
      <c r="K1689" s="31"/>
    </row>
    <row r="1690" spans="1:11" ht="14.4" x14ac:dyDescent="0.3">
      <c r="A1690" s="28" t="str">
        <f>B1690&amp;C1690&amp;D1690&amp;E1690</f>
        <v>Goʻzallik va parvarishTana parvarishiDush va vanna uchun vositalarDush uchun gellar</v>
      </c>
      <c r="B1690" s="35" t="s">
        <v>3165</v>
      </c>
      <c r="C1690" s="35" t="s">
        <v>3760</v>
      </c>
      <c r="D1690" s="35" t="s">
        <v>4954</v>
      </c>
      <c r="E1690" s="35" t="s">
        <v>5008</v>
      </c>
      <c r="F1690" s="36">
        <v>0.2</v>
      </c>
      <c r="G1690" s="31"/>
      <c r="H1690" s="31"/>
      <c r="I1690" s="31"/>
      <c r="J1690" s="31"/>
      <c r="K1690" s="31"/>
    </row>
    <row r="1691" spans="1:11" ht="14.4" x14ac:dyDescent="0.3">
      <c r="A1691" s="28" t="str">
        <f>B1691&amp;C1691&amp;D1691&amp;E1691</f>
        <v>Goʻzallik va parvarishTana parvarishiNamlash va oziqlantirishQoʻl kremlari</v>
      </c>
      <c r="B1691" s="35" t="s">
        <v>3165</v>
      </c>
      <c r="C1691" s="35" t="s">
        <v>3760</v>
      </c>
      <c r="D1691" s="35" t="s">
        <v>4940</v>
      </c>
      <c r="E1691" s="35" t="s">
        <v>5009</v>
      </c>
      <c r="F1691" s="36">
        <v>0.2</v>
      </c>
      <c r="G1691" s="31"/>
      <c r="H1691" s="31"/>
      <c r="I1691" s="31"/>
      <c r="J1691" s="31"/>
      <c r="K1691" s="31"/>
    </row>
    <row r="1692" spans="1:11" ht="14.4" x14ac:dyDescent="0.3">
      <c r="A1692" s="28" t="str">
        <f>B1692&amp;C1692&amp;D1692&amp;E1692</f>
        <v>Goʻzallik va parvarishErkaklar uchunTana parvarishiTana uchun kremlar</v>
      </c>
      <c r="B1692" s="35" t="s">
        <v>3165</v>
      </c>
      <c r="C1692" s="35" t="s">
        <v>4931</v>
      </c>
      <c r="D1692" s="35" t="s">
        <v>3760</v>
      </c>
      <c r="E1692" s="35" t="s">
        <v>4958</v>
      </c>
      <c r="F1692" s="36">
        <v>0.2</v>
      </c>
      <c r="G1692" s="31"/>
      <c r="H1692" s="31"/>
      <c r="I1692" s="31"/>
      <c r="J1692" s="31"/>
      <c r="K1692" s="31"/>
    </row>
    <row r="1693" spans="1:11" ht="14.4" x14ac:dyDescent="0.3">
      <c r="A1693" s="28" t="str">
        <f>B1693&amp;C1693&amp;D1693&amp;E1693</f>
        <v>Goʻzallik va parvarishTana parvarishiNamlash va oziqlantirishLosyonlar va sut</v>
      </c>
      <c r="B1693" s="35" t="s">
        <v>3165</v>
      </c>
      <c r="C1693" s="35" t="s">
        <v>3760</v>
      </c>
      <c r="D1693" s="35" t="s">
        <v>4940</v>
      </c>
      <c r="E1693" s="35" t="s">
        <v>5010</v>
      </c>
      <c r="F1693" s="36">
        <v>0.2</v>
      </c>
      <c r="G1693" s="31"/>
      <c r="H1693" s="31"/>
      <c r="I1693" s="31"/>
      <c r="J1693" s="31"/>
      <c r="K1693" s="31"/>
    </row>
    <row r="1694" spans="1:11" ht="14.4" x14ac:dyDescent="0.3">
      <c r="A1694" s="28" t="str">
        <f>B1694&amp;C1694&amp;D1694&amp;E1694</f>
        <v>Goʻzallik va parvarishYuz parvarishiTozalash va yuvishTozalovchi tasmalar</v>
      </c>
      <c r="B1694" s="35" t="s">
        <v>3165</v>
      </c>
      <c r="C1694" s="35" t="s">
        <v>4939</v>
      </c>
      <c r="D1694" s="35" t="s">
        <v>4942</v>
      </c>
      <c r="E1694" s="35" t="s">
        <v>5011</v>
      </c>
      <c r="F1694" s="36">
        <v>0.2</v>
      </c>
      <c r="G1694" s="31"/>
      <c r="H1694" s="31"/>
      <c r="I1694" s="31"/>
      <c r="J1694" s="31"/>
      <c r="K1694" s="31"/>
    </row>
    <row r="1695" spans="1:11" ht="14.4" x14ac:dyDescent="0.3">
      <c r="A1695" s="28" t="str">
        <f>B1695&amp;C1695&amp;D1695&amp;E1695</f>
        <v>Goʻzallik va parvarishShaxsiy gigiyenaQogʻoz va paxta mahsulotlariSalfetkalar</v>
      </c>
      <c r="B1695" s="35" t="s">
        <v>3165</v>
      </c>
      <c r="C1695" s="35" t="s">
        <v>4936</v>
      </c>
      <c r="D1695" s="35" t="s">
        <v>4996</v>
      </c>
      <c r="E1695" s="35" t="s">
        <v>4599</v>
      </c>
      <c r="F1695" s="36">
        <v>0.2</v>
      </c>
      <c r="G1695" s="31"/>
      <c r="H1695" s="31"/>
      <c r="I1695" s="31"/>
      <c r="J1695" s="31"/>
      <c r="K1695" s="31"/>
    </row>
    <row r="1696" spans="1:11" ht="14.4" x14ac:dyDescent="0.3">
      <c r="A1696" s="28" t="str">
        <f>B1696&amp;C1696&amp;D1696&amp;E1696</f>
        <v>Goʻzallik va parvarishKoreya kosmetikasiYuz parvarishiZardoblar</v>
      </c>
      <c r="B1696" s="35" t="s">
        <v>3165</v>
      </c>
      <c r="C1696" s="35" t="s">
        <v>4946</v>
      </c>
      <c r="D1696" s="35" t="s">
        <v>4939</v>
      </c>
      <c r="E1696" s="35" t="s">
        <v>5000</v>
      </c>
      <c r="F1696" s="36">
        <v>0.2</v>
      </c>
      <c r="G1696" s="31"/>
      <c r="H1696" s="31"/>
      <c r="I1696" s="31"/>
      <c r="J1696" s="31"/>
      <c r="K1696" s="31"/>
    </row>
    <row r="1697" spans="1:11" ht="14.4" x14ac:dyDescent="0.3">
      <c r="A1697" s="28" t="str">
        <f>B1697&amp;C1697&amp;D1697&amp;E1697</f>
        <v>Goʻzallik va parvarishSochlar parvarishiTurmaklash uchun vositalarSpreylar</v>
      </c>
      <c r="B1697" s="35" t="s">
        <v>3165</v>
      </c>
      <c r="C1697" s="35" t="s">
        <v>3785</v>
      </c>
      <c r="D1697" s="35" t="s">
        <v>4978</v>
      </c>
      <c r="E1697" s="35" t="s">
        <v>5012</v>
      </c>
      <c r="F1697" s="36">
        <v>0.2</v>
      </c>
      <c r="G1697" s="31"/>
      <c r="H1697" s="31"/>
      <c r="I1697" s="31"/>
      <c r="J1697" s="31"/>
      <c r="K1697" s="31"/>
    </row>
    <row r="1698" spans="1:11" ht="14.4" x14ac:dyDescent="0.3">
      <c r="A1698" s="28" t="str">
        <f>B1698&amp;C1698&amp;D1698&amp;E1698</f>
        <v>Goʻzallik va parvarishMakiyajKoʻzlarKipriklar parvarishi uchun zardoblar va moylar</v>
      </c>
      <c r="B1698" s="35" t="s">
        <v>3165</v>
      </c>
      <c r="C1698" s="35" t="s">
        <v>3405</v>
      </c>
      <c r="D1698" s="35" t="s">
        <v>4959</v>
      </c>
      <c r="E1698" s="35" t="s">
        <v>5013</v>
      </c>
      <c r="F1698" s="36">
        <v>0.2</v>
      </c>
      <c r="G1698" s="31"/>
      <c r="H1698" s="31"/>
      <c r="I1698" s="31"/>
      <c r="J1698" s="31"/>
      <c r="K1698" s="31"/>
    </row>
    <row r="1699" spans="1:11" ht="14.4" x14ac:dyDescent="0.3">
      <c r="A1699" s="28" t="str">
        <f>B1699&amp;C1699&amp;D1699&amp;E1699</f>
        <v>Goʻzallik va parvarishKoreya kosmetikasiYuz parvarishiSkrablar va pilinglar</v>
      </c>
      <c r="B1699" s="35" t="s">
        <v>3165</v>
      </c>
      <c r="C1699" s="35" t="s">
        <v>4946</v>
      </c>
      <c r="D1699" s="35" t="s">
        <v>4939</v>
      </c>
      <c r="E1699" s="35" t="s">
        <v>4955</v>
      </c>
      <c r="F1699" s="36">
        <v>0.2</v>
      </c>
      <c r="G1699" s="31"/>
      <c r="H1699" s="31"/>
      <c r="I1699" s="31"/>
      <c r="J1699" s="31"/>
      <c r="K1699" s="31"/>
    </row>
    <row r="1700" spans="1:11" ht="14.4" x14ac:dyDescent="0.3">
      <c r="A1700" s="28" t="str">
        <f>B1700&amp;C1700&amp;D1700&amp;E1700</f>
        <v>Goʻzallik va parvarishProfessional kosmetikaYuz parvarishiYuz parvarishi</v>
      </c>
      <c r="B1700" s="35" t="s">
        <v>3165</v>
      </c>
      <c r="C1700" s="35" t="s">
        <v>5014</v>
      </c>
      <c r="D1700" s="35" t="s">
        <v>4939</v>
      </c>
      <c r="E1700" s="35" t="s">
        <v>4939</v>
      </c>
      <c r="F1700" s="36">
        <v>0.2</v>
      </c>
      <c r="G1700" s="31"/>
      <c r="H1700" s="31"/>
      <c r="I1700" s="31"/>
      <c r="J1700" s="31"/>
      <c r="K1700" s="31"/>
    </row>
    <row r="1701" spans="1:11" ht="14.4" x14ac:dyDescent="0.3">
      <c r="A1701" s="28" t="str">
        <f>B1701&amp;C1701&amp;D1701&amp;E1701</f>
        <v>Goʻzallik va parvarishYuz parvarishiTozalash va yuvishKosmetik molochko</v>
      </c>
      <c r="B1701" s="35" t="s">
        <v>3165</v>
      </c>
      <c r="C1701" s="35" t="s">
        <v>4939</v>
      </c>
      <c r="D1701" s="35" t="s">
        <v>4942</v>
      </c>
      <c r="E1701" s="35" t="s">
        <v>5015</v>
      </c>
      <c r="F1701" s="36">
        <v>0.2</v>
      </c>
      <c r="G1701" s="31"/>
      <c r="H1701" s="31"/>
      <c r="I1701" s="31"/>
      <c r="J1701" s="31"/>
      <c r="K1701" s="31"/>
    </row>
    <row r="1702" spans="1:11" ht="14.4" x14ac:dyDescent="0.3">
      <c r="A1702" s="28" t="str">
        <f>B1702&amp;C1702&amp;D1702&amp;E1702</f>
        <v>Goʻzallik va parvarishErkaklar uchunTana parvarishiDush uchun gellar</v>
      </c>
      <c r="B1702" s="35" t="s">
        <v>3165</v>
      </c>
      <c r="C1702" s="35" t="s">
        <v>4931</v>
      </c>
      <c r="D1702" s="35" t="s">
        <v>3760</v>
      </c>
      <c r="E1702" s="35" t="s">
        <v>5008</v>
      </c>
      <c r="F1702" s="36">
        <v>0.2</v>
      </c>
      <c r="G1702" s="31"/>
      <c r="H1702" s="31"/>
      <c r="I1702" s="31"/>
      <c r="J1702" s="31"/>
      <c r="K1702" s="31"/>
    </row>
    <row r="1703" spans="1:11" ht="14.4" x14ac:dyDescent="0.3">
      <c r="A1703" s="28" t="str">
        <f>B1703&amp;C1703&amp;D1703&amp;E1703</f>
        <v>Goʻzallik va parvarishErkaklar uchunErkaklar parfyumlariParfyumlangan suv</v>
      </c>
      <c r="B1703" s="35" t="s">
        <v>3165</v>
      </c>
      <c r="C1703" s="35" t="s">
        <v>4931</v>
      </c>
      <c r="D1703" s="35" t="s">
        <v>4984</v>
      </c>
      <c r="E1703" s="35" t="s">
        <v>3799</v>
      </c>
      <c r="F1703" s="36">
        <v>0.2</v>
      </c>
      <c r="G1703" s="31"/>
      <c r="H1703" s="31"/>
      <c r="I1703" s="31"/>
      <c r="J1703" s="31"/>
      <c r="K1703" s="31"/>
    </row>
    <row r="1704" spans="1:11" ht="14.4" x14ac:dyDescent="0.3">
      <c r="A1704" s="28" t="str">
        <f>B1704&amp;C1704&amp;D1704&amp;E1704</f>
        <v>Goʻzallik va parvarishKoreya kosmetikasiKoreya kosmetika to'plamlariYuzni parvarish qilish uchun to'plam</v>
      </c>
      <c r="B1704" s="35" t="s">
        <v>3165</v>
      </c>
      <c r="C1704" s="35" t="s">
        <v>4946</v>
      </c>
      <c r="D1704" s="35" t="s">
        <v>5016</v>
      </c>
      <c r="E1704" s="35" t="s">
        <v>5017</v>
      </c>
      <c r="F1704" s="36">
        <v>0.2</v>
      </c>
      <c r="G1704" s="31"/>
      <c r="H1704" s="31"/>
      <c r="I1704" s="31"/>
      <c r="J1704" s="31"/>
      <c r="K1704" s="31"/>
    </row>
    <row r="1705" spans="1:11" ht="14.4" x14ac:dyDescent="0.3">
      <c r="A1705" s="28" t="str">
        <f>B1705&amp;C1705&amp;D1705&amp;E1705</f>
        <v>Goʻzallik va parvarishManikyur va pedikyurManikyur anjomlariTirnoq uchun pilkalar va baflar</v>
      </c>
      <c r="B1705" s="35" t="s">
        <v>3165</v>
      </c>
      <c r="C1705" s="35" t="s">
        <v>3767</v>
      </c>
      <c r="D1705" s="35" t="s">
        <v>3779</v>
      </c>
      <c r="E1705" s="35" t="s">
        <v>5018</v>
      </c>
      <c r="F1705" s="36">
        <v>0.2</v>
      </c>
      <c r="G1705" s="31"/>
      <c r="H1705" s="31"/>
      <c r="I1705" s="31"/>
      <c r="J1705" s="31"/>
      <c r="K1705" s="31"/>
    </row>
    <row r="1706" spans="1:11" ht="14.4" x14ac:dyDescent="0.3">
      <c r="A1706" s="28" t="str">
        <f>B1706&amp;C1706&amp;D1706&amp;E1706</f>
        <v>Goʻzallik va parvarishShaxsiy gigiyenaOgʻiz boʻshligʻi gigiyenasiTish ipi</v>
      </c>
      <c r="B1706" s="35" t="s">
        <v>3165</v>
      </c>
      <c r="C1706" s="35" t="s">
        <v>4936</v>
      </c>
      <c r="D1706" s="35" t="s">
        <v>4777</v>
      </c>
      <c r="E1706" s="35" t="s">
        <v>5019</v>
      </c>
      <c r="F1706" s="36">
        <v>0.2</v>
      </c>
      <c r="G1706" s="31"/>
      <c r="H1706" s="31"/>
      <c r="I1706" s="31"/>
      <c r="J1706" s="31"/>
      <c r="K1706" s="31"/>
    </row>
    <row r="1707" spans="1:11" ht="14.4" x14ac:dyDescent="0.3">
      <c r="A1707" s="28" t="str">
        <f>B1707&amp;C1707&amp;D1707&amp;E1707</f>
        <v>Goʻzallik va parvarishMakiyajLablarLab boʻyoqlari</v>
      </c>
      <c r="B1707" s="35" t="s">
        <v>3165</v>
      </c>
      <c r="C1707" s="35" t="s">
        <v>3405</v>
      </c>
      <c r="D1707" s="35" t="s">
        <v>5020</v>
      </c>
      <c r="E1707" s="35" t="s">
        <v>5021</v>
      </c>
      <c r="F1707" s="36">
        <v>0.2</v>
      </c>
      <c r="G1707" s="31"/>
      <c r="H1707" s="31"/>
      <c r="I1707" s="31"/>
      <c r="J1707" s="31"/>
      <c r="K1707" s="31"/>
    </row>
    <row r="1708" spans="1:11" ht="14.4" x14ac:dyDescent="0.3">
      <c r="A1708" s="28" t="str">
        <f>B1708&amp;C1708&amp;D1708&amp;E1708</f>
        <v>Goʻzallik va parvarishTana parvarishiNamlash va oziqlantirishEmulsiyalar va eliksirlar</v>
      </c>
      <c r="B1708" s="35" t="s">
        <v>3165</v>
      </c>
      <c r="C1708" s="35" t="s">
        <v>3760</v>
      </c>
      <c r="D1708" s="35" t="s">
        <v>4940</v>
      </c>
      <c r="E1708" s="35" t="s">
        <v>5022</v>
      </c>
      <c r="F1708" s="36">
        <v>0.2</v>
      </c>
      <c r="G1708" s="31"/>
      <c r="H1708" s="31"/>
      <c r="I1708" s="31"/>
      <c r="J1708" s="31"/>
      <c r="K1708" s="31"/>
    </row>
    <row r="1709" spans="1:11" ht="14.4" x14ac:dyDescent="0.3">
      <c r="A1709" s="28" t="str">
        <f>B1709&amp;C1709&amp;D1709&amp;E1709</f>
        <v>Goʻzallik va parvarishShaxsiy gigiyenaQogʻoz va paxta mahsulotlariPaxta yostiqchalari</v>
      </c>
      <c r="B1709" s="35" t="s">
        <v>3165</v>
      </c>
      <c r="C1709" s="35" t="s">
        <v>4936</v>
      </c>
      <c r="D1709" s="35" t="s">
        <v>4996</v>
      </c>
      <c r="E1709" s="35" t="s">
        <v>5023</v>
      </c>
      <c r="F1709" s="36">
        <v>0.2</v>
      </c>
      <c r="G1709" s="31"/>
      <c r="H1709" s="31"/>
      <c r="I1709" s="31"/>
      <c r="J1709" s="31"/>
      <c r="K1709" s="31"/>
    </row>
    <row r="1710" spans="1:11" ht="14.4" x14ac:dyDescent="0.3">
      <c r="A1710" s="28" t="str">
        <f>B1710&amp;C1710&amp;D1710&amp;E1710</f>
        <v>Goʻzallik va parvarishProfessional kosmetikaMakiyajMakiyaj</v>
      </c>
      <c r="B1710" s="35" t="s">
        <v>3165</v>
      </c>
      <c r="C1710" s="35" t="s">
        <v>5014</v>
      </c>
      <c r="D1710" s="35" t="s">
        <v>3405</v>
      </c>
      <c r="E1710" s="35" t="s">
        <v>3405</v>
      </c>
      <c r="F1710" s="36">
        <v>0.2</v>
      </c>
      <c r="G1710" s="31"/>
      <c r="H1710" s="31"/>
      <c r="I1710" s="31"/>
      <c r="J1710" s="31"/>
      <c r="K1710" s="31"/>
    </row>
    <row r="1711" spans="1:11" ht="14.4" x14ac:dyDescent="0.3">
      <c r="A1711" s="28" t="str">
        <f>B1711&amp;C1711&amp;D1711&amp;E1711</f>
        <v>Goʻzallik va parvarishYuz parvarishiSkrab va pilingSkrab va piling</v>
      </c>
      <c r="B1711" s="35" t="s">
        <v>3165</v>
      </c>
      <c r="C1711" s="35" t="s">
        <v>4939</v>
      </c>
      <c r="D1711" s="35" t="s">
        <v>5024</v>
      </c>
      <c r="E1711" s="35" t="s">
        <v>5024</v>
      </c>
      <c r="F1711" s="36">
        <v>0.2</v>
      </c>
      <c r="G1711" s="31"/>
      <c r="H1711" s="31"/>
      <c r="I1711" s="31"/>
      <c r="J1711" s="31"/>
      <c r="K1711" s="31"/>
    </row>
    <row r="1712" spans="1:11" ht="14.4" x14ac:dyDescent="0.3">
      <c r="A1712" s="28" t="str">
        <f>B1712&amp;C1712&amp;D1712&amp;E1712</f>
        <v>Goʻzallik va parvarishTana parvarishiQuyoshda toblanish va quyoshdan himoyaQuyoshdan himoya vositalari</v>
      </c>
      <c r="B1712" s="35" t="s">
        <v>3165</v>
      </c>
      <c r="C1712" s="35" t="s">
        <v>3760</v>
      </c>
      <c r="D1712" s="35" t="s">
        <v>4968</v>
      </c>
      <c r="E1712" s="35" t="s">
        <v>5025</v>
      </c>
      <c r="F1712" s="36">
        <v>0.2</v>
      </c>
      <c r="G1712" s="31"/>
      <c r="H1712" s="31"/>
      <c r="I1712" s="31"/>
      <c r="J1712" s="31"/>
      <c r="K1712" s="31"/>
    </row>
    <row r="1713" spans="1:11" ht="14.4" x14ac:dyDescent="0.3">
      <c r="A1713" s="28" t="str">
        <f>B1713&amp;C1713&amp;D1713&amp;E1713</f>
        <v>Goʻzallik va parvarishManikyur va pedikyurTirnoqlar uchun xinaTirnoqlar uchun xina</v>
      </c>
      <c r="B1713" s="35" t="s">
        <v>3165</v>
      </c>
      <c r="C1713" s="35" t="s">
        <v>3767</v>
      </c>
      <c r="D1713" s="35" t="s">
        <v>5026</v>
      </c>
      <c r="E1713" s="35" t="s">
        <v>5026</v>
      </c>
      <c r="F1713" s="36">
        <v>0.2</v>
      </c>
      <c r="G1713" s="31"/>
      <c r="H1713" s="31"/>
      <c r="I1713" s="31"/>
      <c r="J1713" s="31"/>
      <c r="K1713" s="31"/>
    </row>
    <row r="1714" spans="1:11" ht="14.4" x14ac:dyDescent="0.3">
      <c r="A1714" s="28" t="str">
        <f>B1714&amp;C1714&amp;D1714&amp;E1714</f>
        <v>Goʻzallik va parvarishYuz parvarishiNamlash va oziqlantirishTonikalar</v>
      </c>
      <c r="B1714" s="35" t="s">
        <v>3165</v>
      </c>
      <c r="C1714" s="35" t="s">
        <v>4939</v>
      </c>
      <c r="D1714" s="35" t="s">
        <v>4940</v>
      </c>
      <c r="E1714" s="35" t="s">
        <v>5027</v>
      </c>
      <c r="F1714" s="36">
        <v>0.2</v>
      </c>
      <c r="G1714" s="31"/>
      <c r="H1714" s="31"/>
      <c r="I1714" s="31"/>
      <c r="J1714" s="31"/>
      <c r="K1714" s="31"/>
    </row>
    <row r="1715" spans="1:11" ht="14.4" x14ac:dyDescent="0.3">
      <c r="A1715" s="28" t="str">
        <f>B1715&amp;C1715&amp;D1715&amp;E1715</f>
        <v>Goʻzallik va parvarishYuz parvarishiNamlash va oziqlantirishEmulsiyalar</v>
      </c>
      <c r="B1715" s="35" t="s">
        <v>3165</v>
      </c>
      <c r="C1715" s="35" t="s">
        <v>4939</v>
      </c>
      <c r="D1715" s="35" t="s">
        <v>4940</v>
      </c>
      <c r="E1715" s="35" t="s">
        <v>5028</v>
      </c>
      <c r="F1715" s="36">
        <v>0.2</v>
      </c>
      <c r="G1715" s="31"/>
      <c r="H1715" s="31"/>
      <c r="I1715" s="31"/>
      <c r="J1715" s="31"/>
      <c r="K1715" s="31"/>
    </row>
    <row r="1716" spans="1:11" ht="14.4" x14ac:dyDescent="0.3">
      <c r="A1716" s="28" t="str">
        <f>B1716&amp;C1716&amp;D1716&amp;E1716</f>
        <v>Goʻzallik va parvarishShaxsiy gigiyenaQogʻoz va paxta mahsulotlariTualet qogʻozi</v>
      </c>
      <c r="B1716" s="35" t="s">
        <v>3165</v>
      </c>
      <c r="C1716" s="35" t="s">
        <v>4936</v>
      </c>
      <c r="D1716" s="35" t="s">
        <v>4996</v>
      </c>
      <c r="E1716" s="35" t="s">
        <v>5029</v>
      </c>
      <c r="F1716" s="36">
        <v>0.2</v>
      </c>
      <c r="G1716" s="31"/>
      <c r="H1716" s="31"/>
      <c r="I1716" s="31"/>
      <c r="J1716" s="31"/>
      <c r="K1716" s="31"/>
    </row>
    <row r="1717" spans="1:11" ht="14.4" x14ac:dyDescent="0.3">
      <c r="A1717" s="28" t="str">
        <f>B1717&amp;C1717&amp;D1717&amp;E1717</f>
        <v>Goʻzallik va parvarishErkaklar uchunSoch uchunSoch uchun shampunlar</v>
      </c>
      <c r="B1717" s="35" t="s">
        <v>3165</v>
      </c>
      <c r="C1717" s="35" t="s">
        <v>4931</v>
      </c>
      <c r="D1717" s="35" t="s">
        <v>5030</v>
      </c>
      <c r="E1717" s="35" t="s">
        <v>5031</v>
      </c>
      <c r="F1717" s="36">
        <v>0.2</v>
      </c>
      <c r="G1717" s="31"/>
      <c r="H1717" s="31"/>
      <c r="I1717" s="31"/>
      <c r="J1717" s="31"/>
      <c r="K1717" s="31"/>
    </row>
    <row r="1718" spans="1:11" ht="14.4" x14ac:dyDescent="0.3">
      <c r="A1718" s="28" t="str">
        <f>B1718&amp;C1718&amp;D1718&amp;E1718</f>
        <v>Goʻzallik va parvarishManikyur va pedikyurManikyur uchun lampalar va chiroqlarManikyur uchun lampalar va chiroqlar</v>
      </c>
      <c r="B1718" s="35" t="s">
        <v>3165</v>
      </c>
      <c r="C1718" s="35" t="s">
        <v>3767</v>
      </c>
      <c r="D1718" s="35" t="s">
        <v>5032</v>
      </c>
      <c r="E1718" s="35" t="s">
        <v>5032</v>
      </c>
      <c r="F1718" s="36">
        <v>0.2</v>
      </c>
      <c r="G1718" s="31"/>
      <c r="H1718" s="31"/>
      <c r="I1718" s="31"/>
      <c r="J1718" s="31"/>
      <c r="K1718" s="31"/>
    </row>
    <row r="1719" spans="1:11" ht="14.4" x14ac:dyDescent="0.3">
      <c r="A1719" s="28" t="str">
        <f>B1719&amp;C1719&amp;D1719&amp;E1719</f>
        <v>Goʻzallik va parvarishManikyur va pedikyurTirnoqlar dizayniStemping uchun plastinalar</v>
      </c>
      <c r="B1719" s="35" t="s">
        <v>3165</v>
      </c>
      <c r="C1719" s="35" t="s">
        <v>3767</v>
      </c>
      <c r="D1719" s="35" t="s">
        <v>3776</v>
      </c>
      <c r="E1719" s="35" t="s">
        <v>5033</v>
      </c>
      <c r="F1719" s="36">
        <v>0.2</v>
      </c>
      <c r="G1719" s="31"/>
      <c r="H1719" s="31"/>
      <c r="I1719" s="31"/>
      <c r="J1719" s="31"/>
      <c r="K1719" s="31"/>
    </row>
    <row r="1720" spans="1:11" ht="14.4" x14ac:dyDescent="0.3">
      <c r="A1720" s="28" t="str">
        <f>B1720&amp;C1720&amp;D1720&amp;E1720</f>
        <v>Goʻzallik va parvarishMakiyajYuzTonal kremlar</v>
      </c>
      <c r="B1720" s="35" t="s">
        <v>3165</v>
      </c>
      <c r="C1720" s="35" t="s">
        <v>3405</v>
      </c>
      <c r="D1720" s="35" t="s">
        <v>4952</v>
      </c>
      <c r="E1720" s="35" t="s">
        <v>5034</v>
      </c>
      <c r="F1720" s="36">
        <v>0.2</v>
      </c>
      <c r="G1720" s="31"/>
      <c r="H1720" s="31"/>
      <c r="I1720" s="31"/>
      <c r="J1720" s="31"/>
      <c r="K1720" s="31"/>
    </row>
    <row r="1721" spans="1:11" ht="14.4" x14ac:dyDescent="0.3">
      <c r="A1721" s="28" t="str">
        <f>B1721&amp;C1721&amp;D1721&amp;E1721</f>
        <v>Goʻzallik va parvarishShaxsiy gigiyenaSovunSovun-skrab</v>
      </c>
      <c r="B1721" s="35" t="s">
        <v>3165</v>
      </c>
      <c r="C1721" s="35" t="s">
        <v>4936</v>
      </c>
      <c r="D1721" s="35" t="s">
        <v>3815</v>
      </c>
      <c r="E1721" s="35" t="s">
        <v>5035</v>
      </c>
      <c r="F1721" s="36">
        <v>0.2</v>
      </c>
      <c r="G1721" s="31"/>
      <c r="H1721" s="31"/>
      <c r="I1721" s="31"/>
      <c r="J1721" s="31"/>
      <c r="K1721" s="31"/>
    </row>
    <row r="1722" spans="1:11" ht="14.4" x14ac:dyDescent="0.3">
      <c r="A1722" s="28" t="str">
        <f>B1722&amp;C1722&amp;D1722&amp;E1722</f>
        <v>Goʻzallik va parvarishSochlar parvarishiTurmaklash uchun vositalarVosk</v>
      </c>
      <c r="B1722" s="35" t="s">
        <v>3165</v>
      </c>
      <c r="C1722" s="35" t="s">
        <v>3785</v>
      </c>
      <c r="D1722" s="35" t="s">
        <v>4978</v>
      </c>
      <c r="E1722" s="35" t="s">
        <v>5036</v>
      </c>
      <c r="F1722" s="36">
        <v>0.2</v>
      </c>
      <c r="G1722" s="31"/>
      <c r="H1722" s="31"/>
      <c r="I1722" s="31"/>
      <c r="J1722" s="31"/>
      <c r="K1722" s="31"/>
    </row>
    <row r="1723" spans="1:11" ht="14.4" x14ac:dyDescent="0.3">
      <c r="A1723" s="28" t="str">
        <f>B1723&amp;C1723&amp;D1723&amp;E1723</f>
        <v>Goʻzallik va parvarishMakiyajYuzXaylayterlar</v>
      </c>
      <c r="B1723" s="35" t="s">
        <v>3165</v>
      </c>
      <c r="C1723" s="35" t="s">
        <v>3405</v>
      </c>
      <c r="D1723" s="35" t="s">
        <v>4952</v>
      </c>
      <c r="E1723" s="35" t="s">
        <v>5037</v>
      </c>
      <c r="F1723" s="36">
        <v>0.2</v>
      </c>
      <c r="G1723" s="31"/>
      <c r="H1723" s="31"/>
      <c r="I1723" s="31"/>
      <c r="J1723" s="31"/>
      <c r="K1723" s="31"/>
    </row>
    <row r="1724" spans="1:11" ht="14.4" x14ac:dyDescent="0.3">
      <c r="A1724" s="28" t="str">
        <f>B1724&amp;C1724&amp;D1724&amp;E1724</f>
        <v>Goʻzallik va parvarishParfyumeriyaAtomayzerlar va parfyum shishalariAtomayzerlar va parfyum shishalari</v>
      </c>
      <c r="B1724" s="35" t="s">
        <v>3165</v>
      </c>
      <c r="C1724" s="35" t="s">
        <v>3764</v>
      </c>
      <c r="D1724" s="35" t="s">
        <v>5038</v>
      </c>
      <c r="E1724" s="35" t="s">
        <v>5038</v>
      </c>
      <c r="F1724" s="36">
        <v>0.2</v>
      </c>
      <c r="G1724" s="31"/>
      <c r="H1724" s="31"/>
      <c r="I1724" s="31"/>
      <c r="J1724" s="31"/>
      <c r="K1724" s="31"/>
    </row>
    <row r="1725" spans="1:11" ht="14.4" x14ac:dyDescent="0.3">
      <c r="A1725" s="28" t="str">
        <f>B1725&amp;C1725&amp;D1725&amp;E1725</f>
        <v>Goʻzallik va parvarishYuz parvarishiMuammoli terilar uchun mahsulotlarFlyuidlar, eliksirlar, essensiyalar</v>
      </c>
      <c r="B1725" s="35" t="s">
        <v>3165</v>
      </c>
      <c r="C1725" s="35" t="s">
        <v>4939</v>
      </c>
      <c r="D1725" s="35" t="s">
        <v>4947</v>
      </c>
      <c r="E1725" s="35" t="s">
        <v>5039</v>
      </c>
      <c r="F1725" s="36">
        <v>0.2</v>
      </c>
      <c r="G1725" s="31"/>
      <c r="H1725" s="31"/>
      <c r="I1725" s="31"/>
      <c r="J1725" s="31"/>
      <c r="K1725" s="31"/>
    </row>
    <row r="1726" spans="1:11" ht="14.4" x14ac:dyDescent="0.3">
      <c r="A1726" s="28" t="str">
        <f>B1726&amp;C1726&amp;D1726&amp;E1726</f>
        <v>Goʻzallik va parvarishTana parvarishiQuyoshda toblanish va quyoshdan himoyaAvtozagar</v>
      </c>
      <c r="B1726" s="35" t="s">
        <v>3165</v>
      </c>
      <c r="C1726" s="35" t="s">
        <v>3760</v>
      </c>
      <c r="D1726" s="35" t="s">
        <v>4968</v>
      </c>
      <c r="E1726" s="35" t="s">
        <v>5040</v>
      </c>
      <c r="F1726" s="36">
        <v>0.2</v>
      </c>
      <c r="G1726" s="31"/>
      <c r="H1726" s="31"/>
      <c r="I1726" s="31"/>
      <c r="J1726" s="31"/>
      <c r="K1726" s="31"/>
    </row>
    <row r="1727" spans="1:11" ht="14.4" x14ac:dyDescent="0.3">
      <c r="A1727" s="28" t="str">
        <f>B1727&amp;C1727&amp;D1727&amp;E1727</f>
        <v>Goʻzallik va parvarishYuz parvarishiMuammoli terilar uchun mahsulotlarKosmetik yogʻlar</v>
      </c>
      <c r="B1727" s="35" t="s">
        <v>3165</v>
      </c>
      <c r="C1727" s="35" t="s">
        <v>4939</v>
      </c>
      <c r="D1727" s="35" t="s">
        <v>4947</v>
      </c>
      <c r="E1727" s="35" t="s">
        <v>5041</v>
      </c>
      <c r="F1727" s="36">
        <v>0.2</v>
      </c>
      <c r="G1727" s="31"/>
      <c r="H1727" s="31"/>
      <c r="I1727" s="31"/>
      <c r="J1727" s="31"/>
      <c r="K1727" s="31"/>
    </row>
    <row r="1728" spans="1:11" ht="14.4" x14ac:dyDescent="0.3">
      <c r="A1728" s="28" t="str">
        <f>B1728&amp;C1728&amp;D1728&amp;E1728</f>
        <v>Goʻzallik va parvarishProfessional kosmetikaErkaklar uchunErkaklar uchun</v>
      </c>
      <c r="B1728" s="35" t="s">
        <v>3165</v>
      </c>
      <c r="C1728" s="35" t="s">
        <v>5014</v>
      </c>
      <c r="D1728" s="35" t="s">
        <v>4931</v>
      </c>
      <c r="E1728" s="35" t="s">
        <v>4931</v>
      </c>
      <c r="F1728" s="36">
        <v>0.2</v>
      </c>
      <c r="G1728" s="31"/>
      <c r="H1728" s="31"/>
      <c r="I1728" s="31"/>
      <c r="J1728" s="31"/>
      <c r="K1728" s="31"/>
    </row>
    <row r="1729" spans="1:11" ht="14.4" x14ac:dyDescent="0.3">
      <c r="A1729" s="28" t="str">
        <f>B1729&amp;C1729&amp;D1729&amp;E1729</f>
        <v>Goʻzallik va parvarishSochlar parvarishiTozalash va parvarish uchun vositalarQuruq va qattiq shampunlar</v>
      </c>
      <c r="B1729" s="35" t="s">
        <v>3165</v>
      </c>
      <c r="C1729" s="35" t="s">
        <v>3785</v>
      </c>
      <c r="D1729" s="35" t="s">
        <v>4956</v>
      </c>
      <c r="E1729" s="35" t="s">
        <v>5042</v>
      </c>
      <c r="F1729" s="36">
        <v>0.2</v>
      </c>
      <c r="G1729" s="31"/>
      <c r="H1729" s="31"/>
      <c r="I1729" s="31"/>
      <c r="J1729" s="31"/>
      <c r="K1729" s="31"/>
    </row>
    <row r="1730" spans="1:11" ht="14.4" x14ac:dyDescent="0.3">
      <c r="A1730" s="28" t="str">
        <f>B1730&amp;C1730&amp;D1730&amp;E1730</f>
        <v>Goʻzallik va parvarishProfessional kosmetikaTana parvarishiTana parvarishi</v>
      </c>
      <c r="B1730" s="35" t="s">
        <v>3165</v>
      </c>
      <c r="C1730" s="35" t="s">
        <v>5014</v>
      </c>
      <c r="D1730" s="35" t="s">
        <v>3760</v>
      </c>
      <c r="E1730" s="35" t="s">
        <v>3760</v>
      </c>
      <c r="F1730" s="36">
        <v>0.2</v>
      </c>
      <c r="G1730" s="31"/>
      <c r="H1730" s="31"/>
      <c r="I1730" s="31"/>
      <c r="J1730" s="31"/>
      <c r="K1730" s="31"/>
    </row>
    <row r="1731" spans="1:11" ht="14.4" x14ac:dyDescent="0.3">
      <c r="A1731" s="28" t="str">
        <f>B1731&amp;C1731&amp;D1731&amp;E1731</f>
        <v>Goʻzallik va parvarishErkaklar uchunYuz parvarishiYuz kremlari</v>
      </c>
      <c r="B1731" s="35" t="s">
        <v>3165</v>
      </c>
      <c r="C1731" s="35" t="s">
        <v>4931</v>
      </c>
      <c r="D1731" s="35" t="s">
        <v>4939</v>
      </c>
      <c r="E1731" s="35" t="s">
        <v>5043</v>
      </c>
      <c r="F1731" s="36">
        <v>0.2</v>
      </c>
      <c r="G1731" s="31"/>
      <c r="H1731" s="31"/>
      <c r="I1731" s="31"/>
      <c r="J1731" s="31"/>
      <c r="K1731" s="31"/>
    </row>
    <row r="1732" spans="1:11" ht="14.4" x14ac:dyDescent="0.3">
      <c r="A1732" s="28" t="str">
        <f>B1732&amp;C1732&amp;D1732&amp;E1732</f>
        <v>Goʻzallik va parvarishKoreya kosmetikasiYuz parvarishiNiqoblar</v>
      </c>
      <c r="B1732" s="35" t="s">
        <v>3165</v>
      </c>
      <c r="C1732" s="35" t="s">
        <v>4946</v>
      </c>
      <c r="D1732" s="35" t="s">
        <v>4939</v>
      </c>
      <c r="E1732" s="35" t="s">
        <v>3525</v>
      </c>
      <c r="F1732" s="36">
        <v>0.2</v>
      </c>
      <c r="G1732" s="31"/>
      <c r="H1732" s="31"/>
      <c r="I1732" s="31"/>
      <c r="J1732" s="31"/>
      <c r="K1732" s="31"/>
    </row>
    <row r="1733" spans="1:11" ht="14.4" x14ac:dyDescent="0.3">
      <c r="A1733" s="28" t="str">
        <f>B1733&amp;C1733&amp;D1733&amp;E1733</f>
        <v>Goʻzallik va parvarishShaxsiy gigiyenaOgʻiz boʻshligʻi gigiyenasiTil uchun tozalagichlar</v>
      </c>
      <c r="B1733" s="35" t="s">
        <v>3165</v>
      </c>
      <c r="C1733" s="35" t="s">
        <v>4936</v>
      </c>
      <c r="D1733" s="35" t="s">
        <v>4777</v>
      </c>
      <c r="E1733" s="35" t="s">
        <v>5044</v>
      </c>
      <c r="F1733" s="36">
        <v>0.2</v>
      </c>
      <c r="G1733" s="31"/>
      <c r="H1733" s="31"/>
      <c r="I1733" s="31"/>
      <c r="J1733" s="31"/>
      <c r="K1733" s="31"/>
    </row>
    <row r="1734" spans="1:11" ht="14.4" x14ac:dyDescent="0.3">
      <c r="A1734" s="28" t="str">
        <f>B1734&amp;C1734&amp;D1734&amp;E1734</f>
        <v>Goʻzallik va parvarishKoreya kosmetikasiTana parvarishiQo'l uchun kremlar</v>
      </c>
      <c r="B1734" s="35" t="s">
        <v>3165</v>
      </c>
      <c r="C1734" s="35" t="s">
        <v>4946</v>
      </c>
      <c r="D1734" s="35" t="s">
        <v>3760</v>
      </c>
      <c r="E1734" s="35" t="s">
        <v>5045</v>
      </c>
      <c r="F1734" s="36">
        <v>0.2</v>
      </c>
      <c r="G1734" s="31"/>
      <c r="H1734" s="31"/>
      <c r="I1734" s="31"/>
      <c r="J1734" s="31"/>
      <c r="K1734" s="31"/>
    </row>
    <row r="1735" spans="1:11" ht="14.4" x14ac:dyDescent="0.3">
      <c r="A1735" s="28" t="str">
        <f>B1735&amp;C1735&amp;D1735&amp;E1735</f>
        <v>Goʻzallik va parvarishShaxsiy gigiyenaQogʻoz va paxta mahsulotlariNam salfetkalar</v>
      </c>
      <c r="B1735" s="35" t="s">
        <v>3165</v>
      </c>
      <c r="C1735" s="35" t="s">
        <v>4936</v>
      </c>
      <c r="D1735" s="35" t="s">
        <v>4996</v>
      </c>
      <c r="E1735" s="35" t="s">
        <v>5046</v>
      </c>
      <c r="F1735" s="36">
        <v>0.2</v>
      </c>
      <c r="G1735" s="31"/>
      <c r="H1735" s="31"/>
      <c r="I1735" s="31"/>
      <c r="J1735" s="31"/>
      <c r="K1735" s="31"/>
    </row>
    <row r="1736" spans="1:11" ht="14.4" x14ac:dyDescent="0.3">
      <c r="A1736" s="28" t="str">
        <f>B1736&amp;C1736&amp;D1736&amp;E1736</f>
        <v>Goʻzallik va parvarishShaxsiy gigiyenaOyoq uchun dezodorantlar va spreylarOyoq uchun dezodorantlar va spreylar</v>
      </c>
      <c r="B1736" s="35" t="s">
        <v>3165</v>
      </c>
      <c r="C1736" s="35" t="s">
        <v>4936</v>
      </c>
      <c r="D1736" s="35" t="s">
        <v>5047</v>
      </c>
      <c r="E1736" s="35" t="s">
        <v>5047</v>
      </c>
      <c r="F1736" s="36">
        <v>0.2</v>
      </c>
      <c r="G1736" s="31"/>
      <c r="H1736" s="31"/>
      <c r="I1736" s="31"/>
      <c r="J1736" s="31"/>
      <c r="K1736" s="31"/>
    </row>
    <row r="1737" spans="1:11" ht="14.4" x14ac:dyDescent="0.3">
      <c r="A1737" s="28" t="str">
        <f>B1737&amp;C1737&amp;D1737&amp;E1737</f>
        <v>Goʻzallik va parvarishManikyur va pedikyurTirnoqlar dizayniTirnoqlar uchun folga va surtmalar</v>
      </c>
      <c r="B1737" s="35" t="s">
        <v>3165</v>
      </c>
      <c r="C1737" s="35" t="s">
        <v>3767</v>
      </c>
      <c r="D1737" s="35" t="s">
        <v>3776</v>
      </c>
      <c r="E1737" s="35" t="s">
        <v>5048</v>
      </c>
      <c r="F1737" s="36">
        <v>0.2</v>
      </c>
      <c r="G1737" s="31"/>
      <c r="H1737" s="31"/>
      <c r="I1737" s="31"/>
      <c r="J1737" s="31"/>
      <c r="K1737" s="31"/>
    </row>
    <row r="1738" spans="1:11" ht="14.4" x14ac:dyDescent="0.3">
      <c r="A1738" s="28" t="str">
        <f>B1738&amp;C1738&amp;D1738&amp;E1738</f>
        <v>Goʻzallik va parvarishErkaklar uchunSoqol olish uchunSoqol olish uchun vositalar</v>
      </c>
      <c r="B1738" s="35" t="s">
        <v>3165</v>
      </c>
      <c r="C1738" s="35" t="s">
        <v>4931</v>
      </c>
      <c r="D1738" s="35" t="s">
        <v>4932</v>
      </c>
      <c r="E1738" s="35" t="s">
        <v>5049</v>
      </c>
      <c r="F1738" s="36">
        <v>0.2</v>
      </c>
      <c r="G1738" s="31"/>
      <c r="H1738" s="31"/>
      <c r="I1738" s="31"/>
      <c r="J1738" s="31"/>
      <c r="K1738" s="31"/>
    </row>
    <row r="1739" spans="1:11" ht="14.4" x14ac:dyDescent="0.3">
      <c r="A1739" s="28" t="str">
        <f>B1739&amp;C1739&amp;D1739&amp;E1739</f>
        <v>Goʻzallik va parvarishKoreya kosmetikasiTana parvarishiQuyoshda toblanish va quyoshdan himoya</v>
      </c>
      <c r="B1739" s="35" t="s">
        <v>3165</v>
      </c>
      <c r="C1739" s="35" t="s">
        <v>4946</v>
      </c>
      <c r="D1739" s="35" t="s">
        <v>3760</v>
      </c>
      <c r="E1739" s="35" t="s">
        <v>4968</v>
      </c>
      <c r="F1739" s="36">
        <v>0.2</v>
      </c>
      <c r="G1739" s="31"/>
      <c r="H1739" s="31"/>
      <c r="I1739" s="31"/>
      <c r="J1739" s="31"/>
      <c r="K1739" s="31"/>
    </row>
    <row r="1740" spans="1:11" ht="14.4" x14ac:dyDescent="0.3">
      <c r="A1740" s="28" t="str">
        <f>B1740&amp;C1740&amp;D1740&amp;E1740</f>
        <v>Goʻzallik va parvarishMakiyajYuzGlitterlar</v>
      </c>
      <c r="B1740" s="35" t="s">
        <v>3165</v>
      </c>
      <c r="C1740" s="35" t="s">
        <v>3405</v>
      </c>
      <c r="D1740" s="35" t="s">
        <v>4952</v>
      </c>
      <c r="E1740" s="35" t="s">
        <v>5050</v>
      </c>
      <c r="F1740" s="36">
        <v>0.2</v>
      </c>
      <c r="G1740" s="31"/>
      <c r="H1740" s="31"/>
      <c r="I1740" s="31"/>
      <c r="J1740" s="31"/>
      <c r="K1740" s="31"/>
    </row>
    <row r="1741" spans="1:11" ht="14.4" x14ac:dyDescent="0.3">
      <c r="A1741" s="28" t="str">
        <f>B1741&amp;C1741&amp;D1741&amp;E1741</f>
        <v>Goʻzallik va parvarishErkaklar uchunYuz parvarishiSkrablar va pilinglar</v>
      </c>
      <c r="B1741" s="35" t="s">
        <v>3165</v>
      </c>
      <c r="C1741" s="35" t="s">
        <v>4931</v>
      </c>
      <c r="D1741" s="35" t="s">
        <v>4939</v>
      </c>
      <c r="E1741" s="35" t="s">
        <v>4955</v>
      </c>
      <c r="F1741" s="36">
        <v>0.2</v>
      </c>
      <c r="G1741" s="31"/>
      <c r="H1741" s="31"/>
      <c r="I1741" s="31"/>
      <c r="J1741" s="31"/>
      <c r="K1741" s="31"/>
    </row>
    <row r="1742" spans="1:11" ht="14.4" x14ac:dyDescent="0.3">
      <c r="A1742" s="28" t="str">
        <f>B1742&amp;C1742&amp;D1742&amp;E1742</f>
        <v>Goʻzallik va parvarishMakiyajKoʻzlarKo'z qovoqlarini tuzatish uchun stikerlar</v>
      </c>
      <c r="B1742" s="35" t="s">
        <v>3165</v>
      </c>
      <c r="C1742" s="35" t="s">
        <v>3405</v>
      </c>
      <c r="D1742" s="35" t="s">
        <v>4959</v>
      </c>
      <c r="E1742" s="35" t="s">
        <v>5051</v>
      </c>
      <c r="F1742" s="36">
        <v>0.2</v>
      </c>
      <c r="G1742" s="31"/>
      <c r="H1742" s="31"/>
      <c r="I1742" s="31"/>
      <c r="J1742" s="31"/>
      <c r="K1742" s="31"/>
    </row>
    <row r="1743" spans="1:11" ht="14.4" x14ac:dyDescent="0.3">
      <c r="A1743" s="28" t="str">
        <f>B1743&amp;C1743&amp;D1743&amp;E1743</f>
        <v>Goʻzallik va parvarishSochlar parvarishiBoʻyash va kimyoviy jingalak qilishOksidlovchilar</v>
      </c>
      <c r="B1743" s="35" t="s">
        <v>3165</v>
      </c>
      <c r="C1743" s="35" t="s">
        <v>3785</v>
      </c>
      <c r="D1743" s="35" t="s">
        <v>4934</v>
      </c>
      <c r="E1743" s="35" t="s">
        <v>5052</v>
      </c>
      <c r="F1743" s="36">
        <v>0.2</v>
      </c>
      <c r="G1743" s="31"/>
      <c r="H1743" s="31"/>
      <c r="I1743" s="31"/>
      <c r="J1743" s="31"/>
      <c r="K1743" s="31"/>
    </row>
    <row r="1744" spans="1:11" ht="14.4" x14ac:dyDescent="0.3">
      <c r="A1744" s="28" t="str">
        <f>B1744&amp;C1744&amp;D1744&amp;E1744</f>
        <v>Goʻzallik va parvarishMakiyajLablarTintlar</v>
      </c>
      <c r="B1744" s="35" t="s">
        <v>3165</v>
      </c>
      <c r="C1744" s="35" t="s">
        <v>3405</v>
      </c>
      <c r="D1744" s="35" t="s">
        <v>5020</v>
      </c>
      <c r="E1744" s="35" t="s">
        <v>5053</v>
      </c>
      <c r="F1744" s="36">
        <v>0.2</v>
      </c>
      <c r="G1744" s="31"/>
      <c r="H1744" s="31"/>
      <c r="I1744" s="31"/>
      <c r="J1744" s="31"/>
      <c r="K1744" s="31"/>
    </row>
    <row r="1745" spans="1:11" ht="14.4" x14ac:dyDescent="0.3">
      <c r="A1745" s="28" t="str">
        <f>B1745&amp;C1745&amp;D1745&amp;E1745</f>
        <v>Goʻzallik va parvarishTana parvarishiNamlash va oziqlantirishOyoq kremlari</v>
      </c>
      <c r="B1745" s="35" t="s">
        <v>3165</v>
      </c>
      <c r="C1745" s="35" t="s">
        <v>3760</v>
      </c>
      <c r="D1745" s="35" t="s">
        <v>4940</v>
      </c>
      <c r="E1745" s="35" t="s">
        <v>5054</v>
      </c>
      <c r="F1745" s="36">
        <v>0.2</v>
      </c>
      <c r="G1745" s="31"/>
      <c r="H1745" s="31"/>
      <c r="I1745" s="31"/>
      <c r="J1745" s="31"/>
      <c r="K1745" s="31"/>
    </row>
    <row r="1746" spans="1:11" ht="14.4" x14ac:dyDescent="0.3">
      <c r="A1746" s="28" t="str">
        <f>B1746&amp;C1746&amp;D1746&amp;E1746</f>
        <v>Goʻzallik va parvarishKoreya kosmetikasiTana parvarishiTana uchun talk</v>
      </c>
      <c r="B1746" s="35" t="s">
        <v>3165</v>
      </c>
      <c r="C1746" s="35" t="s">
        <v>4946</v>
      </c>
      <c r="D1746" s="35" t="s">
        <v>3760</v>
      </c>
      <c r="E1746" s="35" t="s">
        <v>5055</v>
      </c>
      <c r="F1746" s="36">
        <v>0.2</v>
      </c>
      <c r="G1746" s="31"/>
      <c r="H1746" s="31"/>
      <c r="I1746" s="31"/>
      <c r="J1746" s="31"/>
      <c r="K1746" s="31"/>
    </row>
    <row r="1747" spans="1:11" ht="14.4" x14ac:dyDescent="0.3">
      <c r="A1747" s="28" t="str">
        <f>B1747&amp;C1747&amp;D1747&amp;E1747</f>
        <v>Goʻzallik va parvarishYuz parvarishiLablar parvarishi uchunLablar uchun maskalar va skrablar</v>
      </c>
      <c r="B1747" s="35" t="s">
        <v>3165</v>
      </c>
      <c r="C1747" s="35" t="s">
        <v>4939</v>
      </c>
      <c r="D1747" s="35" t="s">
        <v>5056</v>
      </c>
      <c r="E1747" s="35" t="s">
        <v>5057</v>
      </c>
      <c r="F1747" s="36">
        <v>0.2</v>
      </c>
      <c r="G1747" s="31"/>
      <c r="H1747" s="31"/>
      <c r="I1747" s="31"/>
      <c r="J1747" s="31"/>
      <c r="K1747" s="31"/>
    </row>
    <row r="1748" spans="1:11" ht="14.4" x14ac:dyDescent="0.3">
      <c r="A1748" s="28" t="str">
        <f>B1748&amp;C1748&amp;D1748&amp;E1748</f>
        <v>Goʻzallik va parvarishShaxsiy gigiyenaSovunYuvinish sovuni</v>
      </c>
      <c r="B1748" s="35" t="s">
        <v>3165</v>
      </c>
      <c r="C1748" s="35" t="s">
        <v>4936</v>
      </c>
      <c r="D1748" s="35" t="s">
        <v>3815</v>
      </c>
      <c r="E1748" s="35" t="s">
        <v>5058</v>
      </c>
      <c r="F1748" s="36">
        <v>0.2</v>
      </c>
      <c r="G1748" s="31"/>
      <c r="H1748" s="31"/>
      <c r="I1748" s="31"/>
      <c r="J1748" s="31"/>
      <c r="K1748" s="31"/>
    </row>
    <row r="1749" spans="1:11" ht="14.4" x14ac:dyDescent="0.3">
      <c r="A1749" s="28" t="str">
        <f>B1749&amp;C1749&amp;D1749&amp;E1749</f>
        <v>Goʻzallik va parvarishShaxsiy gigiyenaOgʻiz boʻshligʻi gigiyenasiTish oralarini tozalash uchun choʻtkalar</v>
      </c>
      <c r="B1749" s="35" t="s">
        <v>3165</v>
      </c>
      <c r="C1749" s="35" t="s">
        <v>4936</v>
      </c>
      <c r="D1749" s="35" t="s">
        <v>4777</v>
      </c>
      <c r="E1749" s="35" t="s">
        <v>5059</v>
      </c>
      <c r="F1749" s="36">
        <v>0.2</v>
      </c>
      <c r="G1749" s="31"/>
      <c r="H1749" s="31"/>
      <c r="I1749" s="31"/>
      <c r="J1749" s="31"/>
      <c r="K1749" s="31"/>
    </row>
    <row r="1750" spans="1:11" ht="14.4" x14ac:dyDescent="0.3">
      <c r="A1750" s="28" t="str">
        <f>B1750&amp;C1750&amp;D1750&amp;E1750</f>
        <v>Goʻzallik va parvarishSochlar parvarishiTurmaklash uchun vositalarPastalar va pomadalar</v>
      </c>
      <c r="B1750" s="35" t="s">
        <v>3165</v>
      </c>
      <c r="C1750" s="35" t="s">
        <v>3785</v>
      </c>
      <c r="D1750" s="35" t="s">
        <v>4978</v>
      </c>
      <c r="E1750" s="35" t="s">
        <v>5060</v>
      </c>
      <c r="F1750" s="36">
        <v>0.2</v>
      </c>
      <c r="G1750" s="31"/>
      <c r="H1750" s="31"/>
      <c r="I1750" s="31"/>
      <c r="J1750" s="31"/>
      <c r="K1750" s="31"/>
    </row>
    <row r="1751" spans="1:11" ht="14.4" x14ac:dyDescent="0.3">
      <c r="A1751" s="28" t="str">
        <f>B1751&amp;C1751&amp;D1751&amp;E1751</f>
        <v>Goʻzallik va parvarishSochlar parvarishiTozalash va parvarish uchun vositalarYogʻlar</v>
      </c>
      <c r="B1751" s="35" t="s">
        <v>3165</v>
      </c>
      <c r="C1751" s="35" t="s">
        <v>3785</v>
      </c>
      <c r="D1751" s="35" t="s">
        <v>4956</v>
      </c>
      <c r="E1751" s="35" t="s">
        <v>4962</v>
      </c>
      <c r="F1751" s="36">
        <v>0.2</v>
      </c>
      <c r="G1751" s="31"/>
      <c r="H1751" s="31"/>
      <c r="I1751" s="31"/>
      <c r="J1751" s="31"/>
      <c r="K1751" s="31"/>
    </row>
    <row r="1752" spans="1:11" ht="14.4" x14ac:dyDescent="0.3">
      <c r="A1752" s="28" t="str">
        <f>B1752&amp;C1752&amp;D1752&amp;E1752</f>
        <v>Goʻzallik va parvarishYuz parvarishiNamlash va oziqlantirishKoʻz uchun kremlar</v>
      </c>
      <c r="B1752" s="35" t="s">
        <v>3165</v>
      </c>
      <c r="C1752" s="35" t="s">
        <v>4939</v>
      </c>
      <c r="D1752" s="35" t="s">
        <v>4940</v>
      </c>
      <c r="E1752" s="35" t="s">
        <v>5061</v>
      </c>
      <c r="F1752" s="36">
        <v>0.2</v>
      </c>
      <c r="G1752" s="31"/>
      <c r="H1752" s="31"/>
      <c r="I1752" s="31"/>
      <c r="J1752" s="31"/>
      <c r="K1752" s="31"/>
    </row>
    <row r="1753" spans="1:11" ht="14.4" x14ac:dyDescent="0.3">
      <c r="A1753" s="28" t="str">
        <f>B1753&amp;C1753&amp;D1753&amp;E1753</f>
        <v>Goʻzallik va parvarishShaxsiy gigiyenaOgʻiz boʻshligʻi gigiyenasiTish pastalari va gellar</v>
      </c>
      <c r="B1753" s="35" t="s">
        <v>3165</v>
      </c>
      <c r="C1753" s="35" t="s">
        <v>4936</v>
      </c>
      <c r="D1753" s="35" t="s">
        <v>4777</v>
      </c>
      <c r="E1753" s="35" t="s">
        <v>5062</v>
      </c>
      <c r="F1753" s="36">
        <v>0.2</v>
      </c>
      <c r="G1753" s="31"/>
      <c r="H1753" s="31"/>
      <c r="I1753" s="31"/>
      <c r="J1753" s="31"/>
      <c r="K1753" s="31"/>
    </row>
    <row r="1754" spans="1:11" ht="14.4" x14ac:dyDescent="0.3">
      <c r="A1754" s="28" t="str">
        <f>B1754&amp;C1754&amp;D1754&amp;E1754</f>
        <v>Goʻzallik va parvarishShaxsiy gigiyenaDepilyatsiya va epilyatsiyaDepilatsiya va epilatsiya uchun aksessuarlar</v>
      </c>
      <c r="B1754" s="35" t="s">
        <v>3165</v>
      </c>
      <c r="C1754" s="35" t="s">
        <v>4936</v>
      </c>
      <c r="D1754" s="35" t="s">
        <v>4970</v>
      </c>
      <c r="E1754" s="35" t="s">
        <v>5063</v>
      </c>
      <c r="F1754" s="36">
        <v>0.2</v>
      </c>
      <c r="G1754" s="31"/>
      <c r="H1754" s="31"/>
      <c r="I1754" s="31"/>
      <c r="J1754" s="31"/>
      <c r="K1754" s="31"/>
    </row>
    <row r="1755" spans="1:11" ht="14.4" x14ac:dyDescent="0.3">
      <c r="A1755" s="28" t="str">
        <f>B1755&amp;C1755&amp;D1755&amp;E1755</f>
        <v>Goʻzallik va parvarishYuz parvarishiTozalash va yuvishMakiyajni tozalash vositalari</v>
      </c>
      <c r="B1755" s="35" t="s">
        <v>3165</v>
      </c>
      <c r="C1755" s="35" t="s">
        <v>4939</v>
      </c>
      <c r="D1755" s="35" t="s">
        <v>4942</v>
      </c>
      <c r="E1755" s="35" t="s">
        <v>5064</v>
      </c>
      <c r="F1755" s="36">
        <v>0.2</v>
      </c>
      <c r="G1755" s="31"/>
      <c r="H1755" s="31"/>
      <c r="I1755" s="31"/>
      <c r="J1755" s="31"/>
      <c r="K1755" s="31"/>
    </row>
    <row r="1756" spans="1:11" ht="14.4" x14ac:dyDescent="0.3">
      <c r="A1756" s="28" t="str">
        <f>B1756&amp;C1756&amp;D1756&amp;E1756</f>
        <v>Goʻzallik va parvarishKoreya kosmetikasiYuz parvarishiToniklar</v>
      </c>
      <c r="B1756" s="35" t="s">
        <v>3165</v>
      </c>
      <c r="C1756" s="35" t="s">
        <v>4946</v>
      </c>
      <c r="D1756" s="35" t="s">
        <v>4939</v>
      </c>
      <c r="E1756" s="35" t="s">
        <v>5065</v>
      </c>
      <c r="F1756" s="36">
        <v>0.2</v>
      </c>
      <c r="G1756" s="31"/>
      <c r="H1756" s="31"/>
      <c r="I1756" s="31"/>
      <c r="J1756" s="31"/>
      <c r="K1756" s="31"/>
    </row>
    <row r="1757" spans="1:11" ht="14.4" x14ac:dyDescent="0.3">
      <c r="A1757" s="28" t="str">
        <f>B1757&amp;C1757&amp;D1757&amp;E1757</f>
        <v>Goʻzallik va parvarishShaxsiy gigiyenaOgʻiz boʻshligʻi gigiyenasiSugʻorish uskunalari</v>
      </c>
      <c r="B1757" s="35" t="s">
        <v>3165</v>
      </c>
      <c r="C1757" s="35" t="s">
        <v>4936</v>
      </c>
      <c r="D1757" s="35" t="s">
        <v>4777</v>
      </c>
      <c r="E1757" s="35" t="s">
        <v>5066</v>
      </c>
      <c r="F1757" s="36">
        <v>0.2</v>
      </c>
      <c r="G1757" s="31"/>
      <c r="H1757" s="31"/>
      <c r="I1757" s="31"/>
      <c r="J1757" s="31"/>
      <c r="K1757" s="31"/>
    </row>
    <row r="1758" spans="1:11" ht="14.4" x14ac:dyDescent="0.3">
      <c r="A1758" s="28" t="str">
        <f>B1758&amp;C1758&amp;D1758&amp;E1758</f>
        <v>Goʻzallik va parvarishManikyur va pedikyurTirnoq yopishtirish uchun materiallarUlama tirnoqlar, tipslar va tirnoqlar uchun yelimlar</v>
      </c>
      <c r="B1758" s="35" t="s">
        <v>3165</v>
      </c>
      <c r="C1758" s="35" t="s">
        <v>3767</v>
      </c>
      <c r="D1758" s="35" t="s">
        <v>3792</v>
      </c>
      <c r="E1758" s="35" t="s">
        <v>5067</v>
      </c>
      <c r="F1758" s="36">
        <v>0.2</v>
      </c>
      <c r="G1758" s="31"/>
      <c r="H1758" s="31"/>
      <c r="I1758" s="31"/>
      <c r="J1758" s="31"/>
      <c r="K1758" s="31"/>
    </row>
    <row r="1759" spans="1:11" ht="14.4" x14ac:dyDescent="0.3">
      <c r="A1759" s="28" t="str">
        <f>B1759&amp;C1759&amp;D1759&amp;E1759</f>
        <v>Goʻzallik va parvarishShaxsiy gigiyenaSoqol olish uchun tovarlarAyollar uchun britvalar, ustaralar va almashtiriladigan kassetalar</v>
      </c>
      <c r="B1759" s="35" t="s">
        <v>3165</v>
      </c>
      <c r="C1759" s="35" t="s">
        <v>4936</v>
      </c>
      <c r="D1759" s="35" t="s">
        <v>5068</v>
      </c>
      <c r="E1759" s="35" t="s">
        <v>5069</v>
      </c>
      <c r="F1759" s="36">
        <v>0.2</v>
      </c>
      <c r="G1759" s="31"/>
      <c r="H1759" s="31"/>
      <c r="I1759" s="31"/>
      <c r="J1759" s="31"/>
      <c r="K1759" s="31"/>
    </row>
    <row r="1760" spans="1:11" ht="14.4" x14ac:dyDescent="0.3">
      <c r="A1760" s="28" t="str">
        <f>B1760&amp;C1760&amp;D1760&amp;E1760</f>
        <v>Goʻzallik va parvarishKoreya kosmetikasiTana parvarishiDush uchun gellar</v>
      </c>
      <c r="B1760" s="35" t="s">
        <v>3165</v>
      </c>
      <c r="C1760" s="35" t="s">
        <v>4946</v>
      </c>
      <c r="D1760" s="35" t="s">
        <v>3760</v>
      </c>
      <c r="E1760" s="35" t="s">
        <v>5008</v>
      </c>
      <c r="F1760" s="36">
        <v>0.2</v>
      </c>
      <c r="G1760" s="31"/>
      <c r="H1760" s="31"/>
      <c r="I1760" s="31"/>
      <c r="J1760" s="31"/>
      <c r="K1760" s="31"/>
    </row>
    <row r="1761" spans="1:11" ht="14.4" x14ac:dyDescent="0.3">
      <c r="A1761" s="28" t="str">
        <f>B1761&amp;C1761&amp;D1761&amp;E1761</f>
        <v>Goʻzallik va parvarishKoreya kosmetikasiSochlar parvarishiBalzamlar va konditsionerlar</v>
      </c>
      <c r="B1761" s="35" t="s">
        <v>3165</v>
      </c>
      <c r="C1761" s="35" t="s">
        <v>4946</v>
      </c>
      <c r="D1761" s="35" t="s">
        <v>3785</v>
      </c>
      <c r="E1761" s="35" t="s">
        <v>5005</v>
      </c>
      <c r="F1761" s="36">
        <v>0.2</v>
      </c>
      <c r="G1761" s="31"/>
      <c r="H1761" s="31"/>
      <c r="I1761" s="31"/>
      <c r="J1761" s="31"/>
      <c r="K1761" s="31"/>
    </row>
    <row r="1762" spans="1:11" ht="14.4" x14ac:dyDescent="0.3">
      <c r="A1762" s="28" t="str">
        <f>B1762&amp;C1762&amp;D1762&amp;E1762</f>
        <v>Goʻzallik va parvarishMakiyajYuzRumyana va bronzerlar</v>
      </c>
      <c r="B1762" s="35" t="s">
        <v>3165</v>
      </c>
      <c r="C1762" s="35" t="s">
        <v>3405</v>
      </c>
      <c r="D1762" s="35" t="s">
        <v>4952</v>
      </c>
      <c r="E1762" s="35" t="s">
        <v>5070</v>
      </c>
      <c r="F1762" s="36">
        <v>0.2</v>
      </c>
      <c r="G1762" s="31"/>
      <c r="H1762" s="31"/>
      <c r="I1762" s="31"/>
      <c r="J1762" s="31"/>
      <c r="K1762" s="31"/>
    </row>
    <row r="1763" spans="1:11" ht="14.4" x14ac:dyDescent="0.3">
      <c r="A1763" s="28" t="str">
        <f>B1763&amp;C1763&amp;D1763&amp;E1763</f>
        <v>Goʻzallik va parvarishSochlar parvarishiTurmaklash uchun vositalarGellar</v>
      </c>
      <c r="B1763" s="35" t="s">
        <v>3165</v>
      </c>
      <c r="C1763" s="35" t="s">
        <v>3785</v>
      </c>
      <c r="D1763" s="35" t="s">
        <v>4978</v>
      </c>
      <c r="E1763" s="35" t="s">
        <v>5071</v>
      </c>
      <c r="F1763" s="36">
        <v>0.2</v>
      </c>
      <c r="G1763" s="31"/>
      <c r="H1763" s="31"/>
      <c r="I1763" s="31"/>
      <c r="J1763" s="31"/>
      <c r="K1763" s="31"/>
    </row>
    <row r="1764" spans="1:11" ht="14.4" x14ac:dyDescent="0.3">
      <c r="A1764" s="28" t="str">
        <f>B1764&amp;C1764&amp;D1764&amp;E1764</f>
        <v>Goʻzallik va parvarishKoreya kosmetikasiMakiyajKo'zlar</v>
      </c>
      <c r="B1764" s="35" t="s">
        <v>3165</v>
      </c>
      <c r="C1764" s="35" t="s">
        <v>4946</v>
      </c>
      <c r="D1764" s="35" t="s">
        <v>3405</v>
      </c>
      <c r="E1764" s="35" t="s">
        <v>5072</v>
      </c>
      <c r="F1764" s="36">
        <v>0.2</v>
      </c>
      <c r="G1764" s="31"/>
      <c r="H1764" s="31"/>
      <c r="I1764" s="31"/>
      <c r="J1764" s="31"/>
      <c r="K1764" s="31"/>
    </row>
    <row r="1765" spans="1:11" ht="14.4" x14ac:dyDescent="0.3">
      <c r="A1765" s="28" t="str">
        <f>B1765&amp;C1765&amp;D1765&amp;E1765</f>
        <v>Goʻzallik va parvarishSochlar parvarishiTurmaklash uchun vositalarLoy</v>
      </c>
      <c r="B1765" s="35" t="s">
        <v>3165</v>
      </c>
      <c r="C1765" s="35" t="s">
        <v>3785</v>
      </c>
      <c r="D1765" s="35" t="s">
        <v>4978</v>
      </c>
      <c r="E1765" s="35" t="s">
        <v>5073</v>
      </c>
      <c r="F1765" s="36">
        <v>0.2</v>
      </c>
      <c r="G1765" s="31"/>
      <c r="H1765" s="31"/>
      <c r="I1765" s="31"/>
      <c r="J1765" s="31"/>
      <c r="K1765" s="31"/>
    </row>
    <row r="1766" spans="1:11" ht="14.4" x14ac:dyDescent="0.3">
      <c r="A1766" s="28" t="str">
        <f>B1766&amp;C1766&amp;D1766&amp;E1766</f>
        <v>Goʻzallik va parvarishYuz parvarishiTozalash va yuvishYuvish uchun upa</v>
      </c>
      <c r="B1766" s="35" t="s">
        <v>3165</v>
      </c>
      <c r="C1766" s="35" t="s">
        <v>4939</v>
      </c>
      <c r="D1766" s="35" t="s">
        <v>4942</v>
      </c>
      <c r="E1766" s="35" t="s">
        <v>5074</v>
      </c>
      <c r="F1766" s="36">
        <v>0.2</v>
      </c>
      <c r="G1766" s="31"/>
      <c r="H1766" s="31"/>
      <c r="I1766" s="31"/>
      <c r="J1766" s="31"/>
      <c r="K1766" s="31"/>
    </row>
    <row r="1767" spans="1:11" ht="14.4" x14ac:dyDescent="0.3">
      <c r="A1767" s="28" t="str">
        <f>B1767&amp;C1767&amp;D1767&amp;E1767</f>
        <v>Goʻzallik va parvarishErkaklar uchunYuz parvarishiYuz parvarishi</v>
      </c>
      <c r="B1767" s="35" t="s">
        <v>3165</v>
      </c>
      <c r="C1767" s="35" t="s">
        <v>4931</v>
      </c>
      <c r="D1767" s="35" t="s">
        <v>4939</v>
      </c>
      <c r="E1767" s="35" t="s">
        <v>4939</v>
      </c>
      <c r="F1767" s="36">
        <v>0.2</v>
      </c>
      <c r="G1767" s="31"/>
      <c r="H1767" s="31"/>
      <c r="I1767" s="31"/>
      <c r="J1767" s="31"/>
      <c r="K1767" s="31"/>
    </row>
    <row r="1768" spans="1:11" ht="14.4" x14ac:dyDescent="0.3">
      <c r="A1768" s="28" t="str">
        <f>B1768&amp;C1768&amp;D1768&amp;E1768</f>
        <v>Goʻzallik va parvarishTana parvarishiNamlash va oziqlantirishYogʻlar</v>
      </c>
      <c r="B1768" s="35" t="s">
        <v>3165</v>
      </c>
      <c r="C1768" s="35" t="s">
        <v>3760</v>
      </c>
      <c r="D1768" s="35" t="s">
        <v>4940</v>
      </c>
      <c r="E1768" s="35" t="s">
        <v>4962</v>
      </c>
      <c r="F1768" s="36">
        <v>0.2</v>
      </c>
      <c r="G1768" s="31"/>
      <c r="H1768" s="31"/>
      <c r="I1768" s="31"/>
      <c r="J1768" s="31"/>
      <c r="K1768" s="31"/>
    </row>
    <row r="1769" spans="1:11" ht="14.4" x14ac:dyDescent="0.3">
      <c r="A1769" s="28" t="str">
        <f>B1769&amp;C1769&amp;D1769&amp;E1769</f>
        <v>Goʻzallik va parvarishYuz parvarishiNamlash va oziqlantirishTungi kremlar</v>
      </c>
      <c r="B1769" s="35" t="s">
        <v>3165</v>
      </c>
      <c r="C1769" s="35" t="s">
        <v>4939</v>
      </c>
      <c r="D1769" s="35" t="s">
        <v>4940</v>
      </c>
      <c r="E1769" s="35" t="s">
        <v>4965</v>
      </c>
      <c r="F1769" s="36">
        <v>0.2</v>
      </c>
      <c r="G1769" s="31"/>
      <c r="H1769" s="31"/>
      <c r="I1769" s="31"/>
      <c r="J1769" s="31"/>
      <c r="K1769" s="31"/>
    </row>
    <row r="1770" spans="1:11" ht="14.4" x14ac:dyDescent="0.3">
      <c r="A1770" s="28" t="str">
        <f>B1770&amp;C1770&amp;D1770&amp;E1770</f>
        <v>Goʻzallik va parvarishTana parvarishiNamlash va oziqlantirishTermal suv, toniklar va spreylar</v>
      </c>
      <c r="B1770" s="35" t="s">
        <v>3165</v>
      </c>
      <c r="C1770" s="35" t="s">
        <v>3760</v>
      </c>
      <c r="D1770" s="35" t="s">
        <v>4940</v>
      </c>
      <c r="E1770" s="35" t="s">
        <v>5075</v>
      </c>
      <c r="F1770" s="36">
        <v>0.2</v>
      </c>
      <c r="G1770" s="31"/>
      <c r="H1770" s="31"/>
      <c r="I1770" s="31"/>
      <c r="J1770" s="31"/>
      <c r="K1770" s="31"/>
    </row>
    <row r="1771" spans="1:11" ht="14.4" x14ac:dyDescent="0.3">
      <c r="A1771" s="28" t="str">
        <f>B1771&amp;C1771&amp;D1771&amp;E1771</f>
        <v>Goʻzallik va parvarishMakiyajYuzUpalar</v>
      </c>
      <c r="B1771" s="35" t="s">
        <v>3165</v>
      </c>
      <c r="C1771" s="35" t="s">
        <v>3405</v>
      </c>
      <c r="D1771" s="35" t="s">
        <v>4952</v>
      </c>
      <c r="E1771" s="35" t="s">
        <v>5076</v>
      </c>
      <c r="F1771" s="36">
        <v>0.2</v>
      </c>
      <c r="G1771" s="31"/>
      <c r="H1771" s="31"/>
      <c r="I1771" s="31"/>
      <c r="J1771" s="31"/>
      <c r="K1771" s="31"/>
    </row>
    <row r="1772" spans="1:11" ht="14.4" x14ac:dyDescent="0.3">
      <c r="A1772" s="28" t="str">
        <f>B1772&amp;C1772&amp;D1772&amp;E1772</f>
        <v>Goʻzallik va parvarishTana parvarishiDush va vanna uchun vositalarYuvinish uchun yogʻ</v>
      </c>
      <c r="B1772" s="35" t="s">
        <v>3165</v>
      </c>
      <c r="C1772" s="35" t="s">
        <v>3760</v>
      </c>
      <c r="D1772" s="35" t="s">
        <v>4954</v>
      </c>
      <c r="E1772" s="35" t="s">
        <v>5077</v>
      </c>
      <c r="F1772" s="36">
        <v>0.2</v>
      </c>
      <c r="G1772" s="31"/>
      <c r="H1772" s="31"/>
      <c r="I1772" s="31"/>
      <c r="J1772" s="31"/>
      <c r="K1772" s="31"/>
    </row>
    <row r="1773" spans="1:11" ht="14.4" x14ac:dyDescent="0.3">
      <c r="A1773" s="28" t="str">
        <f>B1773&amp;C1773&amp;D1773&amp;E1773</f>
        <v>Goʻzallik va parvarishErkaklar uchunSoch uchunSoch uchun zardoblar</v>
      </c>
      <c r="B1773" s="35" t="s">
        <v>3165</v>
      </c>
      <c r="C1773" s="35" t="s">
        <v>4931</v>
      </c>
      <c r="D1773" s="35" t="s">
        <v>5030</v>
      </c>
      <c r="E1773" s="35" t="s">
        <v>5078</v>
      </c>
      <c r="F1773" s="36">
        <v>0.2</v>
      </c>
      <c r="G1773" s="31"/>
      <c r="H1773" s="31"/>
      <c r="I1773" s="31"/>
      <c r="J1773" s="31"/>
      <c r="K1773" s="31"/>
    </row>
    <row r="1774" spans="1:11" ht="14.4" x14ac:dyDescent="0.3">
      <c r="A1774" s="28" t="str">
        <f>B1774&amp;C1774&amp;D1774&amp;E1774</f>
        <v>Goʻzallik va parvarishShaxsiy gigiyenaDepilyatsiya va epilyatsiyaDepilatsiya uchun vositalar</v>
      </c>
      <c r="B1774" s="35" t="s">
        <v>3165</v>
      </c>
      <c r="C1774" s="35" t="s">
        <v>4936</v>
      </c>
      <c r="D1774" s="35" t="s">
        <v>4970</v>
      </c>
      <c r="E1774" s="35" t="s">
        <v>5079</v>
      </c>
      <c r="F1774" s="36">
        <v>0.2</v>
      </c>
      <c r="G1774" s="31"/>
      <c r="H1774" s="31"/>
      <c r="I1774" s="31"/>
      <c r="J1774" s="31"/>
      <c r="K1774" s="31"/>
    </row>
    <row r="1775" spans="1:11" ht="14.4" x14ac:dyDescent="0.3">
      <c r="A1775" s="28" t="str">
        <f>B1775&amp;C1775&amp;D1775&amp;E1775</f>
        <v>Goʻzallik va parvarishYuz parvarishiNamlash va oziqlantirishZardoblar</v>
      </c>
      <c r="B1775" s="35" t="s">
        <v>3165</v>
      </c>
      <c r="C1775" s="35" t="s">
        <v>4939</v>
      </c>
      <c r="D1775" s="35" t="s">
        <v>4940</v>
      </c>
      <c r="E1775" s="35" t="s">
        <v>5000</v>
      </c>
      <c r="F1775" s="36">
        <v>0.2</v>
      </c>
      <c r="G1775" s="31"/>
      <c r="H1775" s="31"/>
      <c r="I1775" s="31"/>
      <c r="J1775" s="31"/>
      <c r="K1775" s="31"/>
    </row>
    <row r="1776" spans="1:11" ht="14.4" x14ac:dyDescent="0.3">
      <c r="A1776" s="28" t="str">
        <f>B1776&amp;C1776&amp;D1776&amp;E1776</f>
        <v>Goʻzallik va parvarishYuz parvarishiMuammoli terilar uchun mahsulotlarSkrab</v>
      </c>
      <c r="B1776" s="35" t="s">
        <v>3165</v>
      </c>
      <c r="C1776" s="35" t="s">
        <v>4939</v>
      </c>
      <c r="D1776" s="35" t="s">
        <v>4947</v>
      </c>
      <c r="E1776" s="35" t="s">
        <v>5080</v>
      </c>
      <c r="F1776" s="36">
        <v>0.2</v>
      </c>
      <c r="G1776" s="31"/>
      <c r="H1776" s="31"/>
      <c r="I1776" s="31"/>
      <c r="J1776" s="31"/>
      <c r="K1776" s="31"/>
    </row>
    <row r="1777" spans="1:11" ht="14.4" x14ac:dyDescent="0.3">
      <c r="A1777" s="28" t="str">
        <f>B1777&amp;C1777&amp;D1777&amp;E1777</f>
        <v>Goʻzallik va parvarishMakiyajQoshlarQoshlar va kipriklar uchun boʻyoqlar</v>
      </c>
      <c r="B1777" s="35" t="s">
        <v>3165</v>
      </c>
      <c r="C1777" s="35" t="s">
        <v>3405</v>
      </c>
      <c r="D1777" s="35" t="s">
        <v>4976</v>
      </c>
      <c r="E1777" s="35" t="s">
        <v>5081</v>
      </c>
      <c r="F1777" s="36">
        <v>0.2</v>
      </c>
      <c r="G1777" s="31"/>
      <c r="H1777" s="31"/>
      <c r="I1777" s="31"/>
      <c r="J1777" s="31"/>
      <c r="K1777" s="31"/>
    </row>
    <row r="1778" spans="1:11" ht="14.4" x14ac:dyDescent="0.3">
      <c r="A1778" s="28" t="str">
        <f>B1778&amp;C1778&amp;D1778&amp;E1778</f>
        <v>Goʻzallik va parvarishYuz parvarishiMuammoli terilar uchun mahsulotlarTonikalar</v>
      </c>
      <c r="B1778" s="35" t="s">
        <v>3165</v>
      </c>
      <c r="C1778" s="35" t="s">
        <v>4939</v>
      </c>
      <c r="D1778" s="35" t="s">
        <v>4947</v>
      </c>
      <c r="E1778" s="35" t="s">
        <v>5027</v>
      </c>
      <c r="F1778" s="36">
        <v>0.2</v>
      </c>
      <c r="G1778" s="31"/>
      <c r="H1778" s="31"/>
      <c r="I1778" s="31"/>
      <c r="J1778" s="31"/>
      <c r="K1778" s="31"/>
    </row>
    <row r="1779" spans="1:11" ht="14.4" x14ac:dyDescent="0.3">
      <c r="A1779" s="28" t="str">
        <f>B1779&amp;C1779&amp;D1779&amp;E1779</f>
        <v>Goʻzallik va parvarishShaxsiy gigiyenaOgʻiz boʻshligʻi gigiyenasiTish kukunlari</v>
      </c>
      <c r="B1779" s="35" t="s">
        <v>3165</v>
      </c>
      <c r="C1779" s="35" t="s">
        <v>4936</v>
      </c>
      <c r="D1779" s="35" t="s">
        <v>4777</v>
      </c>
      <c r="E1779" s="35" t="s">
        <v>5082</v>
      </c>
      <c r="F1779" s="36">
        <v>0.2</v>
      </c>
      <c r="G1779" s="31"/>
      <c r="H1779" s="31"/>
      <c r="I1779" s="31"/>
      <c r="J1779" s="31"/>
      <c r="K1779" s="31"/>
    </row>
    <row r="1780" spans="1:11" ht="14.4" x14ac:dyDescent="0.3">
      <c r="A1780" s="28" t="str">
        <f>B1780&amp;C1780&amp;D1780&amp;E1780</f>
        <v>Goʻzallik va parvarishYuz parvarishiMuammoli terilar uchun mahsulotlarLosyonlar</v>
      </c>
      <c r="B1780" s="35" t="s">
        <v>3165</v>
      </c>
      <c r="C1780" s="35" t="s">
        <v>4939</v>
      </c>
      <c r="D1780" s="35" t="s">
        <v>4947</v>
      </c>
      <c r="E1780" s="35" t="s">
        <v>3423</v>
      </c>
      <c r="F1780" s="36">
        <v>0.2</v>
      </c>
      <c r="G1780" s="31"/>
      <c r="H1780" s="31"/>
      <c r="I1780" s="31"/>
      <c r="J1780" s="31"/>
      <c r="K1780" s="31"/>
    </row>
    <row r="1781" spans="1:11" ht="14.4" x14ac:dyDescent="0.3">
      <c r="A1781" s="28" t="str">
        <f>B1781&amp;C1781&amp;D1781&amp;E1781</f>
        <v>Goʻzallik va parvarishKoreya kosmetikasiYuz parvarishiEmulsiyalar</v>
      </c>
      <c r="B1781" s="35" t="s">
        <v>3165</v>
      </c>
      <c r="C1781" s="35" t="s">
        <v>4946</v>
      </c>
      <c r="D1781" s="35" t="s">
        <v>4939</v>
      </c>
      <c r="E1781" s="35" t="s">
        <v>5028</v>
      </c>
      <c r="F1781" s="36">
        <v>0.2</v>
      </c>
      <c r="G1781" s="31"/>
      <c r="H1781" s="31"/>
      <c r="I1781" s="31"/>
      <c r="J1781" s="31"/>
      <c r="K1781" s="31"/>
    </row>
    <row r="1782" spans="1:11" ht="14.4" x14ac:dyDescent="0.3">
      <c r="A1782" s="28" t="str">
        <f>B1782&amp;C1782&amp;D1782&amp;E1782</f>
        <v>Goʻzallik va parvarishMakiyajYuzMakiyaj ostidan suriladigan vositalar</v>
      </c>
      <c r="B1782" s="35" t="s">
        <v>3165</v>
      </c>
      <c r="C1782" s="35" t="s">
        <v>3405</v>
      </c>
      <c r="D1782" s="35" t="s">
        <v>4952</v>
      </c>
      <c r="E1782" s="35" t="s">
        <v>5083</v>
      </c>
      <c r="F1782" s="36">
        <v>0.2</v>
      </c>
      <c r="G1782" s="31"/>
      <c r="H1782" s="31"/>
      <c r="I1782" s="31"/>
      <c r="J1782" s="31"/>
      <c r="K1782" s="31"/>
    </row>
    <row r="1783" spans="1:11" ht="14.4" x14ac:dyDescent="0.3">
      <c r="A1783" s="28" t="str">
        <f>B1783&amp;C1783&amp;D1783&amp;E1783</f>
        <v>Goʻzallik va parvarishKoreya kosmetikasiMakiyajLablar</v>
      </c>
      <c r="B1783" s="35" t="s">
        <v>3165</v>
      </c>
      <c r="C1783" s="35" t="s">
        <v>4946</v>
      </c>
      <c r="D1783" s="35" t="s">
        <v>3405</v>
      </c>
      <c r="E1783" s="35" t="s">
        <v>5020</v>
      </c>
      <c r="F1783" s="36">
        <v>0.2</v>
      </c>
      <c r="G1783" s="31"/>
      <c r="H1783" s="31"/>
      <c r="I1783" s="31"/>
      <c r="J1783" s="31"/>
      <c r="K1783" s="31"/>
    </row>
    <row r="1784" spans="1:11" ht="14.4" x14ac:dyDescent="0.3">
      <c r="A1784" s="28" t="str">
        <f>B1784&amp;C1784&amp;D1784&amp;E1784</f>
        <v>Goʻzallik va parvarishKoreya kosmetikasiMakiyajYuz</v>
      </c>
      <c r="B1784" s="35" t="s">
        <v>3165</v>
      </c>
      <c r="C1784" s="35" t="s">
        <v>4946</v>
      </c>
      <c r="D1784" s="35" t="s">
        <v>3405</v>
      </c>
      <c r="E1784" s="35" t="s">
        <v>4952</v>
      </c>
      <c r="F1784" s="36">
        <v>0.2</v>
      </c>
      <c r="G1784" s="31"/>
      <c r="H1784" s="31"/>
      <c r="I1784" s="31"/>
      <c r="J1784" s="31"/>
      <c r="K1784" s="31"/>
    </row>
    <row r="1785" spans="1:11" ht="14.4" x14ac:dyDescent="0.3">
      <c r="A1785" s="28" t="str">
        <f>B1785&amp;C1785&amp;D1785&amp;E1785</f>
        <v>Goʻzallik va parvarishShaxsiy gigiyenaSovunSuvenir sovun</v>
      </c>
      <c r="B1785" s="35" t="s">
        <v>3165</v>
      </c>
      <c r="C1785" s="35" t="s">
        <v>4936</v>
      </c>
      <c r="D1785" s="35" t="s">
        <v>3815</v>
      </c>
      <c r="E1785" s="35" t="s">
        <v>5084</v>
      </c>
      <c r="F1785" s="36">
        <v>0.2</v>
      </c>
      <c r="G1785" s="31"/>
      <c r="H1785" s="31"/>
      <c r="I1785" s="31"/>
      <c r="J1785" s="31"/>
      <c r="K1785" s="31"/>
    </row>
    <row r="1786" spans="1:11" ht="14.4" x14ac:dyDescent="0.3">
      <c r="A1786" s="28" t="str">
        <f>B1786&amp;C1786&amp;D1786&amp;E1786</f>
        <v>Goʻzallik va parvarishTana parvarishiNamlash va oziqlantirishKonsentratlar va balzamlar</v>
      </c>
      <c r="B1786" s="35" t="s">
        <v>3165</v>
      </c>
      <c r="C1786" s="35" t="s">
        <v>3760</v>
      </c>
      <c r="D1786" s="35" t="s">
        <v>4940</v>
      </c>
      <c r="E1786" s="35" t="s">
        <v>5085</v>
      </c>
      <c r="F1786" s="36">
        <v>0.2</v>
      </c>
      <c r="G1786" s="31"/>
      <c r="H1786" s="31"/>
      <c r="I1786" s="31"/>
      <c r="J1786" s="31"/>
      <c r="K1786" s="31"/>
    </row>
    <row r="1787" spans="1:11" ht="14.4" x14ac:dyDescent="0.3">
      <c r="A1787" s="28" t="str">
        <f>B1787&amp;C1787&amp;D1787&amp;E1787</f>
        <v>Goʻzallik va parvarishKoreya kosmetikasiYuz parvarishiKo'z uchun kremlar</v>
      </c>
      <c r="B1787" s="35" t="s">
        <v>3165</v>
      </c>
      <c r="C1787" s="35" t="s">
        <v>4946</v>
      </c>
      <c r="D1787" s="35" t="s">
        <v>4939</v>
      </c>
      <c r="E1787" s="35" t="s">
        <v>5086</v>
      </c>
      <c r="F1787" s="36">
        <v>0.2</v>
      </c>
      <c r="G1787" s="31"/>
      <c r="H1787" s="31"/>
      <c r="I1787" s="31"/>
      <c r="J1787" s="31"/>
      <c r="K1787" s="31"/>
    </row>
    <row r="1788" spans="1:11" ht="14.4" x14ac:dyDescent="0.3">
      <c r="A1788" s="28" t="str">
        <f>B1788&amp;C1788&amp;D1788&amp;E1788</f>
        <v>Goʻzallik va parvarishYuz parvarishiNamlash va oziqlantirishBalzamlar va gellar</v>
      </c>
      <c r="B1788" s="35" t="s">
        <v>3165</v>
      </c>
      <c r="C1788" s="35" t="s">
        <v>4939</v>
      </c>
      <c r="D1788" s="35" t="s">
        <v>4940</v>
      </c>
      <c r="E1788" s="35" t="s">
        <v>5087</v>
      </c>
      <c r="F1788" s="36">
        <v>0.2</v>
      </c>
      <c r="G1788" s="31"/>
      <c r="H1788" s="31"/>
      <c r="I1788" s="31"/>
      <c r="J1788" s="31"/>
      <c r="K1788" s="31"/>
    </row>
    <row r="1789" spans="1:11" ht="14.4" x14ac:dyDescent="0.3">
      <c r="A1789" s="28" t="str">
        <f>B1789&amp;C1789&amp;D1789&amp;E1789</f>
        <v>Goʻzallik va parvarishKoreya kosmetikasiYuz terisini tozalashYuz terisini tozalash</v>
      </c>
      <c r="B1789" s="35" t="s">
        <v>3165</v>
      </c>
      <c r="C1789" s="35" t="s">
        <v>4946</v>
      </c>
      <c r="D1789" s="35" t="s">
        <v>4989</v>
      </c>
      <c r="E1789" s="35" t="s">
        <v>4989</v>
      </c>
      <c r="F1789" s="36">
        <v>0.2</v>
      </c>
      <c r="G1789" s="31"/>
      <c r="H1789" s="31"/>
      <c r="I1789" s="31"/>
      <c r="J1789" s="31"/>
      <c r="K1789" s="31"/>
    </row>
    <row r="1790" spans="1:11" ht="14.4" x14ac:dyDescent="0.3">
      <c r="A1790" s="28" t="str">
        <f>B1790&amp;C1790&amp;D1790&amp;E1790</f>
        <v>Goʻzallik va parvarishKoreya kosmetikasiSochlar parvarishiShampunlar</v>
      </c>
      <c r="B1790" s="35" t="s">
        <v>3165</v>
      </c>
      <c r="C1790" s="35" t="s">
        <v>4946</v>
      </c>
      <c r="D1790" s="35" t="s">
        <v>3785</v>
      </c>
      <c r="E1790" s="35" t="s">
        <v>5088</v>
      </c>
      <c r="F1790" s="36">
        <v>0.2</v>
      </c>
      <c r="G1790" s="31"/>
      <c r="H1790" s="31"/>
      <c r="I1790" s="31"/>
      <c r="J1790" s="31"/>
      <c r="K1790" s="31"/>
    </row>
    <row r="1791" spans="1:11" ht="14.4" x14ac:dyDescent="0.3">
      <c r="A1791" s="28" t="str">
        <f>B1791&amp;C1791&amp;D1791&amp;E1791</f>
        <v>Goʻzallik va parvarishErkaklar uchunErkaklar parfyumlariXushbo'ylangan suv</v>
      </c>
      <c r="B1791" s="35" t="s">
        <v>3165</v>
      </c>
      <c r="C1791" s="35" t="s">
        <v>4931</v>
      </c>
      <c r="D1791" s="35" t="s">
        <v>4984</v>
      </c>
      <c r="E1791" s="35" t="s">
        <v>3771</v>
      </c>
      <c r="F1791" s="36">
        <v>0.2</v>
      </c>
      <c r="G1791" s="31"/>
      <c r="H1791" s="31"/>
      <c r="I1791" s="31"/>
      <c r="J1791" s="31"/>
      <c r="K1791" s="31"/>
    </row>
    <row r="1792" spans="1:11" ht="14.4" x14ac:dyDescent="0.3">
      <c r="A1792" s="28" t="str">
        <f>B1792&amp;C1792&amp;D1792&amp;E1792</f>
        <v>Goʻzallik va parvarishMakiyajLablarLab uchun qalamlar</v>
      </c>
      <c r="B1792" s="35" t="s">
        <v>3165</v>
      </c>
      <c r="C1792" s="35" t="s">
        <v>3405</v>
      </c>
      <c r="D1792" s="35" t="s">
        <v>5020</v>
      </c>
      <c r="E1792" s="35" t="s">
        <v>5089</v>
      </c>
      <c r="F1792" s="36">
        <v>0.2</v>
      </c>
      <c r="G1792" s="31"/>
      <c r="H1792" s="31"/>
      <c r="I1792" s="31"/>
      <c r="J1792" s="31"/>
      <c r="K1792" s="31"/>
    </row>
    <row r="1793" spans="1:11" ht="14.4" x14ac:dyDescent="0.3">
      <c r="A1793" s="28" t="str">
        <f>B1793&amp;C1793&amp;D1793&amp;E1793</f>
        <v>Goʻzallik va parvarishMakiyajQoshlarQoshlar turmaklash uchun vositalar</v>
      </c>
      <c r="B1793" s="35" t="s">
        <v>3165</v>
      </c>
      <c r="C1793" s="35" t="s">
        <v>3405</v>
      </c>
      <c r="D1793" s="35" t="s">
        <v>4976</v>
      </c>
      <c r="E1793" s="35" t="s">
        <v>5090</v>
      </c>
      <c r="F1793" s="36">
        <v>0.2</v>
      </c>
      <c r="G1793" s="31"/>
      <c r="H1793" s="31"/>
      <c r="I1793" s="31"/>
      <c r="J1793" s="31"/>
      <c r="K1793" s="31"/>
    </row>
    <row r="1794" spans="1:11" ht="14.4" x14ac:dyDescent="0.3">
      <c r="A1794" s="28" t="str">
        <f>B1794&amp;C1794&amp;D1794&amp;E1794</f>
        <v>Goʻzallik va parvarishKoreya kosmetikasiYuz terisini tozalashYuvinish uchun gellari</v>
      </c>
      <c r="B1794" s="35" t="s">
        <v>3165</v>
      </c>
      <c r="C1794" s="35" t="s">
        <v>4946</v>
      </c>
      <c r="D1794" s="35" t="s">
        <v>4989</v>
      </c>
      <c r="E1794" s="35" t="s">
        <v>5091</v>
      </c>
      <c r="F1794" s="36">
        <v>0.2</v>
      </c>
      <c r="G1794" s="31"/>
      <c r="H1794" s="31"/>
      <c r="I1794" s="31"/>
      <c r="J1794" s="31"/>
      <c r="K1794" s="31"/>
    </row>
    <row r="1795" spans="1:11" ht="14.4" x14ac:dyDescent="0.3">
      <c r="A1795" s="28" t="str">
        <f>B1795&amp;C1795&amp;D1795&amp;E1795</f>
        <v>Goʻzallik va parvarishYuz parvarishiNamlash va oziqlantirishLosyonlar</v>
      </c>
      <c r="B1795" s="35" t="s">
        <v>3165</v>
      </c>
      <c r="C1795" s="35" t="s">
        <v>4939</v>
      </c>
      <c r="D1795" s="35" t="s">
        <v>4940</v>
      </c>
      <c r="E1795" s="35" t="s">
        <v>3423</v>
      </c>
      <c r="F1795" s="36">
        <v>0.2</v>
      </c>
      <c r="G1795" s="31"/>
      <c r="H1795" s="31"/>
      <c r="I1795" s="31"/>
      <c r="J1795" s="31"/>
      <c r="K1795" s="31"/>
    </row>
    <row r="1796" spans="1:11" ht="14.4" x14ac:dyDescent="0.3">
      <c r="A1796" s="28" t="str">
        <f>B1796&amp;C1796&amp;D1796&amp;E1796</f>
        <v>Goʻzallik va parvarishTana parvarishiNamlash va oziqlantirishMassaj moylari</v>
      </c>
      <c r="B1796" s="35" t="s">
        <v>3165</v>
      </c>
      <c r="C1796" s="35" t="s">
        <v>3760</v>
      </c>
      <c r="D1796" s="35" t="s">
        <v>4940</v>
      </c>
      <c r="E1796" s="35" t="s">
        <v>5092</v>
      </c>
      <c r="F1796" s="36">
        <v>0.2</v>
      </c>
      <c r="G1796" s="31"/>
      <c r="H1796" s="31"/>
      <c r="I1796" s="31"/>
      <c r="J1796" s="31"/>
      <c r="K1796" s="31"/>
    </row>
    <row r="1797" spans="1:11" ht="14.4" x14ac:dyDescent="0.3">
      <c r="A1797" s="28" t="str">
        <f>B1797&amp;C1797&amp;D1797&amp;E1797</f>
        <v>Goʻzallik va parvarishTana parvarishiAyollar dezodorantlari va antiperspirantlarAyollar dezodorantlari va antiperspirantlar</v>
      </c>
      <c r="B1797" s="35" t="s">
        <v>3165</v>
      </c>
      <c r="C1797" s="35" t="s">
        <v>3760</v>
      </c>
      <c r="D1797" s="35" t="s">
        <v>5093</v>
      </c>
      <c r="E1797" s="35" t="s">
        <v>5093</v>
      </c>
      <c r="F1797" s="36">
        <v>0.2</v>
      </c>
      <c r="G1797" s="31"/>
      <c r="H1797" s="31"/>
      <c r="I1797" s="31"/>
      <c r="J1797" s="31"/>
      <c r="K1797" s="31"/>
    </row>
    <row r="1798" spans="1:11" ht="14.4" x14ac:dyDescent="0.3">
      <c r="A1798" s="28" t="str">
        <f>B1798&amp;C1798&amp;D1798&amp;E1798</f>
        <v>Goʻzallik va parvarishKoreya kosmetikasiSochlar parvarishiSochlar uchun niqoblar, sovun va zardoblar</v>
      </c>
      <c r="B1798" s="35" t="s">
        <v>3165</v>
      </c>
      <c r="C1798" s="35" t="s">
        <v>4946</v>
      </c>
      <c r="D1798" s="35" t="s">
        <v>3785</v>
      </c>
      <c r="E1798" s="35" t="s">
        <v>5094</v>
      </c>
      <c r="F1798" s="36">
        <v>0.2</v>
      </c>
      <c r="G1798" s="31"/>
      <c r="H1798" s="31"/>
      <c r="I1798" s="31"/>
      <c r="J1798" s="31"/>
      <c r="K1798" s="31"/>
    </row>
    <row r="1799" spans="1:11" ht="14.4" x14ac:dyDescent="0.3">
      <c r="A1799" s="28" t="str">
        <f>B1799&amp;C1799&amp;D1799&amp;E1799</f>
        <v>Goʻzallik va parvarishErkaklar uchunTana parvarishiErkaklar uchun dezodorantlar va antiperspirantlar</v>
      </c>
      <c r="B1799" s="35" t="s">
        <v>3165</v>
      </c>
      <c r="C1799" s="35" t="s">
        <v>4931</v>
      </c>
      <c r="D1799" s="35" t="s">
        <v>3760</v>
      </c>
      <c r="E1799" s="35" t="s">
        <v>5095</v>
      </c>
      <c r="F1799" s="36">
        <v>0.2</v>
      </c>
      <c r="G1799" s="31"/>
      <c r="H1799" s="31"/>
      <c r="I1799" s="31"/>
      <c r="J1799" s="31"/>
      <c r="K1799" s="31"/>
    </row>
    <row r="1800" spans="1:11" ht="14.4" x14ac:dyDescent="0.3">
      <c r="A1800" s="28" t="str">
        <f>B1800&amp;C1800&amp;D1800&amp;E1800</f>
        <v>Goʻzallik va parvarishMakiyajYuzBB va DD kremlari</v>
      </c>
      <c r="B1800" s="35" t="s">
        <v>3165</v>
      </c>
      <c r="C1800" s="35" t="s">
        <v>3405</v>
      </c>
      <c r="D1800" s="35" t="s">
        <v>4952</v>
      </c>
      <c r="E1800" s="35" t="s">
        <v>5096</v>
      </c>
      <c r="F1800" s="36">
        <v>0.2</v>
      </c>
      <c r="G1800" s="31"/>
      <c r="H1800" s="31"/>
      <c r="I1800" s="31"/>
      <c r="J1800" s="31"/>
      <c r="K1800" s="31"/>
    </row>
    <row r="1801" spans="1:11" ht="14.4" x14ac:dyDescent="0.3">
      <c r="A1801" s="28" t="str">
        <f>B1801&amp;C1801&amp;D1801&amp;E1801</f>
        <v>Goʻzallik va parvarishGo'zallik to'plamlariYuz uchun toʻplamlarYuz uchun toʻplamlar</v>
      </c>
      <c r="B1801" s="35" t="s">
        <v>3165</v>
      </c>
      <c r="C1801" s="35" t="s">
        <v>4944</v>
      </c>
      <c r="D1801" s="35" t="s">
        <v>5097</v>
      </c>
      <c r="E1801" s="35" t="s">
        <v>5097</v>
      </c>
      <c r="F1801" s="36">
        <v>0.2</v>
      </c>
      <c r="G1801" s="31"/>
      <c r="H1801" s="31"/>
      <c r="I1801" s="31"/>
      <c r="J1801" s="31"/>
      <c r="K1801" s="31"/>
    </row>
    <row r="1802" spans="1:11" ht="14.4" x14ac:dyDescent="0.3">
      <c r="A1802" s="28" t="str">
        <f>B1802&amp;C1802&amp;D1802&amp;E1802</f>
        <v>Goʻzallik va parvarishMakiyajKoʻzlarKiprik oʻstirish</v>
      </c>
      <c r="B1802" s="35" t="s">
        <v>3165</v>
      </c>
      <c r="C1802" s="35" t="s">
        <v>3405</v>
      </c>
      <c r="D1802" s="35" t="s">
        <v>4959</v>
      </c>
      <c r="E1802" s="35" t="s">
        <v>5098</v>
      </c>
      <c r="F1802" s="36">
        <v>0.2</v>
      </c>
      <c r="G1802" s="31"/>
      <c r="H1802" s="31"/>
      <c r="I1802" s="31"/>
      <c r="J1802" s="31"/>
      <c r="K1802" s="31"/>
    </row>
    <row r="1803" spans="1:11" ht="14.4" x14ac:dyDescent="0.3">
      <c r="A1803" s="28" t="str">
        <f>B1803&amp;C1803&amp;D1803&amp;E1803</f>
        <v>Goʻzallik va parvarishSochlar parvarishiTurmaklash uchun vositalarUpalar</v>
      </c>
      <c r="B1803" s="35" t="s">
        <v>3165</v>
      </c>
      <c r="C1803" s="35" t="s">
        <v>3785</v>
      </c>
      <c r="D1803" s="35" t="s">
        <v>4978</v>
      </c>
      <c r="E1803" s="35" t="s">
        <v>5076</v>
      </c>
      <c r="F1803" s="36">
        <v>0.2</v>
      </c>
      <c r="G1803" s="31"/>
      <c r="H1803" s="31"/>
      <c r="I1803" s="31"/>
      <c r="J1803" s="31"/>
      <c r="K1803" s="31"/>
    </row>
    <row r="1804" spans="1:11" ht="14.4" x14ac:dyDescent="0.3">
      <c r="A1804" s="28" t="str">
        <f>B1804&amp;C1804&amp;D1804&amp;E1804</f>
        <v>Goʻzallik va parvarishMakiyajKoʻzlarKoʻz uchun podvodkalar va konturlar</v>
      </c>
      <c r="B1804" s="35" t="s">
        <v>3165</v>
      </c>
      <c r="C1804" s="35" t="s">
        <v>3405</v>
      </c>
      <c r="D1804" s="35" t="s">
        <v>4959</v>
      </c>
      <c r="E1804" s="35" t="s">
        <v>5099</v>
      </c>
      <c r="F1804" s="36">
        <v>0.2</v>
      </c>
      <c r="G1804" s="31"/>
      <c r="H1804" s="31"/>
      <c r="I1804" s="31"/>
      <c r="J1804" s="31"/>
      <c r="K1804" s="31"/>
    </row>
    <row r="1805" spans="1:11" ht="14.4" x14ac:dyDescent="0.3">
      <c r="A1805" s="28" t="str">
        <f>B1805&amp;C1805&amp;D1805&amp;E1805</f>
        <v>Goʻzallik va parvarishSochlar parvarishiBoʻyash va kimyoviy jingalak qilishBo'yash uchun cho'tkalar va aksessuarlar</v>
      </c>
      <c r="B1805" s="35" t="s">
        <v>3165</v>
      </c>
      <c r="C1805" s="35" t="s">
        <v>3785</v>
      </c>
      <c r="D1805" s="35" t="s">
        <v>4934</v>
      </c>
      <c r="E1805" s="35" t="s">
        <v>5100</v>
      </c>
      <c r="F1805" s="36">
        <v>0.2</v>
      </c>
      <c r="G1805" s="31"/>
      <c r="H1805" s="31"/>
      <c r="I1805" s="31"/>
      <c r="J1805" s="31"/>
      <c r="K1805" s="31"/>
    </row>
    <row r="1806" spans="1:11" ht="14.4" x14ac:dyDescent="0.3">
      <c r="A1806" s="28" t="str">
        <f>B1806&amp;C1806&amp;D1806&amp;E1806</f>
        <v>Goʻzallik va parvarishProfessional kosmetikaSochlar parvarishiSochlar parvarishi</v>
      </c>
      <c r="B1806" s="35" t="s">
        <v>3165</v>
      </c>
      <c r="C1806" s="35" t="s">
        <v>5014</v>
      </c>
      <c r="D1806" s="35" t="s">
        <v>3785</v>
      </c>
      <c r="E1806" s="35" t="s">
        <v>3785</v>
      </c>
      <c r="F1806" s="36">
        <v>0.2</v>
      </c>
      <c r="G1806" s="31"/>
      <c r="H1806" s="31"/>
      <c r="I1806" s="31"/>
      <c r="J1806" s="31"/>
      <c r="K1806" s="31"/>
    </row>
    <row r="1807" spans="1:11" ht="14.4" x14ac:dyDescent="0.3">
      <c r="A1807" s="28" t="str">
        <f>B1807&amp;C1807&amp;D1807&amp;E1807</f>
        <v>Goʻzallik va parvarishErkaklar uchunSoch uchunTurmaklash uchun vositalar</v>
      </c>
      <c r="B1807" s="35" t="s">
        <v>3165</v>
      </c>
      <c r="C1807" s="35" t="s">
        <v>4931</v>
      </c>
      <c r="D1807" s="35" t="s">
        <v>5030</v>
      </c>
      <c r="E1807" s="35" t="s">
        <v>4978</v>
      </c>
      <c r="F1807" s="36">
        <v>0.2</v>
      </c>
      <c r="G1807" s="31"/>
      <c r="H1807" s="31"/>
      <c r="I1807" s="31"/>
      <c r="J1807" s="31"/>
      <c r="K1807" s="31"/>
    </row>
    <row r="1808" spans="1:11" ht="14.4" x14ac:dyDescent="0.3">
      <c r="A1808" s="28" t="str">
        <f>B1808&amp;C1808&amp;D1808&amp;E1808</f>
        <v>Goʻzallik va parvarishSochlar parvarishiTozalash va parvarish uchun vositalarShampunlar</v>
      </c>
      <c r="B1808" s="35" t="s">
        <v>3165</v>
      </c>
      <c r="C1808" s="35" t="s">
        <v>3785</v>
      </c>
      <c r="D1808" s="35" t="s">
        <v>4956</v>
      </c>
      <c r="E1808" s="35" t="s">
        <v>5088</v>
      </c>
      <c r="F1808" s="36">
        <v>0.2</v>
      </c>
      <c r="G1808" s="31"/>
      <c r="H1808" s="31"/>
      <c r="I1808" s="31"/>
      <c r="J1808" s="31"/>
      <c r="K1808" s="31"/>
    </row>
    <row r="1809" spans="1:11" ht="14.4" x14ac:dyDescent="0.3">
      <c r="A1809" s="28" t="str">
        <f>B1809&amp;C1809&amp;D1809&amp;E1809</f>
        <v>Goʻzallik va parvarishKoreya kosmetikasiYuz parvarishiQuyoshdan himoya qiluvchi kremlar</v>
      </c>
      <c r="B1809" s="35" t="s">
        <v>3165</v>
      </c>
      <c r="C1809" s="35" t="s">
        <v>4946</v>
      </c>
      <c r="D1809" s="35" t="s">
        <v>4939</v>
      </c>
      <c r="E1809" s="35" t="s">
        <v>5101</v>
      </c>
      <c r="F1809" s="36">
        <v>0.2</v>
      </c>
      <c r="G1809" s="31"/>
      <c r="H1809" s="31"/>
      <c r="I1809" s="31"/>
      <c r="J1809" s="31"/>
      <c r="K1809" s="31"/>
    </row>
    <row r="1810" spans="1:11" ht="14.4" x14ac:dyDescent="0.3">
      <c r="A1810" s="28" t="str">
        <f>B1810&amp;C1810&amp;D1810&amp;E1810</f>
        <v>Goʻzallik va parvarishSochlar parvarishiTurmaklash uchun vositalarSochlarni tarash uchun suv</v>
      </c>
      <c r="B1810" s="35" t="s">
        <v>3165</v>
      </c>
      <c r="C1810" s="35" t="s">
        <v>3785</v>
      </c>
      <c r="D1810" s="35" t="s">
        <v>4978</v>
      </c>
      <c r="E1810" s="35" t="s">
        <v>5102</v>
      </c>
      <c r="F1810" s="36">
        <v>0.2</v>
      </c>
      <c r="G1810" s="31"/>
      <c r="H1810" s="31"/>
      <c r="I1810" s="31"/>
      <c r="J1810" s="31"/>
      <c r="K1810" s="31"/>
    </row>
    <row r="1811" spans="1:11" ht="14.4" x14ac:dyDescent="0.3">
      <c r="A1811" s="28" t="str">
        <f>B1811&amp;C1811&amp;D1811&amp;E1811</f>
        <v>Goʻzallik va parvarishTana parvarishiQuyoshda toblanish va quyoshdan himoyaQuyoshda toblangandan keyin suriladigan vositalar</v>
      </c>
      <c r="B1811" s="35" t="s">
        <v>3165</v>
      </c>
      <c r="C1811" s="35" t="s">
        <v>3760</v>
      </c>
      <c r="D1811" s="35" t="s">
        <v>4968</v>
      </c>
      <c r="E1811" s="35" t="s">
        <v>5103</v>
      </c>
      <c r="F1811" s="36">
        <v>0.2</v>
      </c>
      <c r="G1811" s="31"/>
      <c r="H1811" s="31"/>
      <c r="I1811" s="31"/>
      <c r="J1811" s="31"/>
      <c r="K1811" s="31"/>
    </row>
    <row r="1812" spans="1:11" ht="14.4" x14ac:dyDescent="0.3">
      <c r="A1812" s="28" t="str">
        <f>B1812&amp;C1812&amp;D1812&amp;E1812</f>
        <v>Goʻzallik va parvarishShaxsiy gigiyenaDepilyatsiya va epilyatsiyaDepilatsiya uchun to'plamlar</v>
      </c>
      <c r="B1812" s="35" t="s">
        <v>3165</v>
      </c>
      <c r="C1812" s="35" t="s">
        <v>4936</v>
      </c>
      <c r="D1812" s="35" t="s">
        <v>4970</v>
      </c>
      <c r="E1812" s="35" t="s">
        <v>5104</v>
      </c>
      <c r="F1812" s="36">
        <v>0.2</v>
      </c>
      <c r="G1812" s="31"/>
      <c r="H1812" s="31"/>
      <c r="I1812" s="31"/>
      <c r="J1812" s="31"/>
      <c r="K1812" s="31"/>
    </row>
    <row r="1813" spans="1:11" ht="14.4" x14ac:dyDescent="0.3">
      <c r="A1813" s="28" t="str">
        <f>B1813&amp;C1813&amp;D1813&amp;E1813</f>
        <v>Goʻzallik va parvarishTana parvarishiNamlash va oziqlantirishGellar va musslar</v>
      </c>
      <c r="B1813" s="35" t="s">
        <v>3165</v>
      </c>
      <c r="C1813" s="35" t="s">
        <v>3760</v>
      </c>
      <c r="D1813" s="35" t="s">
        <v>4940</v>
      </c>
      <c r="E1813" s="35" t="s">
        <v>5105</v>
      </c>
      <c r="F1813" s="36">
        <v>0.2</v>
      </c>
      <c r="G1813" s="31"/>
      <c r="H1813" s="31"/>
      <c r="I1813" s="31"/>
      <c r="J1813" s="31"/>
      <c r="K1813" s="31"/>
    </row>
    <row r="1814" spans="1:11" ht="14.4" x14ac:dyDescent="0.3">
      <c r="A1814" s="28" t="str">
        <f>B1814&amp;C1814&amp;D1814&amp;E1814</f>
        <v>Goʻzallik va parvarishTana parvarishiSellyulitga va choʻzilishga qarshi vositalarSellyulitga qarshi vosita</v>
      </c>
      <c r="B1814" s="35" t="s">
        <v>3165</v>
      </c>
      <c r="C1814" s="35" t="s">
        <v>3760</v>
      </c>
      <c r="D1814" s="35" t="s">
        <v>5106</v>
      </c>
      <c r="E1814" s="35" t="s">
        <v>5107</v>
      </c>
      <c r="F1814" s="36">
        <v>0.2</v>
      </c>
      <c r="G1814" s="31"/>
      <c r="H1814" s="31"/>
      <c r="I1814" s="31"/>
      <c r="J1814" s="31"/>
      <c r="K1814" s="31"/>
    </row>
    <row r="1815" spans="1:11" ht="14.4" x14ac:dyDescent="0.3">
      <c r="A1815" s="28" t="str">
        <f>B1815&amp;C1815&amp;D1815&amp;E1815</f>
        <v>Goʻzallik va parvarishMakiyajQoshlarQosh uchun shtamplar</v>
      </c>
      <c r="B1815" s="35" t="s">
        <v>3165</v>
      </c>
      <c r="C1815" s="35" t="s">
        <v>3405</v>
      </c>
      <c r="D1815" s="35" t="s">
        <v>4976</v>
      </c>
      <c r="E1815" s="35" t="s">
        <v>5108</v>
      </c>
      <c r="F1815" s="36">
        <v>0.2</v>
      </c>
      <c r="G1815" s="31"/>
      <c r="H1815" s="31"/>
      <c r="I1815" s="31"/>
      <c r="J1815" s="31"/>
      <c r="K1815" s="31"/>
    </row>
    <row r="1816" spans="1:11" ht="14.4" x14ac:dyDescent="0.3">
      <c r="A1816" s="28" t="str">
        <f>B1816&amp;C1816&amp;D1816&amp;E1816</f>
        <v>Goʻzallik va parvarishErkaklar uchunSoqol va moʻylovlar uchunSoqol va mo'ylov uchun balzamlar</v>
      </c>
      <c r="B1816" s="35" t="s">
        <v>3165</v>
      </c>
      <c r="C1816" s="35" t="s">
        <v>4931</v>
      </c>
      <c r="D1816" s="35" t="s">
        <v>4963</v>
      </c>
      <c r="E1816" s="35" t="s">
        <v>5109</v>
      </c>
      <c r="F1816" s="36">
        <v>0.2</v>
      </c>
      <c r="G1816" s="31"/>
      <c r="H1816" s="31"/>
      <c r="I1816" s="31"/>
      <c r="J1816" s="31"/>
      <c r="K1816" s="31"/>
    </row>
    <row r="1817" spans="1:11" ht="14.4" x14ac:dyDescent="0.3">
      <c r="A1817" s="28" t="str">
        <f>B1817&amp;C1817&amp;D1817&amp;E1817</f>
        <v>Goʻzallik va parvarishMakiyajLablarBlesklar</v>
      </c>
      <c r="B1817" s="35" t="s">
        <v>3165</v>
      </c>
      <c r="C1817" s="35" t="s">
        <v>3405</v>
      </c>
      <c r="D1817" s="35" t="s">
        <v>5020</v>
      </c>
      <c r="E1817" s="35" t="s">
        <v>5110</v>
      </c>
      <c r="F1817" s="36">
        <v>0.2</v>
      </c>
      <c r="G1817" s="31"/>
      <c r="H1817" s="31"/>
      <c r="I1817" s="31"/>
      <c r="J1817" s="31"/>
      <c r="K1817" s="31"/>
    </row>
    <row r="1818" spans="1:11" ht="14.4" x14ac:dyDescent="0.3">
      <c r="A1818" s="28" t="str">
        <f>B1818&amp;C1818&amp;D1818&amp;E1818</f>
        <v>Goʻzallik va parvarishMakiyajQoshlarQoshlar uchun podvodkalar</v>
      </c>
      <c r="B1818" s="35" t="s">
        <v>3165</v>
      </c>
      <c r="C1818" s="35" t="s">
        <v>3405</v>
      </c>
      <c r="D1818" s="35" t="s">
        <v>4976</v>
      </c>
      <c r="E1818" s="35" t="s">
        <v>5111</v>
      </c>
      <c r="F1818" s="36">
        <v>0.2</v>
      </c>
      <c r="G1818" s="31"/>
      <c r="H1818" s="31"/>
      <c r="I1818" s="31"/>
      <c r="J1818" s="31"/>
      <c r="K1818" s="31"/>
    </row>
    <row r="1819" spans="1:11" ht="14.4" x14ac:dyDescent="0.3">
      <c r="A1819" s="28" t="str">
        <f>B1819&amp;C1819&amp;D1819&amp;E1819</f>
        <v>Goʻzallik va parvarishManikyur va pedikyurManikyur anjomlariTirnoqlar uchun apelsin tayoqchalari va salfetkalar</v>
      </c>
      <c r="B1819" s="35" t="s">
        <v>3165</v>
      </c>
      <c r="C1819" s="35" t="s">
        <v>3767</v>
      </c>
      <c r="D1819" s="35" t="s">
        <v>3779</v>
      </c>
      <c r="E1819" s="35" t="s">
        <v>5112</v>
      </c>
      <c r="F1819" s="36">
        <v>0.2</v>
      </c>
      <c r="G1819" s="31"/>
      <c r="H1819" s="31"/>
      <c r="I1819" s="31"/>
      <c r="J1819" s="31"/>
      <c r="K1819" s="31"/>
    </row>
    <row r="1820" spans="1:11" ht="14.4" x14ac:dyDescent="0.3">
      <c r="A1820" s="28" t="str">
        <f>B1820&amp;C1820&amp;D1820&amp;E1820</f>
        <v>Goʻzallik va parvarishYuz parvarishiLablar parvarishi uchunGigienik lab bo'yog'lari</v>
      </c>
      <c r="B1820" s="35" t="s">
        <v>3165</v>
      </c>
      <c r="C1820" s="35" t="s">
        <v>4939</v>
      </c>
      <c r="D1820" s="35" t="s">
        <v>5056</v>
      </c>
      <c r="E1820" s="35" t="s">
        <v>5113</v>
      </c>
      <c r="F1820" s="36">
        <v>0.2</v>
      </c>
      <c r="G1820" s="31"/>
      <c r="H1820" s="31"/>
      <c r="I1820" s="31"/>
      <c r="J1820" s="31"/>
      <c r="K1820" s="31"/>
    </row>
    <row r="1821" spans="1:11" ht="14.4" x14ac:dyDescent="0.3">
      <c r="A1821" s="28" t="str">
        <f>B1821&amp;C1821&amp;D1821&amp;E1821</f>
        <v>Goʻzallik va parvarishTana parvarishiNamlash va oziqlantirishNiqoblar va oʻramlar</v>
      </c>
      <c r="B1821" s="35" t="s">
        <v>3165</v>
      </c>
      <c r="C1821" s="35" t="s">
        <v>3760</v>
      </c>
      <c r="D1821" s="35" t="s">
        <v>4940</v>
      </c>
      <c r="E1821" s="35" t="s">
        <v>5114</v>
      </c>
      <c r="F1821" s="36">
        <v>0.2</v>
      </c>
      <c r="G1821" s="31"/>
      <c r="H1821" s="31"/>
      <c r="I1821" s="31"/>
      <c r="J1821" s="31"/>
      <c r="K1821" s="31"/>
    </row>
    <row r="1822" spans="1:11" ht="14.4" x14ac:dyDescent="0.3">
      <c r="A1822" s="28" t="str">
        <f>B1822&amp;C1822&amp;D1822&amp;E1822</f>
        <v>Goʻzallik va parvarishYuz parvarishiNiqoblarLoy</v>
      </c>
      <c r="B1822" s="35" t="s">
        <v>3165</v>
      </c>
      <c r="C1822" s="35" t="s">
        <v>4939</v>
      </c>
      <c r="D1822" s="35" t="s">
        <v>3525</v>
      </c>
      <c r="E1822" s="35" t="s">
        <v>5073</v>
      </c>
      <c r="F1822" s="36">
        <v>0.2</v>
      </c>
      <c r="G1822" s="31"/>
      <c r="H1822" s="31"/>
      <c r="I1822" s="31"/>
      <c r="J1822" s="31"/>
      <c r="K1822" s="31"/>
    </row>
    <row r="1823" spans="1:11" ht="14.4" x14ac:dyDescent="0.3">
      <c r="A1823" s="28" t="str">
        <f>B1823&amp;C1823&amp;D1823&amp;E1823</f>
        <v>Goʻzallik va parvarishYuz parvarishiNiqoblarAlginat, gel va krem niqoblar</v>
      </c>
      <c r="B1823" s="35" t="s">
        <v>3165</v>
      </c>
      <c r="C1823" s="35" t="s">
        <v>4939</v>
      </c>
      <c r="D1823" s="35" t="s">
        <v>3525</v>
      </c>
      <c r="E1823" s="35" t="s">
        <v>5115</v>
      </c>
      <c r="F1823" s="36">
        <v>0.2</v>
      </c>
      <c r="G1823" s="31"/>
      <c r="H1823" s="31"/>
      <c r="I1823" s="31"/>
      <c r="J1823" s="31"/>
      <c r="K1823" s="31"/>
    </row>
    <row r="1824" spans="1:11" ht="14.4" x14ac:dyDescent="0.3">
      <c r="A1824" s="28" t="str">
        <f>B1824&amp;C1824&amp;D1824&amp;E1824</f>
        <v>Goʻzallik va parvarishTana parvarishiSellyulitga va choʻzilishga qarshi vositalarTerining choʻzilib ketishidan himoya vosita</v>
      </c>
      <c r="B1824" s="35" t="s">
        <v>3165</v>
      </c>
      <c r="C1824" s="35" t="s">
        <v>3760</v>
      </c>
      <c r="D1824" s="35" t="s">
        <v>5106</v>
      </c>
      <c r="E1824" s="35" t="s">
        <v>5116</v>
      </c>
      <c r="F1824" s="36">
        <v>0.2</v>
      </c>
      <c r="G1824" s="31"/>
      <c r="H1824" s="31"/>
      <c r="I1824" s="31"/>
      <c r="J1824" s="31"/>
      <c r="K1824" s="31"/>
    </row>
    <row r="1825" spans="1:11" ht="14.4" x14ac:dyDescent="0.3">
      <c r="A1825" s="28" t="str">
        <f>B1825&amp;C1825&amp;D1825&amp;E1825</f>
        <v>Goʻzallik va parvarishManikyur va pedikyurDavolovchi va parvarishlovchi tovarlarTirnoqlar uchun yog'lar va zardoblar</v>
      </c>
      <c r="B1825" s="35" t="s">
        <v>3165</v>
      </c>
      <c r="C1825" s="35" t="s">
        <v>3767</v>
      </c>
      <c r="D1825" s="35" t="s">
        <v>5117</v>
      </c>
      <c r="E1825" s="35" t="s">
        <v>5118</v>
      </c>
      <c r="F1825" s="36">
        <v>0.2</v>
      </c>
      <c r="G1825" s="31"/>
      <c r="H1825" s="31"/>
      <c r="I1825" s="31"/>
      <c r="J1825" s="31"/>
      <c r="K1825" s="31"/>
    </row>
    <row r="1826" spans="1:11" ht="14.4" x14ac:dyDescent="0.3">
      <c r="A1826" s="28" t="str">
        <f>B1826&amp;C1826&amp;D1826&amp;E1826</f>
        <v>Goʻzallik va parvarishSochlar parvarishiTurmaklash uchun vositalarMusslar va koʻpiklar</v>
      </c>
      <c r="B1826" s="35" t="s">
        <v>3165</v>
      </c>
      <c r="C1826" s="35" t="s">
        <v>3785</v>
      </c>
      <c r="D1826" s="35" t="s">
        <v>4978</v>
      </c>
      <c r="E1826" s="35" t="s">
        <v>5119</v>
      </c>
      <c r="F1826" s="36">
        <v>0.2</v>
      </c>
      <c r="G1826" s="31"/>
      <c r="H1826" s="31"/>
      <c r="I1826" s="31"/>
      <c r="J1826" s="31"/>
      <c r="K1826" s="31"/>
    </row>
    <row r="1827" spans="1:11" ht="14.4" x14ac:dyDescent="0.3">
      <c r="A1827" s="28" t="str">
        <f>B1827&amp;C1827&amp;D1827&amp;E1827</f>
        <v>Goʻzallik va parvarishManikyur va pedikyurManikyur anjomlariStemping uchun shtamplar</v>
      </c>
      <c r="B1827" s="35" t="s">
        <v>3165</v>
      </c>
      <c r="C1827" s="35" t="s">
        <v>3767</v>
      </c>
      <c r="D1827" s="35" t="s">
        <v>3779</v>
      </c>
      <c r="E1827" s="35" t="s">
        <v>5120</v>
      </c>
      <c r="F1827" s="36">
        <v>0.2</v>
      </c>
      <c r="G1827" s="31"/>
      <c r="H1827" s="31"/>
      <c r="I1827" s="31"/>
      <c r="J1827" s="31"/>
      <c r="K1827" s="31"/>
    </row>
    <row r="1828" spans="1:11" ht="14.4" x14ac:dyDescent="0.3">
      <c r="A1828" s="28" t="str">
        <f>B1828&amp;C1828&amp;D1828&amp;E1828</f>
        <v>Goʻzallik va parvarishMakiyajKoʻzlarKoʻz uchun qalamlar, konturlar</v>
      </c>
      <c r="B1828" s="35" t="s">
        <v>3165</v>
      </c>
      <c r="C1828" s="35" t="s">
        <v>3405</v>
      </c>
      <c r="D1828" s="35" t="s">
        <v>4959</v>
      </c>
      <c r="E1828" s="35" t="s">
        <v>5121</v>
      </c>
      <c r="F1828" s="36">
        <v>0.2</v>
      </c>
      <c r="G1828" s="31"/>
      <c r="H1828" s="31"/>
      <c r="I1828" s="31"/>
      <c r="J1828" s="31"/>
      <c r="K1828" s="31"/>
    </row>
    <row r="1829" spans="1:11" ht="14.4" x14ac:dyDescent="0.3">
      <c r="A1829" s="28" t="str">
        <f>B1829&amp;C1829&amp;D1829&amp;E1829</f>
        <v>Goʻzallik va parvarishSochlar parvarishiBoʻyash va kimyoviy jingalak qilishRangni ketkazish uchun vositalar</v>
      </c>
      <c r="B1829" s="35" t="s">
        <v>3165</v>
      </c>
      <c r="C1829" s="35" t="s">
        <v>3785</v>
      </c>
      <c r="D1829" s="35" t="s">
        <v>4934</v>
      </c>
      <c r="E1829" s="35" t="s">
        <v>5122</v>
      </c>
      <c r="F1829" s="36">
        <v>0.2</v>
      </c>
      <c r="G1829" s="31"/>
      <c r="H1829" s="31"/>
      <c r="I1829" s="31"/>
      <c r="J1829" s="31"/>
      <c r="K1829" s="31"/>
    </row>
    <row r="1830" spans="1:11" ht="14.4" x14ac:dyDescent="0.3">
      <c r="A1830" s="28" t="str">
        <f>B1830&amp;C1830&amp;D1830&amp;E1830</f>
        <v>Goʻzallik va parvarishTana parvarishiDush va vanna uchun vositalarVanna uchun yogʻ</v>
      </c>
      <c r="B1830" s="35" t="s">
        <v>3165</v>
      </c>
      <c r="C1830" s="35" t="s">
        <v>3760</v>
      </c>
      <c r="D1830" s="35" t="s">
        <v>4954</v>
      </c>
      <c r="E1830" s="35" t="s">
        <v>5123</v>
      </c>
      <c r="F1830" s="36">
        <v>0.2</v>
      </c>
      <c r="G1830" s="31"/>
      <c r="H1830" s="31"/>
      <c r="I1830" s="31"/>
      <c r="J1830" s="31"/>
      <c r="K1830" s="31"/>
    </row>
    <row r="1831" spans="1:11" ht="14.4" x14ac:dyDescent="0.3">
      <c r="A1831" s="28" t="str">
        <f>B1831&amp;C1831&amp;D1831&amp;E1831</f>
        <v>Goʻzallik va parvarishShaxsiy gigiyenaIntim gigiyenaIntim gigiyenasi uchun vositalar</v>
      </c>
      <c r="B1831" s="35" t="s">
        <v>3165</v>
      </c>
      <c r="C1831" s="35" t="s">
        <v>4936</v>
      </c>
      <c r="D1831" s="35" t="s">
        <v>4949</v>
      </c>
      <c r="E1831" s="35" t="s">
        <v>5124</v>
      </c>
      <c r="F1831" s="36">
        <v>0.2</v>
      </c>
      <c r="G1831" s="31"/>
      <c r="H1831" s="31"/>
      <c r="I1831" s="31"/>
      <c r="J1831" s="31"/>
      <c r="K1831" s="31"/>
    </row>
    <row r="1832" spans="1:11" ht="14.4" x14ac:dyDescent="0.3">
      <c r="A1832" s="28" t="str">
        <f>B1832&amp;C1832&amp;D1832&amp;E1832</f>
        <v>Goʻzallik va parvarishMakiyajYuzKonturing uchun paletkalar va stiklar</v>
      </c>
      <c r="B1832" s="35" t="s">
        <v>3165</v>
      </c>
      <c r="C1832" s="35" t="s">
        <v>3405</v>
      </c>
      <c r="D1832" s="35" t="s">
        <v>4952</v>
      </c>
      <c r="E1832" s="35" t="s">
        <v>5125</v>
      </c>
      <c r="F1832" s="36">
        <v>0.2</v>
      </c>
      <c r="G1832" s="31"/>
      <c r="H1832" s="31"/>
      <c r="I1832" s="31"/>
      <c r="J1832" s="31"/>
      <c r="K1832" s="31"/>
    </row>
    <row r="1833" spans="1:11" ht="14.4" x14ac:dyDescent="0.3">
      <c r="A1833" s="28" t="str">
        <f>B1833&amp;C1833&amp;D1833&amp;E1833</f>
        <v>Goʻzallik va parvarishShaxsiy gigiyenaIntim gigiyenaProkladkalar va tamponlar</v>
      </c>
      <c r="B1833" s="35" t="s">
        <v>3165</v>
      </c>
      <c r="C1833" s="35" t="s">
        <v>4936</v>
      </c>
      <c r="D1833" s="35" t="s">
        <v>4949</v>
      </c>
      <c r="E1833" s="35" t="s">
        <v>5126</v>
      </c>
      <c r="F1833" s="36">
        <v>0.2</v>
      </c>
      <c r="G1833" s="31"/>
      <c r="H1833" s="31"/>
      <c r="I1833" s="31"/>
      <c r="J1833" s="31"/>
      <c r="K1833" s="31"/>
    </row>
    <row r="1834" spans="1:11" ht="14.4" x14ac:dyDescent="0.3">
      <c r="A1834" s="28" t="str">
        <f>B1834&amp;C1834&amp;D1834&amp;E1834</f>
        <v>Goʻzallik va parvarishYuz parvarishiLablar parvarishi uchunLablar uchun balzamlar</v>
      </c>
      <c r="B1834" s="35" t="s">
        <v>3165</v>
      </c>
      <c r="C1834" s="35" t="s">
        <v>4939</v>
      </c>
      <c r="D1834" s="35" t="s">
        <v>5056</v>
      </c>
      <c r="E1834" s="35" t="s">
        <v>5127</v>
      </c>
      <c r="F1834" s="36">
        <v>0.2</v>
      </c>
      <c r="G1834" s="31"/>
      <c r="H1834" s="31"/>
      <c r="I1834" s="31"/>
      <c r="J1834" s="31"/>
      <c r="K1834" s="31"/>
    </row>
    <row r="1835" spans="1:11" ht="14.4" x14ac:dyDescent="0.3">
      <c r="A1835" s="28" t="str">
        <f>B1835&amp;C1835&amp;D1835&amp;E1835</f>
        <v>Goʻzallik va parvarishMakiyajQoshlarQosh uchun pomadalar</v>
      </c>
      <c r="B1835" s="35" t="s">
        <v>3165</v>
      </c>
      <c r="C1835" s="35" t="s">
        <v>3405</v>
      </c>
      <c r="D1835" s="35" t="s">
        <v>4976</v>
      </c>
      <c r="E1835" s="35" t="s">
        <v>5128</v>
      </c>
      <c r="F1835" s="36">
        <v>0.2</v>
      </c>
      <c r="G1835" s="31"/>
      <c r="H1835" s="31"/>
      <c r="I1835" s="31"/>
      <c r="J1835" s="31"/>
      <c r="K1835" s="31"/>
    </row>
    <row r="1836" spans="1:11" ht="14.4" x14ac:dyDescent="0.3">
      <c r="A1836" s="28" t="str">
        <f>B1836&amp;C1836&amp;D1836&amp;E1836</f>
        <v>Goʻzallik va parvarishMakiyajQoshlarQoshlar uchun tushlar</v>
      </c>
      <c r="B1836" s="35" t="s">
        <v>3165</v>
      </c>
      <c r="C1836" s="35" t="s">
        <v>3405</v>
      </c>
      <c r="D1836" s="35" t="s">
        <v>4976</v>
      </c>
      <c r="E1836" s="35" t="s">
        <v>5129</v>
      </c>
      <c r="F1836" s="36">
        <v>0.2</v>
      </c>
      <c r="G1836" s="31"/>
      <c r="H1836" s="31"/>
      <c r="I1836" s="31"/>
      <c r="J1836" s="31"/>
      <c r="K1836" s="31"/>
    </row>
    <row r="1837" spans="1:11" ht="14.4" x14ac:dyDescent="0.3">
      <c r="A1837" s="28" t="str">
        <f>B1837&amp;C1837&amp;D1837&amp;E1837</f>
        <v>Goʻzallik va parvarishErkaklar uchunSoqol va moʻylovlar uchunSoqol va mo'ylov tozalash uchun gellar</v>
      </c>
      <c r="B1837" s="35" t="s">
        <v>3165</v>
      </c>
      <c r="C1837" s="35" t="s">
        <v>4931</v>
      </c>
      <c r="D1837" s="35" t="s">
        <v>4963</v>
      </c>
      <c r="E1837" s="35" t="s">
        <v>5130</v>
      </c>
      <c r="F1837" s="36">
        <v>0.2</v>
      </c>
      <c r="G1837" s="31"/>
      <c r="H1837" s="31"/>
      <c r="I1837" s="31"/>
      <c r="J1837" s="31"/>
      <c r="K1837" s="31"/>
    </row>
    <row r="1838" spans="1:11" ht="14.4" x14ac:dyDescent="0.3">
      <c r="A1838" s="28" t="str">
        <f>B1838&amp;C1838&amp;D1838&amp;E1838</f>
        <v>Goʻzallik va parvarishSochlar parvarishiTozalash va parvarish uchun vositalarSkrablar</v>
      </c>
      <c r="B1838" s="35" t="s">
        <v>3165</v>
      </c>
      <c r="C1838" s="35" t="s">
        <v>3785</v>
      </c>
      <c r="D1838" s="35" t="s">
        <v>4956</v>
      </c>
      <c r="E1838" s="35" t="s">
        <v>5131</v>
      </c>
      <c r="F1838" s="36">
        <v>0.2</v>
      </c>
      <c r="G1838" s="31"/>
      <c r="H1838" s="31"/>
      <c r="I1838" s="31"/>
      <c r="J1838" s="31"/>
      <c r="K1838" s="31"/>
    </row>
    <row r="1839" spans="1:11" ht="14.4" x14ac:dyDescent="0.3">
      <c r="A1839" s="28" t="str">
        <f>B1839&amp;C1839&amp;D1839&amp;E1839</f>
        <v>Goʻzallik va parvarishYuz parvarishiTozalash va yuvishYuvinish uchun koʻpik</v>
      </c>
      <c r="B1839" s="35" t="s">
        <v>3165</v>
      </c>
      <c r="C1839" s="35" t="s">
        <v>4939</v>
      </c>
      <c r="D1839" s="35" t="s">
        <v>4942</v>
      </c>
      <c r="E1839" s="35" t="s">
        <v>4948</v>
      </c>
      <c r="F1839" s="36">
        <v>0.2</v>
      </c>
      <c r="G1839" s="31"/>
      <c r="H1839" s="31"/>
      <c r="I1839" s="31"/>
      <c r="J1839" s="31"/>
      <c r="K1839" s="31"/>
    </row>
    <row r="1840" spans="1:11" ht="14.4" x14ac:dyDescent="0.3">
      <c r="A1840" s="28" t="str">
        <f>B1840&amp;C1840&amp;D1840&amp;E1840</f>
        <v>Goʻzallik va parvarishYuz parvarishiNamlash va oziqlantirishYuz uchun eliksirlar</v>
      </c>
      <c r="B1840" s="35" t="s">
        <v>3165</v>
      </c>
      <c r="C1840" s="35" t="s">
        <v>4939</v>
      </c>
      <c r="D1840" s="35" t="s">
        <v>4940</v>
      </c>
      <c r="E1840" s="35" t="s">
        <v>5132</v>
      </c>
      <c r="F1840" s="36">
        <v>0.2</v>
      </c>
      <c r="G1840" s="31"/>
      <c r="H1840" s="31"/>
      <c r="I1840" s="31"/>
      <c r="J1840" s="31"/>
      <c r="K1840" s="31"/>
    </row>
    <row r="1841" spans="1:11" ht="14.4" x14ac:dyDescent="0.3">
      <c r="A1841" s="28" t="str">
        <f>B1841&amp;C1841&amp;D1841&amp;E1841</f>
        <v>Goʻzallik va parvarishYuz parvarishiTozalash va yuvishGidrofil moy</v>
      </c>
      <c r="B1841" s="35" t="s">
        <v>3165</v>
      </c>
      <c r="C1841" s="35" t="s">
        <v>4939</v>
      </c>
      <c r="D1841" s="35" t="s">
        <v>4942</v>
      </c>
      <c r="E1841" s="35" t="s">
        <v>5133</v>
      </c>
      <c r="F1841" s="36">
        <v>0.2</v>
      </c>
      <c r="G1841" s="31"/>
      <c r="H1841" s="31"/>
      <c r="I1841" s="31"/>
      <c r="J1841" s="31"/>
      <c r="K1841" s="31"/>
    </row>
    <row r="1842" spans="1:11" ht="14.4" x14ac:dyDescent="0.3">
      <c r="A1842" s="28" t="str">
        <f>B1842&amp;C1842&amp;D1842&amp;E1842</f>
        <v>Goʻzallik va parvarishKoreya kosmetikasiTana parvarishiMochalkalar</v>
      </c>
      <c r="B1842" s="35" t="s">
        <v>3165</v>
      </c>
      <c r="C1842" s="35" t="s">
        <v>4946</v>
      </c>
      <c r="D1842" s="35" t="s">
        <v>3760</v>
      </c>
      <c r="E1842" s="35" t="s">
        <v>3781</v>
      </c>
      <c r="F1842" s="36">
        <v>0.2</v>
      </c>
      <c r="G1842" s="31"/>
      <c r="H1842" s="31"/>
      <c r="I1842" s="31"/>
      <c r="J1842" s="31"/>
      <c r="K1842" s="31"/>
    </row>
    <row r="1843" spans="1:11" ht="14.4" x14ac:dyDescent="0.3">
      <c r="A1843" s="28" t="str">
        <f>B1843&amp;C1843&amp;D1843&amp;E1843</f>
        <v>Goʻzallik va parvarishShaxsiy gigiyenaDepilyatsiya va epilyatsiyaShugaring</v>
      </c>
      <c r="B1843" s="35" t="s">
        <v>3165</v>
      </c>
      <c r="C1843" s="35" t="s">
        <v>4936</v>
      </c>
      <c r="D1843" s="35" t="s">
        <v>4970</v>
      </c>
      <c r="E1843" s="35" t="s">
        <v>5134</v>
      </c>
      <c r="F1843" s="36">
        <v>0.2</v>
      </c>
      <c r="G1843" s="31"/>
      <c r="H1843" s="31"/>
      <c r="I1843" s="31"/>
      <c r="J1843" s="31"/>
      <c r="K1843" s="31"/>
    </row>
    <row r="1844" spans="1:11" ht="14.4" x14ac:dyDescent="0.3">
      <c r="A1844" s="28" t="str">
        <f>B1844&amp;C1844&amp;D1844&amp;E1844</f>
        <v>Goʻzallik va parvarishKoreya kosmetikasiYuz terisini tozalashGidrofil yog'lar</v>
      </c>
      <c r="B1844" s="35" t="s">
        <v>3165</v>
      </c>
      <c r="C1844" s="35" t="s">
        <v>4946</v>
      </c>
      <c r="D1844" s="35" t="s">
        <v>4989</v>
      </c>
      <c r="E1844" s="35" t="s">
        <v>5135</v>
      </c>
      <c r="F1844" s="36">
        <v>0.2</v>
      </c>
      <c r="G1844" s="31"/>
      <c r="H1844" s="31"/>
      <c r="I1844" s="31"/>
      <c r="J1844" s="31"/>
      <c r="K1844" s="31"/>
    </row>
    <row r="1845" spans="1:11" ht="14.4" x14ac:dyDescent="0.3">
      <c r="A1845" s="28" t="str">
        <f>B1845&amp;C1845&amp;D1845&amp;E1845</f>
        <v>Goʻzallik va parvarishYuz parvarishiNamlash va oziqlantirishKunduzgi kremlar</v>
      </c>
      <c r="B1845" s="35" t="s">
        <v>3165</v>
      </c>
      <c r="C1845" s="35" t="s">
        <v>4939</v>
      </c>
      <c r="D1845" s="35" t="s">
        <v>4940</v>
      </c>
      <c r="E1845" s="35" t="s">
        <v>5136</v>
      </c>
      <c r="F1845" s="36">
        <v>0.2</v>
      </c>
      <c r="G1845" s="31"/>
      <c r="H1845" s="31"/>
      <c r="I1845" s="31"/>
      <c r="J1845" s="31"/>
      <c r="K1845" s="31"/>
    </row>
    <row r="1846" spans="1:11" ht="14.4" x14ac:dyDescent="0.3">
      <c r="A1846" s="28" t="str">
        <f>B1846&amp;C1846&amp;D1846&amp;E1846</f>
        <v>Goʻzallik va parvarishSochlar parvarishiTurmaklash uchun vositalarLosyonlar</v>
      </c>
      <c r="B1846" s="35" t="s">
        <v>3165</v>
      </c>
      <c r="C1846" s="35" t="s">
        <v>3785</v>
      </c>
      <c r="D1846" s="35" t="s">
        <v>4978</v>
      </c>
      <c r="E1846" s="35" t="s">
        <v>3423</v>
      </c>
      <c r="F1846" s="36">
        <v>0.2</v>
      </c>
      <c r="G1846" s="31"/>
      <c r="H1846" s="31"/>
      <c r="I1846" s="31"/>
      <c r="J1846" s="31"/>
      <c r="K1846" s="31"/>
    </row>
    <row r="1847" spans="1:11" ht="14.4" x14ac:dyDescent="0.3">
      <c r="A1847" s="28" t="str">
        <f>B1847&amp;C1847&amp;D1847&amp;E1847</f>
        <v>Goʻzallik va parvarishShaxsiy gigiyenaDepilyatsiya va epilyatsiyaMumli epilyatsiya</v>
      </c>
      <c r="B1847" s="35" t="s">
        <v>3165</v>
      </c>
      <c r="C1847" s="35" t="s">
        <v>4936</v>
      </c>
      <c r="D1847" s="35" t="s">
        <v>4970</v>
      </c>
      <c r="E1847" s="35" t="s">
        <v>5137</v>
      </c>
      <c r="F1847" s="36">
        <v>0.2</v>
      </c>
      <c r="G1847" s="31"/>
      <c r="H1847" s="31"/>
      <c r="I1847" s="31"/>
      <c r="J1847" s="31"/>
      <c r="K1847" s="31"/>
    </row>
    <row r="1848" spans="1:11" ht="14.4" x14ac:dyDescent="0.3">
      <c r="A1848" s="28" t="str">
        <f>B1848&amp;C1848&amp;D1848&amp;E1848</f>
        <v>Goʻzallik va parvarishGo'zallik to'plamlariSochlar uchun kosmetika toʻplamlariSochlar uchun kosmetika toʻplamlari</v>
      </c>
      <c r="B1848" s="35" t="s">
        <v>3165</v>
      </c>
      <c r="C1848" s="35" t="s">
        <v>4944</v>
      </c>
      <c r="D1848" s="35" t="s">
        <v>5138</v>
      </c>
      <c r="E1848" s="35" t="s">
        <v>5138</v>
      </c>
      <c r="F1848" s="36">
        <v>0.2</v>
      </c>
      <c r="G1848" s="31"/>
      <c r="H1848" s="31"/>
      <c r="I1848" s="31"/>
      <c r="J1848" s="31"/>
      <c r="K1848" s="31"/>
    </row>
    <row r="1849" spans="1:11" ht="14.4" x14ac:dyDescent="0.3">
      <c r="A1849" s="28" t="str">
        <f>B1849&amp;C1849&amp;D1849&amp;E1849</f>
        <v>Goʻzallik va parvarishShaxsiy gigiyenaOgʻiz boʻshligʻi gigiyenasiTishlarni oqartirish</v>
      </c>
      <c r="B1849" s="35" t="s">
        <v>3165</v>
      </c>
      <c r="C1849" s="35" t="s">
        <v>4936</v>
      </c>
      <c r="D1849" s="35" t="s">
        <v>4777</v>
      </c>
      <c r="E1849" s="35" t="s">
        <v>5139</v>
      </c>
      <c r="F1849" s="36">
        <v>0.2</v>
      </c>
      <c r="G1849" s="31"/>
      <c r="H1849" s="31"/>
      <c r="I1849" s="31"/>
      <c r="J1849" s="31"/>
      <c r="K1849" s="31"/>
    </row>
    <row r="1850" spans="1:11" ht="14.4" x14ac:dyDescent="0.3">
      <c r="A1850" s="28" t="str">
        <f>B1850&amp;C1850&amp;D1850&amp;E1850</f>
        <v>Goʻzallik va parvarishSochlar parvarishiBoʻyash va kimyoviy jingalak qilishXina</v>
      </c>
      <c r="B1850" s="35" t="s">
        <v>3165</v>
      </c>
      <c r="C1850" s="35" t="s">
        <v>3785</v>
      </c>
      <c r="D1850" s="35" t="s">
        <v>4934</v>
      </c>
      <c r="E1850" s="35" t="s">
        <v>5140</v>
      </c>
      <c r="F1850" s="36">
        <v>0.2</v>
      </c>
      <c r="G1850" s="31"/>
      <c r="H1850" s="31"/>
      <c r="I1850" s="31"/>
      <c r="J1850" s="31"/>
      <c r="K1850" s="31"/>
    </row>
    <row r="1851" spans="1:11" ht="14.4" x14ac:dyDescent="0.3">
      <c r="A1851" s="28" t="str">
        <f>B1851&amp;C1851&amp;D1851&amp;E1851</f>
        <v>Goʻzallik va parvarishKoreya kosmetikasiYuz parvarishiLoy</v>
      </c>
      <c r="B1851" s="35" t="s">
        <v>3165</v>
      </c>
      <c r="C1851" s="35" t="s">
        <v>4946</v>
      </c>
      <c r="D1851" s="35" t="s">
        <v>4939</v>
      </c>
      <c r="E1851" s="35" t="s">
        <v>5073</v>
      </c>
      <c r="F1851" s="36">
        <v>0.2</v>
      </c>
      <c r="G1851" s="31"/>
      <c r="H1851" s="31"/>
      <c r="I1851" s="31"/>
      <c r="J1851" s="31"/>
      <c r="K1851" s="31"/>
    </row>
    <row r="1852" spans="1:11" ht="14.4" x14ac:dyDescent="0.3">
      <c r="A1852" s="28" t="str">
        <f>B1852&amp;C1852&amp;D1852&amp;E1852</f>
        <v>Goʻzallik va parvarishMakiyajKoʻzlarTenlar</v>
      </c>
      <c r="B1852" s="35" t="s">
        <v>3165</v>
      </c>
      <c r="C1852" s="35" t="s">
        <v>3405</v>
      </c>
      <c r="D1852" s="35" t="s">
        <v>4959</v>
      </c>
      <c r="E1852" s="35" t="s">
        <v>5141</v>
      </c>
      <c r="F1852" s="36">
        <v>0.2</v>
      </c>
      <c r="G1852" s="31"/>
      <c r="H1852" s="31"/>
      <c r="I1852" s="31"/>
      <c r="J1852" s="31"/>
      <c r="K1852" s="31"/>
    </row>
    <row r="1853" spans="1:11" ht="14.4" x14ac:dyDescent="0.3">
      <c r="A1853" s="28" t="str">
        <f>B1853&amp;C1853&amp;D1853&amp;E1853</f>
        <v>Goʻzallik va parvarishSochlar parvarishiBoʻyash va kimyoviy jingalak qilishBoʻyoqlar</v>
      </c>
      <c r="B1853" s="35" t="s">
        <v>3165</v>
      </c>
      <c r="C1853" s="35" t="s">
        <v>3785</v>
      </c>
      <c r="D1853" s="35" t="s">
        <v>4934</v>
      </c>
      <c r="E1853" s="35" t="s">
        <v>5142</v>
      </c>
      <c r="F1853" s="36">
        <v>0.2</v>
      </c>
      <c r="G1853" s="31"/>
      <c r="H1853" s="31"/>
      <c r="I1853" s="31"/>
      <c r="J1853" s="31"/>
      <c r="K1853" s="31"/>
    </row>
    <row r="1854" spans="1:11" ht="14.4" x14ac:dyDescent="0.3">
      <c r="A1854" s="28" t="str">
        <f>B1854&amp;C1854&amp;D1854&amp;E1854</f>
        <v>Goʻzallik va parvarishShaxsiy gigiyenaDepilyatsiya va epilyatsiyaMum va parafin vannalari</v>
      </c>
      <c r="B1854" s="35" t="s">
        <v>3165</v>
      </c>
      <c r="C1854" s="35" t="s">
        <v>4936</v>
      </c>
      <c r="D1854" s="35" t="s">
        <v>4970</v>
      </c>
      <c r="E1854" s="35" t="s">
        <v>5143</v>
      </c>
      <c r="F1854" s="36">
        <v>0.2</v>
      </c>
      <c r="G1854" s="31"/>
      <c r="H1854" s="31"/>
      <c r="I1854" s="31"/>
      <c r="J1854" s="31"/>
      <c r="K1854" s="31"/>
    </row>
    <row r="1855" spans="1:11" ht="14.4" x14ac:dyDescent="0.3">
      <c r="A1855" s="28" t="str">
        <f>B1855&amp;C1855&amp;D1855&amp;E1855</f>
        <v>Goʻzallik va parvarishShaxsiy gigiyenaIntim gigiyenaHayz chashkalari</v>
      </c>
      <c r="B1855" s="35" t="s">
        <v>3165</v>
      </c>
      <c r="C1855" s="35" t="s">
        <v>4936</v>
      </c>
      <c r="D1855" s="35" t="s">
        <v>4949</v>
      </c>
      <c r="E1855" s="35" t="s">
        <v>5144</v>
      </c>
      <c r="F1855" s="36">
        <v>0.2</v>
      </c>
      <c r="G1855" s="31"/>
      <c r="H1855" s="31"/>
      <c r="I1855" s="31"/>
      <c r="J1855" s="31"/>
      <c r="K1855" s="31"/>
    </row>
    <row r="1856" spans="1:11" ht="14.4" x14ac:dyDescent="0.3">
      <c r="A1856" s="28" t="str">
        <f>B1856&amp;C1856&amp;D1856&amp;E1856</f>
        <v>Goʻzallik va parvarishKoreya kosmetikasiTana parvarishiTana uchun kremlar</v>
      </c>
      <c r="B1856" s="35" t="s">
        <v>3165</v>
      </c>
      <c r="C1856" s="35" t="s">
        <v>4946</v>
      </c>
      <c r="D1856" s="35" t="s">
        <v>3760</v>
      </c>
      <c r="E1856" s="35" t="s">
        <v>4958</v>
      </c>
      <c r="F1856" s="36">
        <v>0.2</v>
      </c>
      <c r="G1856" s="31"/>
      <c r="H1856" s="31"/>
      <c r="I1856" s="31"/>
      <c r="J1856" s="31"/>
      <c r="K1856" s="31"/>
    </row>
    <row r="1857" spans="1:11" ht="14.4" x14ac:dyDescent="0.3">
      <c r="A1857" s="28" t="str">
        <f>B1857&amp;C1857&amp;D1857&amp;E1857</f>
        <v>Goʻzallik va parvarishErkaklar uchunSoqol olish uchunSoqol olishdan keyin vositalar</v>
      </c>
      <c r="B1857" s="35" t="s">
        <v>3165</v>
      </c>
      <c r="C1857" s="35" t="s">
        <v>4931</v>
      </c>
      <c r="D1857" s="35" t="s">
        <v>4932</v>
      </c>
      <c r="E1857" s="35" t="s">
        <v>5145</v>
      </c>
      <c r="F1857" s="36">
        <v>0.2</v>
      </c>
      <c r="G1857" s="31"/>
      <c r="H1857" s="31"/>
      <c r="I1857" s="31"/>
      <c r="J1857" s="31"/>
      <c r="K1857" s="31"/>
    </row>
    <row r="1858" spans="1:11" ht="14.4" x14ac:dyDescent="0.3">
      <c r="A1858" s="28" t="str">
        <f>B1858&amp;C1858&amp;D1858&amp;E1858</f>
        <v>Goʻzallik va parvarishShaxsiy gigiyenaSovunSuyuq sovun</v>
      </c>
      <c r="B1858" s="35" t="s">
        <v>3165</v>
      </c>
      <c r="C1858" s="35" t="s">
        <v>4936</v>
      </c>
      <c r="D1858" s="35" t="s">
        <v>3815</v>
      </c>
      <c r="E1858" s="35" t="s">
        <v>5146</v>
      </c>
      <c r="F1858" s="36">
        <v>0.2</v>
      </c>
      <c r="G1858" s="31"/>
      <c r="H1858" s="31"/>
      <c r="I1858" s="31"/>
      <c r="J1858" s="31"/>
      <c r="K1858" s="31"/>
    </row>
    <row r="1859" spans="1:11" ht="14.4" x14ac:dyDescent="0.3">
      <c r="A1859" s="28" t="str">
        <f>B1859&amp;C1859&amp;D1859&amp;E1859</f>
        <v>Goʻzallik va parvarishShaxsiy gigiyenaQogʻoz va paxta mahsulotlariQogʻoz sochiqlar</v>
      </c>
      <c r="B1859" s="35" t="s">
        <v>3165</v>
      </c>
      <c r="C1859" s="35" t="s">
        <v>4936</v>
      </c>
      <c r="D1859" s="35" t="s">
        <v>4996</v>
      </c>
      <c r="E1859" s="35" t="s">
        <v>5147</v>
      </c>
      <c r="F1859" s="36">
        <v>0.2</v>
      </c>
      <c r="G1859" s="31"/>
      <c r="H1859" s="31"/>
      <c r="I1859" s="31"/>
      <c r="J1859" s="31"/>
      <c r="K1859" s="31"/>
    </row>
    <row r="1860" spans="1:11" ht="14.4" x14ac:dyDescent="0.3">
      <c r="A1860" s="28" t="str">
        <f>B1860&amp;C1860&amp;D1860&amp;E1860</f>
        <v>Goʻzallik va parvarishKoreya kosmetikasiYuz parvarishiKunduzgi kremlar</v>
      </c>
      <c r="B1860" s="35" t="s">
        <v>3165</v>
      </c>
      <c r="C1860" s="35" t="s">
        <v>4946</v>
      </c>
      <c r="D1860" s="35" t="s">
        <v>4939</v>
      </c>
      <c r="E1860" s="35" t="s">
        <v>5136</v>
      </c>
      <c r="F1860" s="36">
        <v>0.2</v>
      </c>
      <c r="G1860" s="31"/>
      <c r="H1860" s="31"/>
      <c r="I1860" s="31"/>
      <c r="J1860" s="31"/>
      <c r="K1860" s="31"/>
    </row>
    <row r="1861" spans="1:11" ht="14.4" x14ac:dyDescent="0.3">
      <c r="A1861" s="28" t="str">
        <f>B1861&amp;C1861&amp;D1861&amp;E1861</f>
        <v>Goʻzallik va parvarishMakiyajKoʻzlarKipriklar uchun yelim</v>
      </c>
      <c r="B1861" s="35" t="s">
        <v>3165</v>
      </c>
      <c r="C1861" s="35" t="s">
        <v>3405</v>
      </c>
      <c r="D1861" s="35" t="s">
        <v>4959</v>
      </c>
      <c r="E1861" s="35" t="s">
        <v>5148</v>
      </c>
      <c r="F1861" s="36">
        <v>0.2</v>
      </c>
      <c r="G1861" s="31"/>
      <c r="H1861" s="31"/>
      <c r="I1861" s="31"/>
      <c r="J1861" s="31"/>
      <c r="K1861" s="31"/>
    </row>
    <row r="1862" spans="1:11" ht="14.4" x14ac:dyDescent="0.3">
      <c r="A1862" s="28" t="str">
        <f>B1862&amp;C1862&amp;D1862&amp;E1862</f>
        <v>Goʻzallik va parvarishSochlar parvarishiSartarosh uchun professional asboblarSartaroshlik anjomlari</v>
      </c>
      <c r="B1862" s="35" t="s">
        <v>3165</v>
      </c>
      <c r="C1862" s="35" t="s">
        <v>3785</v>
      </c>
      <c r="D1862" s="35" t="s">
        <v>4974</v>
      </c>
      <c r="E1862" s="35" t="s">
        <v>5149</v>
      </c>
      <c r="F1862" s="36">
        <v>0.2</v>
      </c>
      <c r="G1862" s="31"/>
      <c r="H1862" s="31"/>
      <c r="I1862" s="31"/>
      <c r="J1862" s="31"/>
      <c r="K1862" s="31"/>
    </row>
    <row r="1863" spans="1:11" ht="14.4" x14ac:dyDescent="0.3">
      <c r="A1863" s="28" t="str">
        <f>B1863&amp;C1863&amp;D1863&amp;E1863</f>
        <v>Goʻzallik va parvarishManikyur va pedikyurTirnoqlar dizayniTirnoq uchun nakleykalar</v>
      </c>
      <c r="B1863" s="35" t="s">
        <v>3165</v>
      </c>
      <c r="C1863" s="35" t="s">
        <v>3767</v>
      </c>
      <c r="D1863" s="35" t="s">
        <v>3776</v>
      </c>
      <c r="E1863" s="35" t="s">
        <v>5150</v>
      </c>
      <c r="F1863" s="36">
        <v>0.2</v>
      </c>
      <c r="G1863" s="31"/>
      <c r="H1863" s="31"/>
      <c r="I1863" s="31"/>
      <c r="J1863" s="31"/>
      <c r="K1863" s="31"/>
    </row>
    <row r="1864" spans="1:11" ht="14.4" x14ac:dyDescent="0.3">
      <c r="A1864" s="28" t="str">
        <f>B1864&amp;C1864&amp;D1864&amp;E1864</f>
        <v>Goʻzallik va parvarishManikyur va pedikyurTirnoqlar dizayniLakli chiziqlar</v>
      </c>
      <c r="B1864" s="35" t="s">
        <v>3165</v>
      </c>
      <c r="C1864" s="35" t="s">
        <v>3767</v>
      </c>
      <c r="D1864" s="35" t="s">
        <v>3776</v>
      </c>
      <c r="E1864" s="35" t="s">
        <v>5151</v>
      </c>
      <c r="F1864" s="36">
        <v>0.2</v>
      </c>
      <c r="G1864" s="31"/>
      <c r="H1864" s="31"/>
      <c r="I1864" s="31"/>
      <c r="J1864" s="31"/>
      <c r="K1864" s="31"/>
    </row>
    <row r="1865" spans="1:11" ht="14.4" x14ac:dyDescent="0.3">
      <c r="A1865" s="28" t="str">
        <f>B1865&amp;C1865&amp;D1865&amp;E1865</f>
        <v>Goʻzallik va parvarishKoreya kosmetikasiYuz parvarishiPatchalar</v>
      </c>
      <c r="B1865" s="35" t="s">
        <v>3165</v>
      </c>
      <c r="C1865" s="35" t="s">
        <v>4946</v>
      </c>
      <c r="D1865" s="35" t="s">
        <v>4939</v>
      </c>
      <c r="E1865" s="35" t="s">
        <v>5006</v>
      </c>
      <c r="F1865" s="36">
        <v>0.2</v>
      </c>
      <c r="G1865" s="31"/>
      <c r="H1865" s="31"/>
      <c r="I1865" s="31"/>
      <c r="J1865" s="31"/>
      <c r="K1865" s="31"/>
    </row>
    <row r="1866" spans="1:11" ht="14.4" x14ac:dyDescent="0.3">
      <c r="A1866" s="28" t="str">
        <f>B1866&amp;C1866&amp;D1866&amp;E1866</f>
        <v>Goʻzallik va parvarishManikyur va pedikyurDavolovchi va parvarishlovchi tovarlarTirnoq gellari</v>
      </c>
      <c r="B1866" s="35" t="s">
        <v>3165</v>
      </c>
      <c r="C1866" s="35" t="s">
        <v>3767</v>
      </c>
      <c r="D1866" s="35" t="s">
        <v>5117</v>
      </c>
      <c r="E1866" s="35" t="s">
        <v>5152</v>
      </c>
      <c r="F1866" s="36">
        <v>0.2</v>
      </c>
      <c r="G1866" s="31"/>
      <c r="H1866" s="31"/>
      <c r="I1866" s="31"/>
      <c r="J1866" s="31"/>
      <c r="K1866" s="31"/>
    </row>
    <row r="1867" spans="1:11" ht="14.4" x14ac:dyDescent="0.3">
      <c r="A1867" s="28" t="str">
        <f>B1867&amp;C1867&amp;D1867&amp;E1867</f>
        <v>Goʻzallik va parvarishSochlar parvarishiBoʻyash va kimyoviy jingalak qilishRang berish va boʻyash vositalari</v>
      </c>
      <c r="B1867" s="35" t="s">
        <v>3165</v>
      </c>
      <c r="C1867" s="35" t="s">
        <v>3785</v>
      </c>
      <c r="D1867" s="35" t="s">
        <v>4934</v>
      </c>
      <c r="E1867" s="35" t="s">
        <v>5153</v>
      </c>
      <c r="F1867" s="36">
        <v>0.2</v>
      </c>
      <c r="G1867" s="31"/>
      <c r="H1867" s="31"/>
      <c r="I1867" s="31"/>
      <c r="J1867" s="31"/>
      <c r="K1867" s="31"/>
    </row>
    <row r="1868" spans="1:11" ht="14.4" x14ac:dyDescent="0.3">
      <c r="A1868" s="28" t="str">
        <f>B1868&amp;C1868&amp;D1868&amp;E1868</f>
        <v>Goʻzallik va parvarishGo'zallik to'plamlariManikyur va pedikyur toʻplamlariManikyur va pedikyur toʻplamlari</v>
      </c>
      <c r="B1868" s="35" t="s">
        <v>3165</v>
      </c>
      <c r="C1868" s="35" t="s">
        <v>4944</v>
      </c>
      <c r="D1868" s="35" t="s">
        <v>5154</v>
      </c>
      <c r="E1868" s="35" t="s">
        <v>5154</v>
      </c>
      <c r="F1868" s="36">
        <v>0.2</v>
      </c>
      <c r="G1868" s="31"/>
      <c r="H1868" s="31"/>
      <c r="I1868" s="31"/>
      <c r="J1868" s="31"/>
      <c r="K1868" s="31"/>
    </row>
    <row r="1869" spans="1:11" ht="14.4" x14ac:dyDescent="0.3">
      <c r="A1869" s="28" t="str">
        <f>B1869&amp;C1869&amp;D1869&amp;E1869</f>
        <v>Goʻzallik va parvarishErkaklar uchunErkaklar uchun to'plamlarErkaklar uchun to'plamlar</v>
      </c>
      <c r="B1869" s="35" t="s">
        <v>3165</v>
      </c>
      <c r="C1869" s="35" t="s">
        <v>4931</v>
      </c>
      <c r="D1869" s="35" t="s">
        <v>5155</v>
      </c>
      <c r="E1869" s="35" t="s">
        <v>5155</v>
      </c>
      <c r="F1869" s="36">
        <v>0.2</v>
      </c>
      <c r="G1869" s="31"/>
      <c r="H1869" s="31"/>
      <c r="I1869" s="31"/>
      <c r="J1869" s="31"/>
      <c r="K1869" s="31"/>
    </row>
    <row r="1870" spans="1:11" ht="14.4" x14ac:dyDescent="0.3">
      <c r="A1870" s="28" t="str">
        <f>B1870&amp;C1870&amp;D1870&amp;E1870</f>
        <v>Goʻzallik va parvarishYuz parvarishiTozalash va yuvishKosmetika jihozlari</v>
      </c>
      <c r="B1870" s="35" t="s">
        <v>3165</v>
      </c>
      <c r="C1870" s="35" t="s">
        <v>4939</v>
      </c>
      <c r="D1870" s="35" t="s">
        <v>4942</v>
      </c>
      <c r="E1870" s="35" t="s">
        <v>5156</v>
      </c>
      <c r="F1870" s="36">
        <v>0.2</v>
      </c>
      <c r="G1870" s="31"/>
      <c r="H1870" s="31"/>
      <c r="I1870" s="31"/>
      <c r="J1870" s="31"/>
      <c r="K1870" s="31"/>
    </row>
    <row r="1871" spans="1:11" ht="14.4" x14ac:dyDescent="0.3">
      <c r="A1871" s="28" t="str">
        <f>B1871&amp;C1871&amp;D1871&amp;E1871</f>
        <v>Goʻzallik va parvarishYuz parvarishiNamlash va oziqlantirishKonsentratlar</v>
      </c>
      <c r="B1871" s="35" t="s">
        <v>3165</v>
      </c>
      <c r="C1871" s="35" t="s">
        <v>4939</v>
      </c>
      <c r="D1871" s="35" t="s">
        <v>4940</v>
      </c>
      <c r="E1871" s="35" t="s">
        <v>5157</v>
      </c>
      <c r="F1871" s="36">
        <v>0.2</v>
      </c>
      <c r="G1871" s="31"/>
      <c r="H1871" s="31"/>
      <c r="I1871" s="31"/>
      <c r="J1871" s="31"/>
      <c r="K1871" s="31"/>
    </row>
    <row r="1872" spans="1:11" ht="14.4" x14ac:dyDescent="0.3">
      <c r="A1872" s="28" t="str">
        <f>B1872&amp;C1872&amp;D1872&amp;E1872</f>
        <v>Goʻzallik va parvarishMakiyajKoʻzlarKoʻz uchun praymerlar</v>
      </c>
      <c r="B1872" s="35" t="s">
        <v>3165</v>
      </c>
      <c r="C1872" s="35" t="s">
        <v>3405</v>
      </c>
      <c r="D1872" s="35" t="s">
        <v>4959</v>
      </c>
      <c r="E1872" s="35" t="s">
        <v>5158</v>
      </c>
      <c r="F1872" s="36">
        <v>0.2</v>
      </c>
      <c r="G1872" s="31"/>
      <c r="H1872" s="31"/>
      <c r="I1872" s="31"/>
      <c r="J1872" s="31"/>
      <c r="K1872" s="31"/>
    </row>
    <row r="1873" spans="1:11" ht="14.4" x14ac:dyDescent="0.3">
      <c r="A1873" s="28" t="str">
        <f>B1873&amp;C1873&amp;D1873&amp;E1873</f>
        <v>Goʻzallik va parvarishMakiyajQoshlarQoshlar parvarishi uchun zardoblar va moylar</v>
      </c>
      <c r="B1873" s="35" t="s">
        <v>3165</v>
      </c>
      <c r="C1873" s="35" t="s">
        <v>3405</v>
      </c>
      <c r="D1873" s="35" t="s">
        <v>4976</v>
      </c>
      <c r="E1873" s="35" t="s">
        <v>5159</v>
      </c>
      <c r="F1873" s="36">
        <v>0.2</v>
      </c>
      <c r="G1873" s="31"/>
      <c r="H1873" s="31"/>
      <c r="I1873" s="31"/>
      <c r="J1873" s="31"/>
      <c r="K1873" s="31"/>
    </row>
    <row r="1874" spans="1:11" ht="14.4" x14ac:dyDescent="0.3">
      <c r="A1874" s="28" t="str">
        <f>B1874&amp;C1874&amp;D1874&amp;E1874</f>
        <v>Goʻzallik va parvarishYuz parvarishiMuammoli terilar uchun mahsulotlarMatlovchi salfetkalar</v>
      </c>
      <c r="B1874" s="35" t="s">
        <v>3165</v>
      </c>
      <c r="C1874" s="35" t="s">
        <v>4939</v>
      </c>
      <c r="D1874" s="35" t="s">
        <v>4947</v>
      </c>
      <c r="E1874" s="35" t="s">
        <v>5160</v>
      </c>
      <c r="F1874" s="36">
        <v>0.2</v>
      </c>
      <c r="G1874" s="31"/>
      <c r="H1874" s="31"/>
      <c r="I1874" s="31"/>
      <c r="J1874" s="31"/>
      <c r="K1874" s="31"/>
    </row>
    <row r="1875" spans="1:11" ht="14.4" x14ac:dyDescent="0.3">
      <c r="A1875" s="28" t="str">
        <f>B1875&amp;C1875&amp;D1875&amp;E1875</f>
        <v>Goʻzallik va parvarishManikyur va pedikyurManikyur anjomlariFrezalar va kutikula trimmerlari</v>
      </c>
      <c r="B1875" s="35" t="s">
        <v>3165</v>
      </c>
      <c r="C1875" s="35" t="s">
        <v>3767</v>
      </c>
      <c r="D1875" s="35" t="s">
        <v>3779</v>
      </c>
      <c r="E1875" s="35" t="s">
        <v>5161</v>
      </c>
      <c r="F1875" s="36">
        <v>0.2</v>
      </c>
      <c r="G1875" s="31"/>
      <c r="H1875" s="31"/>
      <c r="I1875" s="31"/>
      <c r="J1875" s="31"/>
      <c r="K1875" s="31"/>
    </row>
    <row r="1876" spans="1:11" ht="14.4" x14ac:dyDescent="0.3">
      <c r="A1876" s="28" t="str">
        <f>B1876&amp;C1876&amp;D1876&amp;E1876</f>
        <v>Goʻzallik va parvarishShaxsiy gigiyenaQuloq va burunni tozalash asboblariQuloq va burunni tozalash asboblari</v>
      </c>
      <c r="B1876" s="35" t="s">
        <v>3165</v>
      </c>
      <c r="C1876" s="35" t="s">
        <v>4936</v>
      </c>
      <c r="D1876" s="35" t="s">
        <v>5162</v>
      </c>
      <c r="E1876" s="35" t="s">
        <v>5162</v>
      </c>
      <c r="F1876" s="36">
        <v>0.2</v>
      </c>
      <c r="G1876" s="31"/>
      <c r="H1876" s="31"/>
      <c r="I1876" s="31"/>
      <c r="J1876" s="31"/>
      <c r="K1876" s="31"/>
    </row>
    <row r="1877" spans="1:11" ht="14.4" x14ac:dyDescent="0.3">
      <c r="A1877" s="28" t="str">
        <f>B1877&amp;C1877&amp;D1877&amp;E1877</f>
        <v>Goʻzallik va parvarishSochlar parvarishiTurmaklash uchun vositalarLaklar</v>
      </c>
      <c r="B1877" s="35" t="s">
        <v>3165</v>
      </c>
      <c r="C1877" s="35" t="s">
        <v>3785</v>
      </c>
      <c r="D1877" s="35" t="s">
        <v>4978</v>
      </c>
      <c r="E1877" s="35" t="s">
        <v>3768</v>
      </c>
      <c r="F1877" s="36">
        <v>0.2</v>
      </c>
      <c r="G1877" s="31"/>
      <c r="H1877" s="31"/>
      <c r="I1877" s="31"/>
      <c r="J1877" s="31"/>
      <c r="K1877" s="31"/>
    </row>
    <row r="1878" spans="1:11" ht="14.4" x14ac:dyDescent="0.3">
      <c r="A1878" s="28" t="str">
        <f>B1878&amp;C1878&amp;D1878&amp;E1878</f>
        <v>Goʻzallik va parvarishYuz parvarishiNamlash va oziqlantirishTermal suv va spreylar</v>
      </c>
      <c r="B1878" s="35" t="s">
        <v>3165</v>
      </c>
      <c r="C1878" s="35" t="s">
        <v>4939</v>
      </c>
      <c r="D1878" s="35" t="s">
        <v>4940</v>
      </c>
      <c r="E1878" s="35" t="s">
        <v>5163</v>
      </c>
      <c r="F1878" s="36">
        <v>0.2</v>
      </c>
      <c r="G1878" s="31"/>
      <c r="H1878" s="31"/>
      <c r="I1878" s="31"/>
      <c r="J1878" s="31"/>
      <c r="K1878" s="31"/>
    </row>
    <row r="1879" spans="1:11" ht="14.4" x14ac:dyDescent="0.3">
      <c r="A1879" s="28" t="str">
        <f>B1879&amp;C1879&amp;D1879&amp;E1879</f>
        <v>Goʻzallik va parvarishSochlar parvarishiTozalash va parvarish uchun vositalarNiqoblar va zardoblar</v>
      </c>
      <c r="B1879" s="35" t="s">
        <v>3165</v>
      </c>
      <c r="C1879" s="35" t="s">
        <v>3785</v>
      </c>
      <c r="D1879" s="35" t="s">
        <v>4956</v>
      </c>
      <c r="E1879" s="35" t="s">
        <v>5164</v>
      </c>
      <c r="F1879" s="36">
        <v>0.2</v>
      </c>
      <c r="G1879" s="31"/>
      <c r="H1879" s="31"/>
      <c r="I1879" s="31"/>
      <c r="J1879" s="31"/>
      <c r="K1879" s="31"/>
    </row>
    <row r="1880" spans="1:11" ht="14.4" x14ac:dyDescent="0.3">
      <c r="A1880" s="28" t="str">
        <f>B1880&amp;C1880&amp;D1880&amp;E1880</f>
        <v>Goʻzallik va parvarishShaxsiy gigiyenaIntim gigiyenaTer yostiqchalari</v>
      </c>
      <c r="B1880" s="35" t="s">
        <v>3165</v>
      </c>
      <c r="C1880" s="35" t="s">
        <v>4936</v>
      </c>
      <c r="D1880" s="35" t="s">
        <v>4949</v>
      </c>
      <c r="E1880" s="35" t="s">
        <v>5165</v>
      </c>
      <c r="F1880" s="36">
        <v>0.2</v>
      </c>
      <c r="G1880" s="31"/>
      <c r="H1880" s="31"/>
      <c r="I1880" s="31"/>
      <c r="J1880" s="31"/>
      <c r="K1880" s="31"/>
    </row>
    <row r="1881" spans="1:11" ht="14.4" x14ac:dyDescent="0.3">
      <c r="A1881" s="28" t="str">
        <f>B1881&amp;C1881&amp;D1881&amp;E1881</f>
        <v>Goʻzallik va parvarishMakiyajYuzKorrektorlar va konsilerlar</v>
      </c>
      <c r="B1881" s="35" t="s">
        <v>3165</v>
      </c>
      <c r="C1881" s="35" t="s">
        <v>3405</v>
      </c>
      <c r="D1881" s="35" t="s">
        <v>4952</v>
      </c>
      <c r="E1881" s="35" t="s">
        <v>5166</v>
      </c>
      <c r="F1881" s="36">
        <v>0.2</v>
      </c>
      <c r="G1881" s="31"/>
      <c r="H1881" s="31"/>
      <c r="I1881" s="31"/>
      <c r="J1881" s="31"/>
      <c r="K1881" s="31"/>
    </row>
    <row r="1882" spans="1:11" ht="14.4" x14ac:dyDescent="0.3">
      <c r="A1882" s="28" t="str">
        <f>B1882&amp;C1882&amp;D1882&amp;E1882</f>
        <v>Goʻzallik va parvarishTana parvarishiSellyulitga va choʻzilishga qarshi vositalarTeri parvarishi uchun kremi</v>
      </c>
      <c r="B1882" s="35" t="s">
        <v>3165</v>
      </c>
      <c r="C1882" s="35" t="s">
        <v>3760</v>
      </c>
      <c r="D1882" s="35" t="s">
        <v>5106</v>
      </c>
      <c r="E1882" s="35" t="s">
        <v>5167</v>
      </c>
      <c r="F1882" s="36">
        <v>0.2</v>
      </c>
      <c r="G1882" s="31"/>
      <c r="H1882" s="31"/>
      <c r="I1882" s="31"/>
      <c r="J1882" s="31"/>
      <c r="K1882" s="31"/>
    </row>
    <row r="1883" spans="1:11" ht="14.4" x14ac:dyDescent="0.3">
      <c r="A1883" s="28" t="str">
        <f>B1883&amp;C1883&amp;D1883&amp;E1883</f>
        <v>Goʻzallik va parvarishKoreya kosmetikasiYuz terisini tozalashTozalovchi tasmalar</v>
      </c>
      <c r="B1883" s="35" t="s">
        <v>3165</v>
      </c>
      <c r="C1883" s="35" t="s">
        <v>4946</v>
      </c>
      <c r="D1883" s="35" t="s">
        <v>4989</v>
      </c>
      <c r="E1883" s="35" t="s">
        <v>5011</v>
      </c>
      <c r="F1883" s="36">
        <v>0.2</v>
      </c>
      <c r="G1883" s="31"/>
      <c r="H1883" s="31"/>
      <c r="I1883" s="31"/>
      <c r="J1883" s="31"/>
      <c r="K1883" s="31"/>
    </row>
    <row r="1884" spans="1:11" ht="14.4" x14ac:dyDescent="0.3">
      <c r="A1884" s="28" t="str">
        <f>B1884&amp;C1884&amp;D1884&amp;E1884</f>
        <v>Goʻzallik va parvarishErkaklar uchunSoqol olish uchunSoqol olish uchun aksessuarlar</v>
      </c>
      <c r="B1884" s="35" t="s">
        <v>3165</v>
      </c>
      <c r="C1884" s="35" t="s">
        <v>4931</v>
      </c>
      <c r="D1884" s="35" t="s">
        <v>4932</v>
      </c>
      <c r="E1884" s="35" t="s">
        <v>5168</v>
      </c>
      <c r="F1884" s="36">
        <v>0.2</v>
      </c>
      <c r="G1884" s="31"/>
      <c r="H1884" s="31"/>
      <c r="I1884" s="31"/>
      <c r="J1884" s="31"/>
      <c r="K1884" s="31"/>
    </row>
    <row r="1885" spans="1:11" ht="14.4" x14ac:dyDescent="0.3">
      <c r="A1885" s="28" t="str">
        <f>B1885&amp;C1885&amp;D1885&amp;E1885</f>
        <v>Goʻzallik va parvarishTana parvarishiDush va vanna uchun vositalarVanna uchun sharchalar</v>
      </c>
      <c r="B1885" s="35" t="s">
        <v>3165</v>
      </c>
      <c r="C1885" s="35" t="s">
        <v>3760</v>
      </c>
      <c r="D1885" s="35" t="s">
        <v>4954</v>
      </c>
      <c r="E1885" s="35" t="s">
        <v>5169</v>
      </c>
      <c r="F1885" s="36">
        <v>0.2</v>
      </c>
      <c r="G1885" s="31"/>
      <c r="H1885" s="31"/>
      <c r="I1885" s="31"/>
      <c r="J1885" s="31"/>
      <c r="K1885" s="31"/>
    </row>
    <row r="1886" spans="1:11" ht="14.4" x14ac:dyDescent="0.3">
      <c r="A1886" s="28" t="str">
        <f>B1886&amp;C1886&amp;D1886&amp;E1886</f>
        <v>Goʻzallik va parvarishMakiyajQoshlarQosh uchun qalamlar</v>
      </c>
      <c r="B1886" s="35" t="s">
        <v>3165</v>
      </c>
      <c r="C1886" s="35" t="s">
        <v>3405</v>
      </c>
      <c r="D1886" s="35" t="s">
        <v>4976</v>
      </c>
      <c r="E1886" s="35" t="s">
        <v>5170</v>
      </c>
      <c r="F1886" s="36">
        <v>0.2</v>
      </c>
      <c r="G1886" s="31"/>
      <c r="H1886" s="31"/>
      <c r="I1886" s="31"/>
      <c r="J1886" s="31"/>
      <c r="K1886" s="31"/>
    </row>
    <row r="1887" spans="1:11" ht="14.4" x14ac:dyDescent="0.3">
      <c r="A1887" s="28" t="str">
        <f>B1887&amp;C1887&amp;D1887&amp;E1887</f>
        <v>Goʻzallik va parvarishMakiyajKoʻzlarUlama kipriklar</v>
      </c>
      <c r="B1887" s="35" t="s">
        <v>3165</v>
      </c>
      <c r="C1887" s="35" t="s">
        <v>3405</v>
      </c>
      <c r="D1887" s="35" t="s">
        <v>4959</v>
      </c>
      <c r="E1887" s="35" t="s">
        <v>5171</v>
      </c>
      <c r="F1887" s="36">
        <v>0.2</v>
      </c>
      <c r="G1887" s="31"/>
      <c r="H1887" s="31"/>
      <c r="I1887" s="31"/>
      <c r="J1887" s="31"/>
      <c r="K1887" s="31"/>
    </row>
    <row r="1888" spans="1:11" ht="14.4" x14ac:dyDescent="0.3">
      <c r="A1888" s="28" t="str">
        <f>B1888&amp;C1888&amp;D1888&amp;E1888</f>
        <v>Hayvonlar uchun tovarlarItlar uchunOvqatlantirish tovoqchalari va tovoqcha tagliklariOvqat beradigan idishlar</v>
      </c>
      <c r="B1888" s="35" t="s">
        <v>3168</v>
      </c>
      <c r="C1888" s="35" t="s">
        <v>3419</v>
      </c>
      <c r="D1888" s="35" t="s">
        <v>5172</v>
      </c>
      <c r="E1888" s="35" t="s">
        <v>3818</v>
      </c>
      <c r="F1888" s="36">
        <v>0.2</v>
      </c>
      <c r="G1888" s="31"/>
      <c r="H1888" s="31"/>
      <c r="I1888" s="31"/>
      <c r="J1888" s="31"/>
      <c r="K1888" s="31"/>
    </row>
    <row r="1889" spans="1:11" ht="14.4" x14ac:dyDescent="0.3">
      <c r="A1889" s="28" t="str">
        <f>B1889&amp;C1889&amp;D1889&amp;E1889</f>
        <v>Hayvonlar uchun tovarlarItlar uchunItlarni tashish uchun aksessuarlarTashish uchun aksessuarlar</v>
      </c>
      <c r="B1889" s="35" t="s">
        <v>3168</v>
      </c>
      <c r="C1889" s="35" t="s">
        <v>3419</v>
      </c>
      <c r="D1889" s="35" t="s">
        <v>5173</v>
      </c>
      <c r="E1889" s="35" t="s">
        <v>3662</v>
      </c>
      <c r="F1889" s="36">
        <v>0.2</v>
      </c>
      <c r="G1889" s="31"/>
      <c r="H1889" s="31"/>
      <c r="I1889" s="31"/>
      <c r="J1889" s="31"/>
      <c r="K1889" s="31"/>
    </row>
    <row r="1890" spans="1:11" ht="14.4" x14ac:dyDescent="0.3">
      <c r="A1890" s="28" t="str">
        <f>B1890&amp;C1890&amp;D1890&amp;E1890</f>
        <v>Hayvonlar uchun tovarlarItlar uchunItlarni oʻrgatish uchun tovarlar va amunitsiyalarAmunitsiya</v>
      </c>
      <c r="B1890" s="35" t="s">
        <v>3168</v>
      </c>
      <c r="C1890" s="35" t="s">
        <v>3419</v>
      </c>
      <c r="D1890" s="35" t="s">
        <v>5174</v>
      </c>
      <c r="E1890" s="35" t="s">
        <v>3420</v>
      </c>
      <c r="F1890" s="36">
        <v>0.2</v>
      </c>
      <c r="G1890" s="31"/>
      <c r="H1890" s="31"/>
      <c r="I1890" s="31"/>
      <c r="J1890" s="31"/>
      <c r="K1890" s="31"/>
    </row>
    <row r="1891" spans="1:11" ht="14.4" x14ac:dyDescent="0.3">
      <c r="A1891" s="28" t="str">
        <f>B1891&amp;C1891&amp;D1891&amp;E1891</f>
        <v>Hayvonlar uchun tovarlarKemiruvchilar uchunKemiruvchilar uchun ozuqa va shirinliklarMineral toshlar</v>
      </c>
      <c r="B1891" s="35" t="s">
        <v>3168</v>
      </c>
      <c r="C1891" s="35" t="s">
        <v>3806</v>
      </c>
      <c r="D1891" s="35" t="s">
        <v>5175</v>
      </c>
      <c r="E1891" s="35" t="s">
        <v>5176</v>
      </c>
      <c r="F1891" s="36">
        <v>0.2</v>
      </c>
      <c r="G1891" s="31"/>
      <c r="H1891" s="31"/>
      <c r="I1891" s="31"/>
      <c r="J1891" s="31"/>
      <c r="K1891" s="31"/>
    </row>
    <row r="1892" spans="1:11" ht="14.4" x14ac:dyDescent="0.3">
      <c r="A1892" s="28" t="str">
        <f>B1892&amp;C1892&amp;D1892&amp;E1892</f>
        <v>Hayvonlar uchun tovarlarItlar uchunOzuqa va ShirinliklarShirinliklar</v>
      </c>
      <c r="B1892" s="35" t="s">
        <v>3168</v>
      </c>
      <c r="C1892" s="35" t="s">
        <v>3419</v>
      </c>
      <c r="D1892" s="35" t="s">
        <v>3803</v>
      </c>
      <c r="E1892" s="35" t="s">
        <v>5177</v>
      </c>
      <c r="F1892" s="36">
        <v>0.2</v>
      </c>
      <c r="G1892" s="31"/>
      <c r="H1892" s="31"/>
      <c r="I1892" s="31"/>
      <c r="J1892" s="31"/>
      <c r="K1892" s="31"/>
    </row>
    <row r="1893" spans="1:11" ht="14.4" x14ac:dyDescent="0.3">
      <c r="A1893" s="28" t="str">
        <f>B1893&amp;C1893&amp;D1893&amp;E1893</f>
        <v>Hayvonlar uchun tovarlarMushuklar uchunMushuklar uchun uylar va toʻshaklarUychalar</v>
      </c>
      <c r="B1893" s="35" t="s">
        <v>3168</v>
      </c>
      <c r="C1893" s="35" t="s">
        <v>5178</v>
      </c>
      <c r="D1893" s="35" t="s">
        <v>5179</v>
      </c>
      <c r="E1893" s="35" t="s">
        <v>5180</v>
      </c>
      <c r="F1893" s="36">
        <v>0.2</v>
      </c>
      <c r="G1893" s="31"/>
      <c r="H1893" s="31"/>
      <c r="I1893" s="31"/>
      <c r="J1893" s="31"/>
      <c r="K1893" s="31"/>
    </row>
    <row r="1894" spans="1:11" ht="14.4" x14ac:dyDescent="0.3">
      <c r="A1894" s="28" t="str">
        <f>B1894&amp;C1894&amp;D1894&amp;E1894</f>
        <v>Hayvonlar uchun tovarlarMushuklar uchunYuk tashish uchun tovarlarYuk tashish uchun tovarlar</v>
      </c>
      <c r="B1894" s="35" t="s">
        <v>3168</v>
      </c>
      <c r="C1894" s="35" t="s">
        <v>5178</v>
      </c>
      <c r="D1894" s="35" t="s">
        <v>5181</v>
      </c>
      <c r="E1894" s="35" t="s">
        <v>5181</v>
      </c>
      <c r="F1894" s="36">
        <v>0.2</v>
      </c>
      <c r="G1894" s="31"/>
      <c r="H1894" s="31"/>
      <c r="I1894" s="31"/>
      <c r="J1894" s="31"/>
      <c r="K1894" s="31"/>
    </row>
    <row r="1895" spans="1:11" ht="14.4" x14ac:dyDescent="0.3">
      <c r="A1895" s="28" t="str">
        <f>B1895&amp;C1895&amp;D1895&amp;E1895</f>
        <v>Hayvonlar uchun tovarlarMushuklar uchunTovoqchalarTovoqchalar</v>
      </c>
      <c r="B1895" s="35" t="s">
        <v>3168</v>
      </c>
      <c r="C1895" s="35" t="s">
        <v>5178</v>
      </c>
      <c r="D1895" s="35" t="s">
        <v>5182</v>
      </c>
      <c r="E1895" s="35" t="s">
        <v>5182</v>
      </c>
      <c r="F1895" s="36">
        <v>0.2</v>
      </c>
      <c r="G1895" s="31"/>
      <c r="H1895" s="31"/>
      <c r="I1895" s="31"/>
      <c r="J1895" s="31"/>
      <c r="K1895" s="31"/>
    </row>
    <row r="1896" spans="1:11" ht="14.4" x14ac:dyDescent="0.3">
      <c r="A1896" s="28" t="str">
        <f>B1896&amp;C1896&amp;D1896&amp;E1896</f>
        <v>Hayvonlar uchun tovarlarMushuklar uchunOzuqalar va shirinliklarNam ovqatlar</v>
      </c>
      <c r="B1896" s="35" t="s">
        <v>3168</v>
      </c>
      <c r="C1896" s="35" t="s">
        <v>5178</v>
      </c>
      <c r="D1896" s="35" t="s">
        <v>5183</v>
      </c>
      <c r="E1896" s="35" t="s">
        <v>5184</v>
      </c>
      <c r="F1896" s="36">
        <v>0.2</v>
      </c>
      <c r="G1896" s="31"/>
      <c r="H1896" s="31"/>
      <c r="I1896" s="31"/>
      <c r="J1896" s="31"/>
      <c r="K1896" s="31"/>
    </row>
    <row r="1897" spans="1:11" ht="14.4" x14ac:dyDescent="0.3">
      <c r="A1897" s="28" t="str">
        <f>B1897&amp;C1897&amp;D1897&amp;E1897</f>
        <v>Hayvonlar uchun tovarlarMushuklar uchunTirnash ustunlari va oʻyin komplekslariTirnash ustunlari</v>
      </c>
      <c r="B1897" s="35" t="s">
        <v>3168</v>
      </c>
      <c r="C1897" s="35" t="s">
        <v>5178</v>
      </c>
      <c r="D1897" s="35" t="s">
        <v>5185</v>
      </c>
      <c r="E1897" s="35" t="s">
        <v>5186</v>
      </c>
      <c r="F1897" s="36">
        <v>0.2</v>
      </c>
      <c r="G1897" s="31"/>
      <c r="H1897" s="31"/>
      <c r="I1897" s="31"/>
      <c r="J1897" s="31"/>
      <c r="K1897" s="31"/>
    </row>
    <row r="1898" spans="1:11" ht="14.4" x14ac:dyDescent="0.3">
      <c r="A1898" s="28" t="str">
        <f>B1898&amp;C1898&amp;D1898&amp;E1898</f>
        <v>Hayvonlar uchun tovarlarMushuklar uchunOʻyinchoqlarOʻyinchoqlar</v>
      </c>
      <c r="B1898" s="35" t="s">
        <v>3168</v>
      </c>
      <c r="C1898" s="35" t="s">
        <v>5178</v>
      </c>
      <c r="D1898" s="35" t="s">
        <v>3432</v>
      </c>
      <c r="E1898" s="35" t="s">
        <v>3432</v>
      </c>
      <c r="F1898" s="36">
        <v>0.2</v>
      </c>
      <c r="G1898" s="31"/>
      <c r="H1898" s="31"/>
      <c r="I1898" s="31"/>
      <c r="J1898" s="31"/>
      <c r="K1898" s="31"/>
    </row>
    <row r="1899" spans="1:11" ht="14.4" x14ac:dyDescent="0.3">
      <c r="A1899" s="28" t="str">
        <f>B1899&amp;C1899&amp;D1899&amp;E1899</f>
        <v>Hayvonlar uchun tovarlarMushuklar uchunOzuqalar va shirinliklarQuruq ovqat</v>
      </c>
      <c r="B1899" s="35" t="s">
        <v>3168</v>
      </c>
      <c r="C1899" s="35" t="s">
        <v>5178</v>
      </c>
      <c r="D1899" s="35" t="s">
        <v>5183</v>
      </c>
      <c r="E1899" s="35" t="s">
        <v>5187</v>
      </c>
      <c r="F1899" s="36">
        <v>0.2</v>
      </c>
      <c r="G1899" s="31"/>
      <c r="H1899" s="31"/>
      <c r="I1899" s="31"/>
      <c r="J1899" s="31"/>
      <c r="K1899" s="31"/>
    </row>
    <row r="1900" spans="1:11" ht="14.4" x14ac:dyDescent="0.3">
      <c r="A1900" s="28" t="str">
        <f>B1900&amp;C1900&amp;D1900&amp;E1900</f>
        <v>Hayvonlar uchun tovarlarMushuklar uchunAmunitsiyaAmunitsiya</v>
      </c>
      <c r="B1900" s="35" t="s">
        <v>3168</v>
      </c>
      <c r="C1900" s="35" t="s">
        <v>5178</v>
      </c>
      <c r="D1900" s="35" t="s">
        <v>3420</v>
      </c>
      <c r="E1900" s="35" t="s">
        <v>3420</v>
      </c>
      <c r="F1900" s="36">
        <v>0.2</v>
      </c>
      <c r="G1900" s="31"/>
      <c r="H1900" s="31"/>
      <c r="I1900" s="31"/>
      <c r="J1900" s="31"/>
      <c r="K1900" s="31"/>
    </row>
    <row r="1901" spans="1:11" ht="14.4" x14ac:dyDescent="0.3">
      <c r="A1901" s="28" t="str">
        <f>B1901&amp;C1901&amp;D1901&amp;E1901</f>
        <v>Hayvonlar uchun tovarlarMushuklar uchunOzuqalar va shirinliklarShirinliklar</v>
      </c>
      <c r="B1901" s="35" t="s">
        <v>3168</v>
      </c>
      <c r="C1901" s="35" t="s">
        <v>5178</v>
      </c>
      <c r="D1901" s="35" t="s">
        <v>5183</v>
      </c>
      <c r="E1901" s="35" t="s">
        <v>5177</v>
      </c>
      <c r="F1901" s="36">
        <v>0.2</v>
      </c>
      <c r="G1901" s="31"/>
      <c r="H1901" s="31"/>
      <c r="I1901" s="31"/>
      <c r="J1901" s="31"/>
      <c r="K1901" s="31"/>
    </row>
    <row r="1902" spans="1:11" ht="14.4" x14ac:dyDescent="0.3">
      <c r="A1902" s="28" t="str">
        <f>B1902&amp;C1902&amp;D1902&amp;E1902</f>
        <v>Hayvonlar uchun tovarlarMushuklar uchunGrumingGruming</v>
      </c>
      <c r="B1902" s="35" t="s">
        <v>3168</v>
      </c>
      <c r="C1902" s="35" t="s">
        <v>5178</v>
      </c>
      <c r="D1902" s="35" t="s">
        <v>5188</v>
      </c>
      <c r="E1902" s="35" t="s">
        <v>5188</v>
      </c>
      <c r="F1902" s="36">
        <v>0.2</v>
      </c>
      <c r="G1902" s="31"/>
      <c r="H1902" s="31"/>
      <c r="I1902" s="31"/>
      <c r="J1902" s="31"/>
      <c r="K1902" s="31"/>
    </row>
    <row r="1903" spans="1:11" ht="14.4" x14ac:dyDescent="0.3">
      <c r="A1903" s="28" t="str">
        <f>B1903&amp;C1903&amp;D1903&amp;E1903</f>
        <v>Hayvonlar uchun tovarlarMushuklar uchunQafaslar va toʻsiqlarQafaslar va toʻsiqlar</v>
      </c>
      <c r="B1903" s="35" t="s">
        <v>3168</v>
      </c>
      <c r="C1903" s="35" t="s">
        <v>5178</v>
      </c>
      <c r="D1903" s="35" t="s">
        <v>5189</v>
      </c>
      <c r="E1903" s="35" t="s">
        <v>5189</v>
      </c>
      <c r="F1903" s="36">
        <v>0.2</v>
      </c>
      <c r="G1903" s="31"/>
      <c r="H1903" s="31"/>
      <c r="I1903" s="31"/>
      <c r="J1903" s="31"/>
      <c r="K1903" s="31"/>
    </row>
    <row r="1904" spans="1:11" ht="14.4" x14ac:dyDescent="0.3">
      <c r="A1904" s="28" t="str">
        <f>B1904&amp;C1904&amp;D1904&amp;E1904</f>
        <v>Hayvonlar uchun tovarlarItlar uchunItlarni oʻrgatish uchun tovarlar va amunitsiyalarItlarni oʻrgatish</v>
      </c>
      <c r="B1904" s="35" t="s">
        <v>3168</v>
      </c>
      <c r="C1904" s="35" t="s">
        <v>3419</v>
      </c>
      <c r="D1904" s="35" t="s">
        <v>5174</v>
      </c>
      <c r="E1904" s="35" t="s">
        <v>5190</v>
      </c>
      <c r="F1904" s="36">
        <v>0.2</v>
      </c>
      <c r="G1904" s="31"/>
      <c r="H1904" s="31"/>
      <c r="I1904" s="31"/>
      <c r="J1904" s="31"/>
      <c r="K1904" s="31"/>
    </row>
    <row r="1905" spans="1:11" ht="14.4" x14ac:dyDescent="0.3">
      <c r="A1905" s="28" t="str">
        <f>B1905&amp;C1905&amp;D1905&amp;E1905</f>
        <v>Hayvonlar uchun tovarlarItlar uchunMatraslar va lejaklarMatraslar va lejaklar</v>
      </c>
      <c r="B1905" s="35" t="s">
        <v>3168</v>
      </c>
      <c r="C1905" s="35" t="s">
        <v>3419</v>
      </c>
      <c r="D1905" s="35" t="s">
        <v>5191</v>
      </c>
      <c r="E1905" s="35" t="s">
        <v>5191</v>
      </c>
      <c r="F1905" s="36">
        <v>0.2</v>
      </c>
      <c r="G1905" s="31"/>
      <c r="H1905" s="31"/>
      <c r="I1905" s="31"/>
      <c r="J1905" s="31"/>
      <c r="K1905" s="31"/>
    </row>
    <row r="1906" spans="1:11" ht="14.4" x14ac:dyDescent="0.3">
      <c r="A1906" s="28" t="str">
        <f>B1906&amp;C1906&amp;D1906&amp;E1906</f>
        <v>Hayvonlar uchun tovarlarMushuklar uchunMushuklar uchun uylar va toʻshaklarLejaklar va krovatlar</v>
      </c>
      <c r="B1906" s="35" t="s">
        <v>3168</v>
      </c>
      <c r="C1906" s="35" t="s">
        <v>5178</v>
      </c>
      <c r="D1906" s="35" t="s">
        <v>5179</v>
      </c>
      <c r="E1906" s="35" t="s">
        <v>5192</v>
      </c>
      <c r="F1906" s="36">
        <v>0.2</v>
      </c>
      <c r="G1906" s="31"/>
      <c r="H1906" s="31"/>
      <c r="I1906" s="31"/>
      <c r="J1906" s="31"/>
      <c r="K1906" s="31"/>
    </row>
    <row r="1907" spans="1:11" ht="14.4" x14ac:dyDescent="0.3">
      <c r="A1907" s="28" t="str">
        <f>B1907&amp;C1907&amp;D1907&amp;E1907</f>
        <v>Hayvonlar uchun tovarlarMushuklar uchunAvtomatik oziqlantiruvchilar va suv ichiruvchilarAvtomatik oziqlantiruvchilar va suv ichiruvchilar</v>
      </c>
      <c r="B1907" s="35" t="s">
        <v>3168</v>
      </c>
      <c r="C1907" s="35" t="s">
        <v>5178</v>
      </c>
      <c r="D1907" s="35" t="s">
        <v>3810</v>
      </c>
      <c r="E1907" s="35" t="s">
        <v>3810</v>
      </c>
      <c r="F1907" s="36">
        <v>0.2</v>
      </c>
      <c r="G1907" s="31"/>
      <c r="H1907" s="31"/>
      <c r="I1907" s="31"/>
      <c r="J1907" s="31"/>
      <c r="K1907" s="31"/>
    </row>
    <row r="1908" spans="1:11" ht="14.4" x14ac:dyDescent="0.3">
      <c r="A1908" s="28" t="str">
        <f>B1908&amp;C1908&amp;D1908&amp;E1908</f>
        <v>Hayvonlar uchun tovarlarItlar uchunIdishlarTovoqchalar</v>
      </c>
      <c r="B1908" s="35" t="s">
        <v>3168</v>
      </c>
      <c r="C1908" s="35" t="s">
        <v>3419</v>
      </c>
      <c r="D1908" s="35" t="s">
        <v>3809</v>
      </c>
      <c r="E1908" s="35" t="s">
        <v>5182</v>
      </c>
      <c r="F1908" s="36">
        <v>0.2</v>
      </c>
      <c r="G1908" s="31"/>
      <c r="H1908" s="31"/>
      <c r="I1908" s="31"/>
      <c r="J1908" s="31"/>
      <c r="K1908" s="31"/>
    </row>
    <row r="1909" spans="1:11" ht="14.4" x14ac:dyDescent="0.3">
      <c r="A1909" s="28" t="str">
        <f>B1909&amp;C1909&amp;D1909&amp;E1909</f>
        <v>Hayvonlar uchun tovarlarItlar uchunItlar uchun hojatxonalarItlar uchun hojatxonalar</v>
      </c>
      <c r="B1909" s="35" t="s">
        <v>3168</v>
      </c>
      <c r="C1909" s="35" t="s">
        <v>3419</v>
      </c>
      <c r="D1909" s="35" t="s">
        <v>5193</v>
      </c>
      <c r="E1909" s="35" t="s">
        <v>5193</v>
      </c>
      <c r="F1909" s="36">
        <v>0.2</v>
      </c>
      <c r="G1909" s="31"/>
      <c r="H1909" s="31"/>
      <c r="I1909" s="31"/>
      <c r="J1909" s="31"/>
      <c r="K1909" s="31"/>
    </row>
    <row r="1910" spans="1:11" ht="14.4" x14ac:dyDescent="0.3">
      <c r="A1910" s="28" t="str">
        <f>B1910&amp;C1910&amp;D1910&amp;E1910</f>
        <v>Hayvonlar uchun tovarlarMushuklar uchunTirnash ustunlari va oʻyin komplekslariOʻyin komplekslari</v>
      </c>
      <c r="B1910" s="35" t="s">
        <v>3168</v>
      </c>
      <c r="C1910" s="35" t="s">
        <v>5178</v>
      </c>
      <c r="D1910" s="35" t="s">
        <v>5185</v>
      </c>
      <c r="E1910" s="35" t="s">
        <v>5194</v>
      </c>
      <c r="F1910" s="36">
        <v>0.2</v>
      </c>
      <c r="G1910" s="31"/>
      <c r="H1910" s="31"/>
      <c r="I1910" s="31"/>
      <c r="J1910" s="31"/>
      <c r="K1910" s="31"/>
    </row>
    <row r="1911" spans="1:11" ht="14.4" x14ac:dyDescent="0.3">
      <c r="A1911" s="28" t="str">
        <f>B1911&amp;C1911&amp;D1911&amp;E1911</f>
        <v>Hayvonlar uchun tovarlarItlar uchunGrumingGruming</v>
      </c>
      <c r="B1911" s="35" t="s">
        <v>3168</v>
      </c>
      <c r="C1911" s="35" t="s">
        <v>3419</v>
      </c>
      <c r="D1911" s="35" t="s">
        <v>5188</v>
      </c>
      <c r="E1911" s="35" t="s">
        <v>5188</v>
      </c>
      <c r="F1911" s="36">
        <v>0.2</v>
      </c>
      <c r="G1911" s="31"/>
      <c r="H1911" s="31"/>
      <c r="I1911" s="31"/>
      <c r="J1911" s="31"/>
      <c r="K1911" s="31"/>
    </row>
    <row r="1912" spans="1:11" ht="14.4" x14ac:dyDescent="0.3">
      <c r="A1912" s="28" t="str">
        <f>B1912&amp;C1912&amp;D1912&amp;E1912</f>
        <v>Kanselyariya tovarlariSavdo uchun uskunalarAjratgichlar va StellajlarAjratgichlar va Stellajlar</v>
      </c>
      <c r="B1912" s="35" t="s">
        <v>3170</v>
      </c>
      <c r="C1912" s="35" t="s">
        <v>5195</v>
      </c>
      <c r="D1912" s="35" t="s">
        <v>5196</v>
      </c>
      <c r="E1912" s="35" t="s">
        <v>5196</v>
      </c>
      <c r="F1912" s="36">
        <v>0.2</v>
      </c>
      <c r="G1912" s="31"/>
      <c r="H1912" s="31"/>
      <c r="I1912" s="31"/>
      <c r="J1912" s="31"/>
      <c r="K1912" s="31"/>
    </row>
    <row r="1913" spans="1:11" ht="14.4" x14ac:dyDescent="0.3">
      <c r="A1913" s="28" t="str">
        <f>B1913&amp;C1913&amp;D1913&amp;E1913</f>
        <v>Kanselyariya tovarlariQogʻoz mahsulotlariOʻzi yopishadigan plyonka, nakleykalar va yorliqlarYorliqlar</v>
      </c>
      <c r="B1913" s="35" t="s">
        <v>3170</v>
      </c>
      <c r="C1913" s="35" t="s">
        <v>3821</v>
      </c>
      <c r="D1913" s="35" t="s">
        <v>5197</v>
      </c>
      <c r="E1913" s="35" t="s">
        <v>5198</v>
      </c>
      <c r="F1913" s="36">
        <v>0.2</v>
      </c>
      <c r="G1913" s="31"/>
      <c r="H1913" s="31"/>
      <c r="I1913" s="31"/>
      <c r="J1913" s="31"/>
      <c r="K1913" s="31"/>
    </row>
    <row r="1914" spans="1:11" ht="14.4" x14ac:dyDescent="0.3">
      <c r="A1914" s="28" t="str">
        <f>B1914&amp;C1914&amp;D1914&amp;E1914</f>
        <v>Kanselyariya tovarlariQogʻoz mahsulotlariHaftaliklar va kundaliklar, planerlarKundaliklar</v>
      </c>
      <c r="B1914" s="35" t="s">
        <v>3170</v>
      </c>
      <c r="C1914" s="35" t="s">
        <v>3821</v>
      </c>
      <c r="D1914" s="35" t="s">
        <v>5199</v>
      </c>
      <c r="E1914" s="35" t="s">
        <v>5200</v>
      </c>
      <c r="F1914" s="36">
        <v>0.2</v>
      </c>
      <c r="G1914" s="31"/>
      <c r="H1914" s="31"/>
      <c r="I1914" s="31"/>
      <c r="J1914" s="31"/>
      <c r="K1914" s="31"/>
    </row>
    <row r="1915" spans="1:11" ht="14.4" x14ac:dyDescent="0.3">
      <c r="A1915" s="28" t="str">
        <f>B1915&amp;C1915&amp;D1915&amp;E1915</f>
        <v>Kanselyariya tovarlariMuhr va shtamplarShtamplar uchun osnastkalar va futlyarlarShtamplar uchun osnastkalar va futlyarlar</v>
      </c>
      <c r="B1915" s="35" t="s">
        <v>3170</v>
      </c>
      <c r="C1915" s="35" t="s">
        <v>5201</v>
      </c>
      <c r="D1915" s="35" t="s">
        <v>5202</v>
      </c>
      <c r="E1915" s="35" t="s">
        <v>5202</v>
      </c>
      <c r="F1915" s="36">
        <v>0.2</v>
      </c>
      <c r="G1915" s="31"/>
      <c r="H1915" s="31"/>
      <c r="I1915" s="31"/>
      <c r="J1915" s="31"/>
      <c r="K1915" s="31"/>
    </row>
    <row r="1916" spans="1:11" ht="14.4" x14ac:dyDescent="0.3">
      <c r="A1916" s="28" t="str">
        <f>B1916&amp;C1916&amp;D1916&amp;E1916</f>
        <v>Kanselyariya tovarlariQogʻoz mahsulotlariBlankalar, vizitkalar va sertifikatlarDizayn-qog'oz</v>
      </c>
      <c r="B1916" s="35" t="s">
        <v>3170</v>
      </c>
      <c r="C1916" s="35" t="s">
        <v>3821</v>
      </c>
      <c r="D1916" s="35" t="s">
        <v>5203</v>
      </c>
      <c r="E1916" s="35" t="s">
        <v>5204</v>
      </c>
      <c r="F1916" s="36">
        <v>0.2</v>
      </c>
      <c r="G1916" s="31"/>
      <c r="H1916" s="31"/>
      <c r="I1916" s="31"/>
      <c r="J1916" s="31"/>
      <c r="K1916" s="31"/>
    </row>
    <row r="1917" spans="1:11" ht="14.4" x14ac:dyDescent="0.3">
      <c r="A1917" s="28" t="str">
        <f>B1917&amp;C1917&amp;D1917&amp;E1917</f>
        <v>Kanselyariya tovarlariMaktab va oʻqish uchun tovarlarPenallarPenallar</v>
      </c>
      <c r="B1917" s="35" t="s">
        <v>3170</v>
      </c>
      <c r="C1917" s="35" t="s">
        <v>5205</v>
      </c>
      <c r="D1917" s="35" t="s">
        <v>5206</v>
      </c>
      <c r="E1917" s="35" t="s">
        <v>5206</v>
      </c>
      <c r="F1917" s="36">
        <v>0.2</v>
      </c>
      <c r="G1917" s="31"/>
      <c r="H1917" s="31"/>
      <c r="I1917" s="31"/>
      <c r="J1917" s="31"/>
      <c r="K1917" s="31"/>
    </row>
    <row r="1918" spans="1:11" ht="14.4" x14ac:dyDescent="0.3">
      <c r="A1918" s="28" t="str">
        <f>B1918&amp;C1918&amp;D1918&amp;E1918</f>
        <v>Kanselyariya tovarlariQogʻoz mahsulotlariFoto qogʻozFoto qogʻoz</v>
      </c>
      <c r="B1918" s="35" t="s">
        <v>3170</v>
      </c>
      <c r="C1918" s="35" t="s">
        <v>3821</v>
      </c>
      <c r="D1918" s="35" t="s">
        <v>5207</v>
      </c>
      <c r="E1918" s="35" t="s">
        <v>5207</v>
      </c>
      <c r="F1918" s="36">
        <v>0.2</v>
      </c>
      <c r="G1918" s="31"/>
      <c r="H1918" s="31"/>
      <c r="I1918" s="31"/>
      <c r="J1918" s="31"/>
      <c r="K1918" s="31"/>
    </row>
    <row r="1919" spans="1:11" ht="14.4" x14ac:dyDescent="0.3">
      <c r="A1919" s="28" t="str">
        <f>B1919&amp;C1919&amp;D1919&amp;E1919</f>
        <v>Kanselyariya tovarlariQogʻoz mahsulotlariTilaklar kitoblarTilaklar kitoblar</v>
      </c>
      <c r="B1919" s="35" t="s">
        <v>3170</v>
      </c>
      <c r="C1919" s="35" t="s">
        <v>3821</v>
      </c>
      <c r="D1919" s="35" t="s">
        <v>5208</v>
      </c>
      <c r="E1919" s="35" t="s">
        <v>5208</v>
      </c>
      <c r="F1919" s="36">
        <v>0.2</v>
      </c>
      <c r="G1919" s="31"/>
      <c r="H1919" s="31"/>
      <c r="I1919" s="31"/>
      <c r="J1919" s="31"/>
      <c r="K1919" s="31"/>
    </row>
    <row r="1920" spans="1:11" ht="14.4" x14ac:dyDescent="0.3">
      <c r="A1920" s="28" t="str">
        <f>B1920&amp;C1920&amp;D1920&amp;E1920</f>
        <v>Kanselyariya tovarlariMuhr va shtamplarKassalarKassalar</v>
      </c>
      <c r="B1920" s="35" t="s">
        <v>3170</v>
      </c>
      <c r="C1920" s="35" t="s">
        <v>5201</v>
      </c>
      <c r="D1920" s="35" t="s">
        <v>5209</v>
      </c>
      <c r="E1920" s="35" t="s">
        <v>5209</v>
      </c>
      <c r="F1920" s="36">
        <v>0.2</v>
      </c>
      <c r="G1920" s="31"/>
      <c r="H1920" s="31"/>
      <c r="I1920" s="31"/>
      <c r="J1920" s="31"/>
      <c r="K1920" s="31"/>
    </row>
    <row r="1921" spans="1:11" ht="14.4" x14ac:dyDescent="0.3">
      <c r="A1921" s="28" t="str">
        <f>B1921&amp;C1921&amp;D1921&amp;E1921</f>
        <v>Kanselyariya tovarlariPapkalar va fayllarPapka-planshetlarPapka-planshetlar</v>
      </c>
      <c r="B1921" s="35" t="s">
        <v>3170</v>
      </c>
      <c r="C1921" s="35" t="s">
        <v>5210</v>
      </c>
      <c r="D1921" s="35" t="s">
        <v>5211</v>
      </c>
      <c r="E1921" s="35" t="s">
        <v>5211</v>
      </c>
      <c r="F1921" s="36">
        <v>0.2</v>
      </c>
      <c r="G1921" s="31"/>
      <c r="H1921" s="31"/>
      <c r="I1921" s="31"/>
      <c r="J1921" s="31"/>
      <c r="K1921" s="31"/>
    </row>
    <row r="1922" spans="1:11" ht="14.4" x14ac:dyDescent="0.3">
      <c r="A1922" s="28" t="str">
        <f>B1922&amp;C1922&amp;D1922&amp;E1922</f>
        <v>Kanselyariya tovarlariQogʻoz mahsulotlariStiker va qaydlar uchun qogʻozlarQaydlar uchun qogʻoz</v>
      </c>
      <c r="B1922" s="35" t="s">
        <v>3170</v>
      </c>
      <c r="C1922" s="35" t="s">
        <v>3821</v>
      </c>
      <c r="D1922" s="35" t="s">
        <v>4434</v>
      </c>
      <c r="E1922" s="35" t="s">
        <v>5212</v>
      </c>
      <c r="F1922" s="36">
        <v>0.2</v>
      </c>
      <c r="G1922" s="31"/>
      <c r="H1922" s="31"/>
      <c r="I1922" s="31"/>
      <c r="J1922" s="31"/>
      <c r="K1922" s="31"/>
    </row>
    <row r="1923" spans="1:11" ht="14.4" x14ac:dyDescent="0.3">
      <c r="A1923" s="28" t="str">
        <f>B1923&amp;C1923&amp;D1923&amp;E1923</f>
        <v>Kanselyariya tovarlariQogʻoz mahsulotlariMehnat va tibbiy kitoblar, sertifikatlarSertifikatlash uchun blanklar</v>
      </c>
      <c r="B1923" s="35" t="s">
        <v>3170</v>
      </c>
      <c r="C1923" s="35" t="s">
        <v>3821</v>
      </c>
      <c r="D1923" s="35" t="s">
        <v>5213</v>
      </c>
      <c r="E1923" s="35" t="s">
        <v>5214</v>
      </c>
      <c r="F1923" s="36">
        <v>0.2</v>
      </c>
      <c r="G1923" s="31"/>
      <c r="H1923" s="31"/>
      <c r="I1923" s="31"/>
      <c r="J1923" s="31"/>
      <c r="K1923" s="31"/>
    </row>
    <row r="1924" spans="1:11" ht="14.4" x14ac:dyDescent="0.3">
      <c r="A1924" s="28" t="str">
        <f>B1924&amp;C1924&amp;D1924&amp;E1924</f>
        <v>Kanselyariya tovarlariKalkulyatorlarMuhandislik kalkulyatorlariMuhandislik kalkulyatorlari</v>
      </c>
      <c r="B1924" s="35" t="s">
        <v>3170</v>
      </c>
      <c r="C1924" s="35" t="s">
        <v>5215</v>
      </c>
      <c r="D1924" s="35" t="s">
        <v>5216</v>
      </c>
      <c r="E1924" s="35" t="s">
        <v>5216</v>
      </c>
      <c r="F1924" s="36">
        <v>0.2</v>
      </c>
      <c r="G1924" s="31"/>
      <c r="H1924" s="31"/>
      <c r="I1924" s="31"/>
      <c r="J1924" s="31"/>
      <c r="K1924" s="31"/>
    </row>
    <row r="1925" spans="1:11" ht="14.4" x14ac:dyDescent="0.3">
      <c r="A1925" s="28" t="str">
        <f>B1925&amp;C1925&amp;D1925&amp;E1925</f>
        <v>Kanselyariya tovarlariPapkalar va fayllarPereplyotlar uchun prujinalarPereplyotlar uchun prujinalar</v>
      </c>
      <c r="B1925" s="35" t="s">
        <v>3170</v>
      </c>
      <c r="C1925" s="35" t="s">
        <v>5210</v>
      </c>
      <c r="D1925" s="35" t="s">
        <v>5217</v>
      </c>
      <c r="E1925" s="35" t="s">
        <v>5217</v>
      </c>
      <c r="F1925" s="36">
        <v>0.2</v>
      </c>
      <c r="G1925" s="31"/>
      <c r="H1925" s="31"/>
      <c r="I1925" s="31"/>
      <c r="J1925" s="31"/>
      <c r="K1925" s="31"/>
    </row>
    <row r="1926" spans="1:11" ht="14.4" x14ac:dyDescent="0.3">
      <c r="A1926" s="28" t="str">
        <f>B1926&amp;C1926&amp;D1926&amp;E1926</f>
        <v>Kanselyariya tovarlariOfis buyumlariLupalarLupalar</v>
      </c>
      <c r="B1926" s="35" t="s">
        <v>3170</v>
      </c>
      <c r="C1926" s="35" t="s">
        <v>5218</v>
      </c>
      <c r="D1926" s="35" t="s">
        <v>5219</v>
      </c>
      <c r="E1926" s="35" t="s">
        <v>5219</v>
      </c>
      <c r="F1926" s="36">
        <v>0.2</v>
      </c>
      <c r="G1926" s="31"/>
      <c r="H1926" s="31"/>
      <c r="I1926" s="31"/>
      <c r="J1926" s="31"/>
      <c r="K1926" s="31"/>
    </row>
    <row r="1927" spans="1:11" ht="14.4" x14ac:dyDescent="0.3">
      <c r="A1927" s="28" t="str">
        <f>B1927&amp;C1927&amp;D1927&amp;E1927</f>
        <v>Kanselyariya tovarlariQogʻoz mahsulotlariSinf jurnallariSinf jurnallari</v>
      </c>
      <c r="B1927" s="35" t="s">
        <v>3170</v>
      </c>
      <c r="C1927" s="35" t="s">
        <v>3821</v>
      </c>
      <c r="D1927" s="35" t="s">
        <v>5220</v>
      </c>
      <c r="E1927" s="35" t="s">
        <v>5220</v>
      </c>
      <c r="F1927" s="36">
        <v>0.2</v>
      </c>
      <c r="G1927" s="31"/>
      <c r="H1927" s="31"/>
      <c r="I1927" s="31"/>
      <c r="J1927" s="31"/>
      <c r="K1927" s="31"/>
    </row>
    <row r="1928" spans="1:11" ht="14.4" x14ac:dyDescent="0.3">
      <c r="A1928" s="28" t="str">
        <f>B1928&amp;C1928&amp;D1928&amp;E1928</f>
        <v>Kanselyariya tovarlariPapkalar va fayllarOsma papkalarOsma papkalar</v>
      </c>
      <c r="B1928" s="35" t="s">
        <v>3170</v>
      </c>
      <c r="C1928" s="35" t="s">
        <v>5210</v>
      </c>
      <c r="D1928" s="35" t="s">
        <v>5221</v>
      </c>
      <c r="E1928" s="35" t="s">
        <v>5221</v>
      </c>
      <c r="F1928" s="36">
        <v>0.2</v>
      </c>
      <c r="G1928" s="31"/>
      <c r="H1928" s="31"/>
      <c r="I1928" s="31"/>
      <c r="J1928" s="31"/>
      <c r="K1928" s="31"/>
    </row>
    <row r="1929" spans="1:11" ht="14.4" x14ac:dyDescent="0.3">
      <c r="A1929" s="28" t="str">
        <f>B1929&amp;C1929&amp;D1929&amp;E1929</f>
        <v>Kanselyariya tovarlariSavdo uchun uskunalarAxborot qurilmalariAxborot qurilmalari</v>
      </c>
      <c r="B1929" s="35" t="s">
        <v>3170</v>
      </c>
      <c r="C1929" s="35" t="s">
        <v>5195</v>
      </c>
      <c r="D1929" s="35" t="s">
        <v>5222</v>
      </c>
      <c r="E1929" s="35" t="s">
        <v>5222</v>
      </c>
      <c r="F1929" s="36">
        <v>0.2</v>
      </c>
      <c r="G1929" s="31"/>
      <c r="H1929" s="31"/>
      <c r="I1929" s="31"/>
      <c r="J1929" s="31"/>
      <c r="K1929" s="31"/>
    </row>
    <row r="1930" spans="1:11" ht="14.4" x14ac:dyDescent="0.3">
      <c r="A1930" s="28" t="str">
        <f>B1930&amp;C1930&amp;D1930&amp;E1930</f>
        <v>Kanselyariya tovarlariOfis buyumlariStol uchun gilamchalarStol uchun gilamchalar</v>
      </c>
      <c r="B1930" s="35" t="s">
        <v>3170</v>
      </c>
      <c r="C1930" s="35" t="s">
        <v>5218</v>
      </c>
      <c r="D1930" s="35" t="s">
        <v>5223</v>
      </c>
      <c r="E1930" s="35" t="s">
        <v>5223</v>
      </c>
      <c r="F1930" s="36">
        <v>0.2</v>
      </c>
      <c r="G1930" s="31"/>
      <c r="H1930" s="31"/>
      <c r="I1930" s="31"/>
      <c r="J1930" s="31"/>
      <c r="K1930" s="31"/>
    </row>
    <row r="1931" spans="1:11" ht="14.4" x14ac:dyDescent="0.3">
      <c r="A1931" s="28" t="str">
        <f>B1931&amp;C1931&amp;D1931&amp;E1931</f>
        <v>Kanselyariya tovarlariPapkalar va fayllarPortfolioPortfolio</v>
      </c>
      <c r="B1931" s="35" t="s">
        <v>3170</v>
      </c>
      <c r="C1931" s="35" t="s">
        <v>5210</v>
      </c>
      <c r="D1931" s="35" t="s">
        <v>5224</v>
      </c>
      <c r="E1931" s="35" t="s">
        <v>5224</v>
      </c>
      <c r="F1931" s="36">
        <v>0.2</v>
      </c>
      <c r="G1931" s="31"/>
      <c r="H1931" s="31"/>
      <c r="I1931" s="31"/>
      <c r="J1931" s="31"/>
      <c r="K1931" s="31"/>
    </row>
    <row r="1932" spans="1:11" ht="14.4" x14ac:dyDescent="0.3">
      <c r="A1932" s="28" t="str">
        <f>B1932&amp;C1932&amp;D1932&amp;E1932</f>
        <v>Kanselyariya tovarlariOfis buyumlariKanselyariya qaychilari va pichoqlarKanselyariya qaychilari va pichoqlar</v>
      </c>
      <c r="B1932" s="35" t="s">
        <v>3170</v>
      </c>
      <c r="C1932" s="35" t="s">
        <v>5218</v>
      </c>
      <c r="D1932" s="35" t="s">
        <v>5225</v>
      </c>
      <c r="E1932" s="35" t="s">
        <v>5225</v>
      </c>
      <c r="F1932" s="36">
        <v>0.2</v>
      </c>
      <c r="G1932" s="31"/>
      <c r="H1932" s="31"/>
      <c r="I1932" s="31"/>
      <c r="J1932" s="31"/>
      <c r="K1932" s="31"/>
    </row>
    <row r="1933" spans="1:11" ht="14.4" x14ac:dyDescent="0.3">
      <c r="A1933" s="28" t="str">
        <f>B1933&amp;C1933&amp;D1933&amp;E1933</f>
        <v>Kanselyariya tovarlariMuhr va shtamplarShtamplarShtamplar</v>
      </c>
      <c r="B1933" s="35" t="s">
        <v>3170</v>
      </c>
      <c r="C1933" s="35" t="s">
        <v>5201</v>
      </c>
      <c r="D1933" s="35" t="s">
        <v>5226</v>
      </c>
      <c r="E1933" s="35" t="s">
        <v>5226</v>
      </c>
      <c r="F1933" s="36">
        <v>0.2</v>
      </c>
      <c r="G1933" s="31"/>
      <c r="H1933" s="31"/>
      <c r="I1933" s="31"/>
      <c r="J1933" s="31"/>
      <c r="K1933" s="31"/>
    </row>
    <row r="1934" spans="1:11" ht="14.4" x14ac:dyDescent="0.3">
      <c r="A1934" s="28" t="str">
        <f>B1934&amp;C1934&amp;D1934&amp;E1934</f>
        <v>Kanselyariya tovarlariMuhr va shtamplarShtampellar yostiqchalarShtampellar yostiqchalar</v>
      </c>
      <c r="B1934" s="35" t="s">
        <v>3170</v>
      </c>
      <c r="C1934" s="35" t="s">
        <v>5201</v>
      </c>
      <c r="D1934" s="35" t="s">
        <v>5227</v>
      </c>
      <c r="E1934" s="35" t="s">
        <v>5227</v>
      </c>
      <c r="F1934" s="36">
        <v>0.2</v>
      </c>
      <c r="G1934" s="31"/>
      <c r="H1934" s="31"/>
      <c r="I1934" s="31"/>
      <c r="J1934" s="31"/>
      <c r="K1934" s="31"/>
    </row>
    <row r="1935" spans="1:11" ht="14.4" x14ac:dyDescent="0.3">
      <c r="A1935" s="28" t="str">
        <f>B1935&amp;C1935&amp;D1935&amp;E1935</f>
        <v>Kanselyariya tovarlariQogʻoz mahsulotlariHisob-kitob kitoblariHisob-kitob kitoblari</v>
      </c>
      <c r="B1935" s="35" t="s">
        <v>3170</v>
      </c>
      <c r="C1935" s="35" t="s">
        <v>3821</v>
      </c>
      <c r="D1935" s="35" t="s">
        <v>5228</v>
      </c>
      <c r="E1935" s="35" t="s">
        <v>5228</v>
      </c>
      <c r="F1935" s="36">
        <v>0.2</v>
      </c>
      <c r="G1935" s="31"/>
      <c r="H1935" s="31"/>
      <c r="I1935" s="31"/>
      <c r="J1935" s="31"/>
      <c r="K1935" s="31"/>
    </row>
    <row r="1936" spans="1:11" ht="14.4" x14ac:dyDescent="0.3">
      <c r="A1936" s="28" t="str">
        <f>B1936&amp;C1936&amp;D1936&amp;E1936</f>
        <v>Kanselyariya tovarlariQogʻoz mahsulotlariOʻzi yopishadigan plyonka, nakleykalar va yorliqlarOʻzi yopishadigan plyonka</v>
      </c>
      <c r="B1936" s="35" t="s">
        <v>3170</v>
      </c>
      <c r="C1936" s="35" t="s">
        <v>3821</v>
      </c>
      <c r="D1936" s="35" t="s">
        <v>5197</v>
      </c>
      <c r="E1936" s="35" t="s">
        <v>5229</v>
      </c>
      <c r="F1936" s="36">
        <v>0.2</v>
      </c>
      <c r="G1936" s="31"/>
      <c r="H1936" s="31"/>
      <c r="I1936" s="31"/>
      <c r="J1936" s="31"/>
      <c r="K1936" s="31"/>
    </row>
    <row r="1937" spans="1:11" ht="14.4" x14ac:dyDescent="0.3">
      <c r="A1937" s="28" t="str">
        <f>B1937&amp;C1937&amp;D1937&amp;E1937</f>
        <v>Kanselyariya tovarlariNamoyish doskalariKoʻrsatish tayoqchasiKoʻrsatish tayoqchasi</v>
      </c>
      <c r="B1937" s="35" t="s">
        <v>3170</v>
      </c>
      <c r="C1937" s="35" t="s">
        <v>5230</v>
      </c>
      <c r="D1937" s="35" t="s">
        <v>5231</v>
      </c>
      <c r="E1937" s="35" t="s">
        <v>5231</v>
      </c>
      <c r="F1937" s="36">
        <v>0.2</v>
      </c>
      <c r="G1937" s="31"/>
      <c r="H1937" s="31"/>
      <c r="I1937" s="31"/>
      <c r="J1937" s="31"/>
      <c r="K1937" s="31"/>
    </row>
    <row r="1938" spans="1:11" ht="14.4" x14ac:dyDescent="0.3">
      <c r="A1938" s="28" t="str">
        <f>B1938&amp;C1938&amp;D1938&amp;E1938</f>
        <v>Kanselyariya tovarlariPapkalar va fayllarQogʻoz uchun papkalarQogʻoz uchun papkalar</v>
      </c>
      <c r="B1938" s="35" t="s">
        <v>3170</v>
      </c>
      <c r="C1938" s="35" t="s">
        <v>5210</v>
      </c>
      <c r="D1938" s="35" t="s">
        <v>5232</v>
      </c>
      <c r="E1938" s="35" t="s">
        <v>5232</v>
      </c>
      <c r="F1938" s="36">
        <v>0.2</v>
      </c>
      <c r="G1938" s="31"/>
      <c r="H1938" s="31"/>
      <c r="I1938" s="31"/>
      <c r="J1938" s="31"/>
      <c r="K1938" s="31"/>
    </row>
    <row r="1939" spans="1:11" ht="14.4" x14ac:dyDescent="0.3">
      <c r="A1939" s="28" t="str">
        <f>B1939&amp;C1939&amp;D1939&amp;E1939</f>
        <v>Kanselyariya tovarlariYozuv qurollariFlomasterlarFlomasterlar</v>
      </c>
      <c r="B1939" s="35" t="s">
        <v>3170</v>
      </c>
      <c r="C1939" s="35" t="s">
        <v>3819</v>
      </c>
      <c r="D1939" s="35" t="s">
        <v>5233</v>
      </c>
      <c r="E1939" s="35" t="s">
        <v>5233</v>
      </c>
      <c r="F1939" s="36">
        <v>0.2</v>
      </c>
      <c r="G1939" s="31"/>
      <c r="H1939" s="31"/>
      <c r="I1939" s="31"/>
      <c r="J1939" s="31"/>
      <c r="K1939" s="31"/>
    </row>
    <row r="1940" spans="1:11" ht="14.4" x14ac:dyDescent="0.3">
      <c r="A1940" s="28" t="str">
        <f>B1940&amp;C1940&amp;D1940&amp;E1940</f>
        <v>Kanselyariya tovarlariOfis buyumlariQogʻoz uchun savatlarQogʻoz uchun savatlar</v>
      </c>
      <c r="B1940" s="35" t="s">
        <v>3170</v>
      </c>
      <c r="C1940" s="35" t="s">
        <v>5218</v>
      </c>
      <c r="D1940" s="35" t="s">
        <v>5234</v>
      </c>
      <c r="E1940" s="35" t="s">
        <v>5234</v>
      </c>
      <c r="F1940" s="36">
        <v>0.2</v>
      </c>
      <c r="G1940" s="31"/>
      <c r="H1940" s="31"/>
      <c r="I1940" s="31"/>
      <c r="J1940" s="31"/>
      <c r="K1940" s="31"/>
    </row>
    <row r="1941" spans="1:11" ht="14.4" x14ac:dyDescent="0.3">
      <c r="A1941" s="28" t="str">
        <f>B1941&amp;C1941&amp;D1941&amp;E1941</f>
        <v>Kanselyariya tovarlariQogʻoz mahsulotlariKonvertlarKonvertlar</v>
      </c>
      <c r="B1941" s="35" t="s">
        <v>3170</v>
      </c>
      <c r="C1941" s="35" t="s">
        <v>3821</v>
      </c>
      <c r="D1941" s="35" t="s">
        <v>3523</v>
      </c>
      <c r="E1941" s="35" t="s">
        <v>3523</v>
      </c>
      <c r="F1941" s="36">
        <v>0.2</v>
      </c>
      <c r="G1941" s="31"/>
      <c r="H1941" s="31"/>
      <c r="I1941" s="31"/>
      <c r="J1941" s="31"/>
      <c r="K1941" s="31"/>
    </row>
    <row r="1942" spans="1:11" ht="14.4" x14ac:dyDescent="0.3">
      <c r="A1942" s="28" t="str">
        <f>B1942&amp;C1942&amp;D1942&amp;E1942</f>
        <v>Kanselyariya tovarlariYozuv qurollariRuchkalarRuchkalar</v>
      </c>
      <c r="B1942" s="35" t="s">
        <v>3170</v>
      </c>
      <c r="C1942" s="35" t="s">
        <v>3819</v>
      </c>
      <c r="D1942" s="35" t="s">
        <v>5235</v>
      </c>
      <c r="E1942" s="35" t="s">
        <v>5235</v>
      </c>
      <c r="F1942" s="36">
        <v>0.2</v>
      </c>
      <c r="G1942" s="31"/>
      <c r="H1942" s="31"/>
      <c r="I1942" s="31"/>
      <c r="J1942" s="31"/>
      <c r="K1942" s="31"/>
    </row>
    <row r="1943" spans="1:11" ht="14.4" x14ac:dyDescent="0.3">
      <c r="A1943" s="28" t="str">
        <f>B1943&amp;C1943&amp;D1943&amp;E1943</f>
        <v>Kanselyariya tovarlariQogʻoz mahsulotlariBloknotlar va yozuv daftarlariYozuv daftarlari</v>
      </c>
      <c r="B1943" s="35" t="s">
        <v>3170</v>
      </c>
      <c r="C1943" s="35" t="s">
        <v>3821</v>
      </c>
      <c r="D1943" s="35" t="s">
        <v>5236</v>
      </c>
      <c r="E1943" s="35" t="s">
        <v>5237</v>
      </c>
      <c r="F1943" s="36">
        <v>0.2</v>
      </c>
      <c r="G1943" s="31"/>
      <c r="H1943" s="31"/>
      <c r="I1943" s="31"/>
      <c r="J1943" s="31"/>
      <c r="K1943" s="31"/>
    </row>
    <row r="1944" spans="1:11" ht="14.4" x14ac:dyDescent="0.3">
      <c r="A1944" s="28" t="str">
        <f>B1944&amp;C1944&amp;D1944&amp;E1944</f>
        <v>Kanselyariya tovarlariStol podstavkalari va tashrif qogʻozlariDarsliklar uchun podstavkalarDarsliklar uchun podstavkalar</v>
      </c>
      <c r="B1944" s="35" t="s">
        <v>3170</v>
      </c>
      <c r="C1944" s="35" t="s">
        <v>5238</v>
      </c>
      <c r="D1944" s="35" t="s">
        <v>5239</v>
      </c>
      <c r="E1944" s="35" t="s">
        <v>5239</v>
      </c>
      <c r="F1944" s="36">
        <v>0.2</v>
      </c>
      <c r="G1944" s="31"/>
      <c r="H1944" s="31"/>
      <c r="I1944" s="31"/>
      <c r="J1944" s="31"/>
      <c r="K1944" s="31"/>
    </row>
    <row r="1945" spans="1:11" ht="14.4" x14ac:dyDescent="0.3">
      <c r="A1945" s="28" t="str">
        <f>B1945&amp;C1945&amp;D1945&amp;E1945</f>
        <v>Kanselyariya tovarlariYozuv qurollariKanselyariya toʻplamlariKanselyariya toʻplamlari</v>
      </c>
      <c r="B1945" s="35" t="s">
        <v>3170</v>
      </c>
      <c r="C1945" s="35" t="s">
        <v>3819</v>
      </c>
      <c r="D1945" s="35" t="s">
        <v>5240</v>
      </c>
      <c r="E1945" s="35" t="s">
        <v>5240</v>
      </c>
      <c r="F1945" s="36">
        <v>0.2</v>
      </c>
      <c r="G1945" s="31"/>
      <c r="H1945" s="31"/>
      <c r="I1945" s="31"/>
      <c r="J1945" s="31"/>
      <c r="K1945" s="31"/>
    </row>
    <row r="1946" spans="1:11" ht="14.4" x14ac:dyDescent="0.3">
      <c r="A1946" s="28" t="str">
        <f>B1946&amp;C1946&amp;D1946&amp;E1946</f>
        <v>Kanselyariya tovarlariQogʻoz mahsulotlariMillimetrli qogʻozMillimetrli qogʻoz</v>
      </c>
      <c r="B1946" s="35" t="s">
        <v>3170</v>
      </c>
      <c r="C1946" s="35" t="s">
        <v>3821</v>
      </c>
      <c r="D1946" s="35" t="s">
        <v>5241</v>
      </c>
      <c r="E1946" s="35" t="s">
        <v>5241</v>
      </c>
      <c r="F1946" s="36">
        <v>0.2</v>
      </c>
      <c r="G1946" s="31"/>
      <c r="H1946" s="31"/>
      <c r="I1946" s="31"/>
      <c r="J1946" s="31"/>
      <c r="K1946" s="31"/>
    </row>
    <row r="1947" spans="1:11" ht="14.4" x14ac:dyDescent="0.3">
      <c r="A1947" s="28" t="str">
        <f>B1947&amp;C1947&amp;D1947&amp;E1947</f>
        <v>Kanselyariya tovarlariQogʻoz mahsulotlariRangli qogʻozRangli qogʻoz</v>
      </c>
      <c r="B1947" s="35" t="s">
        <v>3170</v>
      </c>
      <c r="C1947" s="35" t="s">
        <v>3821</v>
      </c>
      <c r="D1947" s="35" t="s">
        <v>5242</v>
      </c>
      <c r="E1947" s="35" t="s">
        <v>5242</v>
      </c>
      <c r="F1947" s="36">
        <v>0.2</v>
      </c>
      <c r="G1947" s="31"/>
      <c r="H1947" s="31"/>
      <c r="I1947" s="31"/>
      <c r="J1947" s="31"/>
      <c r="K1947" s="31"/>
    </row>
    <row r="1948" spans="1:11" ht="14.4" x14ac:dyDescent="0.3">
      <c r="A1948" s="28" t="str">
        <f>B1948&amp;C1948&amp;D1948&amp;E1948</f>
        <v>Kanselyariya tovarlariQogʻoz mahsulotlariOʻzi yopishadigan plyonka, nakleykalar va yorliqlarSaqlash uchun nakleykalar</v>
      </c>
      <c r="B1948" s="35" t="s">
        <v>3170</v>
      </c>
      <c r="C1948" s="35" t="s">
        <v>3821</v>
      </c>
      <c r="D1948" s="35" t="s">
        <v>5197</v>
      </c>
      <c r="E1948" s="35" t="s">
        <v>5243</v>
      </c>
      <c r="F1948" s="36">
        <v>0.2</v>
      </c>
      <c r="G1948" s="31"/>
      <c r="H1948" s="31"/>
      <c r="I1948" s="31"/>
      <c r="J1948" s="31"/>
      <c r="K1948" s="31"/>
    </row>
    <row r="1949" spans="1:11" ht="14.4" x14ac:dyDescent="0.3">
      <c r="A1949" s="28" t="str">
        <f>B1949&amp;C1949&amp;D1949&amp;E1949</f>
        <v>Kanselyariya tovarlariMaktab va oʻqish uchun tovarlarDunyo xaritasiMa'muriy xarita</v>
      </c>
      <c r="B1949" s="35" t="s">
        <v>3170</v>
      </c>
      <c r="C1949" s="35" t="s">
        <v>5205</v>
      </c>
      <c r="D1949" s="35" t="s">
        <v>5244</v>
      </c>
      <c r="E1949" s="35" t="s">
        <v>5245</v>
      </c>
      <c r="F1949" s="36">
        <v>0.2</v>
      </c>
      <c r="G1949" s="31"/>
      <c r="H1949" s="31"/>
      <c r="I1949" s="31"/>
      <c r="J1949" s="31"/>
      <c r="K1949" s="31"/>
    </row>
    <row r="1950" spans="1:11" ht="14.4" x14ac:dyDescent="0.3">
      <c r="A1950" s="28" t="str">
        <f>B1950&amp;C1950&amp;D1950&amp;E1950</f>
        <v>Kanselyariya tovarlariOfis buyumlariBeyjiklar va aksessuarlarBeyjiklar va aksessuarlar</v>
      </c>
      <c r="B1950" s="35" t="s">
        <v>3170</v>
      </c>
      <c r="C1950" s="35" t="s">
        <v>5218</v>
      </c>
      <c r="D1950" s="35" t="s">
        <v>5246</v>
      </c>
      <c r="E1950" s="35" t="s">
        <v>5246</v>
      </c>
      <c r="F1950" s="36">
        <v>0.2</v>
      </c>
      <c r="G1950" s="31"/>
      <c r="H1950" s="31"/>
      <c r="I1950" s="31"/>
      <c r="J1950" s="31"/>
      <c r="K1950" s="31"/>
    </row>
    <row r="1951" spans="1:11" ht="14.4" x14ac:dyDescent="0.3">
      <c r="A1951" s="28" t="str">
        <f>B1951&amp;C1951&amp;D1951&amp;E1951</f>
        <v>Kanselyariya tovarlariNamoyish doskalariMarker va boʻr taxtalariMarker va boʻr taxtalari</v>
      </c>
      <c r="B1951" s="35" t="s">
        <v>3170</v>
      </c>
      <c r="C1951" s="35" t="s">
        <v>5230</v>
      </c>
      <c r="D1951" s="35" t="s">
        <v>5247</v>
      </c>
      <c r="E1951" s="35" t="s">
        <v>5247</v>
      </c>
      <c r="F1951" s="36">
        <v>0.2</v>
      </c>
      <c r="G1951" s="31"/>
      <c r="H1951" s="31"/>
      <c r="I1951" s="31"/>
      <c r="J1951" s="31"/>
      <c r="K1951" s="31"/>
    </row>
    <row r="1952" spans="1:11" ht="14.4" x14ac:dyDescent="0.3">
      <c r="A1952" s="28" t="str">
        <f>B1952&amp;C1952&amp;D1952&amp;E1952</f>
        <v>Kanselyariya tovarlariQogʻoz mahsulotlariNusxa koʻchirish qogʻoziNusxa koʻchirish qogʻozi</v>
      </c>
      <c r="B1952" s="35" t="s">
        <v>3170</v>
      </c>
      <c r="C1952" s="35" t="s">
        <v>3821</v>
      </c>
      <c r="D1952" s="35" t="s">
        <v>5248</v>
      </c>
      <c r="E1952" s="35" t="s">
        <v>5248</v>
      </c>
      <c r="F1952" s="36">
        <v>0.2</v>
      </c>
      <c r="G1952" s="31"/>
      <c r="H1952" s="31"/>
      <c r="I1952" s="31"/>
      <c r="J1952" s="31"/>
      <c r="K1952" s="31"/>
    </row>
    <row r="1953" spans="1:11" ht="14.4" x14ac:dyDescent="0.3">
      <c r="A1953" s="28" t="str">
        <f>B1953&amp;C1953&amp;D1953&amp;E1953</f>
        <v>Kanselyariya tovarlariStol podstavkalari va tashrif qogʻozlariIsh stoli tashrif qogʻozlariIsh stoli tashrif qogʻozlari</v>
      </c>
      <c r="B1953" s="35" t="s">
        <v>3170</v>
      </c>
      <c r="C1953" s="35" t="s">
        <v>5238</v>
      </c>
      <c r="D1953" s="35" t="s">
        <v>5249</v>
      </c>
      <c r="E1953" s="35" t="s">
        <v>5249</v>
      </c>
      <c r="F1953" s="36">
        <v>0.2</v>
      </c>
      <c r="G1953" s="31"/>
      <c r="H1953" s="31"/>
      <c r="I1953" s="31"/>
      <c r="J1953" s="31"/>
      <c r="K1953" s="31"/>
    </row>
    <row r="1954" spans="1:11" ht="14.4" x14ac:dyDescent="0.3">
      <c r="A1954" s="28" t="str">
        <f>B1954&amp;C1954&amp;D1954&amp;E1954</f>
        <v>Kanselyariya tovarlariQogʻoz mahsulotlariPochta qutilariPochta qutilari</v>
      </c>
      <c r="B1954" s="35" t="s">
        <v>3170</v>
      </c>
      <c r="C1954" s="35" t="s">
        <v>3821</v>
      </c>
      <c r="D1954" s="35" t="s">
        <v>5250</v>
      </c>
      <c r="E1954" s="35" t="s">
        <v>5250</v>
      </c>
      <c r="F1954" s="36">
        <v>0.2</v>
      </c>
      <c r="G1954" s="31"/>
      <c r="H1954" s="31"/>
      <c r="I1954" s="31"/>
      <c r="J1954" s="31"/>
      <c r="K1954" s="31"/>
    </row>
    <row r="1955" spans="1:11" ht="14.4" x14ac:dyDescent="0.3">
      <c r="A1955" s="28" t="str">
        <f>B1955&amp;C1955&amp;D1955&amp;E1955</f>
        <v>Kanselyariya tovarlariQogʻoz mahsulotlariDaftarlarBiznes-daftar</v>
      </c>
      <c r="B1955" s="35" t="s">
        <v>3170</v>
      </c>
      <c r="C1955" s="35" t="s">
        <v>3821</v>
      </c>
      <c r="D1955" s="35" t="s">
        <v>5251</v>
      </c>
      <c r="E1955" s="35" t="s">
        <v>5252</v>
      </c>
      <c r="F1955" s="36">
        <v>0.2</v>
      </c>
      <c r="G1955" s="31"/>
      <c r="H1955" s="31"/>
      <c r="I1955" s="31"/>
      <c r="J1955" s="31"/>
      <c r="K1955" s="31"/>
    </row>
    <row r="1956" spans="1:11" ht="14.4" x14ac:dyDescent="0.3">
      <c r="A1956" s="28" t="str">
        <f>B1956&amp;C1956&amp;D1956&amp;E1956</f>
        <v>Kanselyariya tovarlariOfis buyumlariYelimYelim</v>
      </c>
      <c r="B1956" s="35" t="s">
        <v>3170</v>
      </c>
      <c r="C1956" s="35" t="s">
        <v>5218</v>
      </c>
      <c r="D1956" s="35" t="s">
        <v>5253</v>
      </c>
      <c r="E1956" s="35" t="s">
        <v>5253</v>
      </c>
      <c r="F1956" s="36">
        <v>0.2</v>
      </c>
      <c r="G1956" s="31"/>
      <c r="H1956" s="31"/>
      <c r="I1956" s="31"/>
      <c r="J1956" s="31"/>
      <c r="K1956" s="31"/>
    </row>
    <row r="1957" spans="1:11" ht="14.4" x14ac:dyDescent="0.3">
      <c r="A1957" s="28" t="str">
        <f>B1957&amp;C1957&amp;D1957&amp;E1957</f>
        <v>Kanselyariya tovarlariChizmachilik qurollariChizgʻichlarChizgʻichlar</v>
      </c>
      <c r="B1957" s="35" t="s">
        <v>3170</v>
      </c>
      <c r="C1957" s="35" t="s">
        <v>5254</v>
      </c>
      <c r="D1957" s="35" t="s">
        <v>5255</v>
      </c>
      <c r="E1957" s="35" t="s">
        <v>5255</v>
      </c>
      <c r="F1957" s="36">
        <v>0.2</v>
      </c>
      <c r="G1957" s="31"/>
      <c r="H1957" s="31"/>
      <c r="I1957" s="31"/>
      <c r="J1957" s="31"/>
      <c r="K1957" s="31"/>
    </row>
    <row r="1958" spans="1:11" ht="14.4" x14ac:dyDescent="0.3">
      <c r="A1958" s="28" t="str">
        <f>B1958&amp;C1958&amp;D1958&amp;E1958</f>
        <v>Kanselyariya tovarlariStol podstavkalari va tashrif qogʻozlariTashrif qogʻozi karmonlari uchun almashtirish bloklariTashrif qogʻozi karmonlari uchun almashtirish bloklari</v>
      </c>
      <c r="B1958" s="35" t="s">
        <v>3170</v>
      </c>
      <c r="C1958" s="35" t="s">
        <v>5238</v>
      </c>
      <c r="D1958" s="35" t="s">
        <v>5256</v>
      </c>
      <c r="E1958" s="35" t="s">
        <v>5256</v>
      </c>
      <c r="F1958" s="36">
        <v>0.2</v>
      </c>
      <c r="G1958" s="31"/>
      <c r="H1958" s="31"/>
      <c r="I1958" s="31"/>
      <c r="J1958" s="31"/>
      <c r="K1958" s="31"/>
    </row>
    <row r="1959" spans="1:11" ht="14.4" x14ac:dyDescent="0.3">
      <c r="A1959" s="28" t="str">
        <f>B1959&amp;C1959&amp;D1959&amp;E1959</f>
        <v>Kanselyariya tovarlariPapkalar va fayllarPereplyot uchun jildlarPereplyot uchun jildlar</v>
      </c>
      <c r="B1959" s="35" t="s">
        <v>3170</v>
      </c>
      <c r="C1959" s="35" t="s">
        <v>5210</v>
      </c>
      <c r="D1959" s="35" t="s">
        <v>5257</v>
      </c>
      <c r="E1959" s="35" t="s">
        <v>5257</v>
      </c>
      <c r="F1959" s="36">
        <v>0.2</v>
      </c>
      <c r="G1959" s="31"/>
      <c r="H1959" s="31"/>
      <c r="I1959" s="31"/>
      <c r="J1959" s="31"/>
      <c r="K1959" s="31"/>
    </row>
    <row r="1960" spans="1:11" ht="14.4" x14ac:dyDescent="0.3">
      <c r="A1960" s="28" t="str">
        <f>B1960&amp;C1960&amp;D1960&amp;E1960</f>
        <v>Kanselyariya tovarlariQogʻoz mahsulotlariDaftarlarDaftar uchun uzukchalar</v>
      </c>
      <c r="B1960" s="35" t="s">
        <v>3170</v>
      </c>
      <c r="C1960" s="35" t="s">
        <v>3821</v>
      </c>
      <c r="D1960" s="35" t="s">
        <v>5251</v>
      </c>
      <c r="E1960" s="35" t="s">
        <v>5258</v>
      </c>
      <c r="F1960" s="36">
        <v>0.2</v>
      </c>
      <c r="G1960" s="31"/>
      <c r="H1960" s="31"/>
      <c r="I1960" s="31"/>
      <c r="J1960" s="31"/>
      <c r="K1960" s="31"/>
    </row>
    <row r="1961" spans="1:11" ht="14.4" x14ac:dyDescent="0.3">
      <c r="A1961" s="28" t="str">
        <f>B1961&amp;C1961&amp;D1961&amp;E1961</f>
        <v>Kanselyariya tovarlariMuhr va shtamplarKanselyariya muhrlariKanselyariya muhrlari</v>
      </c>
      <c r="B1961" s="35" t="s">
        <v>3170</v>
      </c>
      <c r="C1961" s="35" t="s">
        <v>5201</v>
      </c>
      <c r="D1961" s="35" t="s">
        <v>5259</v>
      </c>
      <c r="E1961" s="35" t="s">
        <v>5259</v>
      </c>
      <c r="F1961" s="36">
        <v>0.2</v>
      </c>
      <c r="G1961" s="31"/>
      <c r="H1961" s="31"/>
      <c r="I1961" s="31"/>
      <c r="J1961" s="31"/>
      <c r="K1961" s="31"/>
    </row>
    <row r="1962" spans="1:11" ht="14.4" x14ac:dyDescent="0.3">
      <c r="A1962" s="28" t="str">
        <f>B1962&amp;C1962&amp;D1962&amp;E1962</f>
        <v>Kanselyariya tovarlariOfis buyumlariQogʻoz uchun lotkalar va toʻplagichlarQogʻoz uchun lotkalar va toʻplagichlar</v>
      </c>
      <c r="B1962" s="35" t="s">
        <v>3170</v>
      </c>
      <c r="C1962" s="35" t="s">
        <v>5218</v>
      </c>
      <c r="D1962" s="35" t="s">
        <v>5260</v>
      </c>
      <c r="E1962" s="35" t="s">
        <v>5260</v>
      </c>
      <c r="F1962" s="36">
        <v>0.2</v>
      </c>
      <c r="G1962" s="31"/>
      <c r="H1962" s="31"/>
      <c r="I1962" s="31"/>
      <c r="J1962" s="31"/>
      <c r="K1962" s="31"/>
    </row>
    <row r="1963" spans="1:11" ht="14.4" x14ac:dyDescent="0.3">
      <c r="A1963" s="28" t="str">
        <f>B1963&amp;C1963&amp;D1963&amp;E1963</f>
        <v>Kanselyariya tovarlariQogʻoz mahsulotlariHaftaliklar va kundaliklar, planerlarHaftaliklar</v>
      </c>
      <c r="B1963" s="35" t="s">
        <v>3170</v>
      </c>
      <c r="C1963" s="35" t="s">
        <v>3821</v>
      </c>
      <c r="D1963" s="35" t="s">
        <v>5199</v>
      </c>
      <c r="E1963" s="35" t="s">
        <v>5261</v>
      </c>
      <c r="F1963" s="36">
        <v>0.2</v>
      </c>
      <c r="G1963" s="31"/>
      <c r="H1963" s="31"/>
      <c r="I1963" s="31"/>
      <c r="J1963" s="31"/>
      <c r="K1963" s="31"/>
    </row>
    <row r="1964" spans="1:11" ht="14.4" x14ac:dyDescent="0.3">
      <c r="A1964" s="28" t="str">
        <f>B1964&amp;C1964&amp;D1964&amp;E1964</f>
        <v>Kanselyariya tovarlariPapkalar va fayllarDiplom uchun papkalarDiplom uchun papkalar</v>
      </c>
      <c r="B1964" s="35" t="s">
        <v>3170</v>
      </c>
      <c r="C1964" s="35" t="s">
        <v>5210</v>
      </c>
      <c r="D1964" s="35" t="s">
        <v>5262</v>
      </c>
      <c r="E1964" s="35" t="s">
        <v>5262</v>
      </c>
      <c r="F1964" s="36">
        <v>0.2</v>
      </c>
      <c r="G1964" s="31"/>
      <c r="H1964" s="31"/>
      <c r="I1964" s="31"/>
      <c r="J1964" s="31"/>
      <c r="K1964" s="31"/>
    </row>
    <row r="1965" spans="1:11" ht="14.4" x14ac:dyDescent="0.3">
      <c r="A1965" s="28" t="str">
        <f>B1965&amp;C1965&amp;D1965&amp;E1965</f>
        <v>Kanselyariya tovarlariYozuv qurollariQalam o'tkirlagichlarQalam o'tkirlagichlar</v>
      </c>
      <c r="B1965" s="35" t="s">
        <v>3170</v>
      </c>
      <c r="C1965" s="35" t="s">
        <v>3819</v>
      </c>
      <c r="D1965" s="35" t="s">
        <v>5263</v>
      </c>
      <c r="E1965" s="35" t="s">
        <v>5263</v>
      </c>
      <c r="F1965" s="36">
        <v>0.2</v>
      </c>
      <c r="G1965" s="31"/>
      <c r="H1965" s="31"/>
      <c r="I1965" s="31"/>
      <c r="J1965" s="31"/>
      <c r="K1965" s="31"/>
    </row>
    <row r="1966" spans="1:11" ht="14.4" x14ac:dyDescent="0.3">
      <c r="A1966" s="28" t="str">
        <f>B1966&amp;C1966&amp;D1966&amp;E1966</f>
        <v>Kanselyariya tovarlariSavdo uchun uskunalarNarx koʻrsatkichlarNarx koʻrsatkichlar</v>
      </c>
      <c r="B1966" s="35" t="s">
        <v>3170</v>
      </c>
      <c r="C1966" s="35" t="s">
        <v>5195</v>
      </c>
      <c r="D1966" s="35" t="s">
        <v>5264</v>
      </c>
      <c r="E1966" s="35" t="s">
        <v>5264</v>
      </c>
      <c r="F1966" s="36">
        <v>0.2</v>
      </c>
      <c r="G1966" s="31"/>
      <c r="H1966" s="31"/>
      <c r="I1966" s="31"/>
      <c r="J1966" s="31"/>
      <c r="K1966" s="31"/>
    </row>
    <row r="1967" spans="1:11" ht="14.4" x14ac:dyDescent="0.3">
      <c r="A1967" s="28" t="str">
        <f>B1967&amp;C1967&amp;D1967&amp;E1967</f>
        <v>Kanselyariya tovarlariYozuv qurollariMarkerlarMarkerlar</v>
      </c>
      <c r="B1967" s="35" t="s">
        <v>3170</v>
      </c>
      <c r="C1967" s="35" t="s">
        <v>3819</v>
      </c>
      <c r="D1967" s="35" t="s">
        <v>4669</v>
      </c>
      <c r="E1967" s="35" t="s">
        <v>4669</v>
      </c>
      <c r="F1967" s="36">
        <v>0.2</v>
      </c>
      <c r="G1967" s="31"/>
      <c r="H1967" s="31"/>
      <c r="I1967" s="31"/>
      <c r="J1967" s="31"/>
      <c r="K1967" s="31"/>
    </row>
    <row r="1968" spans="1:11" ht="14.4" x14ac:dyDescent="0.3">
      <c r="A1968" s="28" t="str">
        <f>B1968&amp;C1968&amp;D1968&amp;E1968</f>
        <v>Kanselyariya tovarlariOfis buyumlariSkotchSkotch</v>
      </c>
      <c r="B1968" s="35" t="s">
        <v>3170</v>
      </c>
      <c r="C1968" s="35" t="s">
        <v>5218</v>
      </c>
      <c r="D1968" s="35" t="s">
        <v>5265</v>
      </c>
      <c r="E1968" s="35" t="s">
        <v>5265</v>
      </c>
      <c r="F1968" s="36">
        <v>0.2</v>
      </c>
      <c r="G1968" s="31"/>
      <c r="H1968" s="31"/>
      <c r="I1968" s="31"/>
      <c r="J1968" s="31"/>
      <c r="K1968" s="31"/>
    </row>
    <row r="1969" spans="1:11" ht="14.4" x14ac:dyDescent="0.3">
      <c r="A1969" s="28" t="str">
        <f>B1969&amp;C1969&amp;D1969&amp;E1969</f>
        <v>Kanselyariya tovarlariOfis buyumlariKanselyariya buyumlariKanselyariya buyumlari</v>
      </c>
      <c r="B1969" s="35" t="s">
        <v>3170</v>
      </c>
      <c r="C1969" s="35" t="s">
        <v>5218</v>
      </c>
      <c r="D1969" s="35" t="s">
        <v>5266</v>
      </c>
      <c r="E1969" s="35" t="s">
        <v>5266</v>
      </c>
      <c r="F1969" s="36">
        <v>0.2</v>
      </c>
      <c r="G1969" s="31"/>
      <c r="H1969" s="31"/>
      <c r="I1969" s="31"/>
      <c r="J1969" s="31"/>
      <c r="K1969" s="31"/>
    </row>
    <row r="1970" spans="1:11" ht="14.4" x14ac:dyDescent="0.3">
      <c r="A1970" s="28" t="str">
        <f>B1970&amp;C1970&amp;D1970&amp;E1970</f>
        <v>Kanselyariya tovarlariYozuv qurollariQalamlarQalamlar</v>
      </c>
      <c r="B1970" s="35" t="s">
        <v>3170</v>
      </c>
      <c r="C1970" s="35" t="s">
        <v>3819</v>
      </c>
      <c r="D1970" s="35" t="s">
        <v>5267</v>
      </c>
      <c r="E1970" s="35" t="s">
        <v>5267</v>
      </c>
      <c r="F1970" s="36">
        <v>0.2</v>
      </c>
      <c r="G1970" s="31"/>
      <c r="H1970" s="31"/>
      <c r="I1970" s="31"/>
      <c r="J1970" s="31"/>
      <c r="K1970" s="31"/>
    </row>
    <row r="1971" spans="1:11" ht="14.4" x14ac:dyDescent="0.3">
      <c r="A1971" s="28" t="str">
        <f>B1971&amp;C1971&amp;D1971&amp;E1971</f>
        <v>Kanselyariya tovarlariMaktab va oʻqish uchun tovarlarGlobuslarGlobuslar</v>
      </c>
      <c r="B1971" s="35" t="s">
        <v>3170</v>
      </c>
      <c r="C1971" s="35" t="s">
        <v>5205</v>
      </c>
      <c r="D1971" s="35" t="s">
        <v>5268</v>
      </c>
      <c r="E1971" s="35" t="s">
        <v>5268</v>
      </c>
      <c r="F1971" s="36">
        <v>0.2</v>
      </c>
      <c r="G1971" s="31"/>
      <c r="H1971" s="31"/>
      <c r="I1971" s="31"/>
      <c r="J1971" s="31"/>
      <c r="K1971" s="31"/>
    </row>
    <row r="1972" spans="1:11" ht="14.4" x14ac:dyDescent="0.3">
      <c r="A1972" s="28" t="str">
        <f>B1972&amp;C1972&amp;D1972&amp;E1972</f>
        <v>Kanselyariya tovarlariOfis buyumlariMatn uchun korrektorlarMatn uchun korrektorlar</v>
      </c>
      <c r="B1972" s="35" t="s">
        <v>3170</v>
      </c>
      <c r="C1972" s="35" t="s">
        <v>5218</v>
      </c>
      <c r="D1972" s="35" t="s">
        <v>5269</v>
      </c>
      <c r="E1972" s="35" t="s">
        <v>5269</v>
      </c>
      <c r="F1972" s="36">
        <v>0.2</v>
      </c>
      <c r="G1972" s="31"/>
      <c r="H1972" s="31"/>
      <c r="I1972" s="31"/>
      <c r="J1972" s="31"/>
      <c r="K1972" s="31"/>
    </row>
    <row r="1973" spans="1:11" ht="14.4" x14ac:dyDescent="0.3">
      <c r="A1973" s="28" t="str">
        <f>B1973&amp;C1973&amp;D1973&amp;E1973</f>
        <v>Kanselyariya tovarlariQogʻoz mahsulotlariXatchoʻplarXatchoʻplar</v>
      </c>
      <c r="B1973" s="35" t="s">
        <v>3170</v>
      </c>
      <c r="C1973" s="35" t="s">
        <v>3821</v>
      </c>
      <c r="D1973" s="35" t="s">
        <v>3823</v>
      </c>
      <c r="E1973" s="35" t="s">
        <v>3823</v>
      </c>
      <c r="F1973" s="36">
        <v>0.2</v>
      </c>
      <c r="G1973" s="31"/>
      <c r="H1973" s="31"/>
      <c r="I1973" s="31"/>
      <c r="J1973" s="31"/>
      <c r="K1973" s="31"/>
    </row>
    <row r="1974" spans="1:11" ht="14.4" x14ac:dyDescent="0.3">
      <c r="A1974" s="28" t="str">
        <f>B1974&amp;C1974&amp;D1974&amp;E1974</f>
        <v>Kanselyariya tovarlariQogʻoz mahsulotlariOʻzi yopishadigan plyonka, nakleykalar va yorliqlarDekorativ nakleykalar</v>
      </c>
      <c r="B1974" s="35" t="s">
        <v>3170</v>
      </c>
      <c r="C1974" s="35" t="s">
        <v>3821</v>
      </c>
      <c r="D1974" s="35" t="s">
        <v>5197</v>
      </c>
      <c r="E1974" s="35" t="s">
        <v>5270</v>
      </c>
      <c r="F1974" s="36">
        <v>0.2</v>
      </c>
      <c r="G1974" s="31"/>
      <c r="H1974" s="31"/>
      <c r="I1974" s="31"/>
      <c r="J1974" s="31"/>
      <c r="K1974" s="31"/>
    </row>
    <row r="1975" spans="1:11" ht="14.4" x14ac:dyDescent="0.3">
      <c r="A1975" s="28" t="str">
        <f>B1975&amp;C1975&amp;D1975&amp;E1975</f>
        <v>Kanselyariya tovarlariQogʻoz mahsulotlariBloknotlar va yozuv daftarlariBloknotlar</v>
      </c>
      <c r="B1975" s="35" t="s">
        <v>3170</v>
      </c>
      <c r="C1975" s="35" t="s">
        <v>3821</v>
      </c>
      <c r="D1975" s="35" t="s">
        <v>5236</v>
      </c>
      <c r="E1975" s="35" t="s">
        <v>5271</v>
      </c>
      <c r="F1975" s="36">
        <v>0.2</v>
      </c>
      <c r="G1975" s="31"/>
      <c r="H1975" s="31"/>
      <c r="I1975" s="31"/>
      <c r="J1975" s="31"/>
      <c r="K1975" s="31"/>
    </row>
    <row r="1976" spans="1:11" ht="14.4" x14ac:dyDescent="0.3">
      <c r="A1976" s="28" t="str">
        <f>B1976&amp;C1976&amp;D1976&amp;E1976</f>
        <v>Kanselyariya tovarlariQogʻoz mahsulotlariTaqvimlarTaqvimlar</v>
      </c>
      <c r="B1976" s="35" t="s">
        <v>3170</v>
      </c>
      <c r="C1976" s="35" t="s">
        <v>3821</v>
      </c>
      <c r="D1976" s="35" t="s">
        <v>5272</v>
      </c>
      <c r="E1976" s="35" t="s">
        <v>5272</v>
      </c>
      <c r="F1976" s="36">
        <v>0.2</v>
      </c>
      <c r="G1976" s="31"/>
      <c r="H1976" s="31"/>
      <c r="I1976" s="31"/>
      <c r="J1976" s="31"/>
      <c r="K1976" s="31"/>
    </row>
    <row r="1977" spans="1:11" ht="14.4" x14ac:dyDescent="0.3">
      <c r="A1977" s="28" t="str">
        <f>B1977&amp;C1977&amp;D1977&amp;E1977</f>
        <v>Kanselyariya tovarlariNamoyish doskalariDoska toʻplamlar va flipchartlarDoska toʻplamlar va flipchartlar</v>
      </c>
      <c r="B1977" s="35" t="s">
        <v>3170</v>
      </c>
      <c r="C1977" s="35" t="s">
        <v>5230</v>
      </c>
      <c r="D1977" s="35" t="s">
        <v>5273</v>
      </c>
      <c r="E1977" s="35" t="s">
        <v>5273</v>
      </c>
      <c r="F1977" s="36">
        <v>0.2</v>
      </c>
      <c r="G1977" s="31"/>
      <c r="H1977" s="31"/>
      <c r="I1977" s="31"/>
      <c r="J1977" s="31"/>
      <c r="K1977" s="31"/>
    </row>
    <row r="1978" spans="1:11" ht="14.4" x14ac:dyDescent="0.3">
      <c r="A1978" s="28" t="str">
        <f>B1978&amp;C1978&amp;D1978&amp;E1978</f>
        <v>Kanselyariya tovarlariQogʻoz mahsulotlariFaks uchun qogʻozFaks uchun qogʻoz</v>
      </c>
      <c r="B1978" s="35" t="s">
        <v>3170</v>
      </c>
      <c r="C1978" s="35" t="s">
        <v>3821</v>
      </c>
      <c r="D1978" s="35" t="s">
        <v>5274</v>
      </c>
      <c r="E1978" s="35" t="s">
        <v>5274</v>
      </c>
      <c r="F1978" s="36">
        <v>0.2</v>
      </c>
      <c r="G1978" s="31"/>
      <c r="H1978" s="31"/>
      <c r="I1978" s="31"/>
      <c r="J1978" s="31"/>
      <c r="K1978" s="31"/>
    </row>
    <row r="1979" spans="1:11" ht="14.4" x14ac:dyDescent="0.3">
      <c r="A1979" s="28" t="str">
        <f>B1979&amp;C1979&amp;D1979&amp;E1979</f>
        <v>Kanselyariya tovarlariQogʻoz mahsulotlariHaftaliklar va kundaliklar, planerlarPlannerlar</v>
      </c>
      <c r="B1979" s="35" t="s">
        <v>3170</v>
      </c>
      <c r="C1979" s="35" t="s">
        <v>3821</v>
      </c>
      <c r="D1979" s="35" t="s">
        <v>5199</v>
      </c>
      <c r="E1979" s="35" t="s">
        <v>5275</v>
      </c>
      <c r="F1979" s="36">
        <v>0.2</v>
      </c>
      <c r="G1979" s="31"/>
      <c r="H1979" s="31"/>
      <c r="I1979" s="31"/>
      <c r="J1979" s="31"/>
      <c r="K1979" s="31"/>
    </row>
    <row r="1980" spans="1:11" ht="14.4" x14ac:dyDescent="0.3">
      <c r="A1980" s="28" t="str">
        <f>B1980&amp;C1980&amp;D1980&amp;E1980</f>
        <v>Kanselyariya tovarlariQogʻoz mahsulotlariKundaliklarMaktab kundaliglari</v>
      </c>
      <c r="B1980" s="35" t="s">
        <v>3170</v>
      </c>
      <c r="C1980" s="35" t="s">
        <v>3821</v>
      </c>
      <c r="D1980" s="35" t="s">
        <v>5200</v>
      </c>
      <c r="E1980" s="35" t="s">
        <v>5276</v>
      </c>
      <c r="F1980" s="36">
        <v>0.2</v>
      </c>
      <c r="G1980" s="31"/>
      <c r="H1980" s="31"/>
      <c r="I1980" s="31"/>
      <c r="J1980" s="31"/>
      <c r="K1980" s="31"/>
    </row>
    <row r="1981" spans="1:11" ht="14.4" x14ac:dyDescent="0.3">
      <c r="A1981" s="28" t="str">
        <f>B1981&amp;C1981&amp;D1981&amp;E1981</f>
        <v>Kanselyariya tovarlariYozuv qurollariRuchkalar uchun aksessuarlar va sarflov materiallariRuchkalar uchun aksessuarlar va sarflov materiallari</v>
      </c>
      <c r="B1981" s="35" t="s">
        <v>3170</v>
      </c>
      <c r="C1981" s="35" t="s">
        <v>3819</v>
      </c>
      <c r="D1981" s="35" t="s">
        <v>5277</v>
      </c>
      <c r="E1981" s="35" t="s">
        <v>5277</v>
      </c>
      <c r="F1981" s="36">
        <v>0.2</v>
      </c>
      <c r="G1981" s="31"/>
      <c r="H1981" s="31"/>
      <c r="I1981" s="31"/>
      <c r="J1981" s="31"/>
      <c r="K1981" s="31"/>
    </row>
    <row r="1982" spans="1:11" ht="14.4" x14ac:dyDescent="0.3">
      <c r="A1982" s="28" t="str">
        <f>B1982&amp;C1982&amp;D1982&amp;E1982</f>
        <v>Kanselyariya tovarlariQogʻoz mahsulotlariHaftaliklar va kundaliklar, planerlarBloknot, kundalik uchun aksessuarlar</v>
      </c>
      <c r="B1982" s="35" t="s">
        <v>3170</v>
      </c>
      <c r="C1982" s="35" t="s">
        <v>3821</v>
      </c>
      <c r="D1982" s="35" t="s">
        <v>5199</v>
      </c>
      <c r="E1982" s="35" t="s">
        <v>5278</v>
      </c>
      <c r="F1982" s="36">
        <v>0.2</v>
      </c>
      <c r="G1982" s="31"/>
      <c r="H1982" s="31"/>
      <c r="I1982" s="31"/>
      <c r="J1982" s="31"/>
      <c r="K1982" s="31"/>
    </row>
    <row r="1983" spans="1:11" ht="14.4" x14ac:dyDescent="0.3">
      <c r="A1983" s="28" t="str">
        <f>B1983&amp;C1983&amp;D1983&amp;E1983</f>
        <v>Kanselyariya tovarlariOfis buyumlariQogʻoz uchun tutqichlarQogʻoz uchun tutqichlar</v>
      </c>
      <c r="B1983" s="35" t="s">
        <v>3170</v>
      </c>
      <c r="C1983" s="35" t="s">
        <v>5218</v>
      </c>
      <c r="D1983" s="35" t="s">
        <v>5279</v>
      </c>
      <c r="E1983" s="35" t="s">
        <v>5279</v>
      </c>
      <c r="F1983" s="36">
        <v>0.2</v>
      </c>
      <c r="G1983" s="31"/>
      <c r="H1983" s="31"/>
      <c r="I1983" s="31"/>
      <c r="J1983" s="31"/>
      <c r="K1983" s="31"/>
    </row>
    <row r="1984" spans="1:11" ht="14.4" x14ac:dyDescent="0.3">
      <c r="A1984" s="28" t="str">
        <f>B1984&amp;C1984&amp;D1984&amp;E1984</f>
        <v>Kanselyariya tovarlariNamoyish doskalariDoska oʻchirgichlarDoska oʻchirgichlar</v>
      </c>
      <c r="B1984" s="35" t="s">
        <v>3170</v>
      </c>
      <c r="C1984" s="35" t="s">
        <v>5230</v>
      </c>
      <c r="D1984" s="35" t="s">
        <v>5280</v>
      </c>
      <c r="E1984" s="35" t="s">
        <v>5280</v>
      </c>
      <c r="F1984" s="36">
        <v>0.2</v>
      </c>
      <c r="G1984" s="31"/>
      <c r="H1984" s="31"/>
      <c r="I1984" s="31"/>
      <c r="J1984" s="31"/>
      <c r="K1984" s="31"/>
    </row>
    <row r="1985" spans="1:11" ht="14.4" x14ac:dyDescent="0.3">
      <c r="A1985" s="28" t="str">
        <f>B1985&amp;C1985&amp;D1985&amp;E1985</f>
        <v>Kanselyariya tovarlariYozuv qurollariOʻchirgichlarOʻchirgichlar</v>
      </c>
      <c r="B1985" s="35" t="s">
        <v>3170</v>
      </c>
      <c r="C1985" s="35" t="s">
        <v>3819</v>
      </c>
      <c r="D1985" s="35" t="s">
        <v>5281</v>
      </c>
      <c r="E1985" s="35" t="s">
        <v>5281</v>
      </c>
      <c r="F1985" s="36">
        <v>0.2</v>
      </c>
      <c r="G1985" s="31"/>
      <c r="H1985" s="31"/>
      <c r="I1985" s="31"/>
      <c r="J1985" s="31"/>
      <c r="K1985" s="31"/>
    </row>
    <row r="1986" spans="1:11" ht="14.4" x14ac:dyDescent="0.3">
      <c r="A1986" s="28" t="str">
        <f>B1986&amp;C1986&amp;D1986&amp;E1986</f>
        <v>Kanselyariya tovarlariYozuv qurollariBoʻrlar va pastellarBoʻrlar va pastellar</v>
      </c>
      <c r="B1986" s="35" t="s">
        <v>3170</v>
      </c>
      <c r="C1986" s="35" t="s">
        <v>3819</v>
      </c>
      <c r="D1986" s="35" t="s">
        <v>5282</v>
      </c>
      <c r="E1986" s="35" t="s">
        <v>5282</v>
      </c>
      <c r="F1986" s="36">
        <v>0.2</v>
      </c>
      <c r="G1986" s="31"/>
      <c r="H1986" s="31"/>
      <c r="I1986" s="31"/>
      <c r="J1986" s="31"/>
      <c r="K1986" s="31"/>
    </row>
    <row r="1987" spans="1:11" ht="14.4" x14ac:dyDescent="0.3">
      <c r="A1987" s="28" t="str">
        <f>B1987&amp;C1987&amp;D1987&amp;E1987</f>
        <v>Kanselyariya tovarlariQogʻoz mahsulotlariRangli folgaRangli folga</v>
      </c>
      <c r="B1987" s="35" t="s">
        <v>3170</v>
      </c>
      <c r="C1987" s="35" t="s">
        <v>3821</v>
      </c>
      <c r="D1987" s="35" t="s">
        <v>5283</v>
      </c>
      <c r="E1987" s="35" t="s">
        <v>5283</v>
      </c>
      <c r="F1987" s="36">
        <v>0.2</v>
      </c>
      <c r="G1987" s="31"/>
      <c r="H1987" s="31"/>
      <c r="I1987" s="31"/>
      <c r="J1987" s="31"/>
      <c r="K1987" s="31"/>
    </row>
    <row r="1988" spans="1:11" ht="14.4" x14ac:dyDescent="0.3">
      <c r="A1988" s="28" t="str">
        <f>B1988&amp;C1988&amp;D1988&amp;E1988</f>
        <v>Kanselyariya tovarlariSavdo uchun uskunalarBanknot hisoblagichlari va detektorlariBanknot hisoblagichlari va detektorlari</v>
      </c>
      <c r="B1988" s="35" t="s">
        <v>3170</v>
      </c>
      <c r="C1988" s="35" t="s">
        <v>5195</v>
      </c>
      <c r="D1988" s="35" t="s">
        <v>5284</v>
      </c>
      <c r="E1988" s="35" t="s">
        <v>5284</v>
      </c>
      <c r="F1988" s="36">
        <v>0.2</v>
      </c>
      <c r="G1988" s="31"/>
      <c r="H1988" s="31"/>
      <c r="I1988" s="31"/>
      <c r="J1988" s="31"/>
      <c r="K1988" s="31"/>
    </row>
    <row r="1989" spans="1:11" ht="14.4" x14ac:dyDescent="0.3">
      <c r="A1989" s="28" t="str">
        <f>B1989&amp;C1989&amp;D1989&amp;E1989</f>
        <v>Kanselyariya tovarlariQogʻoz mahsulotlariBlankalar, vizitkalar va sertifikatlarSovg'a vaucheri blanklari</v>
      </c>
      <c r="B1989" s="35" t="s">
        <v>3170</v>
      </c>
      <c r="C1989" s="35" t="s">
        <v>3821</v>
      </c>
      <c r="D1989" s="35" t="s">
        <v>5203</v>
      </c>
      <c r="E1989" s="35" t="s">
        <v>5285</v>
      </c>
      <c r="F1989" s="36">
        <v>0.2</v>
      </c>
      <c r="G1989" s="31"/>
      <c r="H1989" s="31"/>
      <c r="I1989" s="31"/>
      <c r="J1989" s="31"/>
      <c r="K1989" s="31"/>
    </row>
    <row r="1990" spans="1:11" ht="14.4" x14ac:dyDescent="0.3">
      <c r="A1990" s="28" t="str">
        <f>B1990&amp;C1990&amp;D1990&amp;E1990</f>
        <v>Kanselyariya tovarlariKalkulyatorlarChoʻntak kalkulyatorlariChoʻntak kalkulyatorlari</v>
      </c>
      <c r="B1990" s="35" t="s">
        <v>3170</v>
      </c>
      <c r="C1990" s="35" t="s">
        <v>5215</v>
      </c>
      <c r="D1990" s="35" t="s">
        <v>5286</v>
      </c>
      <c r="E1990" s="35" t="s">
        <v>5286</v>
      </c>
      <c r="F1990" s="36">
        <v>0.2</v>
      </c>
      <c r="G1990" s="31"/>
      <c r="H1990" s="31"/>
      <c r="I1990" s="31"/>
      <c r="J1990" s="31"/>
      <c r="K1990" s="31"/>
    </row>
    <row r="1991" spans="1:11" ht="14.4" x14ac:dyDescent="0.3">
      <c r="A1991" s="28" t="str">
        <f>B1991&amp;C1991&amp;D1991&amp;E1991</f>
        <v>Kanselyariya tovarlariQogʻoz mahsulotlariChizmachilik va rassomchilik uchun qogʻozChizmachilik va rassomchilik uchun qogʻoz</v>
      </c>
      <c r="B1991" s="35" t="s">
        <v>3170</v>
      </c>
      <c r="C1991" s="35" t="s">
        <v>3821</v>
      </c>
      <c r="D1991" s="35" t="s">
        <v>5287</v>
      </c>
      <c r="E1991" s="35" t="s">
        <v>5287</v>
      </c>
      <c r="F1991" s="36">
        <v>0.2</v>
      </c>
      <c r="G1991" s="31"/>
      <c r="H1991" s="31"/>
      <c r="I1991" s="31"/>
      <c r="J1991" s="31"/>
      <c r="K1991" s="31"/>
    </row>
    <row r="1992" spans="1:11" ht="14.4" x14ac:dyDescent="0.3">
      <c r="A1992" s="28" t="str">
        <f>B1992&amp;C1992&amp;D1992&amp;E1992</f>
        <v>Kanselyariya tovarlariQogʻoz mahsulotlariAnketalar va shaxsiy kundaliklarShaxsiy kundaliklar</v>
      </c>
      <c r="B1992" s="35" t="s">
        <v>3170</v>
      </c>
      <c r="C1992" s="35" t="s">
        <v>3821</v>
      </c>
      <c r="D1992" s="35" t="s">
        <v>5288</v>
      </c>
      <c r="E1992" s="35" t="s">
        <v>5289</v>
      </c>
      <c r="F1992" s="36">
        <v>0.2</v>
      </c>
      <c r="G1992" s="31"/>
      <c r="H1992" s="31"/>
      <c r="I1992" s="31"/>
      <c r="J1992" s="31"/>
      <c r="K1992" s="31"/>
    </row>
    <row r="1993" spans="1:11" ht="14.4" x14ac:dyDescent="0.3">
      <c r="A1993" s="28" t="str">
        <f>B1993&amp;C1993&amp;D1993&amp;E1993</f>
        <v>Kanselyariya tovarlariChizmachilik qurollariTransportirlarTransportirlar</v>
      </c>
      <c r="B1993" s="35" t="s">
        <v>3170</v>
      </c>
      <c r="C1993" s="35" t="s">
        <v>5254</v>
      </c>
      <c r="D1993" s="35" t="s">
        <v>5290</v>
      </c>
      <c r="E1993" s="35" t="s">
        <v>5290</v>
      </c>
      <c r="F1993" s="36">
        <v>0.2</v>
      </c>
      <c r="G1993" s="31"/>
      <c r="H1993" s="31"/>
      <c r="I1993" s="31"/>
      <c r="J1993" s="31"/>
      <c r="K1993" s="31"/>
    </row>
    <row r="1994" spans="1:11" ht="14.4" x14ac:dyDescent="0.3">
      <c r="A1994" s="28" t="str">
        <f>B1994&amp;C1994&amp;D1994&amp;E1994</f>
        <v>Kanselyariya tovarlariYozuv qurollariQalamlar uchun aksessuarlar va sarflov materiallariQalamlar uchun aksessuarlar va sarflov materiallari</v>
      </c>
      <c r="B1994" s="35" t="s">
        <v>3170</v>
      </c>
      <c r="C1994" s="35" t="s">
        <v>3819</v>
      </c>
      <c r="D1994" s="35" t="s">
        <v>5291</v>
      </c>
      <c r="E1994" s="35" t="s">
        <v>5291</v>
      </c>
      <c r="F1994" s="36">
        <v>0.2</v>
      </c>
      <c r="G1994" s="31"/>
      <c r="H1994" s="31"/>
      <c r="I1994" s="31"/>
      <c r="J1994" s="31"/>
      <c r="K1994" s="31"/>
    </row>
    <row r="1995" spans="1:11" ht="14.4" x14ac:dyDescent="0.3">
      <c r="A1995" s="28" t="str">
        <f>B1995&amp;C1995&amp;D1995&amp;E1995</f>
        <v>Kanselyariya tovarlariOfis buyumlariTeshkichlarTeshkichlar</v>
      </c>
      <c r="B1995" s="35" t="s">
        <v>3170</v>
      </c>
      <c r="C1995" s="35" t="s">
        <v>5218</v>
      </c>
      <c r="D1995" s="35" t="s">
        <v>5292</v>
      </c>
      <c r="E1995" s="35" t="s">
        <v>5292</v>
      </c>
      <c r="F1995" s="36">
        <v>0.2</v>
      </c>
      <c r="G1995" s="31"/>
      <c r="H1995" s="31"/>
      <c r="I1995" s="31"/>
      <c r="J1995" s="31"/>
      <c r="K1995" s="31"/>
    </row>
    <row r="1996" spans="1:11" ht="14.4" x14ac:dyDescent="0.3">
      <c r="A1996" s="28" t="str">
        <f>B1996&amp;C1996&amp;D1996&amp;E1996</f>
        <v>Kanselyariya tovarlariPapkalar va fayllarLaminatsiya uchun plyonkalarLaminatsiya uchun plyonkalar</v>
      </c>
      <c r="B1996" s="35" t="s">
        <v>3170</v>
      </c>
      <c r="C1996" s="35" t="s">
        <v>5210</v>
      </c>
      <c r="D1996" s="35" t="s">
        <v>5293</v>
      </c>
      <c r="E1996" s="35" t="s">
        <v>5293</v>
      </c>
      <c r="F1996" s="36">
        <v>0.2</v>
      </c>
      <c r="G1996" s="31"/>
      <c r="H1996" s="31"/>
      <c r="I1996" s="31"/>
      <c r="J1996" s="31"/>
      <c r="K1996" s="31"/>
    </row>
    <row r="1997" spans="1:11" ht="14.4" x14ac:dyDescent="0.3">
      <c r="A1997" s="28" t="str">
        <f>B1997&amp;C1997&amp;D1997&amp;E1997</f>
        <v>Kanselyariya tovarlariQogʻoz mahsulotlariChizish uchun albomlarChizish uchun albomlar</v>
      </c>
      <c r="B1997" s="35" t="s">
        <v>3170</v>
      </c>
      <c r="C1997" s="35" t="s">
        <v>3821</v>
      </c>
      <c r="D1997" s="35" t="s">
        <v>5294</v>
      </c>
      <c r="E1997" s="35" t="s">
        <v>5294</v>
      </c>
      <c r="F1997" s="36">
        <v>0.2</v>
      </c>
      <c r="G1997" s="31"/>
      <c r="H1997" s="31"/>
      <c r="I1997" s="31"/>
      <c r="J1997" s="31"/>
      <c r="K1997" s="31"/>
    </row>
    <row r="1998" spans="1:11" ht="14.4" x14ac:dyDescent="0.3">
      <c r="A1998" s="28" t="str">
        <f>B1998&amp;C1998&amp;D1998&amp;E1998</f>
        <v>Kanselyariya tovarlariChizmachilik qurollariSirkullarSirkullar</v>
      </c>
      <c r="B1998" s="35" t="s">
        <v>3170</v>
      </c>
      <c r="C1998" s="35" t="s">
        <v>5254</v>
      </c>
      <c r="D1998" s="35" t="s">
        <v>5295</v>
      </c>
      <c r="E1998" s="35" t="s">
        <v>5295</v>
      </c>
      <c r="F1998" s="36">
        <v>0.2</v>
      </c>
      <c r="G1998" s="31"/>
      <c r="H1998" s="31"/>
      <c r="I1998" s="31"/>
      <c r="J1998" s="31"/>
      <c r="K1998" s="31"/>
    </row>
    <row r="1999" spans="1:11" ht="14.4" x14ac:dyDescent="0.3">
      <c r="A1999" s="28" t="str">
        <f>B1999&amp;C1999&amp;D1999&amp;E1999</f>
        <v>Kanselyariya tovarlariQogʻoz mahsulotlariOʻzi yopishadigan plyonka, nakleykalar va yorliqlarBank kartasi uchun nakleykalar</v>
      </c>
      <c r="B1999" s="35" t="s">
        <v>3170</v>
      </c>
      <c r="C1999" s="35" t="s">
        <v>3821</v>
      </c>
      <c r="D1999" s="35" t="s">
        <v>5197</v>
      </c>
      <c r="E1999" s="35" t="s">
        <v>5296</v>
      </c>
      <c r="F1999" s="36">
        <v>0.2</v>
      </c>
      <c r="G1999" s="31"/>
      <c r="H1999" s="31"/>
      <c r="I1999" s="31"/>
      <c r="J1999" s="31"/>
      <c r="K1999" s="31"/>
    </row>
    <row r="2000" spans="1:11" ht="14.4" x14ac:dyDescent="0.3">
      <c r="A2000" s="28" t="str">
        <f>B2000&amp;C2000&amp;D2000&amp;E2000</f>
        <v>Kanselyariya tovarlariQogʻoz mahsulotlariGazeta qog'ozGazeta qog'oz</v>
      </c>
      <c r="B2000" s="35" t="s">
        <v>3170</v>
      </c>
      <c r="C2000" s="35" t="s">
        <v>3821</v>
      </c>
      <c r="D2000" s="35" t="s">
        <v>5297</v>
      </c>
      <c r="E2000" s="35" t="s">
        <v>5297</v>
      </c>
      <c r="F2000" s="36">
        <v>0.2</v>
      </c>
      <c r="G2000" s="31"/>
      <c r="H2000" s="31"/>
      <c r="I2000" s="31"/>
      <c r="J2000" s="31"/>
      <c r="K2000" s="31"/>
    </row>
    <row r="2001" spans="1:11" ht="14.4" x14ac:dyDescent="0.3">
      <c r="A2001" s="28" t="str">
        <f>B2001&amp;C2001&amp;D2001&amp;E2001</f>
        <v>Kanselyariya tovarlariNamoyish doskalariFlipchartlarFlipchartlar</v>
      </c>
      <c r="B2001" s="35" t="s">
        <v>3170</v>
      </c>
      <c r="C2001" s="35" t="s">
        <v>5230</v>
      </c>
      <c r="D2001" s="35" t="s">
        <v>5298</v>
      </c>
      <c r="E2001" s="35" t="s">
        <v>5298</v>
      </c>
      <c r="F2001" s="36">
        <v>0.2</v>
      </c>
      <c r="G2001" s="31"/>
      <c r="H2001" s="31"/>
      <c r="I2001" s="31"/>
      <c r="J2001" s="31"/>
      <c r="K2001" s="31"/>
    </row>
    <row r="2002" spans="1:11" ht="14.4" x14ac:dyDescent="0.3">
      <c r="A2002" s="28" t="str">
        <f>B2002&amp;C2002&amp;D2002&amp;E2002</f>
        <v>Kanselyariya tovarlariMuhr va shtamplarShtempel boʻyoqlarShtempel boʻyoqlar</v>
      </c>
      <c r="B2002" s="35" t="s">
        <v>3170</v>
      </c>
      <c r="C2002" s="35" t="s">
        <v>5201</v>
      </c>
      <c r="D2002" s="35" t="s">
        <v>5299</v>
      </c>
      <c r="E2002" s="35" t="s">
        <v>5299</v>
      </c>
      <c r="F2002" s="36">
        <v>0.2</v>
      </c>
      <c r="G2002" s="31"/>
      <c r="H2002" s="31"/>
      <c r="I2002" s="31"/>
      <c r="J2002" s="31"/>
      <c r="K2002" s="31"/>
    </row>
    <row r="2003" spans="1:11" ht="14.4" x14ac:dyDescent="0.3">
      <c r="A2003" s="28" t="str">
        <f>B2003&amp;C2003&amp;D2003&amp;E2003</f>
        <v>Kanselyariya tovarlariKalkulyatorlarIsh stoli kalkulyatorlariIsh stoli kalkulyatorlari</v>
      </c>
      <c r="B2003" s="35" t="s">
        <v>3170</v>
      </c>
      <c r="C2003" s="35" t="s">
        <v>5215</v>
      </c>
      <c r="D2003" s="35" t="s">
        <v>5300</v>
      </c>
      <c r="E2003" s="35" t="s">
        <v>5300</v>
      </c>
      <c r="F2003" s="36">
        <v>0.2</v>
      </c>
      <c r="G2003" s="31"/>
      <c r="H2003" s="31"/>
      <c r="I2003" s="31"/>
      <c r="J2003" s="31"/>
      <c r="K2003" s="31"/>
    </row>
    <row r="2004" spans="1:11" ht="14.4" x14ac:dyDescent="0.3">
      <c r="A2004" s="28" t="str">
        <f>B2004&amp;C2004&amp;D2004&amp;E2004</f>
        <v>Kanselyariya tovarlariPapkalar va fayllarFayllar va ajratuvchilarFayllar va ajratuvchilar</v>
      </c>
      <c r="B2004" s="35" t="s">
        <v>3170</v>
      </c>
      <c r="C2004" s="35" t="s">
        <v>5210</v>
      </c>
      <c r="D2004" s="35" t="s">
        <v>5301</v>
      </c>
      <c r="E2004" s="35" t="s">
        <v>5301</v>
      </c>
      <c r="F2004" s="36">
        <v>0.2</v>
      </c>
      <c r="G2004" s="31"/>
      <c r="H2004" s="31"/>
      <c r="I2004" s="31"/>
      <c r="J2004" s="31"/>
      <c r="K2004" s="31"/>
    </row>
    <row r="2005" spans="1:11" ht="14.4" x14ac:dyDescent="0.3">
      <c r="A2005" s="28" t="str">
        <f>B2005&amp;C2005&amp;D2005&amp;E2005</f>
        <v>Kanselyariya tovarlariNamoyish doskalariDoska uchun magnitlarDoska uchun magnitlar</v>
      </c>
      <c r="B2005" s="35" t="s">
        <v>3170</v>
      </c>
      <c r="C2005" s="35" t="s">
        <v>5230</v>
      </c>
      <c r="D2005" s="35" t="s">
        <v>5302</v>
      </c>
      <c r="E2005" s="35" t="s">
        <v>5302</v>
      </c>
      <c r="F2005" s="36">
        <v>0.2</v>
      </c>
      <c r="G2005" s="31"/>
      <c r="H2005" s="31"/>
      <c r="I2005" s="31"/>
      <c r="J2005" s="31"/>
      <c r="K2005" s="31"/>
    </row>
    <row r="2006" spans="1:11" ht="14.4" x14ac:dyDescent="0.3">
      <c r="A2006" s="28" t="str">
        <f>B2006&amp;C2006&amp;D2006&amp;E2006</f>
        <v>Kanselyariya tovarlariQogʻoz mahsulotlariBlankalar, vizitkalar va sertifikatlarVizitkalar</v>
      </c>
      <c r="B2006" s="35" t="s">
        <v>3170</v>
      </c>
      <c r="C2006" s="35" t="s">
        <v>3821</v>
      </c>
      <c r="D2006" s="35" t="s">
        <v>5203</v>
      </c>
      <c r="E2006" s="35" t="s">
        <v>5303</v>
      </c>
      <c r="F2006" s="36">
        <v>0.2</v>
      </c>
      <c r="G2006" s="31"/>
      <c r="H2006" s="31"/>
      <c r="I2006" s="31"/>
      <c r="J2006" s="31"/>
      <c r="K2006" s="31"/>
    </row>
    <row r="2007" spans="1:11" ht="14.4" x14ac:dyDescent="0.3">
      <c r="A2007" s="28" t="str">
        <f>B2007&amp;C2007&amp;D2007&amp;E2007</f>
        <v>Kanselyariya tovarlariStol podstavkalari va tashrif qogʻozlariQalamlar va ruchkalar uchun tagliklarQalamlar va ruchkalar uchun tagliklar</v>
      </c>
      <c r="B2007" s="35" t="s">
        <v>3170</v>
      </c>
      <c r="C2007" s="35" t="s">
        <v>5238</v>
      </c>
      <c r="D2007" s="35" t="s">
        <v>5304</v>
      </c>
      <c r="E2007" s="35" t="s">
        <v>5304</v>
      </c>
      <c r="F2007" s="36">
        <v>0.2</v>
      </c>
      <c r="G2007" s="31"/>
      <c r="H2007" s="31"/>
      <c r="I2007" s="31"/>
      <c r="J2007" s="31"/>
      <c r="K2007" s="31"/>
    </row>
    <row r="2008" spans="1:11" ht="14.4" x14ac:dyDescent="0.3">
      <c r="A2008" s="28" t="str">
        <f>B2008&amp;C2008&amp;D2008&amp;E2008</f>
        <v>Kanselyariya tovarlariNamoyish doskalariMarker doskalariMarker doskalari</v>
      </c>
      <c r="B2008" s="35" t="s">
        <v>3170</v>
      </c>
      <c r="C2008" s="35" t="s">
        <v>5230</v>
      </c>
      <c r="D2008" s="35" t="s">
        <v>5305</v>
      </c>
      <c r="E2008" s="35" t="s">
        <v>5305</v>
      </c>
      <c r="F2008" s="36">
        <v>0.2</v>
      </c>
      <c r="G2008" s="31"/>
      <c r="H2008" s="31"/>
      <c r="I2008" s="31"/>
      <c r="J2008" s="31"/>
      <c r="K2008" s="31"/>
    </row>
    <row r="2009" spans="1:11" ht="14.4" x14ac:dyDescent="0.3">
      <c r="A2009" s="28" t="str">
        <f>B2009&amp;C2009&amp;D2009&amp;E2009</f>
        <v>Kanselyariya tovarlariNamoyish doskalariMagnit doskalarMagnit doskalar</v>
      </c>
      <c r="B2009" s="35" t="s">
        <v>3170</v>
      </c>
      <c r="C2009" s="35" t="s">
        <v>5230</v>
      </c>
      <c r="D2009" s="35" t="s">
        <v>5306</v>
      </c>
      <c r="E2009" s="35" t="s">
        <v>5306</v>
      </c>
      <c r="F2009" s="36">
        <v>0.2</v>
      </c>
      <c r="G2009" s="31"/>
      <c r="H2009" s="31"/>
      <c r="I2009" s="31"/>
      <c r="J2009" s="31"/>
      <c r="K2009" s="31"/>
    </row>
    <row r="2010" spans="1:11" ht="14.4" x14ac:dyDescent="0.3">
      <c r="A2010" s="28" t="str">
        <f>B2010&amp;C2010&amp;D2010&amp;E2010</f>
        <v>Kanselyariya tovarlariMaktab va oʻqish uchun tovarlarDunyo xaritasiDunyo xaritasi</v>
      </c>
      <c r="B2010" s="35" t="s">
        <v>3170</v>
      </c>
      <c r="C2010" s="35" t="s">
        <v>5205</v>
      </c>
      <c r="D2010" s="35" t="s">
        <v>5244</v>
      </c>
      <c r="E2010" s="35" t="s">
        <v>5244</v>
      </c>
      <c r="F2010" s="36">
        <v>0.2</v>
      </c>
      <c r="G2010" s="31"/>
      <c r="H2010" s="31"/>
      <c r="I2010" s="31"/>
      <c r="J2010" s="31"/>
      <c r="K2010" s="31"/>
    </row>
    <row r="2011" spans="1:11" ht="14.4" x14ac:dyDescent="0.3">
      <c r="A2011" s="28" t="str">
        <f>B2011&amp;C2011&amp;D2011&amp;E2011</f>
        <v>Kanselyariya tovarlariQogʻoz mahsulotlariPlaninglarPlaninglar</v>
      </c>
      <c r="B2011" s="35" t="s">
        <v>3170</v>
      </c>
      <c r="C2011" s="35" t="s">
        <v>3821</v>
      </c>
      <c r="D2011" s="35" t="s">
        <v>5307</v>
      </c>
      <c r="E2011" s="35" t="s">
        <v>5307</v>
      </c>
      <c r="F2011" s="36">
        <v>0.2</v>
      </c>
      <c r="G2011" s="31"/>
      <c r="H2011" s="31"/>
      <c r="I2011" s="31"/>
      <c r="J2011" s="31"/>
      <c r="K2011" s="31"/>
    </row>
    <row r="2012" spans="1:11" ht="14.4" x14ac:dyDescent="0.3">
      <c r="A2012" s="28" t="str">
        <f>B2012&amp;C2012&amp;D2012&amp;E2012</f>
        <v>Kanselyariya tovarlariChizmachilik qurollariGeometrik toʻplamlarGeometrik toʻplamlar</v>
      </c>
      <c r="B2012" s="35" t="s">
        <v>3170</v>
      </c>
      <c r="C2012" s="35" t="s">
        <v>5254</v>
      </c>
      <c r="D2012" s="35" t="s">
        <v>5308</v>
      </c>
      <c r="E2012" s="35" t="s">
        <v>5308</v>
      </c>
      <c r="F2012" s="36">
        <v>0.2</v>
      </c>
      <c r="G2012" s="31"/>
      <c r="H2012" s="31"/>
      <c r="I2012" s="31"/>
      <c r="J2012" s="31"/>
      <c r="K2012" s="31"/>
    </row>
    <row r="2013" spans="1:11" ht="14.4" x14ac:dyDescent="0.3">
      <c r="A2013" s="28" t="str">
        <f>B2013&amp;C2013&amp;D2013&amp;E2013</f>
        <v>Kanselyariya tovarlariOfis buyumlariSteplarlar va stepler oʻqlariSteplarlar va stepler oʻqlari</v>
      </c>
      <c r="B2013" s="35" t="s">
        <v>3170</v>
      </c>
      <c r="C2013" s="35" t="s">
        <v>5218</v>
      </c>
      <c r="D2013" s="35" t="s">
        <v>5309</v>
      </c>
      <c r="E2013" s="35" t="s">
        <v>5309</v>
      </c>
      <c r="F2013" s="36">
        <v>0.2</v>
      </c>
      <c r="G2013" s="31"/>
      <c r="H2013" s="31"/>
      <c r="I2013" s="31"/>
      <c r="J2013" s="31"/>
      <c r="K2013" s="31"/>
    </row>
    <row r="2014" spans="1:11" ht="14.4" x14ac:dyDescent="0.3">
      <c r="A2014" s="28" t="str">
        <f>B2014&amp;C2014&amp;D2014&amp;E2014</f>
        <v>Kanselyariya tovarlariQogʻoz mahsulotlariAnketalar va shaxsiy kundaliklarAnketalar</v>
      </c>
      <c r="B2014" s="35" t="s">
        <v>3170</v>
      </c>
      <c r="C2014" s="35" t="s">
        <v>3821</v>
      </c>
      <c r="D2014" s="35" t="s">
        <v>5288</v>
      </c>
      <c r="E2014" s="35" t="s">
        <v>5310</v>
      </c>
      <c r="F2014" s="36">
        <v>0.2</v>
      </c>
      <c r="G2014" s="31"/>
      <c r="H2014" s="31"/>
      <c r="I2014" s="31"/>
      <c r="J2014" s="31"/>
      <c r="K2014" s="31"/>
    </row>
    <row r="2015" spans="1:11" ht="14.4" x14ac:dyDescent="0.3">
      <c r="A2015" s="28" t="str">
        <f>B2015&amp;C2015&amp;D2015&amp;E2015</f>
        <v>Kanselyariya tovarlariMaktab va oʻqish uchun tovarlarDunyo xaritasiGeografik xarita</v>
      </c>
      <c r="B2015" s="35" t="s">
        <v>3170</v>
      </c>
      <c r="C2015" s="35" t="s">
        <v>5205</v>
      </c>
      <c r="D2015" s="35" t="s">
        <v>5244</v>
      </c>
      <c r="E2015" s="35" t="s">
        <v>5311</v>
      </c>
      <c r="F2015" s="36">
        <v>0.2</v>
      </c>
      <c r="G2015" s="31"/>
      <c r="H2015" s="31"/>
      <c r="I2015" s="31"/>
      <c r="J2015" s="31"/>
      <c r="K2015" s="31"/>
    </row>
    <row r="2016" spans="1:11" ht="14.4" x14ac:dyDescent="0.3">
      <c r="A2016" s="28" t="str">
        <f>B2016&amp;C2016&amp;D2016&amp;E2016</f>
        <v>Kanselyariya tovarlariQogʻoz mahsulotlariKartonKarton</v>
      </c>
      <c r="B2016" s="35" t="s">
        <v>3170</v>
      </c>
      <c r="C2016" s="35" t="s">
        <v>3821</v>
      </c>
      <c r="D2016" s="35" t="s">
        <v>5312</v>
      </c>
      <c r="E2016" s="35" t="s">
        <v>5312</v>
      </c>
      <c r="F2016" s="36">
        <v>0.2</v>
      </c>
      <c r="G2016" s="31"/>
      <c r="H2016" s="31"/>
      <c r="I2016" s="31"/>
      <c r="J2016" s="31"/>
      <c r="K2016" s="31"/>
    </row>
    <row r="2017" spans="1:11" ht="14.4" x14ac:dyDescent="0.3">
      <c r="A2017" s="28" t="str">
        <f>B2017&amp;C2017&amp;D2017&amp;E2017</f>
        <v>KitoblarBolalarga va ota-onalargaOʻrgatuvchi adabiyotlarEntsiklopediyalar va atlaslar</v>
      </c>
      <c r="B2017" s="35" t="s">
        <v>3172</v>
      </c>
      <c r="C2017" s="35" t="s">
        <v>4446</v>
      </c>
      <c r="D2017" s="35" t="s">
        <v>4453</v>
      </c>
      <c r="E2017" s="35" t="s">
        <v>5313</v>
      </c>
      <c r="F2017" s="36">
        <v>0.2</v>
      </c>
      <c r="G2017" s="31"/>
      <c r="H2017" s="31"/>
      <c r="I2017" s="31"/>
      <c r="J2017" s="31"/>
      <c r="K2017" s="31"/>
    </row>
    <row r="2018" spans="1:11" ht="14.4" x14ac:dyDescent="0.3">
      <c r="A2018" s="28" t="str">
        <f>B2018&amp;C2018&amp;D2018&amp;E2018</f>
        <v>KitoblarNobadiiy adabiyotOʻz-oʻzini rivojlantirishO'z-o'zini hurmat qilish va o'ziga ishonch</v>
      </c>
      <c r="B2018" s="35" t="s">
        <v>3172</v>
      </c>
      <c r="C2018" s="35" t="s">
        <v>4439</v>
      </c>
      <c r="D2018" s="35" t="s">
        <v>5314</v>
      </c>
      <c r="E2018" s="35" t="s">
        <v>5315</v>
      </c>
      <c r="F2018" s="36">
        <v>0.2</v>
      </c>
      <c r="G2018" s="31"/>
      <c r="H2018" s="31"/>
      <c r="I2018" s="31"/>
      <c r="J2018" s="31"/>
      <c r="K2018" s="31"/>
    </row>
    <row r="2019" spans="1:11" ht="14.4" x14ac:dyDescent="0.3">
      <c r="A2019" s="28" t="str">
        <f>B2019&amp;C2019&amp;D2019&amp;E2019</f>
        <v>KitoblarNobadiiy adabiyotGoʻzallik, salomatlik va sportZararli odatlarga qarshi kurashish</v>
      </c>
      <c r="B2019" s="35" t="s">
        <v>3172</v>
      </c>
      <c r="C2019" s="35" t="s">
        <v>4439</v>
      </c>
      <c r="D2019" s="35" t="s">
        <v>4472</v>
      </c>
      <c r="E2019" s="35" t="s">
        <v>5316</v>
      </c>
      <c r="F2019" s="36">
        <v>0.2</v>
      </c>
      <c r="G2019" s="31"/>
      <c r="H2019" s="31"/>
      <c r="I2019" s="31"/>
      <c r="J2019" s="31"/>
      <c r="K2019" s="31"/>
    </row>
    <row r="2020" spans="1:11" ht="14.4" x14ac:dyDescent="0.3">
      <c r="A2020" s="28" t="str">
        <f>B2020&amp;C2020&amp;D2020&amp;E2020</f>
        <v>KitoblarNobadiiy adabiyotIlmiy-ommabop adabiyotIlmiy-ommabop adabiyot</v>
      </c>
      <c r="B2020" s="35" t="s">
        <v>3172</v>
      </c>
      <c r="C2020" s="35" t="s">
        <v>4439</v>
      </c>
      <c r="D2020" s="35" t="s">
        <v>5317</v>
      </c>
      <c r="E2020" s="35" t="s">
        <v>5317</v>
      </c>
      <c r="F2020" s="36">
        <v>0.2</v>
      </c>
      <c r="G2020" s="31"/>
      <c r="H2020" s="31"/>
      <c r="I2020" s="31"/>
      <c r="J2020" s="31"/>
      <c r="K2020" s="31"/>
    </row>
    <row r="2021" spans="1:11" ht="14.4" x14ac:dyDescent="0.3">
      <c r="A2021" s="28" t="str">
        <f>B2021&amp;C2021&amp;D2021&amp;E2021</f>
        <v>KitoblarNobadiiy adabiyotIlmiy adabiyotlarMatematika</v>
      </c>
      <c r="B2021" s="35" t="s">
        <v>3172</v>
      </c>
      <c r="C2021" s="35" t="s">
        <v>4439</v>
      </c>
      <c r="D2021" s="35" t="s">
        <v>4451</v>
      </c>
      <c r="E2021" s="35" t="s">
        <v>5318</v>
      </c>
      <c r="F2021" s="36">
        <v>0.2</v>
      </c>
      <c r="G2021" s="31"/>
      <c r="H2021" s="31"/>
      <c r="I2021" s="31"/>
      <c r="J2021" s="31"/>
      <c r="K2021" s="31"/>
    </row>
    <row r="2022" spans="1:11" ht="14.4" x14ac:dyDescent="0.3">
      <c r="A2022" s="28" t="str">
        <f>B2022&amp;C2022&amp;D2022&amp;E2022</f>
        <v>KitoblarNobadiiy adabiyotOʻz-oʻzini rivojlantirishMotivatsiya</v>
      </c>
      <c r="B2022" s="35" t="s">
        <v>3172</v>
      </c>
      <c r="C2022" s="35" t="s">
        <v>4439</v>
      </c>
      <c r="D2022" s="35" t="s">
        <v>5314</v>
      </c>
      <c r="E2022" s="35" t="s">
        <v>5319</v>
      </c>
      <c r="F2022" s="36">
        <v>0.2</v>
      </c>
      <c r="G2022" s="31"/>
      <c r="H2022" s="31"/>
      <c r="I2022" s="31"/>
      <c r="J2022" s="31"/>
      <c r="K2022" s="31"/>
    </row>
    <row r="2023" spans="1:11" ht="14.4" x14ac:dyDescent="0.3">
      <c r="A2023" s="28" t="str">
        <f>B2023&amp;C2023&amp;D2023&amp;E2023</f>
        <v>KitoblarBiznes-adabiyotMoliyaMoliya</v>
      </c>
      <c r="B2023" s="35" t="s">
        <v>3172</v>
      </c>
      <c r="C2023" s="35" t="s">
        <v>4441</v>
      </c>
      <c r="D2023" s="35" t="s">
        <v>5320</v>
      </c>
      <c r="E2023" s="35" t="s">
        <v>5320</v>
      </c>
      <c r="F2023" s="36">
        <v>0.2</v>
      </c>
      <c r="G2023" s="31"/>
      <c r="H2023" s="31"/>
      <c r="I2023" s="31"/>
      <c r="J2023" s="31"/>
      <c r="K2023" s="31"/>
    </row>
    <row r="2024" spans="1:11" ht="14.4" x14ac:dyDescent="0.3">
      <c r="A2024" s="28" t="str">
        <f>B2024&amp;C2024&amp;D2024&amp;E2024</f>
        <v>KitoblarNobadiiy adabiyotOʻz-oʻzini rivojlantirishHissiy intellekt</v>
      </c>
      <c r="B2024" s="35" t="s">
        <v>3172</v>
      </c>
      <c r="C2024" s="35" t="s">
        <v>4439</v>
      </c>
      <c r="D2024" s="35" t="s">
        <v>5314</v>
      </c>
      <c r="E2024" s="35" t="s">
        <v>5321</v>
      </c>
      <c r="F2024" s="36">
        <v>0.2</v>
      </c>
      <c r="G2024" s="31"/>
      <c r="H2024" s="31"/>
      <c r="I2024" s="31"/>
      <c r="J2024" s="31"/>
      <c r="K2024" s="31"/>
    </row>
    <row r="2025" spans="1:11" ht="14.4" x14ac:dyDescent="0.3">
      <c r="A2025" s="28" t="str">
        <f>B2025&amp;C2025&amp;D2025&amp;E2025</f>
        <v>KitoblarOʻquv adabiyoti10-sinf10-sinf</v>
      </c>
      <c r="B2025" s="35" t="s">
        <v>3172</v>
      </c>
      <c r="C2025" s="35" t="s">
        <v>5322</v>
      </c>
      <c r="D2025" s="35" t="s">
        <v>5323</v>
      </c>
      <c r="E2025" s="35" t="s">
        <v>5323</v>
      </c>
      <c r="F2025" s="36">
        <v>0.2</v>
      </c>
      <c r="G2025" s="31"/>
      <c r="H2025" s="31"/>
      <c r="I2025" s="31"/>
      <c r="J2025" s="31"/>
      <c r="K2025" s="31"/>
    </row>
    <row r="2026" spans="1:11" ht="14.4" x14ac:dyDescent="0.3">
      <c r="A2026" s="28" t="str">
        <f>B2026&amp;C2026&amp;D2026&amp;E2026</f>
        <v>KitoblarBolalarga va ota-onalargaBolalar uchun boʻsh vaqtlarni foydali oʻtkazish va ijodHunarmandchiliklar</v>
      </c>
      <c r="B2026" s="35" t="s">
        <v>3172</v>
      </c>
      <c r="C2026" s="35" t="s">
        <v>4446</v>
      </c>
      <c r="D2026" s="35" t="s">
        <v>4465</v>
      </c>
      <c r="E2026" s="35" t="s">
        <v>5324</v>
      </c>
      <c r="F2026" s="36">
        <v>0.2</v>
      </c>
      <c r="G2026" s="31"/>
      <c r="H2026" s="31"/>
      <c r="I2026" s="31"/>
      <c r="J2026" s="31"/>
      <c r="K2026" s="31"/>
    </row>
    <row r="2027" spans="1:11" ht="14.4" x14ac:dyDescent="0.3">
      <c r="A2027" s="28" t="str">
        <f>B2027&amp;C2027&amp;D2027&amp;E2027</f>
        <v>KitoblarBolalarga va ota-onalargaBadiiy adabiyotFantastika va fentezi</v>
      </c>
      <c r="B2027" s="35" t="s">
        <v>3172</v>
      </c>
      <c r="C2027" s="35" t="s">
        <v>4446</v>
      </c>
      <c r="D2027" s="35" t="s">
        <v>4436</v>
      </c>
      <c r="E2027" s="35" t="s">
        <v>5325</v>
      </c>
      <c r="F2027" s="36">
        <v>0.2</v>
      </c>
      <c r="G2027" s="31"/>
      <c r="H2027" s="31"/>
      <c r="I2027" s="31"/>
      <c r="J2027" s="31"/>
      <c r="K2027" s="31"/>
    </row>
    <row r="2028" spans="1:11" ht="14.4" x14ac:dyDescent="0.3">
      <c r="A2028" s="28" t="str">
        <f>B2028&amp;C2028&amp;D2028&amp;E2028</f>
        <v>KitoblarNobadiiy adabiyotGoʻzallik, salomatlik va sportSport va fitnes</v>
      </c>
      <c r="B2028" s="35" t="s">
        <v>3172</v>
      </c>
      <c r="C2028" s="35" t="s">
        <v>4439</v>
      </c>
      <c r="D2028" s="35" t="s">
        <v>4472</v>
      </c>
      <c r="E2028" s="35" t="s">
        <v>5326</v>
      </c>
      <c r="F2028" s="36">
        <v>0.2</v>
      </c>
      <c r="G2028" s="31"/>
      <c r="H2028" s="31"/>
      <c r="I2028" s="31"/>
      <c r="J2028" s="31"/>
      <c r="K2028" s="31"/>
    </row>
    <row r="2029" spans="1:11" ht="14.4" x14ac:dyDescent="0.3">
      <c r="A2029" s="28" t="str">
        <f>B2029&amp;C2029&amp;D2029&amp;E2029</f>
        <v>KitoblarDiniy kitoblarIslоmIslom tarixi</v>
      </c>
      <c r="B2029" s="35" t="s">
        <v>3172</v>
      </c>
      <c r="C2029" s="35" t="s">
        <v>5327</v>
      </c>
      <c r="D2029" s="35" t="s">
        <v>5328</v>
      </c>
      <c r="E2029" s="35" t="s">
        <v>5329</v>
      </c>
      <c r="F2029" s="36">
        <v>0.2</v>
      </c>
      <c r="G2029" s="31"/>
      <c r="H2029" s="31"/>
      <c r="I2029" s="31"/>
      <c r="J2029" s="31"/>
      <c r="K2029" s="31"/>
    </row>
    <row r="2030" spans="1:11" ht="14.4" x14ac:dyDescent="0.3">
      <c r="A2030" s="28" t="str">
        <f>B2030&amp;C2030&amp;D2030&amp;E2030</f>
        <v>KitoblarNobadiiy adabiyotPsixologiyaBolalarni tarbiyalash</v>
      </c>
      <c r="B2030" s="35" t="s">
        <v>3172</v>
      </c>
      <c r="C2030" s="35" t="s">
        <v>4439</v>
      </c>
      <c r="D2030" s="35" t="s">
        <v>5330</v>
      </c>
      <c r="E2030" s="35" t="s">
        <v>5331</v>
      </c>
      <c r="F2030" s="36">
        <v>0.2</v>
      </c>
      <c r="G2030" s="31"/>
      <c r="H2030" s="31"/>
      <c r="I2030" s="31"/>
      <c r="J2030" s="31"/>
      <c r="K2030" s="31"/>
    </row>
    <row r="2031" spans="1:11" ht="14.4" x14ac:dyDescent="0.3">
      <c r="A2031" s="28" t="str">
        <f>B2031&amp;C2031&amp;D2031&amp;E2031</f>
        <v>KitoblarOʻquv adabiyoti7-sinf7-sinf</v>
      </c>
      <c r="B2031" s="35" t="s">
        <v>3172</v>
      </c>
      <c r="C2031" s="35" t="s">
        <v>5322</v>
      </c>
      <c r="D2031" s="35" t="s">
        <v>5332</v>
      </c>
      <c r="E2031" s="35" t="s">
        <v>5332</v>
      </c>
      <c r="F2031" s="36">
        <v>0.2</v>
      </c>
      <c r="G2031" s="31"/>
      <c r="H2031" s="31"/>
      <c r="I2031" s="31"/>
      <c r="J2031" s="31"/>
      <c r="K2031" s="31"/>
    </row>
    <row r="2032" spans="1:11" ht="14.4" x14ac:dyDescent="0.3">
      <c r="A2032" s="28" t="str">
        <f>B2032&amp;C2032&amp;D2032&amp;E2032</f>
        <v>KitoblarBukinistikaNobadiiy adabiyotPsixologiya</v>
      </c>
      <c r="B2032" s="35" t="s">
        <v>3172</v>
      </c>
      <c r="C2032" s="35" t="s">
        <v>4438</v>
      </c>
      <c r="D2032" s="35" t="s">
        <v>4439</v>
      </c>
      <c r="E2032" s="35" t="s">
        <v>5330</v>
      </c>
      <c r="F2032" s="36">
        <v>0.2</v>
      </c>
      <c r="G2032" s="31"/>
      <c r="H2032" s="31"/>
      <c r="I2032" s="31"/>
      <c r="J2032" s="31"/>
      <c r="K2032" s="31"/>
    </row>
    <row r="2033" spans="1:11" ht="14.4" x14ac:dyDescent="0.3">
      <c r="A2033" s="28" t="str">
        <f>B2033&amp;C2033&amp;D2033&amp;E2033</f>
        <v>KitoblarBolalarga va ota-onalargaBolalarning rivojlanishiChet tillarini o'rganamiz</v>
      </c>
      <c r="B2033" s="35" t="s">
        <v>3172</v>
      </c>
      <c r="C2033" s="35" t="s">
        <v>4446</v>
      </c>
      <c r="D2033" s="35" t="s">
        <v>5333</v>
      </c>
      <c r="E2033" s="35" t="s">
        <v>5334</v>
      </c>
      <c r="F2033" s="36">
        <v>0.2</v>
      </c>
      <c r="G2033" s="31"/>
      <c r="H2033" s="31"/>
      <c r="I2033" s="31"/>
      <c r="J2033" s="31"/>
      <c r="K2033" s="31"/>
    </row>
    <row r="2034" spans="1:11" ht="14.4" x14ac:dyDescent="0.3">
      <c r="A2034" s="28" t="str">
        <f>B2034&amp;C2034&amp;D2034&amp;E2034</f>
        <v>KitoblarOʻquv adabiyoti2-sinf2-sinf</v>
      </c>
      <c r="B2034" s="35" t="s">
        <v>3172</v>
      </c>
      <c r="C2034" s="35" t="s">
        <v>5322</v>
      </c>
      <c r="D2034" s="35" t="s">
        <v>5335</v>
      </c>
      <c r="E2034" s="35" t="s">
        <v>5335</v>
      </c>
      <c r="F2034" s="36">
        <v>0.2</v>
      </c>
      <c r="G2034" s="31"/>
      <c r="H2034" s="31"/>
      <c r="I2034" s="31"/>
      <c r="J2034" s="31"/>
      <c r="K2034" s="31"/>
    </row>
    <row r="2035" spans="1:11" ht="14.4" x14ac:dyDescent="0.3">
      <c r="A2035" s="28" t="str">
        <f>B2035&amp;C2035&amp;D2035&amp;E2035</f>
        <v>KitoblarNobadiiy adabiyotEnsiklopediyalar, maʼlumotnomalarEnsiklopediyalar, maʼlumotnomalar</v>
      </c>
      <c r="B2035" s="35" t="s">
        <v>3172</v>
      </c>
      <c r="C2035" s="35" t="s">
        <v>4439</v>
      </c>
      <c r="D2035" s="35" t="s">
        <v>5336</v>
      </c>
      <c r="E2035" s="35" t="s">
        <v>5336</v>
      </c>
      <c r="F2035" s="36">
        <v>0.2</v>
      </c>
      <c r="G2035" s="31"/>
      <c r="H2035" s="31"/>
      <c r="I2035" s="31"/>
      <c r="J2035" s="31"/>
      <c r="K2035" s="31"/>
    </row>
    <row r="2036" spans="1:11" ht="14.4" x14ac:dyDescent="0.3">
      <c r="A2036" s="28" t="str">
        <f>B2036&amp;C2036&amp;D2036&amp;E2036</f>
        <v>KitoblarBolalarga va ota-onalargaBolalarning rivojlanishiNutqni rivojlantirish</v>
      </c>
      <c r="B2036" s="35" t="s">
        <v>3172</v>
      </c>
      <c r="C2036" s="35" t="s">
        <v>4446</v>
      </c>
      <c r="D2036" s="35" t="s">
        <v>5333</v>
      </c>
      <c r="E2036" s="35" t="s">
        <v>5337</v>
      </c>
      <c r="F2036" s="36">
        <v>0.2</v>
      </c>
      <c r="G2036" s="31"/>
      <c r="H2036" s="31"/>
      <c r="I2036" s="31"/>
      <c r="J2036" s="31"/>
      <c r="K2036" s="31"/>
    </row>
    <row r="2037" spans="1:11" ht="14.4" x14ac:dyDescent="0.3">
      <c r="A2037" s="28" t="str">
        <f>B2037&amp;C2037&amp;D2037&amp;E2037</f>
        <v>KitoblarBolalarga va ota-onalargaBadiiy adabiyotZamonaviy nasr</v>
      </c>
      <c r="B2037" s="35" t="s">
        <v>3172</v>
      </c>
      <c r="C2037" s="35" t="s">
        <v>4446</v>
      </c>
      <c r="D2037" s="35" t="s">
        <v>4436</v>
      </c>
      <c r="E2037" s="35" t="s">
        <v>5338</v>
      </c>
      <c r="F2037" s="36">
        <v>0.2</v>
      </c>
      <c r="G2037" s="31"/>
      <c r="H2037" s="31"/>
      <c r="I2037" s="31"/>
      <c r="J2037" s="31"/>
      <c r="K2037" s="31"/>
    </row>
    <row r="2038" spans="1:11" ht="14.4" x14ac:dyDescent="0.3">
      <c r="A2038" s="28" t="str">
        <f>B2038&amp;C2038&amp;D2038&amp;E2038</f>
        <v>KitoblarBadiiy adabiyotQoʻrqinchli, trillerlarQoʻrqinchli, trillerlar</v>
      </c>
      <c r="B2038" s="35" t="s">
        <v>3172</v>
      </c>
      <c r="C2038" s="35" t="s">
        <v>4436</v>
      </c>
      <c r="D2038" s="35" t="s">
        <v>5339</v>
      </c>
      <c r="E2038" s="35" t="s">
        <v>5339</v>
      </c>
      <c r="F2038" s="36">
        <v>0.2</v>
      </c>
      <c r="G2038" s="31"/>
      <c r="H2038" s="31"/>
      <c r="I2038" s="31"/>
      <c r="J2038" s="31"/>
      <c r="K2038" s="31"/>
    </row>
    <row r="2039" spans="1:11" ht="14.4" x14ac:dyDescent="0.3">
      <c r="A2039" s="28" t="str">
        <f>B2039&amp;C2039&amp;D2039&amp;E2039</f>
        <v>KitoblarDiniy kitoblarIslоmFiqh</v>
      </c>
      <c r="B2039" s="35" t="s">
        <v>3172</v>
      </c>
      <c r="C2039" s="35" t="s">
        <v>5327</v>
      </c>
      <c r="D2039" s="35" t="s">
        <v>5328</v>
      </c>
      <c r="E2039" s="35" t="s">
        <v>5340</v>
      </c>
      <c r="F2039" s="36">
        <v>0.2</v>
      </c>
      <c r="G2039" s="31"/>
      <c r="H2039" s="31"/>
      <c r="I2039" s="31"/>
      <c r="J2039" s="31"/>
      <c r="K2039" s="31"/>
    </row>
    <row r="2040" spans="1:11" ht="14.4" x14ac:dyDescent="0.3">
      <c r="A2040" s="28" t="str">
        <f>B2040&amp;C2040&amp;D2040&amp;E2040</f>
        <v>KitoblarNobadiiy adabiyotKompyuter texnologiyalariAxborot xavfsizligi</v>
      </c>
      <c r="B2040" s="35" t="s">
        <v>3172</v>
      </c>
      <c r="C2040" s="35" t="s">
        <v>4439</v>
      </c>
      <c r="D2040" s="35" t="s">
        <v>4447</v>
      </c>
      <c r="E2040" s="35" t="s">
        <v>5341</v>
      </c>
      <c r="F2040" s="36">
        <v>0.2</v>
      </c>
      <c r="G2040" s="31"/>
      <c r="H2040" s="31"/>
      <c r="I2040" s="31"/>
      <c r="J2040" s="31"/>
      <c r="K2040" s="31"/>
    </row>
    <row r="2041" spans="1:11" ht="14.4" x14ac:dyDescent="0.3">
      <c r="A2041" s="28" t="str">
        <f>B2041&amp;C2041&amp;D2041&amp;E2041</f>
        <v>KitoblarBolalarga va ota-onalargaOʻrgatuvchi adabiyotlarOdob</v>
      </c>
      <c r="B2041" s="35" t="s">
        <v>3172</v>
      </c>
      <c r="C2041" s="35" t="s">
        <v>4446</v>
      </c>
      <c r="D2041" s="35" t="s">
        <v>4453</v>
      </c>
      <c r="E2041" s="35" t="s">
        <v>5342</v>
      </c>
      <c r="F2041" s="36">
        <v>0.2</v>
      </c>
      <c r="G2041" s="31"/>
      <c r="H2041" s="31"/>
      <c r="I2041" s="31"/>
      <c r="J2041" s="31"/>
      <c r="K2041" s="31"/>
    </row>
    <row r="2042" spans="1:11" ht="14.4" x14ac:dyDescent="0.3">
      <c r="A2042" s="28" t="str">
        <f>B2042&amp;C2042&amp;D2042&amp;E2042</f>
        <v>KitoblarBolalarga va ota-onalargaBolalarning rivojlanishiVazifalar, boshqotirmalar va topishmoqlar</v>
      </c>
      <c r="B2042" s="35" t="s">
        <v>3172</v>
      </c>
      <c r="C2042" s="35" t="s">
        <v>4446</v>
      </c>
      <c r="D2042" s="35" t="s">
        <v>5333</v>
      </c>
      <c r="E2042" s="35" t="s">
        <v>5343</v>
      </c>
      <c r="F2042" s="36">
        <v>0.2</v>
      </c>
      <c r="G2042" s="31"/>
      <c r="H2042" s="31"/>
      <c r="I2042" s="31"/>
      <c r="J2042" s="31"/>
      <c r="K2042" s="31"/>
    </row>
    <row r="2043" spans="1:11" ht="14.4" x14ac:dyDescent="0.3">
      <c r="A2043" s="28" t="str">
        <f>B2043&amp;C2043&amp;D2043&amp;E2043</f>
        <v>KitoblarBukinistikaBadiiy adabiyotZamonaviy nasr</v>
      </c>
      <c r="B2043" s="35" t="s">
        <v>3172</v>
      </c>
      <c r="C2043" s="35" t="s">
        <v>4438</v>
      </c>
      <c r="D2043" s="35" t="s">
        <v>4436</v>
      </c>
      <c r="E2043" s="35" t="s">
        <v>5338</v>
      </c>
      <c r="F2043" s="36">
        <v>0.2</v>
      </c>
      <c r="G2043" s="31"/>
      <c r="H2043" s="31"/>
      <c r="I2043" s="31"/>
      <c r="J2043" s="31"/>
      <c r="K2043" s="31"/>
    </row>
    <row r="2044" spans="1:11" ht="14.4" x14ac:dyDescent="0.3">
      <c r="A2044" s="28" t="str">
        <f>B2044&amp;C2044&amp;D2044&amp;E2044</f>
        <v>KitoblarNobadiiy adabiyotTibbiyotTerapiya. Umumiy amaliyot</v>
      </c>
      <c r="B2044" s="35" t="s">
        <v>3172</v>
      </c>
      <c r="C2044" s="35" t="s">
        <v>4439</v>
      </c>
      <c r="D2044" s="35" t="s">
        <v>5344</v>
      </c>
      <c r="E2044" s="35" t="s">
        <v>5345</v>
      </c>
      <c r="F2044" s="36">
        <v>0.2</v>
      </c>
      <c r="G2044" s="31"/>
      <c r="H2044" s="31"/>
      <c r="I2044" s="31"/>
      <c r="J2044" s="31"/>
      <c r="K2044" s="31"/>
    </row>
    <row r="2045" spans="1:11" ht="14.4" x14ac:dyDescent="0.3">
      <c r="A2045" s="28" t="str">
        <f>B2045&amp;C2045&amp;D2045&amp;E2045</f>
        <v>KitoblarNobadiiy adabiyotTibbiyotVeterinariya</v>
      </c>
      <c r="B2045" s="35" t="s">
        <v>3172</v>
      </c>
      <c r="C2045" s="35" t="s">
        <v>4439</v>
      </c>
      <c r="D2045" s="35" t="s">
        <v>5344</v>
      </c>
      <c r="E2045" s="35" t="s">
        <v>5346</v>
      </c>
      <c r="F2045" s="36">
        <v>0.2</v>
      </c>
      <c r="G2045" s="31"/>
      <c r="H2045" s="31"/>
      <c r="I2045" s="31"/>
      <c r="J2045" s="31"/>
      <c r="K2045" s="31"/>
    </row>
    <row r="2046" spans="1:11" ht="14.4" x14ac:dyDescent="0.3">
      <c r="A2046" s="28" t="str">
        <f>B2046&amp;C2046&amp;D2046&amp;E2046</f>
        <v>KitoblarBadiiy adabiyotFolklorErtaklar va masallar</v>
      </c>
      <c r="B2046" s="35" t="s">
        <v>3172</v>
      </c>
      <c r="C2046" s="35" t="s">
        <v>4436</v>
      </c>
      <c r="D2046" s="35" t="s">
        <v>5347</v>
      </c>
      <c r="E2046" s="35" t="s">
        <v>5348</v>
      </c>
      <c r="F2046" s="36">
        <v>0.2</v>
      </c>
      <c r="G2046" s="31"/>
      <c r="H2046" s="31"/>
      <c r="I2046" s="31"/>
      <c r="J2046" s="31"/>
      <c r="K2046" s="31"/>
    </row>
    <row r="2047" spans="1:11" ht="14.4" x14ac:dyDescent="0.3">
      <c r="A2047" s="28" t="str">
        <f>B2047&amp;C2047&amp;D2047&amp;E2047</f>
        <v>KitoblarSovgʻa nashrlariSovgʻa nashrlariSovgʻa nashrlari</v>
      </c>
      <c r="B2047" s="35" t="s">
        <v>3172</v>
      </c>
      <c r="C2047" s="35" t="s">
        <v>5349</v>
      </c>
      <c r="D2047" s="35" t="s">
        <v>5349</v>
      </c>
      <c r="E2047" s="35" t="s">
        <v>5349</v>
      </c>
      <c r="F2047" s="36">
        <v>0.2</v>
      </c>
      <c r="G2047" s="31"/>
      <c r="H2047" s="31"/>
      <c r="I2047" s="31"/>
      <c r="J2047" s="31"/>
      <c r="K2047" s="31"/>
    </row>
    <row r="2048" spans="1:11" ht="14.4" x14ac:dyDescent="0.3">
      <c r="A2048" s="28" t="str">
        <f>B2048&amp;C2048&amp;D2048&amp;E2048</f>
        <v>KitoblarBadiiy adabiyotAntik adabiyotAntik adabiyot</v>
      </c>
      <c r="B2048" s="35" t="s">
        <v>3172</v>
      </c>
      <c r="C2048" s="35" t="s">
        <v>4436</v>
      </c>
      <c r="D2048" s="35" t="s">
        <v>5350</v>
      </c>
      <c r="E2048" s="35" t="s">
        <v>5350</v>
      </c>
      <c r="F2048" s="36">
        <v>0.2</v>
      </c>
      <c r="G2048" s="31"/>
      <c r="H2048" s="31"/>
      <c r="I2048" s="31"/>
      <c r="J2048" s="31"/>
      <c r="K2048" s="31"/>
    </row>
    <row r="2049" spans="1:11" ht="14.4" x14ac:dyDescent="0.3">
      <c r="A2049" s="28" t="str">
        <f>B2049&amp;C2049&amp;D2049&amp;E2049</f>
        <v>KitoblarNobadiiy adabiyotIlmiy adabiyotlarTabiiy fanlar</v>
      </c>
      <c r="B2049" s="35" t="s">
        <v>3172</v>
      </c>
      <c r="C2049" s="35" t="s">
        <v>4439</v>
      </c>
      <c r="D2049" s="35" t="s">
        <v>4451</v>
      </c>
      <c r="E2049" s="35" t="s">
        <v>5351</v>
      </c>
      <c r="F2049" s="36">
        <v>0.2</v>
      </c>
      <c r="G2049" s="31"/>
      <c r="H2049" s="31"/>
      <c r="I2049" s="31"/>
      <c r="J2049" s="31"/>
      <c r="K2049" s="31"/>
    </row>
    <row r="2050" spans="1:11" ht="14.4" x14ac:dyDescent="0.3">
      <c r="A2050" s="28" t="str">
        <f>B2050&amp;C2050&amp;D2050&amp;E2050</f>
        <v>KitoblarBolalarga va ota-onalargaBadiiy adabiyotDetektivlar</v>
      </c>
      <c r="B2050" s="35" t="s">
        <v>3172</v>
      </c>
      <c r="C2050" s="35" t="s">
        <v>4446</v>
      </c>
      <c r="D2050" s="35" t="s">
        <v>4436</v>
      </c>
      <c r="E2050" s="35" t="s">
        <v>5352</v>
      </c>
      <c r="F2050" s="36">
        <v>0.2</v>
      </c>
      <c r="G2050" s="31"/>
      <c r="H2050" s="31"/>
      <c r="I2050" s="31"/>
      <c r="J2050" s="31"/>
      <c r="K2050" s="31"/>
    </row>
    <row r="2051" spans="1:11" ht="14.4" x14ac:dyDescent="0.3">
      <c r="A2051" s="28" t="str">
        <f>B2051&amp;C2051&amp;D2051&amp;E2051</f>
        <v>KitoblarChet tillaridagi adabiyotlarArab tiliArab tili</v>
      </c>
      <c r="B2051" s="35" t="s">
        <v>3172</v>
      </c>
      <c r="C2051" s="35" t="s">
        <v>4455</v>
      </c>
      <c r="D2051" s="35" t="s">
        <v>5353</v>
      </c>
      <c r="E2051" s="35" t="s">
        <v>5353</v>
      </c>
      <c r="F2051" s="36">
        <v>0.2</v>
      </c>
      <c r="G2051" s="31"/>
      <c r="H2051" s="31"/>
      <c r="I2051" s="31"/>
      <c r="J2051" s="31"/>
      <c r="K2051" s="31"/>
    </row>
    <row r="2052" spans="1:11" ht="14.4" x14ac:dyDescent="0.3">
      <c r="A2052" s="28" t="str">
        <f>B2052&amp;C2052&amp;D2052&amp;E2052</f>
        <v>KitoblarBadiiy adabiyotNasrSentimental nasr</v>
      </c>
      <c r="B2052" s="35" t="s">
        <v>3172</v>
      </c>
      <c r="C2052" s="35" t="s">
        <v>4436</v>
      </c>
      <c r="D2052" s="35" t="s">
        <v>5354</v>
      </c>
      <c r="E2052" s="35" t="s">
        <v>5355</v>
      </c>
      <c r="F2052" s="36">
        <v>0.2</v>
      </c>
      <c r="G2052" s="31"/>
      <c r="H2052" s="31"/>
      <c r="I2052" s="31"/>
      <c r="J2052" s="31"/>
      <c r="K2052" s="31"/>
    </row>
    <row r="2053" spans="1:11" ht="14.4" x14ac:dyDescent="0.3">
      <c r="A2053" s="28" t="str">
        <f>B2053&amp;C2053&amp;D2053&amp;E2053</f>
        <v>KitoblarNobadiiy adabiyotPsixologiyaStressni boshqarish</v>
      </c>
      <c r="B2053" s="35" t="s">
        <v>3172</v>
      </c>
      <c r="C2053" s="35" t="s">
        <v>4439</v>
      </c>
      <c r="D2053" s="35" t="s">
        <v>5330</v>
      </c>
      <c r="E2053" s="35" t="s">
        <v>5356</v>
      </c>
      <c r="F2053" s="36">
        <v>0.2</v>
      </c>
      <c r="G2053" s="31"/>
      <c r="H2053" s="31"/>
      <c r="I2053" s="31"/>
      <c r="J2053" s="31"/>
      <c r="K2053" s="31"/>
    </row>
    <row r="2054" spans="1:11" ht="14.4" x14ac:dyDescent="0.3">
      <c r="A2054" s="28" t="str">
        <f>B2054&amp;C2054&amp;D2054&amp;E2054</f>
        <v>KitoblarDiniy kitoblarIslоmSiyrat</v>
      </c>
      <c r="B2054" s="35" t="s">
        <v>3172</v>
      </c>
      <c r="C2054" s="35" t="s">
        <v>5327</v>
      </c>
      <c r="D2054" s="35" t="s">
        <v>5328</v>
      </c>
      <c r="E2054" s="35" t="s">
        <v>5357</v>
      </c>
      <c r="F2054" s="36">
        <v>0.2</v>
      </c>
      <c r="G2054" s="31"/>
      <c r="H2054" s="31"/>
      <c r="I2054" s="31"/>
      <c r="J2054" s="31"/>
      <c r="K2054" s="31"/>
    </row>
    <row r="2055" spans="1:11" ht="14.4" x14ac:dyDescent="0.3">
      <c r="A2055" s="28" t="str">
        <f>B2055&amp;C2055&amp;D2055&amp;E2055</f>
        <v>KitoblarBiznes-adabiyotKoʻnikmalarKoʻnikmalar</v>
      </c>
      <c r="B2055" s="35" t="s">
        <v>3172</v>
      </c>
      <c r="C2055" s="35" t="s">
        <v>4441</v>
      </c>
      <c r="D2055" s="35" t="s">
        <v>5358</v>
      </c>
      <c r="E2055" s="35" t="s">
        <v>5358</v>
      </c>
      <c r="F2055" s="36">
        <v>0.2</v>
      </c>
      <c r="G2055" s="31"/>
      <c r="H2055" s="31"/>
      <c r="I2055" s="31"/>
      <c r="J2055" s="31"/>
      <c r="K2055" s="31"/>
    </row>
    <row r="2056" spans="1:11" ht="14.4" x14ac:dyDescent="0.3">
      <c r="A2056" s="28" t="str">
        <f>B2056&amp;C2056&amp;D2056&amp;E2056</f>
        <v>KitoblarBiznes-adabiyotMenejment va boshqaruvMenejment va boshqaruv</v>
      </c>
      <c r="B2056" s="35" t="s">
        <v>3172</v>
      </c>
      <c r="C2056" s="35" t="s">
        <v>4441</v>
      </c>
      <c r="D2056" s="35" t="s">
        <v>5359</v>
      </c>
      <c r="E2056" s="35" t="s">
        <v>5359</v>
      </c>
      <c r="F2056" s="36">
        <v>0.2</v>
      </c>
      <c r="G2056" s="31"/>
      <c r="H2056" s="31"/>
      <c r="I2056" s="31"/>
      <c r="J2056" s="31"/>
      <c r="K2056" s="31"/>
    </row>
    <row r="2057" spans="1:11" ht="14.4" x14ac:dyDescent="0.3">
      <c r="A2057" s="28" t="str">
        <f>B2057&amp;C2057&amp;D2057&amp;E2057</f>
        <v>KitoblarNobadiiy adabiyotEzoterika va spiritizmEzoterika va spiritizm</v>
      </c>
      <c r="B2057" s="35" t="s">
        <v>3172</v>
      </c>
      <c r="C2057" s="35" t="s">
        <v>4439</v>
      </c>
      <c r="D2057" s="35" t="s">
        <v>5360</v>
      </c>
      <c r="E2057" s="35" t="s">
        <v>5360</v>
      </c>
      <c r="F2057" s="36">
        <v>0.2</v>
      </c>
      <c r="G2057" s="31"/>
      <c r="H2057" s="31"/>
      <c r="I2057" s="31"/>
      <c r="J2057" s="31"/>
      <c r="K2057" s="31"/>
    </row>
    <row r="2058" spans="1:11" ht="14.4" x14ac:dyDescent="0.3">
      <c r="A2058" s="28" t="str">
        <f>B2058&amp;C2058&amp;D2058&amp;E2058</f>
        <v>KitoblarBadiiy adabiyotNasrTarixiy nasr</v>
      </c>
      <c r="B2058" s="35" t="s">
        <v>3172</v>
      </c>
      <c r="C2058" s="35" t="s">
        <v>4436</v>
      </c>
      <c r="D2058" s="35" t="s">
        <v>5354</v>
      </c>
      <c r="E2058" s="35" t="s">
        <v>5361</v>
      </c>
      <c r="F2058" s="36">
        <v>0.2</v>
      </c>
      <c r="G2058" s="31"/>
      <c r="H2058" s="31"/>
      <c r="I2058" s="31"/>
      <c r="J2058" s="31"/>
      <c r="K2058" s="31"/>
    </row>
    <row r="2059" spans="1:11" ht="14.4" x14ac:dyDescent="0.3">
      <c r="A2059" s="28" t="str">
        <f>B2059&amp;C2059&amp;D2059&amp;E2059</f>
        <v>KitoblarBadiiy adabiyotDetektivlarDetektivlar</v>
      </c>
      <c r="B2059" s="35" t="s">
        <v>3172</v>
      </c>
      <c r="C2059" s="35" t="s">
        <v>4436</v>
      </c>
      <c r="D2059" s="35" t="s">
        <v>5352</v>
      </c>
      <c r="E2059" s="35" t="s">
        <v>5352</v>
      </c>
      <c r="F2059" s="36">
        <v>0.2</v>
      </c>
      <c r="G2059" s="31"/>
      <c r="H2059" s="31"/>
      <c r="I2059" s="31"/>
      <c r="J2059" s="31"/>
      <c r="K2059" s="31"/>
    </row>
    <row r="2060" spans="1:11" ht="14.4" x14ac:dyDescent="0.3">
      <c r="A2060" s="28" t="str">
        <f>B2060&amp;C2060&amp;D2060&amp;E2060</f>
        <v>KitoblarChet tillaridagi adabiyotlarIngliz tiliIngliz tili</v>
      </c>
      <c r="B2060" s="35" t="s">
        <v>3172</v>
      </c>
      <c r="C2060" s="35" t="s">
        <v>4455</v>
      </c>
      <c r="D2060" s="35" t="s">
        <v>5362</v>
      </c>
      <c r="E2060" s="35" t="s">
        <v>5362</v>
      </c>
      <c r="F2060" s="36">
        <v>0.2</v>
      </c>
      <c r="G2060" s="31"/>
      <c r="H2060" s="31"/>
      <c r="I2060" s="31"/>
      <c r="J2060" s="31"/>
      <c r="K2060" s="31"/>
    </row>
    <row r="2061" spans="1:11" ht="14.4" x14ac:dyDescent="0.3">
      <c r="A2061" s="28" t="str">
        <f>B2061&amp;C2061&amp;D2061&amp;E2061</f>
        <v>KitoblarNobadiiy adabiyotTibbiyotXalq tabobati</v>
      </c>
      <c r="B2061" s="35" t="s">
        <v>3172</v>
      </c>
      <c r="C2061" s="35" t="s">
        <v>4439</v>
      </c>
      <c r="D2061" s="35" t="s">
        <v>5344</v>
      </c>
      <c r="E2061" s="35" t="s">
        <v>5363</v>
      </c>
      <c r="F2061" s="36">
        <v>0.2</v>
      </c>
      <c r="G2061" s="31"/>
      <c r="H2061" s="31"/>
      <c r="I2061" s="31"/>
      <c r="J2061" s="31"/>
      <c r="K2061" s="31"/>
    </row>
    <row r="2062" spans="1:11" ht="14.4" x14ac:dyDescent="0.3">
      <c r="A2062" s="28" t="str">
        <f>B2062&amp;C2062&amp;D2062&amp;E2062</f>
        <v>KitoblarNobadiiy adabiyotGoʻzallik, salomatlik va sportO'z-o'zini parvarish qilish</v>
      </c>
      <c r="B2062" s="35" t="s">
        <v>3172</v>
      </c>
      <c r="C2062" s="35" t="s">
        <v>4439</v>
      </c>
      <c r="D2062" s="35" t="s">
        <v>4472</v>
      </c>
      <c r="E2062" s="35" t="s">
        <v>5364</v>
      </c>
      <c r="F2062" s="36">
        <v>0.2</v>
      </c>
      <c r="G2062" s="31"/>
      <c r="H2062" s="31"/>
      <c r="I2062" s="31"/>
      <c r="J2062" s="31"/>
      <c r="K2062" s="31"/>
    </row>
    <row r="2063" spans="1:11" ht="14.4" x14ac:dyDescent="0.3">
      <c r="A2063" s="28" t="str">
        <f>B2063&amp;C2063&amp;D2063&amp;E2063</f>
        <v>KitoblarBadiiy adabiyotSheʼriyatKlassik she'riyat</v>
      </c>
      <c r="B2063" s="35" t="s">
        <v>3172</v>
      </c>
      <c r="C2063" s="35" t="s">
        <v>4436</v>
      </c>
      <c r="D2063" s="35" t="s">
        <v>5365</v>
      </c>
      <c r="E2063" s="35" t="s">
        <v>5366</v>
      </c>
      <c r="F2063" s="36">
        <v>0.2</v>
      </c>
      <c r="G2063" s="31"/>
      <c r="H2063" s="31"/>
      <c r="I2063" s="31"/>
      <c r="J2063" s="31"/>
      <c r="K2063" s="31"/>
    </row>
    <row r="2064" spans="1:11" ht="14.4" x14ac:dyDescent="0.3">
      <c r="A2064" s="28" t="str">
        <f>B2064&amp;C2064&amp;D2064&amp;E2064</f>
        <v>KitoblarNobadiiy adabiyotTarixUrushlar tarixi</v>
      </c>
      <c r="B2064" s="35" t="s">
        <v>3172</v>
      </c>
      <c r="C2064" s="35" t="s">
        <v>4439</v>
      </c>
      <c r="D2064" s="35" t="s">
        <v>4458</v>
      </c>
      <c r="E2064" s="35" t="s">
        <v>5367</v>
      </c>
      <c r="F2064" s="36">
        <v>0.2</v>
      </c>
      <c r="G2064" s="31"/>
      <c r="H2064" s="31"/>
      <c r="I2064" s="31"/>
      <c r="J2064" s="31"/>
      <c r="K2064" s="31"/>
    </row>
    <row r="2065" spans="1:11" ht="14.4" x14ac:dyDescent="0.3">
      <c r="A2065" s="28" t="str">
        <f>B2065&amp;C2065&amp;D2065&amp;E2065</f>
        <v>KitoblarNobadiiy adabiyotSayohat, yoʻlboshchilarSayohat, yoʻlboshchilar</v>
      </c>
      <c r="B2065" s="35" t="s">
        <v>3172</v>
      </c>
      <c r="C2065" s="35" t="s">
        <v>4439</v>
      </c>
      <c r="D2065" s="35" t="s">
        <v>5368</v>
      </c>
      <c r="E2065" s="35" t="s">
        <v>5368</v>
      </c>
      <c r="F2065" s="36">
        <v>0.2</v>
      </c>
      <c r="G2065" s="31"/>
      <c r="H2065" s="31"/>
      <c r="I2065" s="31"/>
      <c r="J2065" s="31"/>
      <c r="K2065" s="31"/>
    </row>
    <row r="2066" spans="1:11" ht="14.4" x14ac:dyDescent="0.3">
      <c r="A2066" s="28" t="str">
        <f>B2066&amp;C2066&amp;D2066&amp;E2066</f>
        <v>KitoblarNobadiiy adabiyotPsixologiyaBaxt</v>
      </c>
      <c r="B2066" s="35" t="s">
        <v>3172</v>
      </c>
      <c r="C2066" s="35" t="s">
        <v>4439</v>
      </c>
      <c r="D2066" s="35" t="s">
        <v>5330</v>
      </c>
      <c r="E2066" s="35" t="s">
        <v>5369</v>
      </c>
      <c r="F2066" s="36">
        <v>0.2</v>
      </c>
      <c r="G2066" s="31"/>
      <c r="H2066" s="31"/>
      <c r="I2066" s="31"/>
      <c r="J2066" s="31"/>
      <c r="K2066" s="31"/>
    </row>
    <row r="2067" spans="1:11" ht="14.4" x14ac:dyDescent="0.3">
      <c r="A2067" s="28" t="str">
        <f>B2067&amp;C2067&amp;D2067&amp;E2067</f>
        <v>KitoblarBolalarga va ota-onalargaBolalar uchun boʻsh vaqtlarni foydali oʻtkazish va ijodRang berish kitoblar va chizish</v>
      </c>
      <c r="B2067" s="35" t="s">
        <v>3172</v>
      </c>
      <c r="C2067" s="35" t="s">
        <v>4446</v>
      </c>
      <c r="D2067" s="35" t="s">
        <v>4465</v>
      </c>
      <c r="E2067" s="35" t="s">
        <v>5370</v>
      </c>
      <c r="F2067" s="36">
        <v>0.2</v>
      </c>
      <c r="G2067" s="31"/>
      <c r="H2067" s="31"/>
      <c r="I2067" s="31"/>
      <c r="J2067" s="31"/>
      <c r="K2067" s="31"/>
    </row>
    <row r="2068" spans="1:11" ht="14.4" x14ac:dyDescent="0.3">
      <c r="A2068" s="28" t="str">
        <f>B2068&amp;C2068&amp;D2068&amp;E2068</f>
        <v>KitoblarBukinistikaKomikslarKomikslar</v>
      </c>
      <c r="B2068" s="35" t="s">
        <v>3172</v>
      </c>
      <c r="C2068" s="35" t="s">
        <v>4438</v>
      </c>
      <c r="D2068" s="35" t="s">
        <v>5371</v>
      </c>
      <c r="E2068" s="35" t="s">
        <v>5371</v>
      </c>
      <c r="F2068" s="36">
        <v>0.2</v>
      </c>
      <c r="G2068" s="31"/>
      <c r="H2068" s="31"/>
      <c r="I2068" s="31"/>
      <c r="J2068" s="31"/>
      <c r="K2068" s="31"/>
    </row>
    <row r="2069" spans="1:11" ht="14.4" x14ac:dyDescent="0.3">
      <c r="A2069" s="28" t="str">
        <f>B2069&amp;C2069&amp;D2069&amp;E2069</f>
        <v>KitoblarOʻquv adabiyotiOʻquv-metodik adabiyotiOʻquv-metodik adabiyoti</v>
      </c>
      <c r="B2069" s="35" t="s">
        <v>3172</v>
      </c>
      <c r="C2069" s="35" t="s">
        <v>5322</v>
      </c>
      <c r="D2069" s="35" t="s">
        <v>5372</v>
      </c>
      <c r="E2069" s="35" t="s">
        <v>5372</v>
      </c>
      <c r="F2069" s="36">
        <v>0.2</v>
      </c>
      <c r="G2069" s="31"/>
      <c r="H2069" s="31"/>
      <c r="I2069" s="31"/>
      <c r="J2069" s="31"/>
      <c r="K2069" s="31"/>
    </row>
    <row r="2070" spans="1:11" ht="14.4" x14ac:dyDescent="0.3">
      <c r="A2070" s="28" t="str">
        <f>B2070&amp;C2070&amp;D2070&amp;E2070</f>
        <v>KitoblarOʻquv adabiyoti1-sinf1-sinf</v>
      </c>
      <c r="B2070" s="35" t="s">
        <v>3172</v>
      </c>
      <c r="C2070" s="35" t="s">
        <v>5322</v>
      </c>
      <c r="D2070" s="35" t="s">
        <v>5373</v>
      </c>
      <c r="E2070" s="35" t="s">
        <v>5373</v>
      </c>
      <c r="F2070" s="36">
        <v>0.2</v>
      </c>
      <c r="G2070" s="31"/>
      <c r="H2070" s="31"/>
      <c r="I2070" s="31"/>
      <c r="J2070" s="31"/>
      <c r="K2070" s="31"/>
    </row>
    <row r="2071" spans="1:11" ht="14.4" x14ac:dyDescent="0.3">
      <c r="A2071" s="28" t="str">
        <f>B2071&amp;C2071&amp;D2071&amp;E2071</f>
        <v>KitoblarOʻquv adabiyoti6-sinf6-sinf</v>
      </c>
      <c r="B2071" s="35" t="s">
        <v>3172</v>
      </c>
      <c r="C2071" s="35" t="s">
        <v>5322</v>
      </c>
      <c r="D2071" s="35" t="s">
        <v>5374</v>
      </c>
      <c r="E2071" s="35" t="s">
        <v>5374</v>
      </c>
      <c r="F2071" s="36">
        <v>0.2</v>
      </c>
      <c r="G2071" s="31"/>
      <c r="H2071" s="31"/>
      <c r="I2071" s="31"/>
      <c r="J2071" s="31"/>
      <c r="K2071" s="31"/>
    </row>
    <row r="2072" spans="1:11" ht="14.4" x14ac:dyDescent="0.3">
      <c r="A2072" s="28" t="str">
        <f>B2072&amp;C2072&amp;D2072&amp;E2072</f>
        <v>KitoblarNobadiiy adabiyotPublitsistikaMashhur odamlarning biografiyalar</v>
      </c>
      <c r="B2072" s="35" t="s">
        <v>3172</v>
      </c>
      <c r="C2072" s="35" t="s">
        <v>4439</v>
      </c>
      <c r="D2072" s="35" t="s">
        <v>4444</v>
      </c>
      <c r="E2072" s="35" t="s">
        <v>5375</v>
      </c>
      <c r="F2072" s="36">
        <v>0.2</v>
      </c>
      <c r="G2072" s="31"/>
      <c r="H2072" s="31"/>
      <c r="I2072" s="31"/>
      <c r="J2072" s="31"/>
      <c r="K2072" s="31"/>
    </row>
    <row r="2073" spans="1:11" ht="14.4" x14ac:dyDescent="0.3">
      <c r="A2073" s="28" t="str">
        <f>B2073&amp;C2073&amp;D2073&amp;E2073</f>
        <v>KitoblarNobadiiy adabiyotOʻz-oʻzini rivojlantirishMeditatsiya</v>
      </c>
      <c r="B2073" s="35" t="s">
        <v>3172</v>
      </c>
      <c r="C2073" s="35" t="s">
        <v>4439</v>
      </c>
      <c r="D2073" s="35" t="s">
        <v>5314</v>
      </c>
      <c r="E2073" s="35" t="s">
        <v>5376</v>
      </c>
      <c r="F2073" s="36">
        <v>0.2</v>
      </c>
      <c r="G2073" s="31"/>
      <c r="H2073" s="31"/>
      <c r="I2073" s="31"/>
      <c r="J2073" s="31"/>
      <c r="K2073" s="31"/>
    </row>
    <row r="2074" spans="1:11" ht="14.4" x14ac:dyDescent="0.3">
      <c r="A2074" s="28" t="str">
        <f>B2074&amp;C2074&amp;D2074&amp;E2074</f>
        <v>KitoblarNobadiiy adabiyotIlmiy adabiyotlarFalsafa</v>
      </c>
      <c r="B2074" s="35" t="s">
        <v>3172</v>
      </c>
      <c r="C2074" s="35" t="s">
        <v>4439</v>
      </c>
      <c r="D2074" s="35" t="s">
        <v>4451</v>
      </c>
      <c r="E2074" s="35" t="s">
        <v>5377</v>
      </c>
      <c r="F2074" s="36">
        <v>0.2</v>
      </c>
      <c r="G2074" s="31"/>
      <c r="H2074" s="31"/>
      <c r="I2074" s="31"/>
      <c r="J2074" s="31"/>
      <c r="K2074" s="31"/>
    </row>
    <row r="2075" spans="1:11" ht="14.4" x14ac:dyDescent="0.3">
      <c r="A2075" s="28" t="str">
        <f>B2075&amp;C2075&amp;D2075&amp;E2075</f>
        <v>KitoblarNobadiiy adabiyotPsixologiyaMuloqot psixologiyasi</v>
      </c>
      <c r="B2075" s="35" t="s">
        <v>3172</v>
      </c>
      <c r="C2075" s="35" t="s">
        <v>4439</v>
      </c>
      <c r="D2075" s="35" t="s">
        <v>5330</v>
      </c>
      <c r="E2075" s="35" t="s">
        <v>5378</v>
      </c>
      <c r="F2075" s="36">
        <v>0.2</v>
      </c>
      <c r="G2075" s="31"/>
      <c r="H2075" s="31"/>
      <c r="I2075" s="31"/>
      <c r="J2075" s="31"/>
      <c r="K2075" s="31"/>
    </row>
    <row r="2076" spans="1:11" ht="14.4" x14ac:dyDescent="0.3">
      <c r="A2076" s="28" t="str">
        <f>B2076&amp;C2076&amp;D2076&amp;E2076</f>
        <v>KitoblarBiznes-adabiyotIqtisodiyotIqtisodiyot</v>
      </c>
      <c r="B2076" s="35" t="s">
        <v>3172</v>
      </c>
      <c r="C2076" s="35" t="s">
        <v>4441</v>
      </c>
      <c r="D2076" s="35" t="s">
        <v>5379</v>
      </c>
      <c r="E2076" s="35" t="s">
        <v>5379</v>
      </c>
      <c r="F2076" s="36">
        <v>0.2</v>
      </c>
      <c r="G2076" s="31"/>
      <c r="H2076" s="31"/>
      <c r="I2076" s="31"/>
      <c r="J2076" s="31"/>
      <c r="K2076" s="31"/>
    </row>
    <row r="2077" spans="1:11" ht="14.4" x14ac:dyDescent="0.3">
      <c r="A2077" s="28" t="str">
        <f>B2077&amp;C2077&amp;D2077&amp;E2077</f>
        <v>KitoblarBolalarga va ota-onalargaBolalar uchun boʻsh vaqtlarni foydali oʻtkazish va ijodInteraktiv kitoblar</v>
      </c>
      <c r="B2077" s="35" t="s">
        <v>3172</v>
      </c>
      <c r="C2077" s="35" t="s">
        <v>4446</v>
      </c>
      <c r="D2077" s="35" t="s">
        <v>4465</v>
      </c>
      <c r="E2077" s="35" t="s">
        <v>5380</v>
      </c>
      <c r="F2077" s="36">
        <v>0.2</v>
      </c>
      <c r="G2077" s="31"/>
      <c r="H2077" s="31"/>
      <c r="I2077" s="31"/>
      <c r="J2077" s="31"/>
      <c r="K2077" s="31"/>
    </row>
    <row r="2078" spans="1:11" ht="14.4" x14ac:dyDescent="0.3">
      <c r="A2078" s="28" t="str">
        <f>B2078&amp;C2078&amp;D2078&amp;E2078</f>
        <v>KitoblarNobadiiy adabiyotKompyuter texnologiyalariWeb-dasturlash</v>
      </c>
      <c r="B2078" s="35" t="s">
        <v>3172</v>
      </c>
      <c r="C2078" s="35" t="s">
        <v>4439</v>
      </c>
      <c r="D2078" s="35" t="s">
        <v>4447</v>
      </c>
      <c r="E2078" s="35" t="s">
        <v>5381</v>
      </c>
      <c r="F2078" s="36">
        <v>0.2</v>
      </c>
      <c r="G2078" s="31"/>
      <c r="H2078" s="31"/>
      <c r="I2078" s="31"/>
      <c r="J2078" s="31"/>
      <c r="K2078" s="31"/>
    </row>
    <row r="2079" spans="1:11" ht="14.4" x14ac:dyDescent="0.3">
      <c r="A2079" s="28" t="str">
        <f>B2079&amp;C2079&amp;D2079&amp;E2079</f>
        <v>KitoblarOʻquv adabiyoti8-sinf8-sinf</v>
      </c>
      <c r="B2079" s="35" t="s">
        <v>3172</v>
      </c>
      <c r="C2079" s="35" t="s">
        <v>5322</v>
      </c>
      <c r="D2079" s="35" t="s">
        <v>5382</v>
      </c>
      <c r="E2079" s="35" t="s">
        <v>5382</v>
      </c>
      <c r="F2079" s="36">
        <v>0.2</v>
      </c>
      <c r="G2079" s="31"/>
      <c r="H2079" s="31"/>
      <c r="I2079" s="31"/>
      <c r="J2079" s="31"/>
      <c r="K2079" s="31"/>
    </row>
    <row r="2080" spans="1:11" ht="14.4" x14ac:dyDescent="0.3">
      <c r="A2080" s="28" t="str">
        <f>B2080&amp;C2080&amp;D2080&amp;E2080</f>
        <v>KitoblarNobadiiy adabiyotPsixologiyaArt-terapiya</v>
      </c>
      <c r="B2080" s="35" t="s">
        <v>3172</v>
      </c>
      <c r="C2080" s="35" t="s">
        <v>4439</v>
      </c>
      <c r="D2080" s="35" t="s">
        <v>5330</v>
      </c>
      <c r="E2080" s="35" t="s">
        <v>5383</v>
      </c>
      <c r="F2080" s="36">
        <v>0.2</v>
      </c>
      <c r="G2080" s="31"/>
      <c r="H2080" s="31"/>
      <c r="I2080" s="31"/>
      <c r="J2080" s="31"/>
      <c r="K2080" s="31"/>
    </row>
    <row r="2081" spans="1:11" ht="14.4" x14ac:dyDescent="0.3">
      <c r="A2081" s="28" t="str">
        <f>B2081&amp;C2081&amp;D2081&amp;E2081</f>
        <v>KitoblarMangaMangaManga</v>
      </c>
      <c r="B2081" s="35" t="s">
        <v>3172</v>
      </c>
      <c r="C2081" s="35" t="s">
        <v>5384</v>
      </c>
      <c r="D2081" s="35" t="s">
        <v>5384</v>
      </c>
      <c r="E2081" s="35" t="s">
        <v>5384</v>
      </c>
      <c r="F2081" s="36">
        <v>0.2</v>
      </c>
      <c r="G2081" s="31"/>
      <c r="H2081" s="31"/>
      <c r="I2081" s="31"/>
      <c r="J2081" s="31"/>
      <c r="K2081" s="31"/>
    </row>
    <row r="2082" spans="1:11" ht="14.4" x14ac:dyDescent="0.3">
      <c r="A2082" s="28" t="str">
        <f>B2082&amp;C2082&amp;D2082&amp;E2082</f>
        <v>KitoblarOʻquv adabiyoti11-sinf11-sinf</v>
      </c>
      <c r="B2082" s="35" t="s">
        <v>3172</v>
      </c>
      <c r="C2082" s="35" t="s">
        <v>5322</v>
      </c>
      <c r="D2082" s="35" t="s">
        <v>5385</v>
      </c>
      <c r="E2082" s="35" t="s">
        <v>5385</v>
      </c>
      <c r="F2082" s="36">
        <v>0.2</v>
      </c>
      <c r="G2082" s="31"/>
      <c r="H2082" s="31"/>
      <c r="I2082" s="31"/>
      <c r="J2082" s="31"/>
      <c r="K2082" s="31"/>
    </row>
    <row r="2083" spans="1:11" ht="14.4" x14ac:dyDescent="0.3">
      <c r="A2083" s="28" t="str">
        <f>B2083&amp;C2083&amp;D2083&amp;E2083</f>
        <v>KitoblarBukinistikaOʻquv adabiyotiOʻquv adabiyoti</v>
      </c>
      <c r="B2083" s="35" t="s">
        <v>3172</v>
      </c>
      <c r="C2083" s="35" t="s">
        <v>4438</v>
      </c>
      <c r="D2083" s="35" t="s">
        <v>5322</v>
      </c>
      <c r="E2083" s="35" t="s">
        <v>5322</v>
      </c>
      <c r="F2083" s="36">
        <v>0.2</v>
      </c>
      <c r="G2083" s="31"/>
      <c r="H2083" s="31"/>
      <c r="I2083" s="31"/>
      <c r="J2083" s="31"/>
      <c r="K2083" s="31"/>
    </row>
    <row r="2084" spans="1:11" ht="14.4" x14ac:dyDescent="0.3">
      <c r="A2084" s="28" t="str">
        <f>B2084&amp;C2084&amp;D2084&amp;E2084</f>
        <v>KitoblarNobadiiy adabiyotOʻz-oʻzini rivojlantirishShaxsiy samaradorlik</v>
      </c>
      <c r="B2084" s="35" t="s">
        <v>3172</v>
      </c>
      <c r="C2084" s="35" t="s">
        <v>4439</v>
      </c>
      <c r="D2084" s="35" t="s">
        <v>5314</v>
      </c>
      <c r="E2084" s="35" t="s">
        <v>5386</v>
      </c>
      <c r="F2084" s="36">
        <v>0.2</v>
      </c>
      <c r="G2084" s="31"/>
      <c r="H2084" s="31"/>
      <c r="I2084" s="31"/>
      <c r="J2084" s="31"/>
      <c r="K2084" s="31"/>
    </row>
    <row r="2085" spans="1:11" ht="14.4" x14ac:dyDescent="0.3">
      <c r="A2085" s="28" t="str">
        <f>B2085&amp;C2085&amp;D2085&amp;E2085</f>
        <v>KitoblarBadiiy adabiyotSheʼriyatZamonaviy she'riyat</v>
      </c>
      <c r="B2085" s="35" t="s">
        <v>3172</v>
      </c>
      <c r="C2085" s="35" t="s">
        <v>4436</v>
      </c>
      <c r="D2085" s="35" t="s">
        <v>5365</v>
      </c>
      <c r="E2085" s="35" t="s">
        <v>5387</v>
      </c>
      <c r="F2085" s="36">
        <v>0.2</v>
      </c>
      <c r="G2085" s="31"/>
      <c r="H2085" s="31"/>
      <c r="I2085" s="31"/>
      <c r="J2085" s="31"/>
      <c r="K2085" s="31"/>
    </row>
    <row r="2086" spans="1:11" ht="14.4" x14ac:dyDescent="0.3">
      <c r="A2086" s="28" t="str">
        <f>B2086&amp;C2086&amp;D2086&amp;E2086</f>
        <v>KitoblarNobadiiy adabiyotSanʼat va madaniyatSan'atshunoslik</v>
      </c>
      <c r="B2086" s="35" t="s">
        <v>3172</v>
      </c>
      <c r="C2086" s="35" t="s">
        <v>4439</v>
      </c>
      <c r="D2086" s="35" t="s">
        <v>5388</v>
      </c>
      <c r="E2086" s="35" t="s">
        <v>5389</v>
      </c>
      <c r="F2086" s="36">
        <v>0.2</v>
      </c>
      <c r="G2086" s="31"/>
      <c r="H2086" s="31"/>
      <c r="I2086" s="31"/>
      <c r="J2086" s="31"/>
      <c r="K2086" s="31"/>
    </row>
    <row r="2087" spans="1:11" ht="14.4" x14ac:dyDescent="0.3">
      <c r="A2087" s="28" t="str">
        <f>B2087&amp;C2087&amp;D2087&amp;E2087</f>
        <v>KitoblarBiznes-adabiyotBiznes taʼlimi va karyerani rivojlantirishBiznes taʼlimi va karyerani rivojlantirish</v>
      </c>
      <c r="B2087" s="35" t="s">
        <v>3172</v>
      </c>
      <c r="C2087" s="35" t="s">
        <v>4441</v>
      </c>
      <c r="D2087" s="35" t="s">
        <v>5390</v>
      </c>
      <c r="E2087" s="35" t="s">
        <v>5390</v>
      </c>
      <c r="F2087" s="36">
        <v>0.2</v>
      </c>
      <c r="G2087" s="31"/>
      <c r="H2087" s="31"/>
      <c r="I2087" s="31"/>
      <c r="J2087" s="31"/>
      <c r="K2087" s="31"/>
    </row>
    <row r="2088" spans="1:11" ht="14.4" x14ac:dyDescent="0.3">
      <c r="A2088" s="28" t="str">
        <f>B2088&amp;C2088&amp;D2088&amp;E2088</f>
        <v>KitoblarOʻquv adabiyotiXorijiy tillarini oʻrganishXorijiy tillarini oʻrganish</v>
      </c>
      <c r="B2088" s="35" t="s">
        <v>3172</v>
      </c>
      <c r="C2088" s="35" t="s">
        <v>5322</v>
      </c>
      <c r="D2088" s="35" t="s">
        <v>5391</v>
      </c>
      <c r="E2088" s="35" t="s">
        <v>5391</v>
      </c>
      <c r="F2088" s="36">
        <v>0.2</v>
      </c>
      <c r="G2088" s="31"/>
      <c r="H2088" s="31"/>
      <c r="I2088" s="31"/>
      <c r="J2088" s="31"/>
      <c r="K2088" s="31"/>
    </row>
    <row r="2089" spans="1:11" ht="14.4" x14ac:dyDescent="0.3">
      <c r="A2089" s="28" t="str">
        <f>B2089&amp;C2089&amp;D2089&amp;E2089</f>
        <v>KitoblarOʻquv adabiyotiAbituriyentlar, talabalar va aspirantlargaAbituriyentlar, talabalar va aspirantlarga</v>
      </c>
      <c r="B2089" s="35" t="s">
        <v>3172</v>
      </c>
      <c r="C2089" s="35" t="s">
        <v>5322</v>
      </c>
      <c r="D2089" s="35" t="s">
        <v>5392</v>
      </c>
      <c r="E2089" s="35" t="s">
        <v>5392</v>
      </c>
      <c r="F2089" s="36">
        <v>0.2</v>
      </c>
      <c r="G2089" s="31"/>
      <c r="H2089" s="31"/>
      <c r="I2089" s="31"/>
      <c r="J2089" s="31"/>
      <c r="K2089" s="31"/>
    </row>
    <row r="2090" spans="1:11" ht="14.4" x14ac:dyDescent="0.3">
      <c r="A2090" s="28" t="str">
        <f>B2090&amp;C2090&amp;D2090&amp;E2090</f>
        <v>KitoblarNobadiiy adabiyotTibbiyotMaxsus tibbiyot</v>
      </c>
      <c r="B2090" s="35" t="s">
        <v>3172</v>
      </c>
      <c r="C2090" s="35" t="s">
        <v>4439</v>
      </c>
      <c r="D2090" s="35" t="s">
        <v>5344</v>
      </c>
      <c r="E2090" s="35" t="s">
        <v>5393</v>
      </c>
      <c r="F2090" s="36">
        <v>0.2</v>
      </c>
      <c r="G2090" s="31"/>
      <c r="H2090" s="31"/>
      <c r="I2090" s="31"/>
      <c r="J2090" s="31"/>
      <c r="K2090" s="31"/>
    </row>
    <row r="2091" spans="1:11" ht="14.4" x14ac:dyDescent="0.3">
      <c r="A2091" s="28" t="str">
        <f>B2091&amp;C2091&amp;D2091&amp;E2091</f>
        <v>KitoblarBadiiy adabiyotFenteziFentezi</v>
      </c>
      <c r="B2091" s="35" t="s">
        <v>3172</v>
      </c>
      <c r="C2091" s="35" t="s">
        <v>4436</v>
      </c>
      <c r="D2091" s="35" t="s">
        <v>4469</v>
      </c>
      <c r="E2091" s="35" t="s">
        <v>4469</v>
      </c>
      <c r="F2091" s="36">
        <v>0.2</v>
      </c>
      <c r="G2091" s="31"/>
      <c r="H2091" s="31"/>
      <c r="I2091" s="31"/>
      <c r="J2091" s="31"/>
      <c r="K2091" s="31"/>
    </row>
    <row r="2092" spans="1:11" ht="14.4" x14ac:dyDescent="0.3">
      <c r="A2092" s="28" t="str">
        <f>B2092&amp;C2092&amp;D2092&amp;E2092</f>
        <v>KitoblarBiznes-adabiyotMarketing va sotishMarketing va sotish</v>
      </c>
      <c r="B2092" s="35" t="s">
        <v>3172</v>
      </c>
      <c r="C2092" s="35" t="s">
        <v>4441</v>
      </c>
      <c r="D2092" s="35" t="s">
        <v>5394</v>
      </c>
      <c r="E2092" s="35" t="s">
        <v>5394</v>
      </c>
      <c r="F2092" s="36">
        <v>0.2</v>
      </c>
      <c r="G2092" s="31"/>
      <c r="H2092" s="31"/>
      <c r="I2092" s="31"/>
      <c r="J2092" s="31"/>
      <c r="K2092" s="31"/>
    </row>
    <row r="2093" spans="1:11" ht="14.4" x14ac:dyDescent="0.3">
      <c r="A2093" s="28" t="str">
        <f>B2093&amp;C2093&amp;D2093&amp;E2093</f>
        <v>KitoblarNobadiiy adabiyotIlmiy adabiyotlarSiyosatshunoslik</v>
      </c>
      <c r="B2093" s="35" t="s">
        <v>3172</v>
      </c>
      <c r="C2093" s="35" t="s">
        <v>4439</v>
      </c>
      <c r="D2093" s="35" t="s">
        <v>4451</v>
      </c>
      <c r="E2093" s="35" t="s">
        <v>5395</v>
      </c>
      <c r="F2093" s="36">
        <v>0.2</v>
      </c>
      <c r="G2093" s="31"/>
      <c r="H2093" s="31"/>
      <c r="I2093" s="31"/>
      <c r="J2093" s="31"/>
      <c r="K2093" s="31"/>
    </row>
    <row r="2094" spans="1:11" ht="14.4" x14ac:dyDescent="0.3">
      <c r="A2094" s="28" t="str">
        <f>B2094&amp;C2094&amp;D2094&amp;E2094</f>
        <v>KitoblarBadiiy adabiyotSarguzashtlarSarguzashtlar</v>
      </c>
      <c r="B2094" s="35" t="s">
        <v>3172</v>
      </c>
      <c r="C2094" s="35" t="s">
        <v>4436</v>
      </c>
      <c r="D2094" s="35" t="s">
        <v>5396</v>
      </c>
      <c r="E2094" s="35" t="s">
        <v>5396</v>
      </c>
      <c r="F2094" s="36">
        <v>0.2</v>
      </c>
      <c r="G2094" s="31"/>
      <c r="H2094" s="31"/>
      <c r="I2094" s="31"/>
      <c r="J2094" s="31"/>
      <c r="K2094" s="31"/>
    </row>
    <row r="2095" spans="1:11" ht="14.4" x14ac:dyDescent="0.3">
      <c r="A2095" s="28" t="str">
        <f>B2095&amp;C2095&amp;D2095&amp;E2095</f>
        <v>KitoblarNobadiiy adabiyotKompyuter texnologiyalariDasturlash tillari</v>
      </c>
      <c r="B2095" s="35" t="s">
        <v>3172</v>
      </c>
      <c r="C2095" s="35" t="s">
        <v>4439</v>
      </c>
      <c r="D2095" s="35" t="s">
        <v>4447</v>
      </c>
      <c r="E2095" s="35" t="s">
        <v>5397</v>
      </c>
      <c r="F2095" s="36">
        <v>0.2</v>
      </c>
      <c r="G2095" s="31"/>
      <c r="H2095" s="31"/>
      <c r="I2095" s="31"/>
      <c r="J2095" s="31"/>
      <c r="K2095" s="31"/>
    </row>
    <row r="2096" spans="1:11" ht="14.4" x14ac:dyDescent="0.3">
      <c r="A2096" s="28" t="str">
        <f>B2096&amp;C2096&amp;D2096&amp;E2096</f>
        <v>KitoblarNobadiiy adabiyotKompyuter texnologiyalariDasturlash va algoritmlar</v>
      </c>
      <c r="B2096" s="35" t="s">
        <v>3172</v>
      </c>
      <c r="C2096" s="35" t="s">
        <v>4439</v>
      </c>
      <c r="D2096" s="35" t="s">
        <v>4447</v>
      </c>
      <c r="E2096" s="35" t="s">
        <v>5398</v>
      </c>
      <c r="F2096" s="36">
        <v>0.2</v>
      </c>
      <c r="G2096" s="31"/>
      <c r="H2096" s="31"/>
      <c r="I2096" s="31"/>
      <c r="J2096" s="31"/>
      <c r="K2096" s="31"/>
    </row>
    <row r="2097" spans="1:11" ht="14.4" x14ac:dyDescent="0.3">
      <c r="A2097" s="28" t="str">
        <f>B2097&amp;C2097&amp;D2097&amp;E2097</f>
        <v>KitoblarNobadiiy adabiyotYuridik adabiyotHuquq</v>
      </c>
      <c r="B2097" s="35" t="s">
        <v>3172</v>
      </c>
      <c r="C2097" s="35" t="s">
        <v>4439</v>
      </c>
      <c r="D2097" s="35" t="s">
        <v>5399</v>
      </c>
      <c r="E2097" s="35" t="s">
        <v>5400</v>
      </c>
      <c r="F2097" s="36">
        <v>0.2</v>
      </c>
      <c r="G2097" s="31"/>
      <c r="H2097" s="31"/>
      <c r="I2097" s="31"/>
      <c r="J2097" s="31"/>
      <c r="K2097" s="31"/>
    </row>
    <row r="2098" spans="1:11" ht="14.4" x14ac:dyDescent="0.3">
      <c r="A2098" s="28" t="str">
        <f>B2098&amp;C2098&amp;D2098&amp;E2098</f>
        <v>KitoblarBukinistikaBadiiy adabiyotRomanlar</v>
      </c>
      <c r="B2098" s="35" t="s">
        <v>3172</v>
      </c>
      <c r="C2098" s="35" t="s">
        <v>4438</v>
      </c>
      <c r="D2098" s="35" t="s">
        <v>4436</v>
      </c>
      <c r="E2098" s="35" t="s">
        <v>5401</v>
      </c>
      <c r="F2098" s="36">
        <v>0.2</v>
      </c>
      <c r="G2098" s="31"/>
      <c r="H2098" s="31"/>
      <c r="I2098" s="31"/>
      <c r="J2098" s="31"/>
      <c r="K2098" s="31"/>
    </row>
    <row r="2099" spans="1:11" ht="14.4" x14ac:dyDescent="0.3">
      <c r="A2099" s="28" t="str">
        <f>B2099&amp;C2099&amp;D2099&amp;E2099</f>
        <v>KitoblarBiznes-adabiyotInvestitsiyalar va koʻchmas mulkInvestitsiyalar va koʻchmas mulk</v>
      </c>
      <c r="B2099" s="35" t="s">
        <v>3172</v>
      </c>
      <c r="C2099" s="35" t="s">
        <v>4441</v>
      </c>
      <c r="D2099" s="35" t="s">
        <v>5402</v>
      </c>
      <c r="E2099" s="35" t="s">
        <v>5402</v>
      </c>
      <c r="F2099" s="36">
        <v>0.2</v>
      </c>
      <c r="G2099" s="31"/>
      <c r="H2099" s="31"/>
      <c r="I2099" s="31"/>
      <c r="J2099" s="31"/>
      <c r="K2099" s="31"/>
    </row>
    <row r="2100" spans="1:11" ht="14.4" x14ac:dyDescent="0.3">
      <c r="A2100" s="28" t="str">
        <f>B2100&amp;C2100&amp;D2100&amp;E2100</f>
        <v>KitoblarBadiiy adabiyotNasrZamonaviy nasr</v>
      </c>
      <c r="B2100" s="35" t="s">
        <v>3172</v>
      </c>
      <c r="C2100" s="35" t="s">
        <v>4436</v>
      </c>
      <c r="D2100" s="35" t="s">
        <v>5354</v>
      </c>
      <c r="E2100" s="35" t="s">
        <v>5338</v>
      </c>
      <c r="F2100" s="36">
        <v>0.2</v>
      </c>
      <c r="G2100" s="31"/>
      <c r="H2100" s="31"/>
      <c r="I2100" s="31"/>
      <c r="J2100" s="31"/>
      <c r="K2100" s="31"/>
    </row>
    <row r="2101" spans="1:11" ht="14.4" x14ac:dyDescent="0.3">
      <c r="A2101" s="28" t="str">
        <f>B2101&amp;C2101&amp;D2101&amp;E2101</f>
        <v>KitoblarChet tillaridagi adabiyotlarNemis tiliNemis tili</v>
      </c>
      <c r="B2101" s="35" t="s">
        <v>3172</v>
      </c>
      <c r="C2101" s="35" t="s">
        <v>4455</v>
      </c>
      <c r="D2101" s="35" t="s">
        <v>5403</v>
      </c>
      <c r="E2101" s="35" t="s">
        <v>5403</v>
      </c>
      <c r="F2101" s="36">
        <v>0.2</v>
      </c>
      <c r="G2101" s="31"/>
      <c r="H2101" s="31"/>
      <c r="I2101" s="31"/>
      <c r="J2101" s="31"/>
      <c r="K2101" s="31"/>
    </row>
    <row r="2102" spans="1:11" ht="14.4" x14ac:dyDescent="0.3">
      <c r="A2102" s="28" t="str">
        <f>B2102&amp;C2102&amp;D2102&amp;E2102</f>
        <v>KitoblarBolalarga va ota-onalargaBolalar uchun boʻsh vaqtlarni foydali oʻtkazish va ijodVimmelbuxlar va topilmalar</v>
      </c>
      <c r="B2102" s="35" t="s">
        <v>3172</v>
      </c>
      <c r="C2102" s="35" t="s">
        <v>4446</v>
      </c>
      <c r="D2102" s="35" t="s">
        <v>4465</v>
      </c>
      <c r="E2102" s="35" t="s">
        <v>5404</v>
      </c>
      <c r="F2102" s="36">
        <v>0.2</v>
      </c>
      <c r="G2102" s="31"/>
      <c r="H2102" s="31"/>
      <c r="I2102" s="31"/>
      <c r="J2102" s="31"/>
      <c r="K2102" s="31"/>
    </row>
    <row r="2103" spans="1:11" ht="14.4" x14ac:dyDescent="0.3">
      <c r="A2103" s="28" t="str">
        <f>B2103&amp;C2103&amp;D2103&amp;E2103</f>
        <v>KitoblarBadiiy adabiyotNasrKlassik nasrlar</v>
      </c>
      <c r="B2103" s="35" t="s">
        <v>3172</v>
      </c>
      <c r="C2103" s="35" t="s">
        <v>4436</v>
      </c>
      <c r="D2103" s="35" t="s">
        <v>5354</v>
      </c>
      <c r="E2103" s="35" t="s">
        <v>5405</v>
      </c>
      <c r="F2103" s="36">
        <v>0.2</v>
      </c>
      <c r="G2103" s="31"/>
      <c r="H2103" s="31"/>
      <c r="I2103" s="31"/>
      <c r="J2103" s="31"/>
      <c r="K2103" s="31"/>
    </row>
    <row r="2104" spans="1:11" ht="14.4" x14ac:dyDescent="0.3">
      <c r="A2104" s="28" t="str">
        <f>B2104&amp;C2104&amp;D2104&amp;E2104</f>
        <v>KitoblarNobadiiy adabiyotPublitsistikaMemuarlar. Avtobiografiyalar</v>
      </c>
      <c r="B2104" s="35" t="s">
        <v>3172</v>
      </c>
      <c r="C2104" s="35" t="s">
        <v>4439</v>
      </c>
      <c r="D2104" s="35" t="s">
        <v>4444</v>
      </c>
      <c r="E2104" s="35" t="s">
        <v>5406</v>
      </c>
      <c r="F2104" s="36">
        <v>0.2</v>
      </c>
      <c r="G2104" s="31"/>
      <c r="H2104" s="31"/>
      <c r="I2104" s="31"/>
      <c r="J2104" s="31"/>
      <c r="K2104" s="31"/>
    </row>
    <row r="2105" spans="1:11" ht="14.4" x14ac:dyDescent="0.3">
      <c r="A2105" s="28" t="str">
        <f>B2105&amp;C2105&amp;D2105&amp;E2105</f>
        <v>KitoblarNobadiiy adabiyotTarixJahon tarixi</v>
      </c>
      <c r="B2105" s="35" t="s">
        <v>3172</v>
      </c>
      <c r="C2105" s="35" t="s">
        <v>4439</v>
      </c>
      <c r="D2105" s="35" t="s">
        <v>4458</v>
      </c>
      <c r="E2105" s="35" t="s">
        <v>5407</v>
      </c>
      <c r="F2105" s="36">
        <v>0.2</v>
      </c>
      <c r="G2105" s="31"/>
      <c r="H2105" s="31"/>
      <c r="I2105" s="31"/>
      <c r="J2105" s="31"/>
      <c r="K2105" s="31"/>
    </row>
    <row r="2106" spans="1:11" ht="14.4" x14ac:dyDescent="0.3">
      <c r="A2106" s="28" t="str">
        <f>B2106&amp;C2106&amp;D2106&amp;E2106</f>
        <v>KitoblarBadiiy adabiyotYoshlar va o'smirlar adabiyotiYoshlar va o'smirlar adabiyoti</v>
      </c>
      <c r="B2106" s="35" t="s">
        <v>3172</v>
      </c>
      <c r="C2106" s="35" t="s">
        <v>4436</v>
      </c>
      <c r="D2106" s="35" t="s">
        <v>5408</v>
      </c>
      <c r="E2106" s="35" t="s">
        <v>5408</v>
      </c>
      <c r="F2106" s="36">
        <v>0.2</v>
      </c>
      <c r="G2106" s="31"/>
      <c r="H2106" s="31"/>
      <c r="I2106" s="31"/>
      <c r="J2106" s="31"/>
      <c r="K2106" s="31"/>
    </row>
    <row r="2107" spans="1:11" ht="14.4" x14ac:dyDescent="0.3">
      <c r="A2107" s="28" t="str">
        <f>B2107&amp;C2107&amp;D2107&amp;E2107</f>
        <v>KitoblarBolalarga va ota-onalargaBadiiy adabiyotShe'rlar</v>
      </c>
      <c r="B2107" s="35" t="s">
        <v>3172</v>
      </c>
      <c r="C2107" s="35" t="s">
        <v>4446</v>
      </c>
      <c r="D2107" s="35" t="s">
        <v>4436</v>
      </c>
      <c r="E2107" s="35" t="s">
        <v>5409</v>
      </c>
      <c r="F2107" s="36">
        <v>0.2</v>
      </c>
      <c r="G2107" s="31"/>
      <c r="H2107" s="31"/>
      <c r="I2107" s="31"/>
      <c r="J2107" s="31"/>
      <c r="K2107" s="31"/>
    </row>
    <row r="2108" spans="1:11" ht="14.4" x14ac:dyDescent="0.3">
      <c r="A2108" s="28" t="str">
        <f>B2108&amp;C2108&amp;D2108&amp;E2108</f>
        <v>KitoblarBolalarga va ota-onalargaBadiiy adabiyotErtaklar, folklor va afsonalar</v>
      </c>
      <c r="B2108" s="35" t="s">
        <v>3172</v>
      </c>
      <c r="C2108" s="35" t="s">
        <v>4446</v>
      </c>
      <c r="D2108" s="35" t="s">
        <v>4436</v>
      </c>
      <c r="E2108" s="35" t="s">
        <v>5410</v>
      </c>
      <c r="F2108" s="36">
        <v>0.2</v>
      </c>
      <c r="G2108" s="31"/>
      <c r="H2108" s="31"/>
      <c r="I2108" s="31"/>
      <c r="J2108" s="31"/>
      <c r="K2108" s="31"/>
    </row>
    <row r="2109" spans="1:11" ht="14.4" x14ac:dyDescent="0.3">
      <c r="A2109" s="28" t="str">
        <f>B2109&amp;C2109&amp;D2109&amp;E2109</f>
        <v>KitoblarDiniy kitoblarIslоmQur'on</v>
      </c>
      <c r="B2109" s="35" t="s">
        <v>3172</v>
      </c>
      <c r="C2109" s="35" t="s">
        <v>5327</v>
      </c>
      <c r="D2109" s="35" t="s">
        <v>5328</v>
      </c>
      <c r="E2109" s="35" t="s">
        <v>5411</v>
      </c>
      <c r="F2109" s="36">
        <v>0.2</v>
      </c>
      <c r="G2109" s="31"/>
      <c r="H2109" s="31"/>
      <c r="I2109" s="31"/>
      <c r="J2109" s="31"/>
      <c r="K2109" s="31"/>
    </row>
    <row r="2110" spans="1:11" ht="14.4" x14ac:dyDescent="0.3">
      <c r="A2110" s="28" t="str">
        <f>B2110&amp;C2110&amp;D2110&amp;E2110</f>
        <v>KitoblarNobadiiy adabiyotKompyuter texnologiyalariKompyuter tarmoqlari</v>
      </c>
      <c r="B2110" s="35" t="s">
        <v>3172</v>
      </c>
      <c r="C2110" s="35" t="s">
        <v>4439</v>
      </c>
      <c r="D2110" s="35" t="s">
        <v>4447</v>
      </c>
      <c r="E2110" s="35" t="s">
        <v>5412</v>
      </c>
      <c r="F2110" s="36">
        <v>0.2</v>
      </c>
      <c r="G2110" s="31"/>
      <c r="H2110" s="31"/>
      <c r="I2110" s="31"/>
      <c r="J2110" s="31"/>
      <c r="K2110" s="31"/>
    </row>
    <row r="2111" spans="1:11" ht="14.4" x14ac:dyDescent="0.3">
      <c r="A2111" s="28" t="str">
        <f>B2111&amp;C2111&amp;D2111&amp;E2111</f>
        <v>KitoblarNobadiiy adabiyotTibbiyotOmmabop tibbiyot</v>
      </c>
      <c r="B2111" s="35" t="s">
        <v>3172</v>
      </c>
      <c r="C2111" s="35" t="s">
        <v>4439</v>
      </c>
      <c r="D2111" s="35" t="s">
        <v>5344</v>
      </c>
      <c r="E2111" s="35" t="s">
        <v>5413</v>
      </c>
      <c r="F2111" s="36">
        <v>0.2</v>
      </c>
      <c r="G2111" s="31"/>
      <c r="H2111" s="31"/>
      <c r="I2111" s="31"/>
      <c r="J2111" s="31"/>
      <c r="K2111" s="31"/>
    </row>
    <row r="2112" spans="1:11" ht="14.4" x14ac:dyDescent="0.3">
      <c r="A2112" s="28" t="str">
        <f>B2112&amp;C2112&amp;D2112&amp;E2112</f>
        <v>KitoblarNobadiiy adabiyotOʻz-oʻzini rivojlantirishMiya rivojlanishi</v>
      </c>
      <c r="B2112" s="35" t="s">
        <v>3172</v>
      </c>
      <c r="C2112" s="35" t="s">
        <v>4439</v>
      </c>
      <c r="D2112" s="35" t="s">
        <v>5314</v>
      </c>
      <c r="E2112" s="35" t="s">
        <v>5414</v>
      </c>
      <c r="F2112" s="36">
        <v>0.2</v>
      </c>
      <c r="G2112" s="31"/>
      <c r="H2112" s="31"/>
      <c r="I2112" s="31"/>
      <c r="J2112" s="31"/>
      <c r="K2112" s="31"/>
    </row>
    <row r="2113" spans="1:11" ht="14.4" x14ac:dyDescent="0.3">
      <c r="A2113" s="28" t="str">
        <f>B2113&amp;C2113&amp;D2113&amp;E2113</f>
        <v>KitoblarNobadiiy adabiyotIlmiy adabiyotlarIlmiy psixologiya</v>
      </c>
      <c r="B2113" s="35" t="s">
        <v>3172</v>
      </c>
      <c r="C2113" s="35" t="s">
        <v>4439</v>
      </c>
      <c r="D2113" s="35" t="s">
        <v>4451</v>
      </c>
      <c r="E2113" s="35" t="s">
        <v>5415</v>
      </c>
      <c r="F2113" s="36">
        <v>0.2</v>
      </c>
      <c r="G2113" s="31"/>
      <c r="H2113" s="31"/>
      <c r="I2113" s="31"/>
      <c r="J2113" s="31"/>
      <c r="K2113" s="31"/>
    </row>
    <row r="2114" spans="1:11" ht="14.4" x14ac:dyDescent="0.3">
      <c r="A2114" s="28" t="str">
        <f>B2114&amp;C2114&amp;D2114&amp;E2114</f>
        <v>KitoblarBolalarga va ota-onalargaBadiiy adabiyotSarguzashtlar</v>
      </c>
      <c r="B2114" s="35" t="s">
        <v>3172</v>
      </c>
      <c r="C2114" s="35" t="s">
        <v>4446</v>
      </c>
      <c r="D2114" s="35" t="s">
        <v>4436</v>
      </c>
      <c r="E2114" s="35" t="s">
        <v>5396</v>
      </c>
      <c r="F2114" s="36">
        <v>0.2</v>
      </c>
      <c r="G2114" s="31"/>
      <c r="H2114" s="31"/>
      <c r="I2114" s="31"/>
      <c r="J2114" s="31"/>
      <c r="K2114" s="31"/>
    </row>
    <row r="2115" spans="1:11" ht="14.4" x14ac:dyDescent="0.3">
      <c r="A2115" s="28" t="str">
        <f>B2115&amp;C2115&amp;D2115&amp;E2115</f>
        <v>KitoblarBadiiy adabiyotNasrXX-asr nasri</v>
      </c>
      <c r="B2115" s="35" t="s">
        <v>3172</v>
      </c>
      <c r="C2115" s="35" t="s">
        <v>4436</v>
      </c>
      <c r="D2115" s="35" t="s">
        <v>5354</v>
      </c>
      <c r="E2115" s="35" t="s">
        <v>5416</v>
      </c>
      <c r="F2115" s="36">
        <v>0.2</v>
      </c>
      <c r="G2115" s="31"/>
      <c r="H2115" s="31"/>
      <c r="I2115" s="31"/>
      <c r="J2115" s="31"/>
      <c r="K2115" s="31"/>
    </row>
    <row r="2116" spans="1:11" ht="14.4" x14ac:dyDescent="0.3">
      <c r="A2116" s="28" t="str">
        <f>B2116&amp;C2116&amp;D2116&amp;E2116</f>
        <v>KitoblarJurnallar, gazetalarJurnallar, gazetalarJurnallar, gazetalar</v>
      </c>
      <c r="B2116" s="35" t="s">
        <v>3172</v>
      </c>
      <c r="C2116" s="35" t="s">
        <v>5417</v>
      </c>
      <c r="D2116" s="35" t="s">
        <v>5417</v>
      </c>
      <c r="E2116" s="35" t="s">
        <v>5417</v>
      </c>
      <c r="F2116" s="36">
        <v>0.2</v>
      </c>
      <c r="G2116" s="31"/>
      <c r="H2116" s="31"/>
      <c r="I2116" s="31"/>
      <c r="J2116" s="31"/>
      <c r="K2116" s="31"/>
    </row>
    <row r="2117" spans="1:11" ht="14.4" x14ac:dyDescent="0.3">
      <c r="A2117" s="28" t="str">
        <f>B2117&amp;C2117&amp;D2117&amp;E2117</f>
        <v>KitoblarNobadiiy adabiyotAforizmlar, iqtiboslar, maqollarAforizmlar, iqtiboslar, maqollar</v>
      </c>
      <c r="B2117" s="35" t="s">
        <v>3172</v>
      </c>
      <c r="C2117" s="35" t="s">
        <v>4439</v>
      </c>
      <c r="D2117" s="35" t="s">
        <v>5418</v>
      </c>
      <c r="E2117" s="35" t="s">
        <v>5418</v>
      </c>
      <c r="F2117" s="36">
        <v>0.2</v>
      </c>
      <c r="G2117" s="31"/>
      <c r="H2117" s="31"/>
      <c r="I2117" s="31"/>
      <c r="J2117" s="31"/>
      <c r="K2117" s="31"/>
    </row>
    <row r="2118" spans="1:11" ht="14.4" x14ac:dyDescent="0.3">
      <c r="A2118" s="28" t="str">
        <f>B2118&amp;C2118&amp;D2118&amp;E2118</f>
        <v>KitoblarNobadiiy adabiyotPublitsistikaSurishtiruv jurnalistikasi</v>
      </c>
      <c r="B2118" s="35" t="s">
        <v>3172</v>
      </c>
      <c r="C2118" s="35" t="s">
        <v>4439</v>
      </c>
      <c r="D2118" s="35" t="s">
        <v>4444</v>
      </c>
      <c r="E2118" s="35" t="s">
        <v>5419</v>
      </c>
      <c r="F2118" s="36">
        <v>0.2</v>
      </c>
      <c r="G2118" s="31"/>
      <c r="H2118" s="31"/>
      <c r="I2118" s="31"/>
      <c r="J2118" s="31"/>
      <c r="K2118" s="31"/>
    </row>
    <row r="2119" spans="1:11" ht="14.4" x14ac:dyDescent="0.3">
      <c r="A2119" s="28" t="str">
        <f>B2119&amp;C2119&amp;D2119&amp;E2119</f>
        <v>KitoblarOʻquv adabiyotiYakuniy test va YNIYakuniy test va YNI</v>
      </c>
      <c r="B2119" s="35" t="s">
        <v>3172</v>
      </c>
      <c r="C2119" s="35" t="s">
        <v>5322</v>
      </c>
      <c r="D2119" s="35" t="s">
        <v>5420</v>
      </c>
      <c r="E2119" s="35" t="s">
        <v>5420</v>
      </c>
      <c r="F2119" s="36">
        <v>0.2</v>
      </c>
      <c r="G2119" s="31"/>
      <c r="H2119" s="31"/>
      <c r="I2119" s="31"/>
      <c r="J2119" s="31"/>
      <c r="K2119" s="31"/>
    </row>
    <row r="2120" spans="1:11" ht="14.4" x14ac:dyDescent="0.3">
      <c r="A2120" s="28" t="str">
        <f>B2120&amp;C2120&amp;D2120&amp;E2120</f>
        <v>KitoblarBolalarga va ota-onalargaKomikslarKomikslar</v>
      </c>
      <c r="B2120" s="35" t="s">
        <v>3172</v>
      </c>
      <c r="C2120" s="35" t="s">
        <v>4446</v>
      </c>
      <c r="D2120" s="35" t="s">
        <v>5371</v>
      </c>
      <c r="E2120" s="35" t="s">
        <v>5371</v>
      </c>
      <c r="F2120" s="36">
        <v>0.2</v>
      </c>
      <c r="G2120" s="31"/>
      <c r="H2120" s="31"/>
      <c r="I2120" s="31"/>
      <c r="J2120" s="31"/>
      <c r="K2120" s="31"/>
    </row>
    <row r="2121" spans="1:11" ht="14.4" x14ac:dyDescent="0.3">
      <c r="A2121" s="28" t="str">
        <f>B2121&amp;C2121&amp;D2121&amp;E2121</f>
        <v>KitoblarNobadiiy adabiyotUy va xobbiKrossvordlar. Skanvordlar. Boshqotirmalar. O'yinlar</v>
      </c>
      <c r="B2121" s="35" t="s">
        <v>3172</v>
      </c>
      <c r="C2121" s="35" t="s">
        <v>4439</v>
      </c>
      <c r="D2121" s="35" t="s">
        <v>5421</v>
      </c>
      <c r="E2121" s="35" t="s">
        <v>5422</v>
      </c>
      <c r="F2121" s="36">
        <v>0.2</v>
      </c>
      <c r="G2121" s="31"/>
      <c r="H2121" s="31"/>
      <c r="I2121" s="31"/>
      <c r="J2121" s="31"/>
      <c r="K2121" s="31"/>
    </row>
    <row r="2122" spans="1:11" ht="14.4" x14ac:dyDescent="0.3">
      <c r="A2122" s="28" t="str">
        <f>B2122&amp;C2122&amp;D2122&amp;E2122</f>
        <v>KitoblarNobadiiy adabiyotPsixologiyaPsixosomatika</v>
      </c>
      <c r="B2122" s="35" t="s">
        <v>3172</v>
      </c>
      <c r="C2122" s="35" t="s">
        <v>4439</v>
      </c>
      <c r="D2122" s="35" t="s">
        <v>5330</v>
      </c>
      <c r="E2122" s="35" t="s">
        <v>5423</v>
      </c>
      <c r="F2122" s="36">
        <v>0.2</v>
      </c>
      <c r="G2122" s="31"/>
      <c r="H2122" s="31"/>
      <c r="I2122" s="31"/>
      <c r="J2122" s="31"/>
      <c r="K2122" s="31"/>
    </row>
    <row r="2123" spans="1:11" ht="14.4" x14ac:dyDescent="0.3">
      <c r="A2123" s="28" t="str">
        <f>B2123&amp;C2123&amp;D2123&amp;E2123</f>
        <v>KitoblarOʻquv adabiyoti5-sinf5-sinf</v>
      </c>
      <c r="B2123" s="35" t="s">
        <v>3172</v>
      </c>
      <c r="C2123" s="35" t="s">
        <v>5322</v>
      </c>
      <c r="D2123" s="35" t="s">
        <v>5424</v>
      </c>
      <c r="E2123" s="35" t="s">
        <v>5424</v>
      </c>
      <c r="F2123" s="36">
        <v>0.2</v>
      </c>
      <c r="G2123" s="31"/>
      <c r="H2123" s="31"/>
      <c r="I2123" s="31"/>
      <c r="J2123" s="31"/>
      <c r="K2123" s="31"/>
    </row>
    <row r="2124" spans="1:11" ht="14.4" x14ac:dyDescent="0.3">
      <c r="A2124" s="28" t="str">
        <f>B2124&amp;C2124&amp;D2124&amp;E2124</f>
        <v>KitoblarOʻquv adabiyoti3-sinf3-sinf</v>
      </c>
      <c r="B2124" s="35" t="s">
        <v>3172</v>
      </c>
      <c r="C2124" s="35" t="s">
        <v>5322</v>
      </c>
      <c r="D2124" s="35" t="s">
        <v>5425</v>
      </c>
      <c r="E2124" s="35" t="s">
        <v>5425</v>
      </c>
      <c r="F2124" s="36">
        <v>0.2</v>
      </c>
      <c r="G2124" s="31"/>
      <c r="H2124" s="31"/>
      <c r="I2124" s="31"/>
      <c r="J2124" s="31"/>
      <c r="K2124" s="31"/>
    </row>
    <row r="2125" spans="1:11" ht="14.4" x14ac:dyDescent="0.3">
      <c r="A2125" s="28" t="str">
        <f>B2125&amp;C2125&amp;D2125&amp;E2125</f>
        <v>KitoblarNobadiiy adabiyotPazandachilik kitoblariPazandachilik kitoblari</v>
      </c>
      <c r="B2125" s="35" t="s">
        <v>3172</v>
      </c>
      <c r="C2125" s="35" t="s">
        <v>4439</v>
      </c>
      <c r="D2125" s="35" t="s">
        <v>5426</v>
      </c>
      <c r="E2125" s="35" t="s">
        <v>5426</v>
      </c>
      <c r="F2125" s="36">
        <v>0.2</v>
      </c>
      <c r="G2125" s="31"/>
      <c r="H2125" s="31"/>
      <c r="I2125" s="31"/>
      <c r="J2125" s="31"/>
      <c r="K2125" s="31"/>
    </row>
    <row r="2126" spans="1:11" ht="14.4" x14ac:dyDescent="0.3">
      <c r="A2126" s="28" t="str">
        <f>B2126&amp;C2126&amp;D2126&amp;E2126</f>
        <v>KitoblarBolalarga va ota-onalargaBolalarning rivojlanishiO'z-o'zini rivojlantirish</v>
      </c>
      <c r="B2126" s="35" t="s">
        <v>3172</v>
      </c>
      <c r="C2126" s="35" t="s">
        <v>4446</v>
      </c>
      <c r="D2126" s="35" t="s">
        <v>5333</v>
      </c>
      <c r="E2126" s="35" t="s">
        <v>5427</v>
      </c>
      <c r="F2126" s="36">
        <v>0.2</v>
      </c>
      <c r="G2126" s="31"/>
      <c r="H2126" s="31"/>
      <c r="I2126" s="31"/>
      <c r="J2126" s="31"/>
      <c r="K2126" s="31"/>
    </row>
    <row r="2127" spans="1:11" ht="14.4" x14ac:dyDescent="0.3">
      <c r="A2127" s="28" t="str">
        <f>B2127&amp;C2127&amp;D2127&amp;E2127</f>
        <v>KitoblarOʻquv adabiyoti4-sinf4-sinf</v>
      </c>
      <c r="B2127" s="35" t="s">
        <v>3172</v>
      </c>
      <c r="C2127" s="35" t="s">
        <v>5322</v>
      </c>
      <c r="D2127" s="35" t="s">
        <v>5428</v>
      </c>
      <c r="E2127" s="35" t="s">
        <v>5428</v>
      </c>
      <c r="F2127" s="36">
        <v>0.2</v>
      </c>
      <c r="G2127" s="31"/>
      <c r="H2127" s="31"/>
      <c r="I2127" s="31"/>
      <c r="J2127" s="31"/>
      <c r="K2127" s="31"/>
    </row>
    <row r="2128" spans="1:11" ht="14.4" x14ac:dyDescent="0.3">
      <c r="A2128" s="28" t="str">
        <f>B2128&amp;C2128&amp;D2128&amp;E2128</f>
        <v>KitoblarBolalarga va ota-onalargaBolalarning rivojlanishiO'qishni o'rganamiz</v>
      </c>
      <c r="B2128" s="35" t="s">
        <v>3172</v>
      </c>
      <c r="C2128" s="35" t="s">
        <v>4446</v>
      </c>
      <c r="D2128" s="35" t="s">
        <v>5333</v>
      </c>
      <c r="E2128" s="35" t="s">
        <v>5429</v>
      </c>
      <c r="F2128" s="36">
        <v>0.2</v>
      </c>
      <c r="G2128" s="31"/>
      <c r="H2128" s="31"/>
      <c r="I2128" s="31"/>
      <c r="J2128" s="31"/>
      <c r="K2128" s="31"/>
    </row>
    <row r="2129" spans="1:11" ht="14.4" x14ac:dyDescent="0.3">
      <c r="A2129" s="28" t="str">
        <f>B2129&amp;C2129&amp;D2129&amp;E2129</f>
        <v>KitoblarChet tillaridagi adabiyotlarBoshqa tillarBoshqa tillar</v>
      </c>
      <c r="B2129" s="35" t="s">
        <v>3172</v>
      </c>
      <c r="C2129" s="35" t="s">
        <v>4455</v>
      </c>
      <c r="D2129" s="35" t="s">
        <v>5430</v>
      </c>
      <c r="E2129" s="35" t="s">
        <v>5430</v>
      </c>
      <c r="F2129" s="36">
        <v>0.2</v>
      </c>
      <c r="G2129" s="31"/>
      <c r="H2129" s="31"/>
      <c r="I2129" s="31"/>
      <c r="J2129" s="31"/>
      <c r="K2129" s="31"/>
    </row>
    <row r="2130" spans="1:11" ht="14.4" x14ac:dyDescent="0.3">
      <c r="A2130" s="28" t="str">
        <f>B2130&amp;C2130&amp;D2130&amp;E2130</f>
        <v>KitoblarNobadiiy adabiyotGoʻzallik, salomatlik va sportDietalar</v>
      </c>
      <c r="B2130" s="35" t="s">
        <v>3172</v>
      </c>
      <c r="C2130" s="35" t="s">
        <v>4439</v>
      </c>
      <c r="D2130" s="35" t="s">
        <v>4472</v>
      </c>
      <c r="E2130" s="35" t="s">
        <v>5431</v>
      </c>
      <c r="F2130" s="36">
        <v>0.2</v>
      </c>
      <c r="G2130" s="31"/>
      <c r="H2130" s="31"/>
      <c r="I2130" s="31"/>
      <c r="J2130" s="31"/>
      <c r="K2130" s="31"/>
    </row>
    <row r="2131" spans="1:11" ht="14.4" x14ac:dyDescent="0.3">
      <c r="A2131" s="28" t="str">
        <f>B2131&amp;C2131&amp;D2131&amp;E2131</f>
        <v>KitoblarBolalarga va ota-onalargaOʻrgatuvchi adabiyotlarFan, texnika va koinot</v>
      </c>
      <c r="B2131" s="35" t="s">
        <v>3172</v>
      </c>
      <c r="C2131" s="35" t="s">
        <v>4446</v>
      </c>
      <c r="D2131" s="35" t="s">
        <v>4453</v>
      </c>
      <c r="E2131" s="35" t="s">
        <v>5432</v>
      </c>
      <c r="F2131" s="36">
        <v>0.2</v>
      </c>
      <c r="G2131" s="31"/>
      <c r="H2131" s="31"/>
      <c r="I2131" s="31"/>
      <c r="J2131" s="31"/>
      <c r="K2131" s="31"/>
    </row>
    <row r="2132" spans="1:11" ht="14.4" x14ac:dyDescent="0.3">
      <c r="A2132" s="28" t="str">
        <f>B2132&amp;C2132&amp;D2132&amp;E2132</f>
        <v>KitoblarNobadiiy adabiyotPsixologiyaSevgi va munosabatlar</v>
      </c>
      <c r="B2132" s="35" t="s">
        <v>3172</v>
      </c>
      <c r="C2132" s="35" t="s">
        <v>4439</v>
      </c>
      <c r="D2132" s="35" t="s">
        <v>5330</v>
      </c>
      <c r="E2132" s="35" t="s">
        <v>5433</v>
      </c>
      <c r="F2132" s="36">
        <v>0.2</v>
      </c>
      <c r="G2132" s="31"/>
      <c r="H2132" s="31"/>
      <c r="I2132" s="31"/>
      <c r="J2132" s="31"/>
      <c r="K2132" s="31"/>
    </row>
    <row r="2133" spans="1:11" ht="14.4" x14ac:dyDescent="0.3">
      <c r="A2133" s="28" t="str">
        <f>B2133&amp;C2133&amp;D2133&amp;E2133</f>
        <v>KitoblarNobadiiy adabiyotTibbiyotPsixiatriya. Psixoterapiya</v>
      </c>
      <c r="B2133" s="35" t="s">
        <v>3172</v>
      </c>
      <c r="C2133" s="35" t="s">
        <v>4439</v>
      </c>
      <c r="D2133" s="35" t="s">
        <v>5344</v>
      </c>
      <c r="E2133" s="35" t="s">
        <v>5434</v>
      </c>
      <c r="F2133" s="36">
        <v>0.2</v>
      </c>
      <c r="G2133" s="31"/>
      <c r="H2133" s="31"/>
      <c r="I2133" s="31"/>
      <c r="J2133" s="31"/>
      <c r="K2133" s="31"/>
    </row>
    <row r="2134" spans="1:11" ht="14.4" x14ac:dyDescent="0.3">
      <c r="A2134" s="28" t="str">
        <f>B2134&amp;C2134&amp;D2134&amp;E2134</f>
        <v>KitoblarDiniy kitoblarIslоmAqida</v>
      </c>
      <c r="B2134" s="35" t="s">
        <v>3172</v>
      </c>
      <c r="C2134" s="35" t="s">
        <v>5327</v>
      </c>
      <c r="D2134" s="35" t="s">
        <v>5328</v>
      </c>
      <c r="E2134" s="35" t="s">
        <v>5435</v>
      </c>
      <c r="F2134" s="36">
        <v>0.2</v>
      </c>
      <c r="G2134" s="31"/>
      <c r="H2134" s="31"/>
      <c r="I2134" s="31"/>
      <c r="J2134" s="31"/>
      <c r="K2134" s="31"/>
    </row>
    <row r="2135" spans="1:11" ht="14.4" x14ac:dyDescent="0.3">
      <c r="A2135" s="28" t="str">
        <f>B2135&amp;C2135&amp;D2135&amp;E2135</f>
        <v>KitoblarNobadiiy adabiyotPublitsistikaSiyosat</v>
      </c>
      <c r="B2135" s="35" t="s">
        <v>3172</v>
      </c>
      <c r="C2135" s="35" t="s">
        <v>4439</v>
      </c>
      <c r="D2135" s="35" t="s">
        <v>4444</v>
      </c>
      <c r="E2135" s="35" t="s">
        <v>5436</v>
      </c>
      <c r="F2135" s="36">
        <v>0.2</v>
      </c>
      <c r="G2135" s="31"/>
      <c r="H2135" s="31"/>
      <c r="I2135" s="31"/>
      <c r="J2135" s="31"/>
      <c r="K2135" s="31"/>
    </row>
    <row r="2136" spans="1:11" ht="14.4" x14ac:dyDescent="0.3">
      <c r="A2136" s="28" t="str">
        <f>B2136&amp;C2136&amp;D2136&amp;E2136</f>
        <v>KitoblarNobadiiy adabiyotOʻz-oʻzini rivojlantirishEtakchilik, muzokaralar va ommaviy nutq</v>
      </c>
      <c r="B2136" s="35" t="s">
        <v>3172</v>
      </c>
      <c r="C2136" s="35" t="s">
        <v>4439</v>
      </c>
      <c r="D2136" s="35" t="s">
        <v>5314</v>
      </c>
      <c r="E2136" s="35" t="s">
        <v>5437</v>
      </c>
      <c r="F2136" s="36">
        <v>0.2</v>
      </c>
      <c r="G2136" s="31"/>
      <c r="H2136" s="31"/>
      <c r="I2136" s="31"/>
      <c r="J2136" s="31"/>
      <c r="K2136" s="31"/>
    </row>
    <row r="2137" spans="1:11" ht="14.4" x14ac:dyDescent="0.3">
      <c r="A2137" s="28" t="str">
        <f>B2137&amp;C2137&amp;D2137&amp;E2137</f>
        <v>KitoblarDiniy kitoblarIslоmXadis</v>
      </c>
      <c r="B2137" s="35" t="s">
        <v>3172</v>
      </c>
      <c r="C2137" s="35" t="s">
        <v>5327</v>
      </c>
      <c r="D2137" s="35" t="s">
        <v>5328</v>
      </c>
      <c r="E2137" s="35" t="s">
        <v>5438</v>
      </c>
      <c r="F2137" s="36">
        <v>0.2</v>
      </c>
      <c r="G2137" s="31"/>
      <c r="H2137" s="31"/>
      <c r="I2137" s="31"/>
      <c r="J2137" s="31"/>
      <c r="K2137" s="31"/>
    </row>
    <row r="2138" spans="1:11" ht="14.4" x14ac:dyDescent="0.3">
      <c r="A2138" s="28" t="str">
        <f>B2138&amp;C2138&amp;D2138&amp;E2138</f>
        <v>KitoblarBadiiy adabiyotFantastikaFantastika</v>
      </c>
      <c r="B2138" s="35" t="s">
        <v>3172</v>
      </c>
      <c r="C2138" s="35" t="s">
        <v>4436</v>
      </c>
      <c r="D2138" s="35" t="s">
        <v>5439</v>
      </c>
      <c r="E2138" s="35" t="s">
        <v>5439</v>
      </c>
      <c r="F2138" s="36">
        <v>0.2</v>
      </c>
      <c r="G2138" s="31"/>
      <c r="H2138" s="31"/>
      <c r="I2138" s="31"/>
      <c r="J2138" s="31"/>
      <c r="K2138" s="31"/>
    </row>
    <row r="2139" spans="1:11" ht="14.4" x14ac:dyDescent="0.3">
      <c r="A2139" s="28" t="str">
        <f>B2139&amp;C2139&amp;D2139&amp;E2139</f>
        <v>KitoblarBolalarga va ota-onalargaBolalarning rivojlanishiUmumiy qobiliyatlarni rivojlantirish</v>
      </c>
      <c r="B2139" s="35" t="s">
        <v>3172</v>
      </c>
      <c r="C2139" s="35" t="s">
        <v>4446</v>
      </c>
      <c r="D2139" s="35" t="s">
        <v>5333</v>
      </c>
      <c r="E2139" s="35" t="s">
        <v>5440</v>
      </c>
      <c r="F2139" s="36">
        <v>0.2</v>
      </c>
      <c r="G2139" s="31"/>
      <c r="H2139" s="31"/>
      <c r="I2139" s="31"/>
      <c r="J2139" s="31"/>
      <c r="K2139" s="31"/>
    </row>
    <row r="2140" spans="1:11" ht="14.4" x14ac:dyDescent="0.3">
      <c r="A2140" s="28" t="str">
        <f>B2140&amp;C2140&amp;D2140&amp;E2140</f>
        <v>KitoblarBolalarga va ota-onalargaBadiiy adabiyotKlassika</v>
      </c>
      <c r="B2140" s="35" t="s">
        <v>3172</v>
      </c>
      <c r="C2140" s="35" t="s">
        <v>4446</v>
      </c>
      <c r="D2140" s="35" t="s">
        <v>4436</v>
      </c>
      <c r="E2140" s="35" t="s">
        <v>5441</v>
      </c>
      <c r="F2140" s="36">
        <v>0.2</v>
      </c>
      <c r="G2140" s="31"/>
      <c r="H2140" s="31"/>
      <c r="I2140" s="31"/>
      <c r="J2140" s="31"/>
      <c r="K2140" s="31"/>
    </row>
    <row r="2141" spans="1:11" ht="14.4" x14ac:dyDescent="0.3">
      <c r="A2141" s="28" t="str">
        <f>B2141&amp;C2141&amp;D2141&amp;E2141</f>
        <v>KitoblarBolalarga va ota-onalargaOʻrgatuvchi adabiyotlarHayvonlar va o'simliklar</v>
      </c>
      <c r="B2141" s="35" t="s">
        <v>3172</v>
      </c>
      <c r="C2141" s="35" t="s">
        <v>4446</v>
      </c>
      <c r="D2141" s="35" t="s">
        <v>4453</v>
      </c>
      <c r="E2141" s="35" t="s">
        <v>5442</v>
      </c>
      <c r="F2141" s="36">
        <v>0.2</v>
      </c>
      <c r="G2141" s="31"/>
      <c r="H2141" s="31"/>
      <c r="I2141" s="31"/>
      <c r="J2141" s="31"/>
      <c r="K2141" s="31"/>
    </row>
    <row r="2142" spans="1:11" ht="14.4" x14ac:dyDescent="0.3">
      <c r="A2142" s="28" t="str">
        <f>B2142&amp;C2142&amp;D2142&amp;E2142</f>
        <v>KitoblarBolalarga va ota-onalargaBolalarning rivojlanishiHisoblashni o'rganamiz</v>
      </c>
      <c r="B2142" s="35" t="s">
        <v>3172</v>
      </c>
      <c r="C2142" s="35" t="s">
        <v>4446</v>
      </c>
      <c r="D2142" s="35" t="s">
        <v>5333</v>
      </c>
      <c r="E2142" s="35" t="s">
        <v>5443</v>
      </c>
      <c r="F2142" s="36">
        <v>0.2</v>
      </c>
      <c r="G2142" s="31"/>
      <c r="H2142" s="31"/>
      <c r="I2142" s="31"/>
      <c r="J2142" s="31"/>
      <c r="K2142" s="31"/>
    </row>
    <row r="2143" spans="1:11" ht="14.4" x14ac:dyDescent="0.3">
      <c r="A2143" s="28" t="str">
        <f>B2143&amp;C2143&amp;D2143&amp;E2143</f>
        <v>KitoblarNobadiiy adabiyotTibbiyotTibbiyot tarixi va sog'liqni saqlash tashkiloti</v>
      </c>
      <c r="B2143" s="35" t="s">
        <v>3172</v>
      </c>
      <c r="C2143" s="35" t="s">
        <v>4439</v>
      </c>
      <c r="D2143" s="35" t="s">
        <v>5344</v>
      </c>
      <c r="E2143" s="35" t="s">
        <v>5444</v>
      </c>
      <c r="F2143" s="36">
        <v>0.2</v>
      </c>
      <c r="G2143" s="31"/>
      <c r="H2143" s="31"/>
      <c r="I2143" s="31"/>
      <c r="J2143" s="31"/>
      <c r="K2143" s="31"/>
    </row>
    <row r="2144" spans="1:11" ht="14.4" x14ac:dyDescent="0.3">
      <c r="A2144" s="28" t="str">
        <f>B2144&amp;C2144&amp;D2144&amp;E2144</f>
        <v>KitoblarNobadiiy adabiyotSanʼat va madaniyatArtbuklar</v>
      </c>
      <c r="B2144" s="35" t="s">
        <v>3172</v>
      </c>
      <c r="C2144" s="35" t="s">
        <v>4439</v>
      </c>
      <c r="D2144" s="35" t="s">
        <v>5388</v>
      </c>
      <c r="E2144" s="35" t="s">
        <v>5445</v>
      </c>
      <c r="F2144" s="36">
        <v>0.2</v>
      </c>
      <c r="G2144" s="31"/>
      <c r="H2144" s="31"/>
      <c r="I2144" s="31"/>
      <c r="J2144" s="31"/>
      <c r="K2144" s="31"/>
    </row>
    <row r="2145" spans="1:11" ht="14.4" x14ac:dyDescent="0.3">
      <c r="A2145" s="28" t="str">
        <f>B2145&amp;C2145&amp;D2145&amp;E2145</f>
        <v>KitoblarOʻquv adabiyotiTaʼlim dasturlariTaʼlim dasturlari</v>
      </c>
      <c r="B2145" s="35" t="s">
        <v>3172</v>
      </c>
      <c r="C2145" s="35" t="s">
        <v>5322</v>
      </c>
      <c r="D2145" s="35" t="s">
        <v>5446</v>
      </c>
      <c r="E2145" s="35" t="s">
        <v>5446</v>
      </c>
      <c r="F2145" s="36">
        <v>0.2</v>
      </c>
      <c r="G2145" s="31"/>
      <c r="H2145" s="31"/>
      <c r="I2145" s="31"/>
      <c r="J2145" s="31"/>
      <c r="K2145" s="31"/>
    </row>
    <row r="2146" spans="1:11" ht="14.4" x14ac:dyDescent="0.3">
      <c r="A2146" s="28" t="str">
        <f>B2146&amp;C2146&amp;D2146&amp;E2146</f>
        <v>KitoblarBolalarga va ota-onalargaBolalarning rivojlanishiYozishni o'rganamiz</v>
      </c>
      <c r="B2146" s="35" t="s">
        <v>3172</v>
      </c>
      <c r="C2146" s="35" t="s">
        <v>4446</v>
      </c>
      <c r="D2146" s="35" t="s">
        <v>5333</v>
      </c>
      <c r="E2146" s="35" t="s">
        <v>5447</v>
      </c>
      <c r="F2146" s="36">
        <v>0.2</v>
      </c>
      <c r="G2146" s="31"/>
      <c r="H2146" s="31"/>
      <c r="I2146" s="31"/>
      <c r="J2146" s="31"/>
      <c r="K2146" s="31"/>
    </row>
    <row r="2147" spans="1:11" ht="14.4" x14ac:dyDescent="0.3">
      <c r="A2147" s="28" t="str">
        <f>B2147&amp;C2147&amp;D2147&amp;E2147</f>
        <v>Maishiy kimyoviy moddalarTozalash va yuvish vositalariVanna va hojatxona uchun vositalarVanna va hojatxona uchun vositalar</v>
      </c>
      <c r="B2147" s="35" t="s">
        <v>3178</v>
      </c>
      <c r="C2147" s="35" t="s">
        <v>5448</v>
      </c>
      <c r="D2147" s="35" t="s">
        <v>5449</v>
      </c>
      <c r="E2147" s="35" t="s">
        <v>5449</v>
      </c>
      <c r="F2147" s="36">
        <v>0.2</v>
      </c>
      <c r="G2147" s="31"/>
      <c r="H2147" s="31"/>
      <c r="I2147" s="31"/>
      <c r="J2147" s="31"/>
      <c r="K2147" s="31"/>
    </row>
    <row r="2148" spans="1:11" ht="14.4" x14ac:dyDescent="0.3">
      <c r="A2148" s="28" t="str">
        <f>B2148&amp;C2148&amp;D2148&amp;E2148</f>
        <v>Maishiy kimyoviy moddalarPoyabzallarni parvarish qilish uchun vositalarSuv, tuz va reagentlardan himoyaSuv, tuz va reagentlardan himoya</v>
      </c>
      <c r="B2148" s="35" t="s">
        <v>3178</v>
      </c>
      <c r="C2148" s="35" t="s">
        <v>5450</v>
      </c>
      <c r="D2148" s="35" t="s">
        <v>5451</v>
      </c>
      <c r="E2148" s="35" t="s">
        <v>5451</v>
      </c>
      <c r="F2148" s="36">
        <v>0.2</v>
      </c>
      <c r="G2148" s="31"/>
      <c r="H2148" s="31"/>
      <c r="I2148" s="31"/>
      <c r="J2148" s="31"/>
      <c r="K2148" s="31"/>
    </row>
    <row r="2149" spans="1:11" ht="14.4" x14ac:dyDescent="0.3">
      <c r="A2149" s="28" t="str">
        <f>B2149&amp;C2149&amp;D2149&amp;E2149</f>
        <v>Maishiy kimyoviy moddalarYuvish uchun vositalarKir yuvish kukunlariKir yuvish kukunlari</v>
      </c>
      <c r="B2149" s="35" t="s">
        <v>3178</v>
      </c>
      <c r="C2149" s="35" t="s">
        <v>5452</v>
      </c>
      <c r="D2149" s="35" t="s">
        <v>5453</v>
      </c>
      <c r="E2149" s="35" t="s">
        <v>5453</v>
      </c>
      <c r="F2149" s="36">
        <v>0.2</v>
      </c>
      <c r="G2149" s="31"/>
      <c r="H2149" s="31"/>
      <c r="I2149" s="31"/>
      <c r="J2149" s="31"/>
      <c r="K2149" s="31"/>
    </row>
    <row r="2150" spans="1:11" ht="14.4" x14ac:dyDescent="0.3">
      <c r="A2150" s="28" t="str">
        <f>B2150&amp;C2150&amp;D2150&amp;E2150</f>
        <v>Maishiy kimyoviy moddalarTozalash va yuvish vositalariIdish yuvish vositalariIdish yuvish vositalari</v>
      </c>
      <c r="B2150" s="35" t="s">
        <v>3178</v>
      </c>
      <c r="C2150" s="35" t="s">
        <v>5448</v>
      </c>
      <c r="D2150" s="35" t="s">
        <v>5454</v>
      </c>
      <c r="E2150" s="35" t="s">
        <v>5454</v>
      </c>
      <c r="F2150" s="36">
        <v>0.2</v>
      </c>
      <c r="G2150" s="31"/>
      <c r="H2150" s="31"/>
      <c r="I2150" s="31"/>
      <c r="J2150" s="31"/>
      <c r="K2150" s="31"/>
    </row>
    <row r="2151" spans="1:11" ht="14.4" x14ac:dyDescent="0.3">
      <c r="A2151" s="28" t="str">
        <f>B2151&amp;C2151&amp;D2151&amp;E2151</f>
        <v>Maishiy kimyoviy moddalarIdish yuvish mashinalari uchun vositalarIYuM uchun tabletkalar va kapsulalarIYuM uchun tabletkalar va kapsulalar</v>
      </c>
      <c r="B2151" s="35" t="s">
        <v>3178</v>
      </c>
      <c r="C2151" s="35" t="s">
        <v>5455</v>
      </c>
      <c r="D2151" s="35" t="s">
        <v>5456</v>
      </c>
      <c r="E2151" s="35" t="s">
        <v>5456</v>
      </c>
      <c r="F2151" s="36">
        <v>0.2</v>
      </c>
      <c r="G2151" s="31"/>
      <c r="H2151" s="31"/>
      <c r="I2151" s="31"/>
      <c r="J2151" s="31"/>
      <c r="K2151" s="31"/>
    </row>
    <row r="2152" spans="1:11" ht="14.4" x14ac:dyDescent="0.3">
      <c r="A2152" s="28" t="str">
        <f>B2152&amp;C2152&amp;D2152&amp;E2152</f>
        <v>Maishiy kimyoviy moddalarPoyabzallarni parvarish qilish uchun vositalarPoyabzal uchun boʻyoqPoyabzal uchun boʻyoq</v>
      </c>
      <c r="B2152" s="35" t="s">
        <v>3178</v>
      </c>
      <c r="C2152" s="35" t="s">
        <v>5450</v>
      </c>
      <c r="D2152" s="35" t="s">
        <v>5457</v>
      </c>
      <c r="E2152" s="35" t="s">
        <v>5457</v>
      </c>
      <c r="F2152" s="36">
        <v>0.2</v>
      </c>
      <c r="G2152" s="31"/>
      <c r="H2152" s="31"/>
      <c r="I2152" s="31"/>
      <c r="J2152" s="31"/>
      <c r="K2152" s="31"/>
    </row>
    <row r="2153" spans="1:11" ht="14.4" x14ac:dyDescent="0.3">
      <c r="A2153" s="28" t="str">
        <f>B2153&amp;C2153&amp;D2153&amp;E2153</f>
        <v>Maishiy kimyoviy moddalarTozalash va yuvish vositalariTiqilib qolishga qarshi vositalarTiqilib qolishga qarshi vositalar</v>
      </c>
      <c r="B2153" s="35" t="s">
        <v>3178</v>
      </c>
      <c r="C2153" s="35" t="s">
        <v>5448</v>
      </c>
      <c r="D2153" s="35" t="s">
        <v>5458</v>
      </c>
      <c r="E2153" s="35" t="s">
        <v>5458</v>
      </c>
      <c r="F2153" s="36">
        <v>0.2</v>
      </c>
      <c r="G2153" s="31"/>
      <c r="H2153" s="31"/>
      <c r="I2153" s="31"/>
      <c r="J2153" s="31"/>
      <c r="K2153" s="31"/>
    </row>
    <row r="2154" spans="1:11" ht="14.4" x14ac:dyDescent="0.3">
      <c r="A2154" s="28" t="str">
        <f>B2154&amp;C2154&amp;D2154&amp;E2154</f>
        <v>Maishiy kimyoviy moddalarMaishiy texnika parvarishi uchun vositalarKichik maishiy texnika uchunKichik maishiy texnika uchun</v>
      </c>
      <c r="B2154" s="35" t="s">
        <v>3178</v>
      </c>
      <c r="C2154" s="35" t="s">
        <v>5459</v>
      </c>
      <c r="D2154" s="35" t="s">
        <v>5460</v>
      </c>
      <c r="E2154" s="35" t="s">
        <v>5460</v>
      </c>
      <c r="F2154" s="36">
        <v>0.2</v>
      </c>
      <c r="G2154" s="31"/>
      <c r="H2154" s="31"/>
      <c r="I2154" s="31"/>
      <c r="J2154" s="31"/>
      <c r="K2154" s="31"/>
    </row>
    <row r="2155" spans="1:11" ht="14.4" x14ac:dyDescent="0.3">
      <c r="A2155" s="28" t="str">
        <f>B2155&amp;C2155&amp;D2155&amp;E2155</f>
        <v>Maishiy kimyoviy moddalarTozalash va yuvish vositalariOshxona uchun vositalarOshxona uchun vositalar</v>
      </c>
      <c r="B2155" s="35" t="s">
        <v>3178</v>
      </c>
      <c r="C2155" s="35" t="s">
        <v>5448</v>
      </c>
      <c r="D2155" s="35" t="s">
        <v>5461</v>
      </c>
      <c r="E2155" s="35" t="s">
        <v>5461</v>
      </c>
      <c r="F2155" s="36">
        <v>0.2</v>
      </c>
      <c r="G2155" s="31"/>
      <c r="H2155" s="31"/>
      <c r="I2155" s="31"/>
      <c r="J2155" s="31"/>
      <c r="K2155" s="31"/>
    </row>
    <row r="2156" spans="1:11" ht="14.4" x14ac:dyDescent="0.3">
      <c r="A2156" s="28" t="str">
        <f>B2156&amp;C2156&amp;D2156&amp;E2156</f>
        <v>Maishiy kimyoviy moddalarPoyabzallarni parvarish qilish uchun vositalarPoyabzal uchun dezodorantlarPoyabzal uchun dezodorantlar</v>
      </c>
      <c r="B2156" s="35" t="s">
        <v>3178</v>
      </c>
      <c r="C2156" s="35" t="s">
        <v>5450</v>
      </c>
      <c r="D2156" s="35" t="s">
        <v>5462</v>
      </c>
      <c r="E2156" s="35" t="s">
        <v>5462</v>
      </c>
      <c r="F2156" s="36">
        <v>0.2</v>
      </c>
      <c r="G2156" s="31"/>
      <c r="H2156" s="31"/>
      <c r="I2156" s="31"/>
      <c r="J2156" s="31"/>
      <c r="K2156" s="31"/>
    </row>
    <row r="2157" spans="1:11" ht="14.4" x14ac:dyDescent="0.3">
      <c r="A2157" s="28" t="str">
        <f>B2157&amp;C2157&amp;D2157&amp;E2157</f>
        <v>Maishiy kimyoviy moddalarYuvish uchun vositalarOqartirgichlar va dogʻ ketkazgichlarOqartirgichlar va dogʻ ketkazgichlar</v>
      </c>
      <c r="B2157" s="35" t="s">
        <v>3178</v>
      </c>
      <c r="C2157" s="35" t="s">
        <v>5452</v>
      </c>
      <c r="D2157" s="35" t="s">
        <v>5463</v>
      </c>
      <c r="E2157" s="35" t="s">
        <v>5463</v>
      </c>
      <c r="F2157" s="36">
        <v>0.2</v>
      </c>
      <c r="G2157" s="31"/>
      <c r="H2157" s="31"/>
      <c r="I2157" s="31"/>
      <c r="J2157" s="31"/>
      <c r="K2157" s="31"/>
    </row>
    <row r="2158" spans="1:11" ht="14.4" x14ac:dyDescent="0.3">
      <c r="A2158" s="28" t="str">
        <f>B2158&amp;C2158&amp;D2158&amp;E2158</f>
        <v>Maishiy kimyoviy moddalarHavoni musaffolashtirgichlar va neytralizatorlarHavo tozalagichlarHavo tozalagichlar</v>
      </c>
      <c r="B2158" s="35" t="s">
        <v>3178</v>
      </c>
      <c r="C2158" s="35" t="s">
        <v>5464</v>
      </c>
      <c r="D2158" s="35" t="s">
        <v>5465</v>
      </c>
      <c r="E2158" s="35" t="s">
        <v>5465</v>
      </c>
      <c r="F2158" s="36">
        <v>0.2</v>
      </c>
      <c r="G2158" s="31"/>
      <c r="H2158" s="31"/>
      <c r="I2158" s="31"/>
      <c r="J2158" s="31"/>
      <c r="K2158" s="31"/>
    </row>
    <row r="2159" spans="1:11" ht="14.4" x14ac:dyDescent="0.3">
      <c r="A2159" s="28" t="str">
        <f>B2159&amp;C2159&amp;D2159&amp;E2159</f>
        <v>Maishiy kimyoviy moddalarHasharotlar va kemiruvchilarga qarshi vositalarInsektitsidlarInsektitsidlar</v>
      </c>
      <c r="B2159" s="35" t="s">
        <v>3178</v>
      </c>
      <c r="C2159" s="35" t="s">
        <v>5466</v>
      </c>
      <c r="D2159" s="35" t="s">
        <v>5467</v>
      </c>
      <c r="E2159" s="35" t="s">
        <v>5467</v>
      </c>
      <c r="F2159" s="36">
        <v>0.2</v>
      </c>
      <c r="G2159" s="31"/>
      <c r="H2159" s="31"/>
      <c r="I2159" s="31"/>
      <c r="J2159" s="31"/>
      <c r="K2159" s="31"/>
    </row>
    <row r="2160" spans="1:11" ht="14.4" x14ac:dyDescent="0.3">
      <c r="A2160" s="28" t="str">
        <f>B2160&amp;C2160&amp;D2160&amp;E2160</f>
        <v>Maishiy kimyoviy moddalarTozalash va yuvish vositalariMebel va polni parvarishlash uchun vositalarMebel va polni parvarishlash uchun vositalar</v>
      </c>
      <c r="B2160" s="35" t="s">
        <v>3178</v>
      </c>
      <c r="C2160" s="35" t="s">
        <v>5448</v>
      </c>
      <c r="D2160" s="35" t="s">
        <v>5468</v>
      </c>
      <c r="E2160" s="35" t="s">
        <v>5468</v>
      </c>
      <c r="F2160" s="36">
        <v>0.2</v>
      </c>
      <c r="G2160" s="31"/>
      <c r="H2160" s="31"/>
      <c r="I2160" s="31"/>
      <c r="J2160" s="31"/>
      <c r="K2160" s="31"/>
    </row>
    <row r="2161" spans="1:11" ht="14.4" x14ac:dyDescent="0.3">
      <c r="A2161" s="28" t="str">
        <f>B2161&amp;C2161&amp;D2161&amp;E2161</f>
        <v>Maishiy kimyoviy moddalarTozalash va yuvish vositalariUniversal tozalash vositasiUniversal tozalash vositasi</v>
      </c>
      <c r="B2161" s="35" t="s">
        <v>3178</v>
      </c>
      <c r="C2161" s="35" t="s">
        <v>5448</v>
      </c>
      <c r="D2161" s="35" t="s">
        <v>5469</v>
      </c>
      <c r="E2161" s="35" t="s">
        <v>5469</v>
      </c>
      <c r="F2161" s="36">
        <v>0.2</v>
      </c>
      <c r="G2161" s="31"/>
      <c r="H2161" s="31"/>
      <c r="I2161" s="31"/>
      <c r="J2161" s="31"/>
      <c r="K2161" s="31"/>
    </row>
    <row r="2162" spans="1:11" ht="14.4" x14ac:dyDescent="0.3">
      <c r="A2162" s="28" t="str">
        <f>B2162&amp;C2162&amp;D2162&amp;E2162</f>
        <v>Maishiy kimyoviy moddalarYuvish uchun vositalarXoʻjalik sovuniXoʻjalik sovuni</v>
      </c>
      <c r="B2162" s="35" t="s">
        <v>3178</v>
      </c>
      <c r="C2162" s="35" t="s">
        <v>5452</v>
      </c>
      <c r="D2162" s="35" t="s">
        <v>5470</v>
      </c>
      <c r="E2162" s="35" t="s">
        <v>5470</v>
      </c>
      <c r="F2162" s="36">
        <v>0.2</v>
      </c>
      <c r="G2162" s="31"/>
      <c r="H2162" s="31"/>
      <c r="I2162" s="31"/>
      <c r="J2162" s="31"/>
      <c r="K2162" s="31"/>
    </row>
    <row r="2163" spans="1:11" ht="14.4" x14ac:dyDescent="0.3">
      <c r="A2163" s="28" t="str">
        <f>B2163&amp;C2163&amp;D2163&amp;E2163</f>
        <v>Maishiy kimyoviy moddalarHasharotlar va kemiruvchilarga qarshi vositalarRepelentlarRepelentlar</v>
      </c>
      <c r="B2163" s="35" t="s">
        <v>3178</v>
      </c>
      <c r="C2163" s="35" t="s">
        <v>5466</v>
      </c>
      <c r="D2163" s="35" t="s">
        <v>5471</v>
      </c>
      <c r="E2163" s="35" t="s">
        <v>5471</v>
      </c>
      <c r="F2163" s="36">
        <v>0.2</v>
      </c>
      <c r="G2163" s="31"/>
      <c r="H2163" s="31"/>
      <c r="I2163" s="31"/>
      <c r="J2163" s="31"/>
      <c r="K2163" s="31"/>
    </row>
    <row r="2164" spans="1:11" ht="14.4" x14ac:dyDescent="0.3">
      <c r="A2164" s="28" t="str">
        <f>B2164&amp;C2164&amp;D2164&amp;E2164</f>
        <v>Maishiy kimyoviy moddalarYuvish uchun vositalarKir yuvish kapsulalariKir yuvish kapsulalari</v>
      </c>
      <c r="B2164" s="35" t="s">
        <v>3178</v>
      </c>
      <c r="C2164" s="35" t="s">
        <v>5452</v>
      </c>
      <c r="D2164" s="35" t="s">
        <v>5472</v>
      </c>
      <c r="E2164" s="35" t="s">
        <v>5472</v>
      </c>
      <c r="F2164" s="36">
        <v>0.2</v>
      </c>
      <c r="G2164" s="31"/>
      <c r="H2164" s="31"/>
      <c r="I2164" s="31"/>
      <c r="J2164" s="31"/>
      <c r="K2164" s="31"/>
    </row>
    <row r="2165" spans="1:11" ht="14.4" x14ac:dyDescent="0.3">
      <c r="A2165" s="28" t="str">
        <f>B2165&amp;C2165&amp;D2165&amp;E2165</f>
        <v>Maishiy kimyoviy moddalarHasharotlar va kemiruvchilarga qarshi vositalarRatisidlarRatisidlar</v>
      </c>
      <c r="B2165" s="35" t="s">
        <v>3178</v>
      </c>
      <c r="C2165" s="35" t="s">
        <v>5466</v>
      </c>
      <c r="D2165" s="35" t="s">
        <v>5473</v>
      </c>
      <c r="E2165" s="35" t="s">
        <v>5473</v>
      </c>
      <c r="F2165" s="36">
        <v>0.2</v>
      </c>
      <c r="G2165" s="31"/>
      <c r="H2165" s="31"/>
      <c r="I2165" s="31"/>
      <c r="J2165" s="31"/>
      <c r="K2165" s="31"/>
    </row>
    <row r="2166" spans="1:11" ht="14.4" x14ac:dyDescent="0.3">
      <c r="A2166" s="28" t="str">
        <f>B2166&amp;C2166&amp;D2166&amp;E2166</f>
        <v>Maishiy kimyoviy moddalarPoyabzallarni parvarish qilish uchun vositalarRang yorqinligini kuchaytirgichlarRang yorqinligini kuchaytirgichlar</v>
      </c>
      <c r="B2166" s="35" t="s">
        <v>3178</v>
      </c>
      <c r="C2166" s="35" t="s">
        <v>5450</v>
      </c>
      <c r="D2166" s="35" t="s">
        <v>5474</v>
      </c>
      <c r="E2166" s="35" t="s">
        <v>5474</v>
      </c>
      <c r="F2166" s="36">
        <v>0.2</v>
      </c>
      <c r="G2166" s="31"/>
      <c r="H2166" s="31"/>
      <c r="I2166" s="31"/>
      <c r="J2166" s="31"/>
      <c r="K2166" s="31"/>
    </row>
    <row r="2167" spans="1:11" ht="14.4" x14ac:dyDescent="0.3">
      <c r="A2167" s="28" t="str">
        <f>B2167&amp;C2167&amp;D2167&amp;E2167</f>
        <v>Maishiy kimyoviy moddalarHavoni musaffolashtirgichlar va neytralizatorlarHidlarni neytrallash vositalariHidlarni neytrallash vositalari</v>
      </c>
      <c r="B2167" s="35" t="s">
        <v>3178</v>
      </c>
      <c r="C2167" s="35" t="s">
        <v>5464</v>
      </c>
      <c r="D2167" s="35" t="s">
        <v>5475</v>
      </c>
      <c r="E2167" s="35" t="s">
        <v>5475</v>
      </c>
      <c r="F2167" s="36">
        <v>0.2</v>
      </c>
      <c r="G2167" s="31"/>
      <c r="H2167" s="31"/>
      <c r="I2167" s="31"/>
      <c r="J2167" s="31"/>
      <c r="K2167" s="31"/>
    </row>
    <row r="2168" spans="1:11" ht="14.4" x14ac:dyDescent="0.3">
      <c r="A2168" s="28" t="str">
        <f>B2168&amp;C2168&amp;D2168&amp;E2168</f>
        <v>Maishiy kimyoviy moddalarPoyabzallarni parvarish qilish uchun vositalarPoyabzal uchun choʻtkalar va gubkalarPoyabzal uchun choʻtkalar va gubkalar</v>
      </c>
      <c r="B2168" s="35" t="s">
        <v>3178</v>
      </c>
      <c r="C2168" s="35" t="s">
        <v>5450</v>
      </c>
      <c r="D2168" s="35" t="s">
        <v>5476</v>
      </c>
      <c r="E2168" s="35" t="s">
        <v>5476</v>
      </c>
      <c r="F2168" s="36">
        <v>0.2</v>
      </c>
      <c r="G2168" s="31"/>
      <c r="H2168" s="31"/>
      <c r="I2168" s="31"/>
      <c r="J2168" s="31"/>
      <c r="K2168" s="31"/>
    </row>
    <row r="2169" spans="1:11" ht="14.4" x14ac:dyDescent="0.3">
      <c r="A2169" s="28" t="str">
        <f>B2169&amp;C2169&amp;D2169&amp;E2169</f>
        <v>Maishiy kimyoviy moddalarPoyabzallarni parvarish qilish uchun vositalarPoyabzal uchun kremlar va vosklarPoyabzal uchun kremlar va vosklar</v>
      </c>
      <c r="B2169" s="35" t="s">
        <v>3178</v>
      </c>
      <c r="C2169" s="35" t="s">
        <v>5450</v>
      </c>
      <c r="D2169" s="35" t="s">
        <v>5477</v>
      </c>
      <c r="E2169" s="35" t="s">
        <v>5477</v>
      </c>
      <c r="F2169" s="36">
        <v>0.2</v>
      </c>
      <c r="G2169" s="31"/>
      <c r="H2169" s="31"/>
      <c r="I2169" s="31"/>
      <c r="J2169" s="31"/>
      <c r="K2169" s="31"/>
    </row>
    <row r="2170" spans="1:11" ht="14.4" x14ac:dyDescent="0.3">
      <c r="A2170" s="28" t="str">
        <f>B2170&amp;C2170&amp;D2170&amp;E2170</f>
        <v>Maishiy kimyoviy moddalarPoyabzallarni parvarish qilish uchun vositalarPoyabzal uchun koʻpikli tozalash vositalariPoyabzal uchun koʻpikli tozalash vositalari</v>
      </c>
      <c r="B2170" s="35" t="s">
        <v>3178</v>
      </c>
      <c r="C2170" s="35" t="s">
        <v>5450</v>
      </c>
      <c r="D2170" s="35" t="s">
        <v>5478</v>
      </c>
      <c r="E2170" s="35" t="s">
        <v>5478</v>
      </c>
      <c r="F2170" s="36">
        <v>0.2</v>
      </c>
      <c r="G2170" s="31"/>
      <c r="H2170" s="31"/>
      <c r="I2170" s="31"/>
      <c r="J2170" s="31"/>
      <c r="K2170" s="31"/>
    </row>
    <row r="2171" spans="1:11" ht="14.4" x14ac:dyDescent="0.3">
      <c r="A2171" s="28" t="str">
        <f>B2171&amp;C2171&amp;D2171&amp;E2171</f>
        <v>Maishiy kimyoviy moddalarMaishiy texnika parvarishi uchun vositalarKatta maishiy texnika uchunKatta maishiy texnika uchun</v>
      </c>
      <c r="B2171" s="35" t="s">
        <v>3178</v>
      </c>
      <c r="C2171" s="35" t="s">
        <v>5459</v>
      </c>
      <c r="D2171" s="35" t="s">
        <v>5479</v>
      </c>
      <c r="E2171" s="35" t="s">
        <v>5479</v>
      </c>
      <c r="F2171" s="36">
        <v>0.2</v>
      </c>
      <c r="G2171" s="31"/>
      <c r="H2171" s="31"/>
      <c r="I2171" s="31"/>
      <c r="J2171" s="31"/>
      <c r="K2171" s="31"/>
    </row>
    <row r="2172" spans="1:11" ht="14.4" x14ac:dyDescent="0.3">
      <c r="A2172" s="28" t="str">
        <f>B2172&amp;C2172&amp;D2172&amp;E2172</f>
        <v>Maishiy kimyoviy moddalarIdish yuvish mashinalari uchun vositalarIYuM uchun chayish vositalariIYuM uchun chayish vositalari</v>
      </c>
      <c r="B2172" s="35" t="s">
        <v>3178</v>
      </c>
      <c r="C2172" s="35" t="s">
        <v>5455</v>
      </c>
      <c r="D2172" s="35" t="s">
        <v>5480</v>
      </c>
      <c r="E2172" s="35" t="s">
        <v>5480</v>
      </c>
      <c r="F2172" s="36">
        <v>0.2</v>
      </c>
      <c r="G2172" s="31"/>
      <c r="H2172" s="31"/>
      <c r="I2172" s="31"/>
      <c r="J2172" s="31"/>
      <c r="K2172" s="31"/>
    </row>
    <row r="2173" spans="1:11" ht="14.4" x14ac:dyDescent="0.3">
      <c r="A2173" s="28" t="str">
        <f>B2173&amp;C2173&amp;D2173&amp;E2173</f>
        <v>Maishiy kimyoviy moddalarHavoni musaffolashtirgichlar va neytralizatorlarUy uchun xushboʻylashtirgichlarUy uchun xushboʻylashtirgichlar</v>
      </c>
      <c r="B2173" s="35" t="s">
        <v>3178</v>
      </c>
      <c r="C2173" s="35" t="s">
        <v>5464</v>
      </c>
      <c r="D2173" s="35" t="s">
        <v>5481</v>
      </c>
      <c r="E2173" s="35" t="s">
        <v>5481</v>
      </c>
      <c r="F2173" s="36">
        <v>0.2</v>
      </c>
      <c r="G2173" s="31"/>
      <c r="H2173" s="31"/>
      <c r="I2173" s="31"/>
      <c r="J2173" s="31"/>
      <c r="K2173" s="31"/>
    </row>
    <row r="2174" spans="1:11" ht="14.4" x14ac:dyDescent="0.3">
      <c r="A2174" s="28" t="str">
        <f>B2174&amp;C2174&amp;D2174&amp;E2174</f>
        <v>Maishiy kimyoviy moddalarYuvish uchun vositalarKir yuvish uchun gel va suyuqliklarKir yuvish uchun gel va suyuqliklar</v>
      </c>
      <c r="B2174" s="35" t="s">
        <v>3178</v>
      </c>
      <c r="C2174" s="35" t="s">
        <v>5452</v>
      </c>
      <c r="D2174" s="35" t="s">
        <v>5482</v>
      </c>
      <c r="E2174" s="35" t="s">
        <v>5482</v>
      </c>
      <c r="F2174" s="36">
        <v>0.2</v>
      </c>
      <c r="G2174" s="31"/>
      <c r="H2174" s="31"/>
      <c r="I2174" s="31"/>
      <c r="J2174" s="31"/>
      <c r="K2174" s="31"/>
    </row>
    <row r="2175" spans="1:11" ht="14.4" x14ac:dyDescent="0.3">
      <c r="A2175" s="28" t="str">
        <f>B2175&amp;C2175&amp;D2175&amp;E2175</f>
        <v>Maishiy kimyoviy moddalarTozalash va yuvish vositalariOynalarni tozalash uchun vositalarOynalarni tozalash uchun vositalar</v>
      </c>
      <c r="B2175" s="35" t="s">
        <v>3178</v>
      </c>
      <c r="C2175" s="35" t="s">
        <v>5448</v>
      </c>
      <c r="D2175" s="35" t="s">
        <v>5483</v>
      </c>
      <c r="E2175" s="35" t="s">
        <v>5483</v>
      </c>
      <c r="F2175" s="36">
        <v>0.2</v>
      </c>
      <c r="G2175" s="31"/>
      <c r="H2175" s="31"/>
      <c r="I2175" s="31"/>
      <c r="J2175" s="31"/>
      <c r="K2175" s="31"/>
    </row>
    <row r="2176" spans="1:11" ht="14.4" x14ac:dyDescent="0.3">
      <c r="A2176" s="28" t="str">
        <f>B2176&amp;C2176&amp;D2176&amp;E2176</f>
        <v>Maishiy kimyoviy moddalarYuvish uchun vositalarKonditsionerlar va chayish vositalariKonditsionerlar va chayish vositalari</v>
      </c>
      <c r="B2176" s="35" t="s">
        <v>3178</v>
      </c>
      <c r="C2176" s="35" t="s">
        <v>5452</v>
      </c>
      <c r="D2176" s="35" t="s">
        <v>5484</v>
      </c>
      <c r="E2176" s="35" t="s">
        <v>5484</v>
      </c>
      <c r="F2176" s="36">
        <v>0.2</v>
      </c>
      <c r="G2176" s="31"/>
      <c r="H2176" s="31"/>
      <c r="I2176" s="31"/>
      <c r="J2176" s="31"/>
      <c r="K2176" s="31"/>
    </row>
    <row r="2177" spans="1:11" ht="14.4" x14ac:dyDescent="0.3">
      <c r="A2177" s="28" t="str">
        <f>B2177&amp;C2177&amp;D2177&amp;E2177</f>
        <v>Maishiy texnikaOshxona buyumlariMikrotoʻlqinli pechlarMikroto'lqinli pech uchun qopqoq va aksessuarlar</v>
      </c>
      <c r="B2177" s="35" t="s">
        <v>48</v>
      </c>
      <c r="C2177" s="35" t="s">
        <v>3443</v>
      </c>
      <c r="D2177" s="35" t="s">
        <v>5485</v>
      </c>
      <c r="E2177" s="35" t="s">
        <v>5486</v>
      </c>
      <c r="F2177" s="36">
        <v>0.2</v>
      </c>
      <c r="G2177" s="31"/>
      <c r="H2177" s="31"/>
      <c r="I2177" s="31"/>
      <c r="J2177" s="31"/>
      <c r="K2177" s="31"/>
    </row>
    <row r="2178" spans="1:11" ht="14.4" x14ac:dyDescent="0.3">
      <c r="A2178" s="28" t="str">
        <f>B2178&amp;C2178&amp;D2178&amp;E2178</f>
        <v>Maishiy texnikaOshxona buyumlariBoshqa oshxona texnikalariPazandachilik termometrlari</v>
      </c>
      <c r="B2178" s="35" t="s">
        <v>48</v>
      </c>
      <c r="C2178" s="35" t="s">
        <v>3443</v>
      </c>
      <c r="D2178" s="35" t="s">
        <v>3444</v>
      </c>
      <c r="E2178" s="35" t="s">
        <v>5487</v>
      </c>
      <c r="F2178" s="36">
        <v>0.2</v>
      </c>
      <c r="G2178" s="31"/>
      <c r="H2178" s="31"/>
      <c r="I2178" s="31"/>
      <c r="J2178" s="31"/>
      <c r="K2178" s="31"/>
    </row>
    <row r="2179" spans="1:11" ht="14.4" x14ac:dyDescent="0.3">
      <c r="A2179" s="28" t="str">
        <f>B2179&amp;C2179&amp;D2179&amp;E2179</f>
        <v>Maishiy texnikaOshxona buyumlariBoshqa oshxona texnikalariDistillyatorlar</v>
      </c>
      <c r="B2179" s="35" t="s">
        <v>48</v>
      </c>
      <c r="C2179" s="35" t="s">
        <v>3443</v>
      </c>
      <c r="D2179" s="35" t="s">
        <v>3444</v>
      </c>
      <c r="E2179" s="35" t="s">
        <v>5488</v>
      </c>
      <c r="F2179" s="36">
        <v>0.2</v>
      </c>
      <c r="G2179" s="31"/>
      <c r="H2179" s="31"/>
      <c r="I2179" s="31"/>
      <c r="J2179" s="31"/>
      <c r="K2179" s="31"/>
    </row>
    <row r="2180" spans="1:11" ht="14.4" x14ac:dyDescent="0.3">
      <c r="A2180" s="28" t="str">
        <f>B2180&amp;C2180&amp;D2180&amp;E2180</f>
        <v>Maishiy texnikaGoʻzallik uchun texnikaYerda turadigan tarozilarYerda turadigan tarozilar</v>
      </c>
      <c r="B2180" s="35" t="s">
        <v>48</v>
      </c>
      <c r="C2180" s="35" t="s">
        <v>5489</v>
      </c>
      <c r="D2180" s="35" t="s">
        <v>5490</v>
      </c>
      <c r="E2180" s="35" t="s">
        <v>5490</v>
      </c>
      <c r="F2180" s="36">
        <v>0.2</v>
      </c>
      <c r="G2180" s="31"/>
      <c r="H2180" s="31"/>
      <c r="I2180" s="31"/>
      <c r="J2180" s="31"/>
      <c r="K2180" s="31"/>
    </row>
    <row r="2181" spans="1:11" ht="14.4" x14ac:dyDescent="0.3">
      <c r="A2181" s="28" t="str">
        <f>B2181&amp;C2181&amp;D2181&amp;E2181</f>
        <v>Maishiy texnikaOshxona buyumlariBoshqa oshxona texnikalariOshxona tarozilari</v>
      </c>
      <c r="B2181" s="35" t="s">
        <v>48</v>
      </c>
      <c r="C2181" s="35" t="s">
        <v>3443</v>
      </c>
      <c r="D2181" s="35" t="s">
        <v>3444</v>
      </c>
      <c r="E2181" s="35" t="s">
        <v>5491</v>
      </c>
      <c r="F2181" s="36">
        <v>0.2</v>
      </c>
      <c r="G2181" s="31"/>
      <c r="H2181" s="31"/>
      <c r="I2181" s="31"/>
      <c r="J2181" s="31"/>
      <c r="K2181" s="31"/>
    </row>
    <row r="2182" spans="1:11" ht="14.4" x14ac:dyDescent="0.3">
      <c r="A2182" s="28" t="str">
        <f>B2182&amp;C2182&amp;D2182&amp;E2182</f>
        <v>Maishiy texnikaMaishiy texnika uchun boshqa aksessuarlar va ehtiyot qismlarMaishiy texnika uchun boshqa aksessuarlar va ehtiyot qismlarMaishiy texnika uchun boshqa aksessuarlar va ehtiyot qismlar</v>
      </c>
      <c r="B2182" s="35" t="s">
        <v>48</v>
      </c>
      <c r="C2182" s="35" t="s">
        <v>5492</v>
      </c>
      <c r="D2182" s="35" t="s">
        <v>5492</v>
      </c>
      <c r="E2182" s="35" t="s">
        <v>5492</v>
      </c>
      <c r="F2182" s="36">
        <v>0.2</v>
      </c>
      <c r="G2182" s="31"/>
      <c r="H2182" s="31"/>
      <c r="I2182" s="31"/>
      <c r="J2182" s="31"/>
      <c r="K2182" s="31"/>
    </row>
    <row r="2183" spans="1:11" ht="14.4" x14ac:dyDescent="0.3">
      <c r="A2183" s="28" t="str">
        <f>B2183&amp;C2183&amp;D2183&amp;E2183</f>
        <v>Maishiy texnikaKatta maishiy texnikaSuv uchun kulerlar va aksessuarlarSuv uchun kulerlar</v>
      </c>
      <c r="B2183" s="35" t="s">
        <v>48</v>
      </c>
      <c r="C2183" s="35" t="s">
        <v>3438</v>
      </c>
      <c r="D2183" s="35" t="s">
        <v>3441</v>
      </c>
      <c r="E2183" s="35" t="s">
        <v>5493</v>
      </c>
      <c r="F2183" s="36">
        <v>0.2</v>
      </c>
      <c r="G2183" s="31"/>
      <c r="H2183" s="31"/>
      <c r="I2183" s="31"/>
      <c r="J2183" s="31"/>
      <c r="K2183" s="31"/>
    </row>
    <row r="2184" spans="1:11" ht="14.4" x14ac:dyDescent="0.3">
      <c r="A2184" s="28" t="str">
        <f>B2184&amp;C2184&amp;D2184&amp;E2184</f>
        <v>Maishiy texnikaOshxona buyumlariBoshqa oshxona texnikalariSabzavot va mevalar uchun quritgichlar</v>
      </c>
      <c r="B2184" s="35" t="s">
        <v>48</v>
      </c>
      <c r="C2184" s="35" t="s">
        <v>3443</v>
      </c>
      <c r="D2184" s="35" t="s">
        <v>3444</v>
      </c>
      <c r="E2184" s="35" t="s">
        <v>5494</v>
      </c>
      <c r="F2184" s="36">
        <v>0.2</v>
      </c>
      <c r="G2184" s="31"/>
      <c r="H2184" s="31"/>
      <c r="I2184" s="31"/>
      <c r="J2184" s="31"/>
      <c r="K2184" s="31"/>
    </row>
    <row r="2185" spans="1:11" ht="14.4" x14ac:dyDescent="0.3">
      <c r="A2185" s="28" t="str">
        <f>B2185&amp;C2185&amp;D2185&amp;E2185</f>
        <v>Maishiy texnikaGoʻzallik uchun texnikaSoch kesishSoch kesish mashinkasi</v>
      </c>
      <c r="B2185" s="35" t="s">
        <v>48</v>
      </c>
      <c r="C2185" s="35" t="s">
        <v>5489</v>
      </c>
      <c r="D2185" s="35" t="s">
        <v>5495</v>
      </c>
      <c r="E2185" s="35" t="s">
        <v>5496</v>
      </c>
      <c r="F2185" s="36">
        <v>0.2</v>
      </c>
      <c r="G2185" s="31"/>
      <c r="H2185" s="31"/>
      <c r="I2185" s="31"/>
      <c r="J2185" s="31"/>
      <c r="K2185" s="31"/>
    </row>
    <row r="2186" spans="1:11" ht="14.4" x14ac:dyDescent="0.3">
      <c r="A2186" s="28" t="str">
        <f>B2186&amp;C2186&amp;D2186&amp;E2186</f>
        <v>Maishiy texnikaOshxona buyumlariBoshqa oshxona texnikalariKartoshka tozalagich va baliq tozalagich</v>
      </c>
      <c r="B2186" s="35" t="s">
        <v>48</v>
      </c>
      <c r="C2186" s="35" t="s">
        <v>3443</v>
      </c>
      <c r="D2186" s="35" t="s">
        <v>3444</v>
      </c>
      <c r="E2186" s="35" t="s">
        <v>5497</v>
      </c>
      <c r="F2186" s="36">
        <v>0.2</v>
      </c>
      <c r="G2186" s="31"/>
      <c r="H2186" s="31"/>
      <c r="I2186" s="31"/>
      <c r="J2186" s="31"/>
      <c r="K2186" s="31"/>
    </row>
    <row r="2187" spans="1:11" ht="14.4" x14ac:dyDescent="0.3">
      <c r="A2187" s="28" t="str">
        <f>B2187&amp;C2187&amp;D2187&amp;E2187</f>
        <v>Maishiy texnikaGoʻzallik uchun texnikaSoch kesishSoch uchun trimmerlar</v>
      </c>
      <c r="B2187" s="35" t="s">
        <v>48</v>
      </c>
      <c r="C2187" s="35" t="s">
        <v>5489</v>
      </c>
      <c r="D2187" s="35" t="s">
        <v>5495</v>
      </c>
      <c r="E2187" s="35" t="s">
        <v>5498</v>
      </c>
      <c r="F2187" s="36">
        <v>0.2</v>
      </c>
      <c r="G2187" s="31"/>
      <c r="H2187" s="31"/>
      <c r="I2187" s="31"/>
      <c r="J2187" s="31"/>
      <c r="K2187" s="31"/>
    </row>
    <row r="2188" spans="1:11" ht="14.4" x14ac:dyDescent="0.3">
      <c r="A2188" s="28" t="str">
        <f>B2188&amp;C2188&amp;D2188&amp;E2188</f>
        <v>Maishiy texnikaGoʻzallik uchun texnikaApparatli kosmetologiyaYuz va tana massaj apparatlari</v>
      </c>
      <c r="B2188" s="35" t="s">
        <v>48</v>
      </c>
      <c r="C2188" s="35" t="s">
        <v>5489</v>
      </c>
      <c r="D2188" s="35" t="s">
        <v>5499</v>
      </c>
      <c r="E2188" s="35" t="s">
        <v>5500</v>
      </c>
      <c r="F2188" s="36">
        <v>0.2</v>
      </c>
      <c r="G2188" s="31"/>
      <c r="H2188" s="31"/>
      <c r="I2188" s="31"/>
      <c r="J2188" s="31"/>
      <c r="K2188" s="31"/>
    </row>
    <row r="2189" spans="1:11" ht="14.4" x14ac:dyDescent="0.3">
      <c r="A2189" s="28" t="str">
        <f>B2189&amp;C2189&amp;D2189&amp;E2189</f>
        <v>Maishiy texnikaOshxona buyumlariElektr choynaklar va termopotlarElektr choynaklar</v>
      </c>
      <c r="B2189" s="35" t="s">
        <v>48</v>
      </c>
      <c r="C2189" s="35" t="s">
        <v>3443</v>
      </c>
      <c r="D2189" s="35" t="s">
        <v>5501</v>
      </c>
      <c r="E2189" s="35" t="s">
        <v>5502</v>
      </c>
      <c r="F2189" s="36">
        <v>0.2</v>
      </c>
      <c r="G2189" s="31"/>
      <c r="H2189" s="31"/>
      <c r="I2189" s="31"/>
      <c r="J2189" s="31"/>
      <c r="K2189" s="31"/>
    </row>
    <row r="2190" spans="1:11" ht="14.4" x14ac:dyDescent="0.3">
      <c r="A2190" s="28" t="str">
        <f>B2190&amp;C2190&amp;D2190&amp;E2190</f>
        <v>Oziq-ovqat mahsulotlariShokolad, konfetlar, shirinliklarQutili konfetlar, sovgʻalar toʻplamiQutili konfetlar, sovgʻalar toʻplami</v>
      </c>
      <c r="B2190" s="35" t="s">
        <v>3180</v>
      </c>
      <c r="C2190" s="35" t="s">
        <v>5503</v>
      </c>
      <c r="D2190" s="35" t="s">
        <v>5504</v>
      </c>
      <c r="E2190" s="35" t="s">
        <v>5504</v>
      </c>
      <c r="F2190" s="36">
        <v>0.2</v>
      </c>
      <c r="G2190" s="31"/>
      <c r="H2190" s="31"/>
      <c r="I2190" s="31"/>
      <c r="J2190" s="31"/>
      <c r="K2190" s="31"/>
    </row>
    <row r="2191" spans="1:11" ht="14.4" x14ac:dyDescent="0.3">
      <c r="A2191" s="28" t="str">
        <f>B2191&amp;C2191&amp;D2191&amp;E2191</f>
        <v>Oziq-ovqat mahsulotlariShokolad, konfetlar, shirinliklarKonfetlarKaramel konfetlari</v>
      </c>
      <c r="B2191" s="35" t="s">
        <v>3180</v>
      </c>
      <c r="C2191" s="35" t="s">
        <v>5503</v>
      </c>
      <c r="D2191" s="35" t="s">
        <v>5505</v>
      </c>
      <c r="E2191" s="35" t="s">
        <v>5506</v>
      </c>
      <c r="F2191" s="36">
        <v>0.2</v>
      </c>
      <c r="G2191" s="31"/>
      <c r="H2191" s="31"/>
      <c r="I2191" s="31"/>
      <c r="J2191" s="31"/>
      <c r="K2191" s="31"/>
    </row>
    <row r="2192" spans="1:11" ht="14.4" x14ac:dyDescent="0.3">
      <c r="A2192" s="28" t="str">
        <f>B2192&amp;C2192&amp;D2192&amp;E2192</f>
        <v>Oziq-ovqat mahsulotlariShokolad, konfetlar, shirinliklarPechenyePechenye</v>
      </c>
      <c r="B2192" s="35" t="s">
        <v>3180</v>
      </c>
      <c r="C2192" s="35" t="s">
        <v>5503</v>
      </c>
      <c r="D2192" s="35" t="s">
        <v>5507</v>
      </c>
      <c r="E2192" s="35" t="s">
        <v>5507</v>
      </c>
      <c r="F2192" s="36">
        <v>0.2</v>
      </c>
      <c r="G2192" s="31"/>
      <c r="H2192" s="31"/>
      <c r="I2192" s="31"/>
      <c r="J2192" s="31"/>
      <c r="K2192" s="31"/>
    </row>
    <row r="2193" spans="1:11" ht="14.4" x14ac:dyDescent="0.3">
      <c r="A2193" s="28" t="str">
        <f>B2193&amp;C2193&amp;D2193&amp;E2193</f>
        <v>Oziq-ovqat mahsulotlariShokolad, konfetlar, shirinliklarShokoladli, yongʻoqli pastaShokoladli, yongʻoqli pasta</v>
      </c>
      <c r="B2193" s="35" t="s">
        <v>3180</v>
      </c>
      <c r="C2193" s="35" t="s">
        <v>5503</v>
      </c>
      <c r="D2193" s="35" t="s">
        <v>5508</v>
      </c>
      <c r="E2193" s="35" t="s">
        <v>5508</v>
      </c>
      <c r="F2193" s="36">
        <v>0.2</v>
      </c>
      <c r="G2193" s="31"/>
      <c r="H2193" s="31"/>
      <c r="I2193" s="31"/>
      <c r="J2193" s="31"/>
      <c r="K2193" s="31"/>
    </row>
    <row r="2194" spans="1:11" ht="14.4" x14ac:dyDescent="0.3">
      <c r="A2194" s="28" t="str">
        <f>B2194&amp;C2194&amp;D2194&amp;E2194</f>
        <v>Oziq-ovqat mahsulotlariShokolad, konfetlar, shirinliklarKonfetlarPraline konfetlari</v>
      </c>
      <c r="B2194" s="35" t="s">
        <v>3180</v>
      </c>
      <c r="C2194" s="35" t="s">
        <v>5503</v>
      </c>
      <c r="D2194" s="35" t="s">
        <v>5505</v>
      </c>
      <c r="E2194" s="35" t="s">
        <v>5509</v>
      </c>
      <c r="F2194" s="36">
        <v>0.2</v>
      </c>
      <c r="G2194" s="31"/>
      <c r="H2194" s="31"/>
      <c r="I2194" s="31"/>
      <c r="J2194" s="31"/>
      <c r="K2194" s="31"/>
    </row>
    <row r="2195" spans="1:11" ht="14.4" x14ac:dyDescent="0.3">
      <c r="A2195" s="28" t="str">
        <f>B2195&amp;C2195&amp;D2195&amp;E2195</f>
        <v>Oziq-ovqat mahsulotlariShokolad, konfetlar, shirinliklarKonfetlarChaynaladigan konfetlari</v>
      </c>
      <c r="B2195" s="35" t="s">
        <v>3180</v>
      </c>
      <c r="C2195" s="35" t="s">
        <v>5503</v>
      </c>
      <c r="D2195" s="35" t="s">
        <v>5505</v>
      </c>
      <c r="E2195" s="35" t="s">
        <v>5510</v>
      </c>
      <c r="F2195" s="36">
        <v>0.2</v>
      </c>
      <c r="G2195" s="31"/>
      <c r="H2195" s="31"/>
      <c r="I2195" s="31"/>
      <c r="J2195" s="31"/>
      <c r="K2195" s="31"/>
    </row>
    <row r="2196" spans="1:11" ht="14.4" x14ac:dyDescent="0.3">
      <c r="A2196" s="28" t="str">
        <f>B2196&amp;C2196&amp;D2196&amp;E2196</f>
        <v>Oziq-ovqat mahsulotlariShokolad, konfetlar, shirinliklarShokoladShokolad</v>
      </c>
      <c r="B2196" s="35" t="s">
        <v>3180</v>
      </c>
      <c r="C2196" s="35" t="s">
        <v>5503</v>
      </c>
      <c r="D2196" s="35" t="s">
        <v>5511</v>
      </c>
      <c r="E2196" s="35" t="s">
        <v>5511</v>
      </c>
      <c r="F2196" s="36">
        <v>0.2</v>
      </c>
      <c r="G2196" s="31"/>
      <c r="H2196" s="31"/>
      <c r="I2196" s="31"/>
      <c r="J2196" s="31"/>
      <c r="K2196" s="31"/>
    </row>
    <row r="2197" spans="1:11" ht="14.4" x14ac:dyDescent="0.3">
      <c r="A2197" s="28" t="str">
        <f>B2197&amp;C2197&amp;D2197&amp;E2197</f>
        <v>Oziq-ovqat mahsulotlariShokolad, konfetlar, shirinliklarKonfetlarJele konfetlari</v>
      </c>
      <c r="B2197" s="35" t="s">
        <v>3180</v>
      </c>
      <c r="C2197" s="35" t="s">
        <v>5503</v>
      </c>
      <c r="D2197" s="35" t="s">
        <v>5505</v>
      </c>
      <c r="E2197" s="35" t="s">
        <v>5512</v>
      </c>
      <c r="F2197" s="36">
        <v>0.2</v>
      </c>
      <c r="G2197" s="31"/>
      <c r="H2197" s="31"/>
      <c r="I2197" s="31"/>
      <c r="J2197" s="31"/>
      <c r="K2197" s="31"/>
    </row>
    <row r="2198" spans="1:11" ht="14.4" x14ac:dyDescent="0.3">
      <c r="A2198" s="28" t="str">
        <f>B2198&amp;C2198&amp;D2198&amp;E2198</f>
        <v>Oziq-ovqat mahsulotlariShokolad, konfetlar, shirinliklarPryaniklar, vaflilarPryaniklar, vaflilar</v>
      </c>
      <c r="B2198" s="35" t="s">
        <v>3180</v>
      </c>
      <c r="C2198" s="35" t="s">
        <v>5503</v>
      </c>
      <c r="D2198" s="35" t="s">
        <v>5513</v>
      </c>
      <c r="E2198" s="35" t="s">
        <v>5513</v>
      </c>
      <c r="F2198" s="36">
        <v>0.2</v>
      </c>
      <c r="G2198" s="31"/>
      <c r="H2198" s="31"/>
      <c r="I2198" s="31"/>
      <c r="J2198" s="31"/>
      <c r="K2198" s="31"/>
    </row>
    <row r="2199" spans="1:11" ht="14.4" x14ac:dyDescent="0.3">
      <c r="A2199" s="28" t="str">
        <f>B2199&amp;C2199&amp;D2199&amp;E2199</f>
        <v>Oziq-ovqat mahsulotlariShokolad, konfetlar, shirinliklarBatonchalarBatonchalar</v>
      </c>
      <c r="B2199" s="35" t="s">
        <v>3180</v>
      </c>
      <c r="C2199" s="35" t="s">
        <v>5503</v>
      </c>
      <c r="D2199" s="35" t="s">
        <v>5514</v>
      </c>
      <c r="E2199" s="35" t="s">
        <v>5514</v>
      </c>
      <c r="F2199" s="36">
        <v>0.2</v>
      </c>
      <c r="G2199" s="31"/>
      <c r="H2199" s="31"/>
      <c r="I2199" s="31"/>
      <c r="J2199" s="31"/>
      <c r="K2199" s="31"/>
    </row>
    <row r="2200" spans="1:11" ht="14.4" x14ac:dyDescent="0.3">
      <c r="A2200" s="28" t="str">
        <f>B2200&amp;C2200&amp;D2200&amp;E2200</f>
        <v>Oziq-ovqat mahsulotlariShokolad, konfetlar, shirinliklarKonfetlarShokoladli konfetlar</v>
      </c>
      <c r="B2200" s="35" t="s">
        <v>3180</v>
      </c>
      <c r="C2200" s="35" t="s">
        <v>5503</v>
      </c>
      <c r="D2200" s="35" t="s">
        <v>5505</v>
      </c>
      <c r="E2200" s="35" t="s">
        <v>5515</v>
      </c>
      <c r="F2200" s="36">
        <v>0.2</v>
      </c>
      <c r="G2200" s="31"/>
      <c r="H2200" s="31"/>
      <c r="I2200" s="31"/>
      <c r="J2200" s="31"/>
      <c r="K2200" s="31"/>
    </row>
    <row r="2201" spans="1:11" ht="14.4" x14ac:dyDescent="0.3">
      <c r="A2201" s="28" t="str">
        <f>B2201&amp;C2201&amp;D2201&amp;E2201</f>
        <v>Oziq-ovqat mahsulotlariShokolad, konfetlar, shirinliklarZefir, pastila, marmeladZefir, pastila, marmelad</v>
      </c>
      <c r="B2201" s="35" t="s">
        <v>3180</v>
      </c>
      <c r="C2201" s="35" t="s">
        <v>5503</v>
      </c>
      <c r="D2201" s="35" t="s">
        <v>5516</v>
      </c>
      <c r="E2201" s="35" t="s">
        <v>5516</v>
      </c>
      <c r="F2201" s="36">
        <v>0.2</v>
      </c>
      <c r="G2201" s="31"/>
      <c r="H2201" s="31"/>
      <c r="I2201" s="31"/>
      <c r="J2201" s="31"/>
      <c r="K2201" s="31"/>
    </row>
    <row r="2202" spans="1:11" ht="14.4" x14ac:dyDescent="0.3">
      <c r="A2202" s="28" t="str">
        <f>B2202&amp;C2202&amp;D2202&amp;E2202</f>
        <v>Oziq-ovqat mahsulotlariShokolad, konfetlar, shirinliklarKonfetlarDraje konfetlari</v>
      </c>
      <c r="B2202" s="35" t="s">
        <v>3180</v>
      </c>
      <c r="C2202" s="35" t="s">
        <v>5503</v>
      </c>
      <c r="D2202" s="35" t="s">
        <v>5505</v>
      </c>
      <c r="E2202" s="35" t="s">
        <v>5517</v>
      </c>
      <c r="F2202" s="36">
        <v>0.2</v>
      </c>
      <c r="G2202" s="31"/>
      <c r="H2202" s="31"/>
      <c r="I2202" s="31"/>
      <c r="J2202" s="31"/>
      <c r="K2202" s="31"/>
    </row>
    <row r="2203" spans="1:11" ht="14.4" x14ac:dyDescent="0.3">
      <c r="A2203" s="28" t="str">
        <f>B2203&amp;C2203&amp;D2203&amp;E2203</f>
        <v>Oziq-ovqat mahsulotlariShokolad, konfetlar, shirinliklarSharq shirinliklariSharq shirinliklari</v>
      </c>
      <c r="B2203" s="35" t="s">
        <v>3180</v>
      </c>
      <c r="C2203" s="35" t="s">
        <v>5503</v>
      </c>
      <c r="D2203" s="35" t="s">
        <v>5518</v>
      </c>
      <c r="E2203" s="35" t="s">
        <v>5518</v>
      </c>
      <c r="F2203" s="36">
        <v>0.2</v>
      </c>
      <c r="G2203" s="31"/>
      <c r="H2203" s="31"/>
      <c r="I2203" s="31"/>
      <c r="J2203" s="31"/>
      <c r="K2203" s="31"/>
    </row>
    <row r="2204" spans="1:11" ht="14.4" x14ac:dyDescent="0.3">
      <c r="A2204" s="28" t="str">
        <f>B2204&amp;C2204&amp;D2204&amp;E2204</f>
        <v>Oziq-ovqat mahsulotlariShokolad, konfetlar, shirinliklarTortlar, ruletlar, kekslerTortlar, ruletlar, keksler</v>
      </c>
      <c r="B2204" s="35" t="s">
        <v>3180</v>
      </c>
      <c r="C2204" s="35" t="s">
        <v>5503</v>
      </c>
      <c r="D2204" s="35" t="s">
        <v>5519</v>
      </c>
      <c r="E2204" s="35" t="s">
        <v>5519</v>
      </c>
      <c r="F2204" s="36">
        <v>0.2</v>
      </c>
      <c r="G2204" s="31"/>
      <c r="H2204" s="31"/>
      <c r="I2204" s="31"/>
      <c r="J2204" s="31"/>
      <c r="K2204" s="31"/>
    </row>
    <row r="2205" spans="1:11" ht="14.4" x14ac:dyDescent="0.3">
      <c r="A2205" s="28" t="str">
        <f>B2205&amp;C2205&amp;D2205&amp;E2205</f>
        <v>Oziq-ovqat mahsulotlariShokolad, konfetlar, shirinliklarSaqichlarSaqichlar</v>
      </c>
      <c r="B2205" s="35" t="s">
        <v>3180</v>
      </c>
      <c r="C2205" s="35" t="s">
        <v>5503</v>
      </c>
      <c r="D2205" s="35" t="s">
        <v>5520</v>
      </c>
      <c r="E2205" s="35" t="s">
        <v>5520</v>
      </c>
      <c r="F2205" s="36">
        <v>0.2</v>
      </c>
      <c r="G2205" s="31"/>
      <c r="H2205" s="31"/>
      <c r="I2205" s="31"/>
      <c r="J2205" s="31"/>
      <c r="K2205" s="31"/>
    </row>
    <row r="2206" spans="1:11" ht="14.4" x14ac:dyDescent="0.3">
      <c r="A2206" s="28" t="str">
        <f>B2206&amp;C2206&amp;D2206&amp;E2206</f>
        <v>PoyabzallarErkaklar poyabzaliTufliLoferlar</v>
      </c>
      <c r="B2206" s="35" t="s">
        <v>3183</v>
      </c>
      <c r="C2206" s="35" t="s">
        <v>5521</v>
      </c>
      <c r="D2206" s="35" t="s">
        <v>5522</v>
      </c>
      <c r="E2206" s="35" t="s">
        <v>5523</v>
      </c>
      <c r="F2206" s="36">
        <v>0.2</v>
      </c>
      <c r="G2206" s="31"/>
      <c r="H2206" s="31"/>
      <c r="I2206" s="31"/>
      <c r="J2206" s="31"/>
      <c r="K2206" s="31"/>
    </row>
    <row r="2207" spans="1:11" ht="14.4" x14ac:dyDescent="0.3">
      <c r="A2207" s="28" t="str">
        <f>B2207&amp;C2207&amp;D2207&amp;E2207</f>
        <v>PoyabzallarErkaklar poyabzaliBotinkalarBertslar</v>
      </c>
      <c r="B2207" s="35" t="s">
        <v>3183</v>
      </c>
      <c r="C2207" s="35" t="s">
        <v>5521</v>
      </c>
      <c r="D2207" s="35" t="s">
        <v>5524</v>
      </c>
      <c r="E2207" s="35" t="s">
        <v>5525</v>
      </c>
      <c r="F2207" s="36">
        <v>0.2</v>
      </c>
      <c r="G2207" s="31"/>
      <c r="H2207" s="31"/>
      <c r="I2207" s="31"/>
      <c r="J2207" s="31"/>
      <c r="K2207" s="31"/>
    </row>
    <row r="2208" spans="1:11" ht="14.4" x14ac:dyDescent="0.3">
      <c r="A2208" s="28" t="str">
        <f>B2208&amp;C2208&amp;D2208&amp;E2208</f>
        <v>PoyabzallarAyollar poyabzaliEtiklar va uggiQoʻnji kalta etiklar</v>
      </c>
      <c r="B2208" s="35" t="s">
        <v>3183</v>
      </c>
      <c r="C2208" s="35" t="s">
        <v>4039</v>
      </c>
      <c r="D2208" s="35" t="s">
        <v>5526</v>
      </c>
      <c r="E2208" s="35" t="s">
        <v>5527</v>
      </c>
      <c r="F2208" s="36">
        <v>0.2</v>
      </c>
      <c r="G2208" s="31"/>
      <c r="H2208" s="31"/>
      <c r="I2208" s="31"/>
      <c r="J2208" s="31"/>
      <c r="K2208" s="31"/>
    </row>
    <row r="2209" spans="1:11" ht="14.4" x14ac:dyDescent="0.3">
      <c r="A2209" s="28" t="str">
        <f>B2209&amp;C2209&amp;D2209&amp;E2209</f>
        <v>PoyabzallarErkaklar poyabzaliSandalilar va saboSabo</v>
      </c>
      <c r="B2209" s="35" t="s">
        <v>3183</v>
      </c>
      <c r="C2209" s="35" t="s">
        <v>5521</v>
      </c>
      <c r="D2209" s="35" t="s">
        <v>5528</v>
      </c>
      <c r="E2209" s="35" t="s">
        <v>5529</v>
      </c>
      <c r="F2209" s="36">
        <v>0.2</v>
      </c>
      <c r="G2209" s="31"/>
      <c r="H2209" s="31"/>
      <c r="I2209" s="31"/>
      <c r="J2209" s="31"/>
      <c r="K2209" s="31"/>
    </row>
    <row r="2210" spans="1:11" ht="14.4" x14ac:dyDescent="0.3">
      <c r="A2210" s="28" t="str">
        <f>B2210&amp;C2210&amp;D2210&amp;E2210</f>
        <v>PoyabzallarErkaklar poyabzaliEtiklar va uggiQoʻnji kalta etiklar</v>
      </c>
      <c r="B2210" s="35" t="s">
        <v>3183</v>
      </c>
      <c r="C2210" s="35" t="s">
        <v>5521</v>
      </c>
      <c r="D2210" s="35" t="s">
        <v>5526</v>
      </c>
      <c r="E2210" s="35" t="s">
        <v>5527</v>
      </c>
      <c r="F2210" s="36">
        <v>0.2</v>
      </c>
      <c r="G2210" s="31"/>
      <c r="H2210" s="31"/>
      <c r="I2210" s="31"/>
      <c r="J2210" s="31"/>
      <c r="K2210" s="31"/>
    </row>
    <row r="2211" spans="1:11" ht="14.4" x14ac:dyDescent="0.3">
      <c r="A2211" s="28" t="str">
        <f>B2211&amp;C2211&amp;D2211&amp;E2211</f>
        <v>PoyabzallarErkaklar poyabzaliUyda kiyish uchun poyabzalUyda kiyish uchun poyabzal</v>
      </c>
      <c r="B2211" s="35" t="s">
        <v>3183</v>
      </c>
      <c r="C2211" s="35" t="s">
        <v>5521</v>
      </c>
      <c r="D2211" s="35" t="s">
        <v>5530</v>
      </c>
      <c r="E2211" s="35" t="s">
        <v>5530</v>
      </c>
      <c r="F2211" s="36">
        <v>0.2</v>
      </c>
      <c r="G2211" s="31"/>
      <c r="H2211" s="31"/>
      <c r="I2211" s="31"/>
      <c r="J2211" s="31"/>
      <c r="K2211" s="31"/>
    </row>
    <row r="2212" spans="1:11" ht="14.4" x14ac:dyDescent="0.3">
      <c r="A2212" s="28" t="str">
        <f>B2212&amp;C2212&amp;D2212&amp;E2212</f>
        <v>PoyabzallarErkaklar poyabzaliBotinkalarPast botinkalar</v>
      </c>
      <c r="B2212" s="35" t="s">
        <v>3183</v>
      </c>
      <c r="C2212" s="35" t="s">
        <v>5521</v>
      </c>
      <c r="D2212" s="35" t="s">
        <v>5524</v>
      </c>
      <c r="E2212" s="35" t="s">
        <v>5531</v>
      </c>
      <c r="F2212" s="36">
        <v>0.2</v>
      </c>
      <c r="G2212" s="31"/>
      <c r="H2212" s="31"/>
      <c r="I2212" s="31"/>
      <c r="J2212" s="31"/>
      <c r="K2212" s="31"/>
    </row>
    <row r="2213" spans="1:11" ht="14.4" x14ac:dyDescent="0.3">
      <c r="A2213" s="28" t="str">
        <f>B2213&amp;C2213&amp;D2213&amp;E2213</f>
        <v>PoyabzallarErkaklar poyabzaliRezin poyabzalSandalilar</v>
      </c>
      <c r="B2213" s="35" t="s">
        <v>3183</v>
      </c>
      <c r="C2213" s="35" t="s">
        <v>5521</v>
      </c>
      <c r="D2213" s="35" t="s">
        <v>5532</v>
      </c>
      <c r="E2213" s="35" t="s">
        <v>5533</v>
      </c>
      <c r="F2213" s="36">
        <v>0.2</v>
      </c>
      <c r="G2213" s="31"/>
      <c r="H2213" s="31"/>
      <c r="I2213" s="31"/>
      <c r="J2213" s="31"/>
      <c r="K2213" s="31"/>
    </row>
    <row r="2214" spans="1:11" ht="14.4" x14ac:dyDescent="0.3">
      <c r="A2214" s="28" t="str">
        <f>B2214&amp;C2214&amp;D2214&amp;E2214</f>
        <v>PoyabzallarErkaklar poyabzaliEtiklar va uggiEtiklar</v>
      </c>
      <c r="B2214" s="35" t="s">
        <v>3183</v>
      </c>
      <c r="C2214" s="35" t="s">
        <v>5521</v>
      </c>
      <c r="D2214" s="35" t="s">
        <v>5526</v>
      </c>
      <c r="E2214" s="35" t="s">
        <v>5534</v>
      </c>
      <c r="F2214" s="36">
        <v>0.2</v>
      </c>
      <c r="G2214" s="31"/>
      <c r="H2214" s="31"/>
      <c r="I2214" s="31"/>
      <c r="J2214" s="31"/>
      <c r="K2214" s="31"/>
    </row>
    <row r="2215" spans="1:11" ht="14.4" x14ac:dyDescent="0.3">
      <c r="A2215" s="28" t="str">
        <f>B2215&amp;C2215&amp;D2215&amp;E2215</f>
        <v>PoyabzallarAyollar poyabzaliTo'liqligi ortgan poyafzalMokasinlar va topsayderlar</v>
      </c>
      <c r="B2215" s="35" t="s">
        <v>3183</v>
      </c>
      <c r="C2215" s="35" t="s">
        <v>4039</v>
      </c>
      <c r="D2215" s="35" t="s">
        <v>5535</v>
      </c>
      <c r="E2215" s="35" t="s">
        <v>5536</v>
      </c>
      <c r="F2215" s="36">
        <v>0.2</v>
      </c>
      <c r="G2215" s="31"/>
      <c r="H2215" s="31"/>
      <c r="I2215" s="31"/>
      <c r="J2215" s="31"/>
      <c r="K2215" s="31"/>
    </row>
    <row r="2216" spans="1:11" ht="14.4" x14ac:dyDescent="0.3">
      <c r="A2216" s="28" t="str">
        <f>B2216&amp;C2216&amp;D2216&amp;E2216</f>
        <v>PoyabzallarAyollar poyabzaliBotinkalarOksfordlar va derbilar</v>
      </c>
      <c r="B2216" s="35" t="s">
        <v>3183</v>
      </c>
      <c r="C2216" s="35" t="s">
        <v>4039</v>
      </c>
      <c r="D2216" s="35" t="s">
        <v>5524</v>
      </c>
      <c r="E2216" s="35" t="s">
        <v>5537</v>
      </c>
      <c r="F2216" s="36">
        <v>0.2</v>
      </c>
      <c r="G2216" s="31"/>
      <c r="H2216" s="31"/>
      <c r="I2216" s="31"/>
      <c r="J2216" s="31"/>
      <c r="K2216" s="31"/>
    </row>
    <row r="2217" spans="1:11" ht="14.4" x14ac:dyDescent="0.3">
      <c r="A2217" s="28" t="str">
        <f>B2217&amp;C2217&amp;D2217&amp;E2217</f>
        <v>PoyabzallarAyollar poyabzaliEtiklar va uggiUggi</v>
      </c>
      <c r="B2217" s="35" t="s">
        <v>3183</v>
      </c>
      <c r="C2217" s="35" t="s">
        <v>4039</v>
      </c>
      <c r="D2217" s="35" t="s">
        <v>5526</v>
      </c>
      <c r="E2217" s="35" t="s">
        <v>5538</v>
      </c>
      <c r="F2217" s="36">
        <v>0.2</v>
      </c>
      <c r="G2217" s="31"/>
      <c r="H2217" s="31"/>
      <c r="I2217" s="31"/>
      <c r="J2217" s="31"/>
      <c r="K2217" s="31"/>
    </row>
    <row r="2218" spans="1:11" ht="14.4" x14ac:dyDescent="0.3">
      <c r="A2218" s="28" t="str">
        <f>B2218&amp;C2218&amp;D2218&amp;E2218</f>
        <v>PoyabzallarErkaklar poyabzaliMaxsus poyabzalMaxsus poyabzal</v>
      </c>
      <c r="B2218" s="35" t="s">
        <v>3183</v>
      </c>
      <c r="C2218" s="35" t="s">
        <v>5521</v>
      </c>
      <c r="D2218" s="35" t="s">
        <v>5539</v>
      </c>
      <c r="E2218" s="35" t="s">
        <v>5539</v>
      </c>
      <c r="F2218" s="36">
        <v>0.2</v>
      </c>
      <c r="G2218" s="31"/>
      <c r="H2218" s="31"/>
      <c r="I2218" s="31"/>
      <c r="J2218" s="31"/>
      <c r="K2218" s="31"/>
    </row>
    <row r="2219" spans="1:11" ht="14.4" x14ac:dyDescent="0.3">
      <c r="A2219" s="28" t="str">
        <f>B2219&amp;C2219&amp;D2219&amp;E2219</f>
        <v>PoyabzallarAyollar poyabzaliSliponlarBaland sliponlar</v>
      </c>
      <c r="B2219" s="35" t="s">
        <v>3183</v>
      </c>
      <c r="C2219" s="35" t="s">
        <v>4039</v>
      </c>
      <c r="D2219" s="35" t="s">
        <v>5540</v>
      </c>
      <c r="E2219" s="35" t="s">
        <v>5541</v>
      </c>
      <c r="F2219" s="36">
        <v>0.2</v>
      </c>
      <c r="G2219" s="31"/>
      <c r="H2219" s="31"/>
      <c r="I2219" s="31"/>
      <c r="J2219" s="31"/>
      <c r="K2219" s="31"/>
    </row>
    <row r="2220" spans="1:11" ht="14.4" x14ac:dyDescent="0.3">
      <c r="A2220" s="28" t="str">
        <f>B2220&amp;C2220&amp;D2220&amp;E2220</f>
        <v>PoyabzallarAyollar poyabzaliTufli va loferlarLodochkalar</v>
      </c>
      <c r="B2220" s="35" t="s">
        <v>3183</v>
      </c>
      <c r="C2220" s="35" t="s">
        <v>4039</v>
      </c>
      <c r="D2220" s="35" t="s">
        <v>5542</v>
      </c>
      <c r="E2220" s="35" t="s">
        <v>5543</v>
      </c>
      <c r="F2220" s="36">
        <v>0.2</v>
      </c>
      <c r="G2220" s="31"/>
      <c r="H2220" s="31"/>
      <c r="I2220" s="31"/>
      <c r="J2220" s="31"/>
      <c r="K2220" s="31"/>
    </row>
    <row r="2221" spans="1:11" ht="14.4" x14ac:dyDescent="0.3">
      <c r="A2221" s="28" t="str">
        <f>B2221&amp;C2221&amp;D2221&amp;E2221</f>
        <v>PoyabzallarAyollar poyabzaliShishgan poyabzalSliponlar</v>
      </c>
      <c r="B2221" s="35" t="s">
        <v>3183</v>
      </c>
      <c r="C2221" s="35" t="s">
        <v>4039</v>
      </c>
      <c r="D2221" s="35" t="s">
        <v>5544</v>
      </c>
      <c r="E2221" s="35" t="s">
        <v>5540</v>
      </c>
      <c r="F2221" s="36">
        <v>0.2</v>
      </c>
      <c r="G2221" s="31"/>
      <c r="H2221" s="31"/>
      <c r="I2221" s="31"/>
      <c r="J2221" s="31"/>
      <c r="K2221" s="31"/>
    </row>
    <row r="2222" spans="1:11" ht="14.4" x14ac:dyDescent="0.3">
      <c r="A2222" s="28" t="str">
        <f>B2222&amp;C2222&amp;D2222&amp;E2222</f>
        <v>PoyabzallarErkaklar poyabzaliTufliDerbi</v>
      </c>
      <c r="B2222" s="35" t="s">
        <v>3183</v>
      </c>
      <c r="C2222" s="35" t="s">
        <v>5521</v>
      </c>
      <c r="D2222" s="35" t="s">
        <v>5522</v>
      </c>
      <c r="E2222" s="35" t="s">
        <v>5545</v>
      </c>
      <c r="F2222" s="36">
        <v>0.2</v>
      </c>
      <c r="G2222" s="31"/>
      <c r="H2222" s="31"/>
      <c r="I2222" s="31"/>
      <c r="J2222" s="31"/>
      <c r="K2222" s="31"/>
    </row>
    <row r="2223" spans="1:11" ht="14.4" x14ac:dyDescent="0.3">
      <c r="A2223" s="28" t="str">
        <f>B2223&amp;C2223&amp;D2223&amp;E2223</f>
        <v>PoyabzallarAyollar poyabzaliBotilyonlarBaland botilyonlar</v>
      </c>
      <c r="B2223" s="35" t="s">
        <v>3183</v>
      </c>
      <c r="C2223" s="35" t="s">
        <v>4039</v>
      </c>
      <c r="D2223" s="35" t="s">
        <v>5546</v>
      </c>
      <c r="E2223" s="35" t="s">
        <v>5547</v>
      </c>
      <c r="F2223" s="36">
        <v>0.2</v>
      </c>
      <c r="G2223" s="31"/>
      <c r="H2223" s="31"/>
      <c r="I2223" s="31"/>
      <c r="J2223" s="31"/>
      <c r="K2223" s="31"/>
    </row>
    <row r="2224" spans="1:11" ht="14.4" x14ac:dyDescent="0.3">
      <c r="A2224" s="28" t="str">
        <f>B2224&amp;C2224&amp;D2224&amp;E2224</f>
        <v>PoyabzallarErkaklar poyabzaliMokasinlar va topsayderlarMokasinlar</v>
      </c>
      <c r="B2224" s="35" t="s">
        <v>3183</v>
      </c>
      <c r="C2224" s="35" t="s">
        <v>5521</v>
      </c>
      <c r="D2224" s="35" t="s">
        <v>5536</v>
      </c>
      <c r="E2224" s="35" t="s">
        <v>5548</v>
      </c>
      <c r="F2224" s="36">
        <v>0.2</v>
      </c>
      <c r="G2224" s="31"/>
      <c r="H2224" s="31"/>
      <c r="I2224" s="31"/>
      <c r="J2224" s="31"/>
      <c r="K2224" s="31"/>
    </row>
    <row r="2225" spans="1:11" ht="14.4" x14ac:dyDescent="0.3">
      <c r="A2225" s="28" t="str">
        <f>B2225&amp;C2225&amp;D2225&amp;E2225</f>
        <v>PoyabzallarAyollar poyabzaliBaletkalarDumaloq oyoqli balerinalar</v>
      </c>
      <c r="B2225" s="35" t="s">
        <v>3183</v>
      </c>
      <c r="C2225" s="35" t="s">
        <v>4039</v>
      </c>
      <c r="D2225" s="35" t="s">
        <v>5549</v>
      </c>
      <c r="E2225" s="35" t="s">
        <v>5550</v>
      </c>
      <c r="F2225" s="36">
        <v>0.2</v>
      </c>
      <c r="G2225" s="31"/>
      <c r="H2225" s="31"/>
      <c r="I2225" s="31"/>
      <c r="J2225" s="31"/>
      <c r="K2225" s="31"/>
    </row>
    <row r="2226" spans="1:11" ht="14.4" x14ac:dyDescent="0.3">
      <c r="A2226" s="28" t="str">
        <f>B2226&amp;C2226&amp;D2226&amp;E2226</f>
        <v>PoyabzallarAyollar poyabzaliRezin poyabzallarSandalilar</v>
      </c>
      <c r="B2226" s="35" t="s">
        <v>3183</v>
      </c>
      <c r="C2226" s="35" t="s">
        <v>4039</v>
      </c>
      <c r="D2226" s="35" t="s">
        <v>5551</v>
      </c>
      <c r="E2226" s="35" t="s">
        <v>5533</v>
      </c>
      <c r="F2226" s="36">
        <v>0.2</v>
      </c>
      <c r="G2226" s="31"/>
      <c r="H2226" s="31"/>
      <c r="I2226" s="31"/>
      <c r="J2226" s="31"/>
      <c r="K2226" s="31"/>
    </row>
    <row r="2227" spans="1:11" ht="14.4" x14ac:dyDescent="0.3">
      <c r="A2227" s="28" t="str">
        <f>B2227&amp;C2227&amp;D2227&amp;E2227</f>
        <v>PoyabzallarErkaklar poyabzaliBotinkalarChelsi</v>
      </c>
      <c r="B2227" s="35" t="s">
        <v>3183</v>
      </c>
      <c r="C2227" s="35" t="s">
        <v>5521</v>
      </c>
      <c r="D2227" s="35" t="s">
        <v>5524</v>
      </c>
      <c r="E2227" s="35" t="s">
        <v>5552</v>
      </c>
      <c r="F2227" s="36">
        <v>0.2</v>
      </c>
      <c r="G2227" s="31"/>
      <c r="H2227" s="31"/>
      <c r="I2227" s="31"/>
      <c r="J2227" s="31"/>
      <c r="K2227" s="31"/>
    </row>
    <row r="2228" spans="1:11" ht="14.4" x14ac:dyDescent="0.3">
      <c r="A2228" s="28" t="str">
        <f>B2228&amp;C2228&amp;D2228&amp;E2228</f>
        <v>PoyabzallarErkaklar poyabzaliRezin poyabzalSabo</v>
      </c>
      <c r="B2228" s="35" t="s">
        <v>3183</v>
      </c>
      <c r="C2228" s="35" t="s">
        <v>5521</v>
      </c>
      <c r="D2228" s="35" t="s">
        <v>5532</v>
      </c>
      <c r="E2228" s="35" t="s">
        <v>5529</v>
      </c>
      <c r="F2228" s="36">
        <v>0.2</v>
      </c>
      <c r="G2228" s="31"/>
      <c r="H2228" s="31"/>
      <c r="I2228" s="31"/>
      <c r="J2228" s="31"/>
      <c r="K2228" s="31"/>
    </row>
    <row r="2229" spans="1:11" ht="14.4" x14ac:dyDescent="0.3">
      <c r="A2229" s="28" t="str">
        <f>B2229&amp;C2229&amp;D2229&amp;E2229</f>
        <v>PoyabzallarAyollar poyabzaliRezin poyabzallarShlepanslar</v>
      </c>
      <c r="B2229" s="35" t="s">
        <v>3183</v>
      </c>
      <c r="C2229" s="35" t="s">
        <v>4039</v>
      </c>
      <c r="D2229" s="35" t="s">
        <v>5551</v>
      </c>
      <c r="E2229" s="35" t="s">
        <v>5553</v>
      </c>
      <c r="F2229" s="36">
        <v>0.2</v>
      </c>
      <c r="G2229" s="31"/>
      <c r="H2229" s="31"/>
      <c r="I2229" s="31"/>
      <c r="J2229" s="31"/>
      <c r="K2229" s="31"/>
    </row>
    <row r="2230" spans="1:11" ht="14.4" x14ac:dyDescent="0.3">
      <c r="A2230" s="28" t="str">
        <f>B2230&amp;C2230&amp;D2230&amp;E2230</f>
        <v>PoyabzallarErkaklar poyabzaliSandalilar va saboSandalilar</v>
      </c>
      <c r="B2230" s="35" t="s">
        <v>3183</v>
      </c>
      <c r="C2230" s="35" t="s">
        <v>5521</v>
      </c>
      <c r="D2230" s="35" t="s">
        <v>5528</v>
      </c>
      <c r="E2230" s="35" t="s">
        <v>5533</v>
      </c>
      <c r="F2230" s="36">
        <v>0.2</v>
      </c>
      <c r="G2230" s="31"/>
      <c r="H2230" s="31"/>
      <c r="I2230" s="31"/>
      <c r="J2230" s="31"/>
      <c r="K2230" s="31"/>
    </row>
    <row r="2231" spans="1:11" ht="14.4" x14ac:dyDescent="0.3">
      <c r="A2231" s="28" t="str">
        <f>B2231&amp;C2231&amp;D2231&amp;E2231</f>
        <v>PoyabzallarAyollar poyabzaliBaletkalarOchiq oyoqli balerinalar</v>
      </c>
      <c r="B2231" s="35" t="s">
        <v>3183</v>
      </c>
      <c r="C2231" s="35" t="s">
        <v>4039</v>
      </c>
      <c r="D2231" s="35" t="s">
        <v>5549</v>
      </c>
      <c r="E2231" s="35" t="s">
        <v>5554</v>
      </c>
      <c r="F2231" s="36">
        <v>0.2</v>
      </c>
      <c r="G2231" s="31"/>
      <c r="H2231" s="31"/>
      <c r="I2231" s="31"/>
      <c r="J2231" s="31"/>
      <c r="K2231" s="31"/>
    </row>
    <row r="2232" spans="1:11" ht="14.4" x14ac:dyDescent="0.3">
      <c r="A2232" s="28" t="str">
        <f>B2232&amp;C2232&amp;D2232&amp;E2232</f>
        <v>PoyabzallarAyollar poyabzaliBaletkalarOyoq barmoqlari uchli balerinalar</v>
      </c>
      <c r="B2232" s="35" t="s">
        <v>3183</v>
      </c>
      <c r="C2232" s="35" t="s">
        <v>4039</v>
      </c>
      <c r="D2232" s="35" t="s">
        <v>5549</v>
      </c>
      <c r="E2232" s="35" t="s">
        <v>5555</v>
      </c>
      <c r="F2232" s="36">
        <v>0.2</v>
      </c>
      <c r="G2232" s="31"/>
      <c r="H2232" s="31"/>
      <c r="I2232" s="31"/>
      <c r="J2232" s="31"/>
      <c r="K2232" s="31"/>
    </row>
    <row r="2233" spans="1:11" ht="14.4" x14ac:dyDescent="0.3">
      <c r="A2233" s="28" t="str">
        <f>B2233&amp;C2233&amp;D2233&amp;E2233</f>
        <v>PoyabzallarErkaklar poyabzaliRezin poyabzalEtiklar</v>
      </c>
      <c r="B2233" s="35" t="s">
        <v>3183</v>
      </c>
      <c r="C2233" s="35" t="s">
        <v>5521</v>
      </c>
      <c r="D2233" s="35" t="s">
        <v>5532</v>
      </c>
      <c r="E2233" s="35" t="s">
        <v>5534</v>
      </c>
      <c r="F2233" s="36">
        <v>0.2</v>
      </c>
      <c r="G2233" s="31"/>
      <c r="H2233" s="31"/>
      <c r="I2233" s="31"/>
      <c r="J2233" s="31"/>
      <c r="K2233" s="31"/>
    </row>
    <row r="2234" spans="1:11" ht="14.4" x14ac:dyDescent="0.3">
      <c r="A2234" s="28" t="str">
        <f>B2234&amp;C2234&amp;D2234&amp;E2234</f>
        <v>PoyabzallarErkaklar poyabzaliBotinkalarBaland botinkalar</v>
      </c>
      <c r="B2234" s="35" t="s">
        <v>3183</v>
      </c>
      <c r="C2234" s="35" t="s">
        <v>5521</v>
      </c>
      <c r="D2234" s="35" t="s">
        <v>5524</v>
      </c>
      <c r="E2234" s="35" t="s">
        <v>5556</v>
      </c>
      <c r="F2234" s="36">
        <v>0.2</v>
      </c>
      <c r="G2234" s="31"/>
      <c r="H2234" s="31"/>
      <c r="I2234" s="31"/>
      <c r="J2234" s="31"/>
      <c r="K2234" s="31"/>
    </row>
    <row r="2235" spans="1:11" ht="14.4" x14ac:dyDescent="0.3">
      <c r="A2235" s="28" t="str">
        <f>B2235&amp;C2235&amp;D2235&amp;E2235</f>
        <v>PoyabzallarAyollar poyabzaliKrossovkalar va kedalarKrossovkalar</v>
      </c>
      <c r="B2235" s="35" t="s">
        <v>3183</v>
      </c>
      <c r="C2235" s="35" t="s">
        <v>4039</v>
      </c>
      <c r="D2235" s="35" t="s">
        <v>5557</v>
      </c>
      <c r="E2235" s="35" t="s">
        <v>5558</v>
      </c>
      <c r="F2235" s="36">
        <v>0.2</v>
      </c>
      <c r="G2235" s="31"/>
      <c r="H2235" s="31"/>
      <c r="I2235" s="31"/>
      <c r="J2235" s="31"/>
      <c r="K2235" s="31"/>
    </row>
    <row r="2236" spans="1:11" ht="14.4" x14ac:dyDescent="0.3">
      <c r="A2236" s="28" t="str">
        <f>B2236&amp;C2236&amp;D2236&amp;E2236</f>
        <v>PoyabzallarAyollar poyabzaliKazak etiklarKazak etiklar</v>
      </c>
      <c r="B2236" s="35" t="s">
        <v>3183</v>
      </c>
      <c r="C2236" s="35" t="s">
        <v>4039</v>
      </c>
      <c r="D2236" s="35" t="s">
        <v>5559</v>
      </c>
      <c r="E2236" s="35" t="s">
        <v>5559</v>
      </c>
      <c r="F2236" s="36">
        <v>0.2</v>
      </c>
      <c r="G2236" s="31"/>
      <c r="H2236" s="31"/>
      <c r="I2236" s="31"/>
      <c r="J2236" s="31"/>
      <c r="K2236" s="31"/>
    </row>
    <row r="2237" spans="1:11" ht="14.4" x14ac:dyDescent="0.3">
      <c r="A2237" s="28" t="str">
        <f>B2237&amp;C2237&amp;D2237&amp;E2237</f>
        <v>PoyabzallarErkaklar poyabzaliEtiklar va uggiUggi</v>
      </c>
      <c r="B2237" s="35" t="s">
        <v>3183</v>
      </c>
      <c r="C2237" s="35" t="s">
        <v>5521</v>
      </c>
      <c r="D2237" s="35" t="s">
        <v>5526</v>
      </c>
      <c r="E2237" s="35" t="s">
        <v>5538</v>
      </c>
      <c r="F2237" s="36">
        <v>0.2</v>
      </c>
      <c r="G2237" s="31"/>
      <c r="H2237" s="31"/>
      <c r="I2237" s="31"/>
      <c r="J2237" s="31"/>
      <c r="K2237" s="31"/>
    </row>
    <row r="2238" spans="1:11" ht="14.4" x14ac:dyDescent="0.3">
      <c r="A2238" s="28" t="str">
        <f>B2238&amp;C2238&amp;D2238&amp;E2238</f>
        <v>PoyabzallarErkaklar poyabzaliTufliMonkilar</v>
      </c>
      <c r="B2238" s="35" t="s">
        <v>3183</v>
      </c>
      <c r="C2238" s="35" t="s">
        <v>5521</v>
      </c>
      <c r="D2238" s="35" t="s">
        <v>5522</v>
      </c>
      <c r="E2238" s="35" t="s">
        <v>5560</v>
      </c>
      <c r="F2238" s="36">
        <v>0.2</v>
      </c>
      <c r="G2238" s="31"/>
      <c r="H2238" s="31"/>
      <c r="I2238" s="31"/>
      <c r="J2238" s="31"/>
      <c r="K2238" s="31"/>
    </row>
    <row r="2239" spans="1:11" ht="14.4" x14ac:dyDescent="0.3">
      <c r="A2239" s="28" t="str">
        <f>B2239&amp;C2239&amp;D2239&amp;E2239</f>
        <v>PoyabzallarAyollar poyabzaliEtiklar va uggiBotfortlar</v>
      </c>
      <c r="B2239" s="35" t="s">
        <v>3183</v>
      </c>
      <c r="C2239" s="35" t="s">
        <v>4039</v>
      </c>
      <c r="D2239" s="35" t="s">
        <v>5526</v>
      </c>
      <c r="E2239" s="35" t="s">
        <v>5561</v>
      </c>
      <c r="F2239" s="36">
        <v>0.2</v>
      </c>
      <c r="G2239" s="31"/>
      <c r="H2239" s="31"/>
      <c r="I2239" s="31"/>
      <c r="J2239" s="31"/>
      <c r="K2239" s="31"/>
    </row>
    <row r="2240" spans="1:11" ht="14.4" x14ac:dyDescent="0.3">
      <c r="A2240" s="28" t="str">
        <f>B2240&amp;C2240&amp;D2240&amp;E2240</f>
        <v>PoyabzallarAyollar poyabzaliEspadrillarEspadrillar</v>
      </c>
      <c r="B2240" s="35" t="s">
        <v>3183</v>
      </c>
      <c r="C2240" s="35" t="s">
        <v>4039</v>
      </c>
      <c r="D2240" s="35" t="s">
        <v>5562</v>
      </c>
      <c r="E2240" s="35" t="s">
        <v>5562</v>
      </c>
      <c r="F2240" s="36">
        <v>0.2</v>
      </c>
      <c r="G2240" s="31"/>
      <c r="H2240" s="31"/>
      <c r="I2240" s="31"/>
      <c r="J2240" s="31"/>
      <c r="K2240" s="31"/>
    </row>
    <row r="2241" spans="1:11" ht="14.4" x14ac:dyDescent="0.3">
      <c r="A2241" s="28" t="str">
        <f>B2241&amp;C2241&amp;D2241&amp;E2241</f>
        <v>PoyabzallarAyollar poyabzaliBotinkalarPast botinkalar</v>
      </c>
      <c r="B2241" s="35" t="s">
        <v>3183</v>
      </c>
      <c r="C2241" s="35" t="s">
        <v>4039</v>
      </c>
      <c r="D2241" s="35" t="s">
        <v>5524</v>
      </c>
      <c r="E2241" s="35" t="s">
        <v>5531</v>
      </c>
      <c r="F2241" s="36">
        <v>0.2</v>
      </c>
      <c r="G2241" s="31"/>
      <c r="H2241" s="31"/>
      <c r="I2241" s="31"/>
      <c r="J2241" s="31"/>
      <c r="K2241" s="31"/>
    </row>
    <row r="2242" spans="1:11" ht="14.4" x14ac:dyDescent="0.3">
      <c r="A2242" s="28" t="str">
        <f>B2242&amp;C2242&amp;D2242&amp;E2242</f>
        <v>PoyabzallarErkaklar poyabzaliRezin poyabzalShlepanslar</v>
      </c>
      <c r="B2242" s="35" t="s">
        <v>3183</v>
      </c>
      <c r="C2242" s="35" t="s">
        <v>5521</v>
      </c>
      <c r="D2242" s="35" t="s">
        <v>5532</v>
      </c>
      <c r="E2242" s="35" t="s">
        <v>5553</v>
      </c>
      <c r="F2242" s="36">
        <v>0.2</v>
      </c>
      <c r="G2242" s="31"/>
      <c r="H2242" s="31"/>
      <c r="I2242" s="31"/>
      <c r="J2242" s="31"/>
      <c r="K2242" s="31"/>
    </row>
    <row r="2243" spans="1:11" ht="14.4" x14ac:dyDescent="0.3">
      <c r="A2243" s="28" t="str">
        <f>B2243&amp;C2243&amp;D2243&amp;E2243</f>
        <v>PoyabzallarAyollar poyabzaliSabo va myuliSabo</v>
      </c>
      <c r="B2243" s="35" t="s">
        <v>3183</v>
      </c>
      <c r="C2243" s="35" t="s">
        <v>4039</v>
      </c>
      <c r="D2243" s="35" t="s">
        <v>5563</v>
      </c>
      <c r="E2243" s="35" t="s">
        <v>5529</v>
      </c>
      <c r="F2243" s="36">
        <v>0.2</v>
      </c>
      <c r="G2243" s="31"/>
      <c r="H2243" s="31"/>
      <c r="I2243" s="31"/>
      <c r="J2243" s="31"/>
      <c r="K2243" s="31"/>
    </row>
    <row r="2244" spans="1:11" ht="14.4" x14ac:dyDescent="0.3">
      <c r="A2244" s="28" t="str">
        <f>B2244&amp;C2244&amp;D2244&amp;E2244</f>
        <v>PoyabzallarAyollar poyabzaliShishgan poyabzalKrossovkalar</v>
      </c>
      <c r="B2244" s="35" t="s">
        <v>3183</v>
      </c>
      <c r="C2244" s="35" t="s">
        <v>4039</v>
      </c>
      <c r="D2244" s="35" t="s">
        <v>5544</v>
      </c>
      <c r="E2244" s="35" t="s">
        <v>5558</v>
      </c>
      <c r="F2244" s="36">
        <v>0.2</v>
      </c>
      <c r="G2244" s="31"/>
      <c r="H2244" s="31"/>
      <c r="I2244" s="31"/>
      <c r="J2244" s="31"/>
      <c r="K2244" s="31"/>
    </row>
    <row r="2245" spans="1:11" ht="14.4" x14ac:dyDescent="0.3">
      <c r="A2245" s="28" t="str">
        <f>B2245&amp;C2245&amp;D2245&amp;E2245</f>
        <v>PoyabzallarAyollar poyabzaliSandalilarBog'lamli sandalilar</v>
      </c>
      <c r="B2245" s="35" t="s">
        <v>3183</v>
      </c>
      <c r="C2245" s="35" t="s">
        <v>4039</v>
      </c>
      <c r="D2245" s="35" t="s">
        <v>5533</v>
      </c>
      <c r="E2245" s="35" t="s">
        <v>5564</v>
      </c>
      <c r="F2245" s="36">
        <v>0.2</v>
      </c>
      <c r="G2245" s="31"/>
      <c r="H2245" s="31"/>
      <c r="I2245" s="31"/>
      <c r="J2245" s="31"/>
      <c r="K2245" s="31"/>
    </row>
    <row r="2246" spans="1:11" ht="14.4" x14ac:dyDescent="0.3">
      <c r="A2246" s="28" t="str">
        <f>B2246&amp;C2246&amp;D2246&amp;E2246</f>
        <v>PoyabzallarAyollar poyabzaliEtiklar va uggiEtiklar</v>
      </c>
      <c r="B2246" s="35" t="s">
        <v>3183</v>
      </c>
      <c r="C2246" s="35" t="s">
        <v>4039</v>
      </c>
      <c r="D2246" s="35" t="s">
        <v>5526</v>
      </c>
      <c r="E2246" s="35" t="s">
        <v>5534</v>
      </c>
      <c r="F2246" s="36">
        <v>0.2</v>
      </c>
      <c r="G2246" s="31"/>
      <c r="H2246" s="31"/>
      <c r="I2246" s="31"/>
      <c r="J2246" s="31"/>
      <c r="K2246" s="31"/>
    </row>
    <row r="2247" spans="1:11" ht="14.4" x14ac:dyDescent="0.3">
      <c r="A2247" s="28" t="str">
        <f>B2247&amp;C2247&amp;D2247&amp;E2247</f>
        <v>PoyabzallarAyollar poyabzaliOqshom uchun poyabzalOqshom uchun poyabzal</v>
      </c>
      <c r="B2247" s="35" t="s">
        <v>3183</v>
      </c>
      <c r="C2247" s="35" t="s">
        <v>4039</v>
      </c>
      <c r="D2247" s="35" t="s">
        <v>5565</v>
      </c>
      <c r="E2247" s="35" t="s">
        <v>5565</v>
      </c>
      <c r="F2247" s="36">
        <v>0.2</v>
      </c>
      <c r="G2247" s="31"/>
      <c r="H2247" s="31"/>
      <c r="I2247" s="31"/>
      <c r="J2247" s="31"/>
      <c r="K2247" s="31"/>
    </row>
    <row r="2248" spans="1:11" ht="14.4" x14ac:dyDescent="0.3">
      <c r="A2248" s="28" t="str">
        <f>B2248&amp;C2248&amp;D2248&amp;E2248</f>
        <v>PoyabzallarAyollar poyabzaliRezin poyabzallarSabo</v>
      </c>
      <c r="B2248" s="35" t="s">
        <v>3183</v>
      </c>
      <c r="C2248" s="35" t="s">
        <v>4039</v>
      </c>
      <c r="D2248" s="35" t="s">
        <v>5551</v>
      </c>
      <c r="E2248" s="35" t="s">
        <v>5529</v>
      </c>
      <c r="F2248" s="36">
        <v>0.2</v>
      </c>
      <c r="G2248" s="31"/>
      <c r="H2248" s="31"/>
      <c r="I2248" s="31"/>
      <c r="J2248" s="31"/>
      <c r="K2248" s="31"/>
    </row>
    <row r="2249" spans="1:11" ht="14.4" x14ac:dyDescent="0.3">
      <c r="A2249" s="28" t="str">
        <f>B2249&amp;C2249&amp;D2249&amp;E2249</f>
        <v>PoyabzallarErkaklar poyabzaliRezin poyabzalSlanslar</v>
      </c>
      <c r="B2249" s="35" t="s">
        <v>3183</v>
      </c>
      <c r="C2249" s="35" t="s">
        <v>5521</v>
      </c>
      <c r="D2249" s="35" t="s">
        <v>5532</v>
      </c>
      <c r="E2249" s="35" t="s">
        <v>5566</v>
      </c>
      <c r="F2249" s="36">
        <v>0.2</v>
      </c>
      <c r="G2249" s="31"/>
      <c r="H2249" s="31"/>
      <c r="I2249" s="31"/>
      <c r="J2249" s="31"/>
      <c r="K2249" s="31"/>
    </row>
    <row r="2250" spans="1:11" ht="14.4" x14ac:dyDescent="0.3">
      <c r="A2250" s="28" t="str">
        <f>B2250&amp;C2250&amp;D2250&amp;E2250</f>
        <v>PoyabzallarErkaklar poyabzaliTufliOksfordlar</v>
      </c>
      <c r="B2250" s="35" t="s">
        <v>3183</v>
      </c>
      <c r="C2250" s="35" t="s">
        <v>5521</v>
      </c>
      <c r="D2250" s="35" t="s">
        <v>5522</v>
      </c>
      <c r="E2250" s="35" t="s">
        <v>5567</v>
      </c>
      <c r="F2250" s="36">
        <v>0.2</v>
      </c>
      <c r="G2250" s="31"/>
      <c r="H2250" s="31"/>
      <c r="I2250" s="31"/>
      <c r="J2250" s="31"/>
      <c r="K2250" s="31"/>
    </row>
    <row r="2251" spans="1:11" ht="14.4" x14ac:dyDescent="0.3">
      <c r="A2251" s="28" t="str">
        <f>B2251&amp;C2251&amp;D2251&amp;E2251</f>
        <v>PoyabzallarAyollar poyabzaliBosonojkalarBosonojkalar</v>
      </c>
      <c r="B2251" s="35" t="s">
        <v>3183</v>
      </c>
      <c r="C2251" s="35" t="s">
        <v>4039</v>
      </c>
      <c r="D2251" s="35" t="s">
        <v>5568</v>
      </c>
      <c r="E2251" s="35" t="s">
        <v>5568</v>
      </c>
      <c r="F2251" s="36">
        <v>0.2</v>
      </c>
      <c r="G2251" s="31"/>
      <c r="H2251" s="31"/>
      <c r="I2251" s="31"/>
      <c r="J2251" s="31"/>
      <c r="K2251" s="31"/>
    </row>
    <row r="2252" spans="1:11" ht="14.4" x14ac:dyDescent="0.3">
      <c r="A2252" s="28" t="str">
        <f>B2252&amp;C2252&amp;D2252&amp;E2252</f>
        <v>PoyabzallarAyollar poyabzaliSabo va myuliMyuli</v>
      </c>
      <c r="B2252" s="35" t="s">
        <v>3183</v>
      </c>
      <c r="C2252" s="35" t="s">
        <v>4039</v>
      </c>
      <c r="D2252" s="35" t="s">
        <v>5563</v>
      </c>
      <c r="E2252" s="35" t="s">
        <v>5569</v>
      </c>
      <c r="F2252" s="36">
        <v>0.2</v>
      </c>
      <c r="G2252" s="31"/>
      <c r="H2252" s="31"/>
      <c r="I2252" s="31"/>
      <c r="J2252" s="31"/>
      <c r="K2252" s="31"/>
    </row>
    <row r="2253" spans="1:11" ht="14.4" x14ac:dyDescent="0.3">
      <c r="A2253" s="28" t="str">
        <f>B2253&amp;C2253&amp;D2253&amp;E2253</f>
        <v>PoyabzallarAyollar poyabzaliTufli va loferlarLoferlar</v>
      </c>
      <c r="B2253" s="35" t="s">
        <v>3183</v>
      </c>
      <c r="C2253" s="35" t="s">
        <v>4039</v>
      </c>
      <c r="D2253" s="35" t="s">
        <v>5542</v>
      </c>
      <c r="E2253" s="35" t="s">
        <v>5523</v>
      </c>
      <c r="F2253" s="36">
        <v>0.2</v>
      </c>
      <c r="G2253" s="31"/>
      <c r="H2253" s="31"/>
      <c r="I2253" s="31"/>
      <c r="J2253" s="31"/>
      <c r="K2253" s="31"/>
    </row>
    <row r="2254" spans="1:11" ht="14.4" x14ac:dyDescent="0.3">
      <c r="A2254" s="28" t="str">
        <f>B2254&amp;C2254&amp;D2254&amp;E2254</f>
        <v>PoyabzallarAyollar poyabzaliBaletkalarTo'rtburchak oyoqli balerinalar</v>
      </c>
      <c r="B2254" s="35" t="s">
        <v>3183</v>
      </c>
      <c r="C2254" s="35" t="s">
        <v>4039</v>
      </c>
      <c r="D2254" s="35" t="s">
        <v>5549</v>
      </c>
      <c r="E2254" s="35" t="s">
        <v>5570</v>
      </c>
      <c r="F2254" s="36">
        <v>0.2</v>
      </c>
      <c r="G2254" s="31"/>
      <c r="H2254" s="31"/>
      <c r="I2254" s="31"/>
      <c r="J2254" s="31"/>
      <c r="K2254" s="31"/>
    </row>
    <row r="2255" spans="1:11" ht="14.4" x14ac:dyDescent="0.3">
      <c r="A2255" s="28" t="str">
        <f>B2255&amp;C2255&amp;D2255&amp;E2255</f>
        <v>PoyabzallarErkaklar poyabzaliKrossovkalar va kedalarKrossovkalar</v>
      </c>
      <c r="B2255" s="35" t="s">
        <v>3183</v>
      </c>
      <c r="C2255" s="35" t="s">
        <v>5521</v>
      </c>
      <c r="D2255" s="35" t="s">
        <v>5557</v>
      </c>
      <c r="E2255" s="35" t="s">
        <v>5558</v>
      </c>
      <c r="F2255" s="36">
        <v>0.2</v>
      </c>
      <c r="G2255" s="31"/>
      <c r="H2255" s="31"/>
      <c r="I2255" s="31"/>
      <c r="J2255" s="31"/>
      <c r="K2255" s="31"/>
    </row>
    <row r="2256" spans="1:11" ht="14.4" x14ac:dyDescent="0.3">
      <c r="A2256" s="28" t="str">
        <f>B2256&amp;C2256&amp;D2256&amp;E2256</f>
        <v>PoyabzallarAyollar poyabzaliKrossovkalar va kedalarKedalar</v>
      </c>
      <c r="B2256" s="35" t="s">
        <v>3183</v>
      </c>
      <c r="C2256" s="35" t="s">
        <v>4039</v>
      </c>
      <c r="D2256" s="35" t="s">
        <v>5557</v>
      </c>
      <c r="E2256" s="35" t="s">
        <v>5571</v>
      </c>
      <c r="F2256" s="36">
        <v>0.2</v>
      </c>
      <c r="G2256" s="31"/>
      <c r="H2256" s="31"/>
      <c r="I2256" s="31"/>
      <c r="J2256" s="31"/>
      <c r="K2256" s="31"/>
    </row>
    <row r="2257" spans="1:11" ht="14.4" x14ac:dyDescent="0.3">
      <c r="A2257" s="28" t="str">
        <f>B2257&amp;C2257&amp;D2257&amp;E2257</f>
        <v>PoyabzallarAyollar poyabzaliRezin poyabzallarSlanslar</v>
      </c>
      <c r="B2257" s="35" t="s">
        <v>3183</v>
      </c>
      <c r="C2257" s="35" t="s">
        <v>4039</v>
      </c>
      <c r="D2257" s="35" t="s">
        <v>5551</v>
      </c>
      <c r="E2257" s="35" t="s">
        <v>5566</v>
      </c>
      <c r="F2257" s="36">
        <v>0.2</v>
      </c>
      <c r="G2257" s="31"/>
      <c r="H2257" s="31"/>
      <c r="I2257" s="31"/>
      <c r="J2257" s="31"/>
      <c r="K2257" s="31"/>
    </row>
    <row r="2258" spans="1:11" ht="14.4" x14ac:dyDescent="0.3">
      <c r="A2258" s="28" t="str">
        <f>B2258&amp;C2258&amp;D2258&amp;E2258</f>
        <v>PoyabzallarErkaklar poyabzaliTufliBroglar</v>
      </c>
      <c r="B2258" s="35" t="s">
        <v>3183</v>
      </c>
      <c r="C2258" s="35" t="s">
        <v>5521</v>
      </c>
      <c r="D2258" s="35" t="s">
        <v>5522</v>
      </c>
      <c r="E2258" s="35" t="s">
        <v>5572</v>
      </c>
      <c r="F2258" s="36">
        <v>0.2</v>
      </c>
      <c r="G2258" s="31"/>
      <c r="H2258" s="31"/>
      <c r="I2258" s="31"/>
      <c r="J2258" s="31"/>
      <c r="K2258" s="31"/>
    </row>
    <row r="2259" spans="1:11" ht="14.4" x14ac:dyDescent="0.3">
      <c r="A2259" s="28" t="str">
        <f>B2259&amp;C2259&amp;D2259&amp;E2259</f>
        <v>PoyabzallarAyollar poyabzaliSliponlarPast sliponlar</v>
      </c>
      <c r="B2259" s="35" t="s">
        <v>3183</v>
      </c>
      <c r="C2259" s="35" t="s">
        <v>4039</v>
      </c>
      <c r="D2259" s="35" t="s">
        <v>5540</v>
      </c>
      <c r="E2259" s="35" t="s">
        <v>5573</v>
      </c>
      <c r="F2259" s="36">
        <v>0.2</v>
      </c>
      <c r="G2259" s="31"/>
      <c r="H2259" s="31"/>
      <c r="I2259" s="31"/>
      <c r="J2259" s="31"/>
      <c r="K2259" s="31"/>
    </row>
    <row r="2260" spans="1:11" ht="14.4" x14ac:dyDescent="0.3">
      <c r="A2260" s="28" t="str">
        <f>B2260&amp;C2260&amp;D2260&amp;E2260</f>
        <v>PoyabzallarAyollar poyabzaliMokasinlar va topsayderlarTopsayderlar</v>
      </c>
      <c r="B2260" s="35" t="s">
        <v>3183</v>
      </c>
      <c r="C2260" s="35" t="s">
        <v>4039</v>
      </c>
      <c r="D2260" s="35" t="s">
        <v>5536</v>
      </c>
      <c r="E2260" s="35" t="s">
        <v>5574</v>
      </c>
      <c r="F2260" s="36">
        <v>0.2</v>
      </c>
      <c r="G2260" s="31"/>
      <c r="H2260" s="31"/>
      <c r="I2260" s="31"/>
      <c r="J2260" s="31"/>
      <c r="K2260" s="31"/>
    </row>
    <row r="2261" spans="1:11" ht="14.4" x14ac:dyDescent="0.3">
      <c r="A2261" s="28" t="str">
        <f>B2261&amp;C2261&amp;D2261&amp;E2261</f>
        <v>PoyabzallarAyollar poyabzaliBotinkalarBaland botinkalar</v>
      </c>
      <c r="B2261" s="35" t="s">
        <v>3183</v>
      </c>
      <c r="C2261" s="35" t="s">
        <v>4039</v>
      </c>
      <c r="D2261" s="35" t="s">
        <v>5524</v>
      </c>
      <c r="E2261" s="35" t="s">
        <v>5556</v>
      </c>
      <c r="F2261" s="36">
        <v>0.2</v>
      </c>
      <c r="G2261" s="31"/>
      <c r="H2261" s="31"/>
      <c r="I2261" s="31"/>
      <c r="J2261" s="31"/>
      <c r="K2261" s="31"/>
    </row>
    <row r="2262" spans="1:11" ht="14.4" x14ac:dyDescent="0.3">
      <c r="A2262" s="28" t="str">
        <f>B2262&amp;C2262&amp;D2262&amp;E2262</f>
        <v>PoyabzallarErkaklar poyabzaliMokasinlar va topsayderlarTopsayderlar</v>
      </c>
      <c r="B2262" s="35" t="s">
        <v>3183</v>
      </c>
      <c r="C2262" s="35" t="s">
        <v>5521</v>
      </c>
      <c r="D2262" s="35" t="s">
        <v>5536</v>
      </c>
      <c r="E2262" s="35" t="s">
        <v>5574</v>
      </c>
      <c r="F2262" s="36">
        <v>0.2</v>
      </c>
      <c r="G2262" s="31"/>
      <c r="H2262" s="31"/>
      <c r="I2262" s="31"/>
      <c r="J2262" s="31"/>
      <c r="K2262" s="31"/>
    </row>
    <row r="2263" spans="1:11" ht="14.4" x14ac:dyDescent="0.3">
      <c r="A2263" s="28" t="str">
        <f>B2263&amp;C2263&amp;D2263&amp;E2263</f>
        <v>PoyabzallarErkaklar poyabzaliKrossovkalar va kedalarKedalar</v>
      </c>
      <c r="B2263" s="35" t="s">
        <v>3183</v>
      </c>
      <c r="C2263" s="35" t="s">
        <v>5521</v>
      </c>
      <c r="D2263" s="35" t="s">
        <v>5557</v>
      </c>
      <c r="E2263" s="35" t="s">
        <v>5571</v>
      </c>
      <c r="F2263" s="36">
        <v>0.2</v>
      </c>
      <c r="G2263" s="31"/>
      <c r="H2263" s="31"/>
      <c r="I2263" s="31"/>
      <c r="J2263" s="31"/>
      <c r="K2263" s="31"/>
    </row>
    <row r="2264" spans="1:11" ht="14.4" x14ac:dyDescent="0.3">
      <c r="A2264" s="28" t="str">
        <f>B2264&amp;C2264&amp;D2264&amp;E2264</f>
        <v>PoyabzallarAyollar poyabzaliMokasinlar va topsayderlarMokasinlar</v>
      </c>
      <c r="B2264" s="35" t="s">
        <v>3183</v>
      </c>
      <c r="C2264" s="35" t="s">
        <v>4039</v>
      </c>
      <c r="D2264" s="35" t="s">
        <v>5536</v>
      </c>
      <c r="E2264" s="35" t="s">
        <v>5548</v>
      </c>
      <c r="F2264" s="36">
        <v>0.2</v>
      </c>
      <c r="G2264" s="31"/>
      <c r="H2264" s="31"/>
      <c r="I2264" s="31"/>
      <c r="J2264" s="31"/>
      <c r="K2264" s="31"/>
    </row>
    <row r="2265" spans="1:11" ht="14.4" x14ac:dyDescent="0.3">
      <c r="A2265" s="28" t="str">
        <f>B2265&amp;C2265&amp;D2265&amp;E2265</f>
        <v>PoyabzallarErkaklar poyabzaliEspadrillar va sliponlarSliponlar</v>
      </c>
      <c r="B2265" s="35" t="s">
        <v>3183</v>
      </c>
      <c r="C2265" s="35" t="s">
        <v>5521</v>
      </c>
      <c r="D2265" s="35" t="s">
        <v>5575</v>
      </c>
      <c r="E2265" s="35" t="s">
        <v>5540</v>
      </c>
      <c r="F2265" s="36">
        <v>0.2</v>
      </c>
      <c r="G2265" s="31"/>
      <c r="H2265" s="31"/>
      <c r="I2265" s="31"/>
      <c r="J2265" s="31"/>
      <c r="K2265" s="31"/>
    </row>
    <row r="2266" spans="1:11" ht="14.4" x14ac:dyDescent="0.3">
      <c r="A2266" s="28" t="str">
        <f>B2266&amp;C2266&amp;D2266&amp;E2266</f>
        <v>PoyabzallarAyollar poyabzaliTufli va loferlarTufli</v>
      </c>
      <c r="B2266" s="35" t="s">
        <v>3183</v>
      </c>
      <c r="C2266" s="35" t="s">
        <v>4039</v>
      </c>
      <c r="D2266" s="35" t="s">
        <v>5542</v>
      </c>
      <c r="E2266" s="35" t="s">
        <v>5522</v>
      </c>
      <c r="F2266" s="36">
        <v>0.2</v>
      </c>
      <c r="G2266" s="31"/>
      <c r="H2266" s="31"/>
      <c r="I2266" s="31"/>
      <c r="J2266" s="31"/>
      <c r="K2266" s="31"/>
    </row>
    <row r="2267" spans="1:11" ht="14.4" x14ac:dyDescent="0.3">
      <c r="A2267" s="28" t="str">
        <f>B2267&amp;C2267&amp;D2267&amp;E2267</f>
        <v>PoyabzallarErkaklar poyabzaliEtiklar va uggiValenkalar</v>
      </c>
      <c r="B2267" s="35" t="s">
        <v>3183</v>
      </c>
      <c r="C2267" s="35" t="s">
        <v>5521</v>
      </c>
      <c r="D2267" s="35" t="s">
        <v>5526</v>
      </c>
      <c r="E2267" s="35" t="s">
        <v>5576</v>
      </c>
      <c r="F2267" s="36">
        <v>0.2</v>
      </c>
      <c r="G2267" s="31"/>
      <c r="H2267" s="31"/>
      <c r="I2267" s="31"/>
      <c r="J2267" s="31"/>
      <c r="K2267" s="31"/>
    </row>
    <row r="2268" spans="1:11" ht="14.4" x14ac:dyDescent="0.3">
      <c r="A2268" s="28" t="str">
        <f>B2268&amp;C2268&amp;D2268&amp;E2268</f>
        <v>PoyabzallarAyollar poyabzaliSandalilarHar kunlik sandalilar</v>
      </c>
      <c r="B2268" s="35" t="s">
        <v>3183</v>
      </c>
      <c r="C2268" s="35" t="s">
        <v>4039</v>
      </c>
      <c r="D2268" s="35" t="s">
        <v>5533</v>
      </c>
      <c r="E2268" s="35" t="s">
        <v>5577</v>
      </c>
      <c r="F2268" s="36">
        <v>0.2</v>
      </c>
      <c r="G2268" s="31"/>
      <c r="H2268" s="31"/>
      <c r="I2268" s="31"/>
      <c r="J2268" s="31"/>
      <c r="K2268" s="31"/>
    </row>
    <row r="2269" spans="1:11" ht="14.4" x14ac:dyDescent="0.3">
      <c r="A2269" s="28" t="str">
        <f>B2269&amp;C2269&amp;D2269&amp;E2269</f>
        <v>PoyabzallarErkaklar poyabzaliEspadrillar va sliponlarEspadrillar</v>
      </c>
      <c r="B2269" s="35" t="s">
        <v>3183</v>
      </c>
      <c r="C2269" s="35" t="s">
        <v>5521</v>
      </c>
      <c r="D2269" s="35" t="s">
        <v>5575</v>
      </c>
      <c r="E2269" s="35" t="s">
        <v>5562</v>
      </c>
      <c r="F2269" s="36">
        <v>0.2</v>
      </c>
      <c r="G2269" s="31"/>
      <c r="H2269" s="31"/>
      <c r="I2269" s="31"/>
      <c r="J2269" s="31"/>
      <c r="K2269" s="31"/>
    </row>
    <row r="2270" spans="1:11" ht="14.4" x14ac:dyDescent="0.3">
      <c r="A2270" s="28" t="str">
        <f>B2270&amp;C2270&amp;D2270&amp;E2270</f>
        <v>PoyabzallarAyollar poyabzaliRezin poyabzallarEtiklar</v>
      </c>
      <c r="B2270" s="35" t="s">
        <v>3183</v>
      </c>
      <c r="C2270" s="35" t="s">
        <v>4039</v>
      </c>
      <c r="D2270" s="35" t="s">
        <v>5551</v>
      </c>
      <c r="E2270" s="35" t="s">
        <v>5534</v>
      </c>
      <c r="F2270" s="36">
        <v>0.2</v>
      </c>
      <c r="G2270" s="31"/>
      <c r="H2270" s="31"/>
      <c r="I2270" s="31"/>
      <c r="J2270" s="31"/>
      <c r="K2270" s="31"/>
    </row>
    <row r="2271" spans="1:11" ht="14.4" x14ac:dyDescent="0.3">
      <c r="A2271" s="28" t="str">
        <f>B2271&amp;C2271&amp;D2271&amp;E2271</f>
        <v>PoyabzallarAyollar poyabzaliBotilyonlarPast botilyonlar</v>
      </c>
      <c r="B2271" s="35" t="s">
        <v>3183</v>
      </c>
      <c r="C2271" s="35" t="s">
        <v>4039</v>
      </c>
      <c r="D2271" s="35" t="s">
        <v>5546</v>
      </c>
      <c r="E2271" s="35" t="s">
        <v>5578</v>
      </c>
      <c r="F2271" s="36">
        <v>0.2</v>
      </c>
      <c r="G2271" s="31"/>
      <c r="H2271" s="31"/>
      <c r="I2271" s="31"/>
      <c r="J2271" s="31"/>
      <c r="K2271" s="31"/>
    </row>
    <row r="2272" spans="1:11" ht="14.4" x14ac:dyDescent="0.3">
      <c r="A2272" s="28" t="str">
        <f>B2272&amp;C2272&amp;D2272&amp;E2272</f>
        <v>PoyabzallarErkaklar poyabzaliKrossovkalar va kedalarButsilar</v>
      </c>
      <c r="B2272" s="35" t="s">
        <v>3183</v>
      </c>
      <c r="C2272" s="35" t="s">
        <v>5521</v>
      </c>
      <c r="D2272" s="35" t="s">
        <v>5557</v>
      </c>
      <c r="E2272" s="35" t="s">
        <v>5579</v>
      </c>
      <c r="F2272" s="36">
        <v>0.2</v>
      </c>
      <c r="G2272" s="31"/>
      <c r="H2272" s="31"/>
      <c r="I2272" s="31"/>
      <c r="J2272" s="31"/>
      <c r="K2272" s="31"/>
    </row>
    <row r="2273" spans="1:11" ht="14.4" x14ac:dyDescent="0.3">
      <c r="A2273" s="28" t="str">
        <f>B2273&amp;C2273&amp;D2273&amp;E2273</f>
        <v>Qurilish va taʼmirlashAsboblarOʻlchov asboblariShtangensirkullar</v>
      </c>
      <c r="B2273" s="35" t="s">
        <v>3184</v>
      </c>
      <c r="C2273" s="35" t="s">
        <v>4048</v>
      </c>
      <c r="D2273" s="35" t="s">
        <v>5580</v>
      </c>
      <c r="E2273" s="35" t="s">
        <v>5581</v>
      </c>
      <c r="F2273" s="36">
        <v>0.2</v>
      </c>
      <c r="G2273" s="31"/>
      <c r="H2273" s="31"/>
      <c r="I2273" s="31"/>
      <c r="J2273" s="31"/>
      <c r="K2273" s="31"/>
    </row>
    <row r="2274" spans="1:11" ht="14.4" x14ac:dyDescent="0.3">
      <c r="A2274" s="28" t="str">
        <f>B2274&amp;C2274&amp;D2274&amp;E2274</f>
        <v>Qurilish va taʼmirlashAsboblarOʻlchov asboblariDarajalar va plumblar</v>
      </c>
      <c r="B2274" s="35" t="s">
        <v>3184</v>
      </c>
      <c r="C2274" s="35" t="s">
        <v>4048</v>
      </c>
      <c r="D2274" s="35" t="s">
        <v>5580</v>
      </c>
      <c r="E2274" s="35" t="s">
        <v>5582</v>
      </c>
      <c r="F2274" s="36">
        <v>0.2</v>
      </c>
      <c r="G2274" s="31"/>
      <c r="H2274" s="31"/>
      <c r="I2274" s="31"/>
      <c r="J2274" s="31"/>
      <c r="K2274" s="31"/>
    </row>
    <row r="2275" spans="1:11" ht="14.4" x14ac:dyDescent="0.3">
      <c r="A2275" s="28" t="str">
        <f>B2275&amp;C2275&amp;D2275&amp;E2275</f>
        <v>Qurilish va taʼmirlashElektrikaDomofonlar, qoʻngʻiroqlar va xavfsizlik tizimlariDomofonlar, qoʻngʻiroqlar va xavfsizlik tizimlari</v>
      </c>
      <c r="B2275" s="35" t="s">
        <v>3184</v>
      </c>
      <c r="C2275" s="35" t="s">
        <v>3461</v>
      </c>
      <c r="D2275" s="35" t="s">
        <v>5583</v>
      </c>
      <c r="E2275" s="35" t="s">
        <v>5583</v>
      </c>
      <c r="F2275" s="36">
        <v>0.2</v>
      </c>
      <c r="G2275" s="31"/>
      <c r="H2275" s="31"/>
      <c r="I2275" s="31"/>
      <c r="J2275" s="31"/>
      <c r="K2275" s="31"/>
    </row>
    <row r="2276" spans="1:11" ht="14.4" x14ac:dyDescent="0.3">
      <c r="A2276" s="28" t="str">
        <f>B2276&amp;C2276&amp;D2276&amp;E2276</f>
        <v>Qurilish va taʼmirlashQoʻl asboblari va jihozlariAsboblar to'plamlariAsboblar to'plamlari</v>
      </c>
      <c r="B2276" s="35" t="s">
        <v>3184</v>
      </c>
      <c r="C2276" s="35" t="s">
        <v>4041</v>
      </c>
      <c r="D2276" s="35" t="s">
        <v>5584</v>
      </c>
      <c r="E2276" s="35" t="s">
        <v>5584</v>
      </c>
      <c r="F2276" s="36">
        <v>0.2</v>
      </c>
      <c r="G2276" s="31"/>
      <c r="H2276" s="31"/>
      <c r="I2276" s="31"/>
      <c r="J2276" s="31"/>
      <c r="K2276" s="31"/>
    </row>
    <row r="2277" spans="1:11" ht="14.4" x14ac:dyDescent="0.3">
      <c r="A2277" s="28" t="str">
        <f>B2277&amp;C2277&amp;D2277&amp;E2277</f>
        <v>Qurilish va taʼmirlashElektrikaAqlli uyAqlli uy</v>
      </c>
      <c r="B2277" s="35" t="s">
        <v>3184</v>
      </c>
      <c r="C2277" s="35" t="s">
        <v>3461</v>
      </c>
      <c r="D2277" s="35" t="s">
        <v>4855</v>
      </c>
      <c r="E2277" s="35" t="s">
        <v>4855</v>
      </c>
      <c r="F2277" s="36">
        <v>0.2</v>
      </c>
      <c r="G2277" s="31"/>
      <c r="H2277" s="31"/>
      <c r="I2277" s="31"/>
      <c r="J2277" s="31"/>
      <c r="K2277" s="31"/>
    </row>
    <row r="2278" spans="1:11" ht="14.4" x14ac:dyDescent="0.3">
      <c r="A2278" s="28" t="str">
        <f>B2278&amp;C2278&amp;D2278&amp;E2278</f>
        <v>Qurilish va taʼmirlashQoʻl asboblari va jihozlariNarvonlar va stremyankalarNarvonlar va stremyankalar</v>
      </c>
      <c r="B2278" s="35" t="s">
        <v>3184</v>
      </c>
      <c r="C2278" s="35" t="s">
        <v>4041</v>
      </c>
      <c r="D2278" s="35" t="s">
        <v>5585</v>
      </c>
      <c r="E2278" s="35" t="s">
        <v>5585</v>
      </c>
      <c r="F2278" s="36">
        <v>0.2</v>
      </c>
      <c r="G2278" s="31"/>
      <c r="H2278" s="31"/>
      <c r="I2278" s="31"/>
      <c r="J2278" s="31"/>
      <c r="K2278" s="31"/>
    </row>
    <row r="2279" spans="1:11" ht="14.4" x14ac:dyDescent="0.3">
      <c r="A2279" s="28" t="str">
        <f>B2279&amp;C2279&amp;D2279&amp;E2279</f>
        <v>Qurilish va taʼmirlashAsboblarOʻlchov asboblaripH, ORP konduktometrlari va oʻlchagichlari</v>
      </c>
      <c r="B2279" s="35" t="s">
        <v>3184</v>
      </c>
      <c r="C2279" s="35" t="s">
        <v>4048</v>
      </c>
      <c r="D2279" s="35" t="s">
        <v>5580</v>
      </c>
      <c r="E2279" s="35" t="s">
        <v>5586</v>
      </c>
      <c r="F2279" s="36">
        <v>0.2</v>
      </c>
      <c r="G2279" s="31"/>
      <c r="H2279" s="31"/>
      <c r="I2279" s="31"/>
      <c r="J2279" s="31"/>
      <c r="K2279" s="31"/>
    </row>
    <row r="2280" spans="1:11" ht="14.4" x14ac:dyDescent="0.3">
      <c r="A2280" s="28" t="str">
        <f>B2280&amp;C2280&amp;D2280&amp;E2280</f>
        <v>Qurilish va taʼmirlashAsboblarOʻlchov asboblariUzunlikni va burchak qiyaliklarini oʻlchash</v>
      </c>
      <c r="B2280" s="35" t="s">
        <v>3184</v>
      </c>
      <c r="C2280" s="35" t="s">
        <v>4048</v>
      </c>
      <c r="D2280" s="35" t="s">
        <v>5580</v>
      </c>
      <c r="E2280" s="35" t="s">
        <v>5587</v>
      </c>
      <c r="F2280" s="36">
        <v>0.2</v>
      </c>
      <c r="G2280" s="31"/>
      <c r="H2280" s="31"/>
      <c r="I2280" s="31"/>
      <c r="J2280" s="31"/>
      <c r="K2280" s="31"/>
    </row>
    <row r="2281" spans="1:11" ht="14.4" x14ac:dyDescent="0.3">
      <c r="A2281" s="28" t="str">
        <f>B2281&amp;C2281&amp;D2281&amp;E2281</f>
        <v>Qurilish va taʼmirlashAsboblarOʻlchov asboblariElektr energiyasi hisoblagichlari</v>
      </c>
      <c r="B2281" s="35" t="s">
        <v>3184</v>
      </c>
      <c r="C2281" s="35" t="s">
        <v>4048</v>
      </c>
      <c r="D2281" s="35" t="s">
        <v>5580</v>
      </c>
      <c r="E2281" s="35" t="s">
        <v>5588</v>
      </c>
      <c r="F2281" s="36">
        <v>0.2</v>
      </c>
      <c r="G2281" s="31"/>
      <c r="H2281" s="31"/>
      <c r="I2281" s="31"/>
      <c r="J2281" s="31"/>
      <c r="K2281" s="31"/>
    </row>
    <row r="2282" spans="1:11" ht="14.4" x14ac:dyDescent="0.3">
      <c r="A2282" s="28" t="str">
        <f>B2282&amp;C2282&amp;D2282&amp;E2282</f>
        <v>Qurilish va taʼmirlashAsboblarOʻlchov asboblariMultimetrlar va testerlar</v>
      </c>
      <c r="B2282" s="35" t="s">
        <v>3184</v>
      </c>
      <c r="C2282" s="35" t="s">
        <v>4048</v>
      </c>
      <c r="D2282" s="35" t="s">
        <v>5580</v>
      </c>
      <c r="E2282" s="35" t="s">
        <v>5589</v>
      </c>
      <c r="F2282" s="36">
        <v>0.2</v>
      </c>
      <c r="G2282" s="31"/>
      <c r="H2282" s="31"/>
      <c r="I2282" s="31"/>
      <c r="J2282" s="31"/>
      <c r="K2282" s="31"/>
    </row>
    <row r="2283" spans="1:11" ht="14.4" x14ac:dyDescent="0.3">
      <c r="A2283" s="28" t="str">
        <f>B2283&amp;C2283&amp;D2283&amp;E2283</f>
        <v>Qurilish va taʼmirlashAsboblarOʻlchov asboblariEndoskoplar</v>
      </c>
      <c r="B2283" s="35" t="s">
        <v>3184</v>
      </c>
      <c r="C2283" s="35" t="s">
        <v>4048</v>
      </c>
      <c r="D2283" s="35" t="s">
        <v>5580</v>
      </c>
      <c r="E2283" s="35" t="s">
        <v>5590</v>
      </c>
      <c r="F2283" s="36">
        <v>0.2</v>
      </c>
      <c r="G2283" s="31"/>
      <c r="H2283" s="31"/>
      <c r="I2283" s="31"/>
      <c r="J2283" s="31"/>
      <c r="K2283" s="31"/>
    </row>
    <row r="2284" spans="1:11" ht="14.4" x14ac:dyDescent="0.3">
      <c r="A2284" s="28" t="str">
        <f>B2284&amp;C2284&amp;D2284&amp;E2284</f>
        <v>Qurilish va taʼmirlashElektrikaSimlar va kabellarSimlar va kabellar</v>
      </c>
      <c r="B2284" s="35" t="s">
        <v>3184</v>
      </c>
      <c r="C2284" s="35" t="s">
        <v>3461</v>
      </c>
      <c r="D2284" s="35" t="s">
        <v>5591</v>
      </c>
      <c r="E2284" s="35" t="s">
        <v>5591</v>
      </c>
      <c r="F2284" s="36">
        <v>0.2</v>
      </c>
      <c r="G2284" s="31"/>
      <c r="H2284" s="31"/>
      <c r="I2284" s="31"/>
      <c r="J2284" s="31"/>
      <c r="K2284" s="31"/>
    </row>
    <row r="2285" spans="1:11" ht="14.4" x14ac:dyDescent="0.3">
      <c r="A2285" s="28" t="str">
        <f>B2285&amp;C2285&amp;D2285&amp;E2285</f>
        <v>Qurilish va taʼmirlashQoʻl asboblari va jihozlariKlyuchlarKalit toʻplamlari</v>
      </c>
      <c r="B2285" s="35" t="s">
        <v>3184</v>
      </c>
      <c r="C2285" s="35" t="s">
        <v>4041</v>
      </c>
      <c r="D2285" s="35" t="s">
        <v>4051</v>
      </c>
      <c r="E2285" s="35" t="s">
        <v>5592</v>
      </c>
      <c r="F2285" s="36">
        <v>0.2</v>
      </c>
      <c r="G2285" s="31"/>
      <c r="H2285" s="31"/>
      <c r="I2285" s="31"/>
      <c r="J2285" s="31"/>
      <c r="K2285" s="31"/>
    </row>
    <row r="2286" spans="1:11" ht="14.4" x14ac:dyDescent="0.3">
      <c r="A2286" s="28" t="str">
        <f>B2286&amp;C2286&amp;D2286&amp;E2286</f>
        <v>Qurilish va taʼmirlashAsboblarOʻlchov asboblariDinamometrlar</v>
      </c>
      <c r="B2286" s="35" t="s">
        <v>3184</v>
      </c>
      <c r="C2286" s="35" t="s">
        <v>4048</v>
      </c>
      <c r="D2286" s="35" t="s">
        <v>5580</v>
      </c>
      <c r="E2286" s="35" t="s">
        <v>5593</v>
      </c>
      <c r="F2286" s="36">
        <v>0.2</v>
      </c>
      <c r="G2286" s="31"/>
      <c r="H2286" s="31"/>
      <c r="I2286" s="31"/>
      <c r="J2286" s="31"/>
      <c r="K2286" s="31"/>
    </row>
    <row r="2287" spans="1:11" ht="14.4" x14ac:dyDescent="0.3">
      <c r="A2287" s="28" t="str">
        <f>B2287&amp;C2287&amp;D2287&amp;E2287</f>
        <v>Qurilish va taʼmirlashAsboblarOʻlchov asboblariUzunlik va burchak o'lchagichlari</v>
      </c>
      <c r="B2287" s="35" t="s">
        <v>3184</v>
      </c>
      <c r="C2287" s="35" t="s">
        <v>4048</v>
      </c>
      <c r="D2287" s="35" t="s">
        <v>5580</v>
      </c>
      <c r="E2287" s="35" t="s">
        <v>5594</v>
      </c>
      <c r="F2287" s="36">
        <v>0.2</v>
      </c>
      <c r="G2287" s="31"/>
      <c r="H2287" s="31"/>
      <c r="I2287" s="31"/>
      <c r="J2287" s="31"/>
      <c r="K2287" s="31"/>
    </row>
    <row r="2288" spans="1:11" ht="14.4" x14ac:dyDescent="0.3">
      <c r="A2288" s="28" t="str">
        <f>B2288&amp;C2288&amp;D2288&amp;E2288</f>
        <v>Qurilish va taʼmirlashAsboblarOʻlchov asboblariBoshqa oʻlchov asboblari</v>
      </c>
      <c r="B2288" s="35" t="s">
        <v>3184</v>
      </c>
      <c r="C2288" s="35" t="s">
        <v>4048</v>
      </c>
      <c r="D2288" s="35" t="s">
        <v>5580</v>
      </c>
      <c r="E2288" s="35" t="s">
        <v>5595</v>
      </c>
      <c r="F2288" s="36">
        <v>0.2</v>
      </c>
      <c r="G2288" s="31"/>
      <c r="H2288" s="31"/>
      <c r="I2288" s="31"/>
      <c r="J2288" s="31"/>
      <c r="K2288" s="31"/>
    </row>
    <row r="2289" spans="1:11" ht="14.4" x14ac:dyDescent="0.3">
      <c r="A2289" s="28" t="str">
        <f>B2289&amp;C2289&amp;D2289&amp;E2289</f>
        <v>Qurilish va taʼmirlashSantexnikaAralashtirgichlarAralashtirgichlar</v>
      </c>
      <c r="B2289" s="35" t="s">
        <v>3184</v>
      </c>
      <c r="C2289" s="35" t="s">
        <v>4083</v>
      </c>
      <c r="D2289" s="35" t="s">
        <v>5596</v>
      </c>
      <c r="E2289" s="35" t="s">
        <v>5596</v>
      </c>
      <c r="F2289" s="36">
        <v>0.2</v>
      </c>
      <c r="G2289" s="31"/>
      <c r="H2289" s="31"/>
      <c r="I2289" s="31"/>
      <c r="J2289" s="31"/>
      <c r="K2289" s="31"/>
    </row>
    <row r="2290" spans="1:11" ht="14.4" x14ac:dyDescent="0.3">
      <c r="A2290" s="28" t="str">
        <f>B2290&amp;C2290&amp;D2290&amp;E2290</f>
        <v>Qurilish va taʼmirlashUy va bogʻ uchun suv taʼminotiAvtomatik suv taʼminoti uchunAvtomatik suv taʼminoti uchun</v>
      </c>
      <c r="B2290" s="35" t="s">
        <v>3184</v>
      </c>
      <c r="C2290" s="35" t="s">
        <v>3463</v>
      </c>
      <c r="D2290" s="35" t="s">
        <v>5597</v>
      </c>
      <c r="E2290" s="35" t="s">
        <v>5597</v>
      </c>
      <c r="F2290" s="36">
        <v>0.2</v>
      </c>
      <c r="G2290" s="31"/>
      <c r="H2290" s="31"/>
      <c r="I2290" s="31"/>
      <c r="J2290" s="31"/>
      <c r="K2290" s="31"/>
    </row>
    <row r="2291" spans="1:11" ht="14.4" x14ac:dyDescent="0.3">
      <c r="A2291" s="28" t="str">
        <f>B2291&amp;C2291&amp;D2291&amp;E2291</f>
        <v>Qurilish va taʼmirlashAsboblarOʻlchov asboblariManometrlar</v>
      </c>
      <c r="B2291" s="35" t="s">
        <v>3184</v>
      </c>
      <c r="C2291" s="35" t="s">
        <v>4048</v>
      </c>
      <c r="D2291" s="35" t="s">
        <v>5580</v>
      </c>
      <c r="E2291" s="35" t="s">
        <v>5598</v>
      </c>
      <c r="F2291" s="36">
        <v>0.2</v>
      </c>
      <c r="G2291" s="31"/>
      <c r="H2291" s="31"/>
      <c r="I2291" s="31"/>
      <c r="J2291" s="31"/>
      <c r="K2291" s="31"/>
    </row>
    <row r="2292" spans="1:11" ht="14.4" x14ac:dyDescent="0.3">
      <c r="A2292" s="28" t="str">
        <f>B2292&amp;C2292&amp;D2292&amp;E2292</f>
        <v>Qurilish va taʼmirlashSantexnikaDush tizimlari va leykalarDush tizimlari va leykalar</v>
      </c>
      <c r="B2292" s="35" t="s">
        <v>3184</v>
      </c>
      <c r="C2292" s="35" t="s">
        <v>4083</v>
      </c>
      <c r="D2292" s="35" t="s">
        <v>5599</v>
      </c>
      <c r="E2292" s="35" t="s">
        <v>5599</v>
      </c>
      <c r="F2292" s="36">
        <v>0.2</v>
      </c>
      <c r="G2292" s="31"/>
      <c r="H2292" s="31"/>
      <c r="I2292" s="31"/>
      <c r="J2292" s="31"/>
      <c r="K2292" s="31"/>
    </row>
    <row r="2293" spans="1:11" ht="14.4" x14ac:dyDescent="0.3">
      <c r="A2293" s="28" t="str">
        <f>B2293&amp;C2293&amp;D2293&amp;E2293</f>
        <v>Qurilish va taʼmirlashAsboblarOʻlchov asboblariRuletkalar va o'lchash lentalari</v>
      </c>
      <c r="B2293" s="35" t="s">
        <v>3184</v>
      </c>
      <c r="C2293" s="35" t="s">
        <v>4048</v>
      </c>
      <c r="D2293" s="35" t="s">
        <v>5580</v>
      </c>
      <c r="E2293" s="35" t="s">
        <v>5600</v>
      </c>
      <c r="F2293" s="36">
        <v>0.2</v>
      </c>
      <c r="G2293" s="31"/>
      <c r="H2293" s="31"/>
      <c r="I2293" s="31"/>
      <c r="J2293" s="31"/>
      <c r="K2293" s="31"/>
    </row>
    <row r="2294" spans="1:11" ht="14.4" x14ac:dyDescent="0.3">
      <c r="A2294" s="28" t="str">
        <f>B2294&amp;C2294&amp;D2294&amp;E2294</f>
        <v>Qurilish va taʼmirlashAsboblarOʻlchov asboblariElektr toki parametrlarini oʻlchash</v>
      </c>
      <c r="B2294" s="35" t="s">
        <v>3184</v>
      </c>
      <c r="C2294" s="35" t="s">
        <v>4048</v>
      </c>
      <c r="D2294" s="35" t="s">
        <v>5580</v>
      </c>
      <c r="E2294" s="35" t="s">
        <v>5601</v>
      </c>
      <c r="F2294" s="36">
        <v>0.2</v>
      </c>
      <c r="G2294" s="31"/>
      <c r="H2294" s="31"/>
      <c r="I2294" s="31"/>
      <c r="J2294" s="31"/>
      <c r="K2294" s="31"/>
    </row>
    <row r="2295" spans="1:11" ht="14.4" x14ac:dyDescent="0.3">
      <c r="A2295" s="28" t="str">
        <f>B2295&amp;C2295&amp;D2295&amp;E2295</f>
        <v>Qurilish va taʼmirlashElektrikaIsitgichlarIsitgichlar</v>
      </c>
      <c r="B2295" s="35" t="s">
        <v>3184</v>
      </c>
      <c r="C2295" s="35" t="s">
        <v>3461</v>
      </c>
      <c r="D2295" s="35" t="s">
        <v>5602</v>
      </c>
      <c r="E2295" s="35" t="s">
        <v>5602</v>
      </c>
      <c r="F2295" s="36">
        <v>0.2</v>
      </c>
      <c r="G2295" s="31"/>
      <c r="H2295" s="31"/>
      <c r="I2295" s="31"/>
      <c r="J2295" s="31"/>
      <c r="K2295" s="31"/>
    </row>
    <row r="2296" spans="1:11" ht="14.4" x14ac:dyDescent="0.3">
      <c r="A2296" s="28" t="str">
        <f>B2296&amp;C2296&amp;D2296&amp;E2296</f>
        <v>Qurilish va taʼmirlashAsboblarOʻlchov asboblariShuplar va termoparlar</v>
      </c>
      <c r="B2296" s="35" t="s">
        <v>3184</v>
      </c>
      <c r="C2296" s="35" t="s">
        <v>4048</v>
      </c>
      <c r="D2296" s="35" t="s">
        <v>5580</v>
      </c>
      <c r="E2296" s="35" t="s">
        <v>5603</v>
      </c>
      <c r="F2296" s="36">
        <v>0.2</v>
      </c>
      <c r="G2296" s="31"/>
      <c r="H2296" s="31"/>
      <c r="I2296" s="31"/>
      <c r="J2296" s="31"/>
      <c r="K2296" s="31"/>
    </row>
    <row r="2297" spans="1:11" ht="14.4" x14ac:dyDescent="0.3">
      <c r="A2297" s="28" t="str">
        <f>B2297&amp;C2297&amp;D2297&amp;E2297</f>
        <v>Qurilish va taʼmirlashAsboblarOʻlchov asboblariTelevizorlar va harorat skanerlari</v>
      </c>
      <c r="B2297" s="35" t="s">
        <v>3184</v>
      </c>
      <c r="C2297" s="35" t="s">
        <v>4048</v>
      </c>
      <c r="D2297" s="35" t="s">
        <v>5580</v>
      </c>
      <c r="E2297" s="35" t="s">
        <v>5604</v>
      </c>
      <c r="F2297" s="36">
        <v>0.2</v>
      </c>
      <c r="G2297" s="31"/>
      <c r="H2297" s="31"/>
      <c r="I2297" s="31"/>
      <c r="J2297" s="31"/>
      <c r="K2297" s="31"/>
    </row>
    <row r="2298" spans="1:11" ht="14.4" x14ac:dyDescent="0.3">
      <c r="A2298" s="28" t="str">
        <f>B2298&amp;C2298&amp;D2298&amp;E2298</f>
        <v>Qurilish va taʼmirlashAsboblarOʻlchov asboblariChizg'ichlar va burchaklar</v>
      </c>
      <c r="B2298" s="35" t="s">
        <v>3184</v>
      </c>
      <c r="C2298" s="35" t="s">
        <v>4048</v>
      </c>
      <c r="D2298" s="35" t="s">
        <v>5580</v>
      </c>
      <c r="E2298" s="35" t="s">
        <v>5605</v>
      </c>
      <c r="F2298" s="36">
        <v>0.2</v>
      </c>
      <c r="G2298" s="31"/>
      <c r="H2298" s="31"/>
      <c r="I2298" s="31"/>
      <c r="J2298" s="31"/>
      <c r="K2298" s="31"/>
    </row>
    <row r="2299" spans="1:11" ht="14.4" x14ac:dyDescent="0.3">
      <c r="A2299" s="28" t="str">
        <f>B2299&amp;C2299&amp;D2299&amp;E2299</f>
        <v>Qurilish va taʼmirlashQoʻl asboblari va jihozlariUrish-dastakli asboblariBoltalar</v>
      </c>
      <c r="B2299" s="35" t="s">
        <v>3184</v>
      </c>
      <c r="C2299" s="35" t="s">
        <v>4041</v>
      </c>
      <c r="D2299" s="35" t="s">
        <v>4042</v>
      </c>
      <c r="E2299" s="35" t="s">
        <v>5606</v>
      </c>
      <c r="F2299" s="36">
        <v>0.2</v>
      </c>
      <c r="G2299" s="31"/>
      <c r="H2299" s="31"/>
      <c r="I2299" s="31"/>
      <c r="J2299" s="31"/>
      <c r="K2299" s="31"/>
    </row>
    <row r="2300" spans="1:11" ht="14.4" x14ac:dyDescent="0.3">
      <c r="A2300" s="28" t="str">
        <f>B2300&amp;C2300&amp;D2300&amp;E2300</f>
        <v>Qurilish va taʼmirlashSantexnikaSochiq quritgichlar va butlovchi qismlarSochiq quritgichlar va butlovchi qismlar</v>
      </c>
      <c r="B2300" s="35" t="s">
        <v>3184</v>
      </c>
      <c r="C2300" s="35" t="s">
        <v>4083</v>
      </c>
      <c r="D2300" s="35" t="s">
        <v>5607</v>
      </c>
      <c r="E2300" s="35" t="s">
        <v>5607</v>
      </c>
      <c r="F2300" s="36">
        <v>0.2</v>
      </c>
      <c r="G2300" s="31"/>
      <c r="H2300" s="31"/>
      <c r="I2300" s="31"/>
      <c r="J2300" s="31"/>
      <c r="K2300" s="31"/>
    </row>
    <row r="2301" spans="1:11" ht="14.4" x14ac:dyDescent="0.3">
      <c r="A2301" s="28" t="str">
        <f>B2301&amp;C2301&amp;D2301&amp;E2301</f>
        <v>Qurilish va taʼmirlashSantexnikaUnitazlarUnitazlar</v>
      </c>
      <c r="B2301" s="35" t="s">
        <v>3184</v>
      </c>
      <c r="C2301" s="35" t="s">
        <v>4083</v>
      </c>
      <c r="D2301" s="35" t="s">
        <v>5608</v>
      </c>
      <c r="E2301" s="35" t="s">
        <v>5608</v>
      </c>
      <c r="F2301" s="36">
        <v>0.2</v>
      </c>
      <c r="G2301" s="31"/>
      <c r="H2301" s="31"/>
      <c r="I2301" s="31"/>
      <c r="J2301" s="31"/>
      <c r="K2301" s="31"/>
    </row>
    <row r="2302" spans="1:11" ht="14.4" x14ac:dyDescent="0.3">
      <c r="A2302" s="28" t="str">
        <f>B2302&amp;C2302&amp;D2302&amp;E2302</f>
        <v>Qurilish va taʼmirlashAsboblarOʻlchov asboblariMetall detektorlar va sklerometrlar</v>
      </c>
      <c r="B2302" s="35" t="s">
        <v>3184</v>
      </c>
      <c r="C2302" s="35" t="s">
        <v>4048</v>
      </c>
      <c r="D2302" s="35" t="s">
        <v>5580</v>
      </c>
      <c r="E2302" s="35" t="s">
        <v>5609</v>
      </c>
      <c r="F2302" s="36">
        <v>0.2</v>
      </c>
      <c r="G2302" s="31"/>
      <c r="H2302" s="31"/>
      <c r="I2302" s="31"/>
      <c r="J2302" s="31"/>
      <c r="K2302" s="31"/>
    </row>
    <row r="2303" spans="1:11" ht="14.4" x14ac:dyDescent="0.3">
      <c r="A2303" s="28" t="str">
        <f>B2303&amp;C2303&amp;D2303&amp;E2303</f>
        <v>Qurilish va taʼmirlashAsboblarOʻlchov asboblariPlitkalar uchun shablon</v>
      </c>
      <c r="B2303" s="35" t="s">
        <v>3184</v>
      </c>
      <c r="C2303" s="35" t="s">
        <v>4048</v>
      </c>
      <c r="D2303" s="35" t="s">
        <v>5580</v>
      </c>
      <c r="E2303" s="35" t="s">
        <v>5610</v>
      </c>
      <c r="F2303" s="36">
        <v>0.2</v>
      </c>
      <c r="G2303" s="31"/>
      <c r="H2303" s="31"/>
      <c r="I2303" s="31"/>
      <c r="J2303" s="31"/>
      <c r="K2303" s="31"/>
    </row>
    <row r="2304" spans="1:11" ht="14.4" x14ac:dyDescent="0.3">
      <c r="A2304" s="28" t="str">
        <f>B2304&amp;C2304&amp;D2304&amp;E2304</f>
        <v>Qurilish va taʼmirlashElektrikaAvtomatik oʻchirgichlar, HOʻQ, differensial avtomatlarAvtomatik oʻchirgichlar, HOʻQ, differensial avtomatlar</v>
      </c>
      <c r="B2304" s="35" t="s">
        <v>3184</v>
      </c>
      <c r="C2304" s="35" t="s">
        <v>3461</v>
      </c>
      <c r="D2304" s="35" t="s">
        <v>5611</v>
      </c>
      <c r="E2304" s="35" t="s">
        <v>5611</v>
      </c>
      <c r="F2304" s="36">
        <v>0.2</v>
      </c>
      <c r="G2304" s="31"/>
      <c r="H2304" s="31"/>
      <c r="I2304" s="31"/>
      <c r="J2304" s="31"/>
      <c r="K2304" s="31"/>
    </row>
    <row r="2305" spans="1:11" ht="14.4" x14ac:dyDescent="0.3">
      <c r="A2305" s="28" t="str">
        <f>B2305&amp;C2305&amp;D2305&amp;E2305</f>
        <v>Qurilish va taʼmirlashSantexnikaOshxona rakovinasiOshxona rakovinasi</v>
      </c>
      <c r="B2305" s="35" t="s">
        <v>3184</v>
      </c>
      <c r="C2305" s="35" t="s">
        <v>4083</v>
      </c>
      <c r="D2305" s="35" t="s">
        <v>5612</v>
      </c>
      <c r="E2305" s="35" t="s">
        <v>5612</v>
      </c>
      <c r="F2305" s="36">
        <v>0.2</v>
      </c>
      <c r="G2305" s="31"/>
      <c r="H2305" s="31"/>
      <c r="I2305" s="31"/>
      <c r="J2305" s="31"/>
      <c r="K2305" s="31"/>
    </row>
    <row r="2306" spans="1:11" ht="14.4" x14ac:dyDescent="0.3">
      <c r="A2306" s="28" t="str">
        <f>B2306&amp;C2306&amp;D2306&amp;E2306</f>
        <v>SalomatlikTibbiy buyumlar va sarflov materiallariBogʻlov materiallariPlastirlar</v>
      </c>
      <c r="B2306" s="35" t="s">
        <v>3147</v>
      </c>
      <c r="C2306" s="35" t="s">
        <v>3468</v>
      </c>
      <c r="D2306" s="35" t="s">
        <v>5613</v>
      </c>
      <c r="E2306" s="35" t="s">
        <v>5614</v>
      </c>
      <c r="F2306" s="36">
        <v>0.2</v>
      </c>
      <c r="G2306" s="31"/>
      <c r="H2306" s="31"/>
      <c r="I2306" s="31"/>
      <c r="J2306" s="31"/>
      <c r="K2306" s="31"/>
    </row>
    <row r="2307" spans="1:11" ht="14.4" x14ac:dyDescent="0.3">
      <c r="A2307" s="28" t="str">
        <f>B2307&amp;C2307&amp;D2307&amp;E2307</f>
        <v>SalomatlikTibbiy buyumlar va sarflov materiallariAntibakterial vositalarAntibakterial vositalar</v>
      </c>
      <c r="B2307" s="35" t="s">
        <v>3147</v>
      </c>
      <c r="C2307" s="35" t="s">
        <v>3468</v>
      </c>
      <c r="D2307" s="35" t="s">
        <v>5615</v>
      </c>
      <c r="E2307" s="35" t="s">
        <v>5615</v>
      </c>
      <c r="F2307" s="36">
        <v>0.2</v>
      </c>
      <c r="G2307" s="31"/>
      <c r="H2307" s="31"/>
      <c r="I2307" s="31"/>
      <c r="J2307" s="31"/>
      <c r="K2307" s="31"/>
    </row>
    <row r="2308" spans="1:11" ht="14.4" x14ac:dyDescent="0.3">
      <c r="A2308" s="28" t="str">
        <f>B2308&amp;C2308&amp;D2308&amp;E2308</f>
        <v>SalomatlikMassaj uskunalariMassaj gilamchalariMassaj gilamchalari</v>
      </c>
      <c r="B2308" s="35" t="s">
        <v>3147</v>
      </c>
      <c r="C2308" s="35" t="s">
        <v>3484</v>
      </c>
      <c r="D2308" s="35" t="s">
        <v>5616</v>
      </c>
      <c r="E2308" s="35" t="s">
        <v>5616</v>
      </c>
      <c r="F2308" s="36">
        <v>0.2</v>
      </c>
      <c r="G2308" s="31"/>
      <c r="H2308" s="31"/>
      <c r="I2308" s="31"/>
      <c r="J2308" s="31"/>
      <c r="K2308" s="31"/>
    </row>
    <row r="2309" spans="1:11" ht="14.4" x14ac:dyDescent="0.3">
      <c r="A2309" s="28" t="str">
        <f>B2309&amp;C2309&amp;D2309&amp;E2309</f>
        <v>SalomatlikTibbiy buyumlar va sarflov materiallariGigiyenik va tibbiy niqoblarGigiyenik va tibbiy niqoblar</v>
      </c>
      <c r="B2309" s="35" t="s">
        <v>3147</v>
      </c>
      <c r="C2309" s="35" t="s">
        <v>3468</v>
      </c>
      <c r="D2309" s="35" t="s">
        <v>5617</v>
      </c>
      <c r="E2309" s="35" t="s">
        <v>5617</v>
      </c>
      <c r="F2309" s="36">
        <v>0.2</v>
      </c>
      <c r="G2309" s="31"/>
      <c r="H2309" s="31"/>
      <c r="I2309" s="31"/>
      <c r="J2309" s="31"/>
      <c r="K2309" s="31"/>
    </row>
    <row r="2310" spans="1:11" ht="14.4" x14ac:dyDescent="0.3">
      <c r="A2310" s="28" t="str">
        <f>B2310&amp;C2310&amp;D2310&amp;E2310</f>
        <v>SalomatlikTibbiy buyumlar va sarflov materiallariDiagnostika testlariEkspress testlar</v>
      </c>
      <c r="B2310" s="35" t="s">
        <v>3147</v>
      </c>
      <c r="C2310" s="35" t="s">
        <v>3468</v>
      </c>
      <c r="D2310" s="35" t="s">
        <v>5618</v>
      </c>
      <c r="E2310" s="35" t="s">
        <v>5619</v>
      </c>
      <c r="F2310" s="36">
        <v>0.2</v>
      </c>
      <c r="G2310" s="31"/>
      <c r="H2310" s="31"/>
      <c r="I2310" s="31"/>
      <c r="J2310" s="31"/>
      <c r="K2310" s="31"/>
    </row>
    <row r="2311" spans="1:11" ht="14.4" x14ac:dyDescent="0.3">
      <c r="A2311" s="28" t="str">
        <f>B2311&amp;C2311&amp;D2311&amp;E2311</f>
        <v>SalomatlikTibbiy buyumlar va sarflov materiallariTibbiyot qoʻlqoplariTibbiyot qoʻlqoplari</v>
      </c>
      <c r="B2311" s="35" t="s">
        <v>3147</v>
      </c>
      <c r="C2311" s="35" t="s">
        <v>3468</v>
      </c>
      <c r="D2311" s="35" t="s">
        <v>5620</v>
      </c>
      <c r="E2311" s="35" t="s">
        <v>5620</v>
      </c>
      <c r="F2311" s="36">
        <v>0.2</v>
      </c>
      <c r="G2311" s="31"/>
      <c r="H2311" s="31"/>
      <c r="I2311" s="31"/>
      <c r="J2311" s="31"/>
      <c r="K2311" s="31"/>
    </row>
    <row r="2312" spans="1:11" ht="14.4" x14ac:dyDescent="0.3">
      <c r="A2312" s="28" t="str">
        <f>B2312&amp;C2312&amp;D2312&amp;E2312</f>
        <v>SalomatlikTibbiy buyumlar va sarflov materiallariSarflov materiallarTagliklar va tibbiy choyshablar</v>
      </c>
      <c r="B2312" s="35" t="s">
        <v>3147</v>
      </c>
      <c r="C2312" s="35" t="s">
        <v>3468</v>
      </c>
      <c r="D2312" s="35" t="s">
        <v>3475</v>
      </c>
      <c r="E2312" s="35" t="s">
        <v>5621</v>
      </c>
      <c r="F2312" s="36">
        <v>0.2</v>
      </c>
      <c r="G2312" s="31"/>
      <c r="H2312" s="31"/>
      <c r="I2312" s="31"/>
      <c r="J2312" s="31"/>
      <c r="K2312" s="31"/>
    </row>
    <row r="2313" spans="1:11" ht="14.4" x14ac:dyDescent="0.3">
      <c r="A2313" s="28" t="str">
        <f>B2313&amp;C2313&amp;D2313&amp;E2313</f>
        <v>SalomatlikTibbiy buyumlar va sarflov materiallariBogʻlov materiallariBintlar</v>
      </c>
      <c r="B2313" s="35" t="s">
        <v>3147</v>
      </c>
      <c r="C2313" s="35" t="s">
        <v>3468</v>
      </c>
      <c r="D2313" s="35" t="s">
        <v>5613</v>
      </c>
      <c r="E2313" s="35" t="s">
        <v>5622</v>
      </c>
      <c r="F2313" s="36">
        <v>0.2</v>
      </c>
      <c r="G2313" s="31"/>
      <c r="H2313" s="31"/>
      <c r="I2313" s="31"/>
      <c r="J2313" s="31"/>
      <c r="K2313" s="31"/>
    </row>
    <row r="2314" spans="1:11" ht="14.4" x14ac:dyDescent="0.3">
      <c r="A2314" s="28" t="str">
        <f>B2314&amp;C2314&amp;D2314&amp;E2314</f>
        <v>SalomatlikTibbiy jihozlarTibbiyot bilaguzuklari va puls oʻlchagichlariTibbiyot bilaguzuklari va puls oʻlchagichlari</v>
      </c>
      <c r="B2314" s="35" t="s">
        <v>3147</v>
      </c>
      <c r="C2314" s="35" t="s">
        <v>4167</v>
      </c>
      <c r="D2314" s="35" t="s">
        <v>5623</v>
      </c>
      <c r="E2314" s="35" t="s">
        <v>5623</v>
      </c>
      <c r="F2314" s="36">
        <v>0.2</v>
      </c>
      <c r="G2314" s="31"/>
      <c r="H2314" s="31"/>
      <c r="I2314" s="31"/>
      <c r="J2314" s="31"/>
      <c r="K2314" s="31"/>
    </row>
    <row r="2315" spans="1:11" ht="14.4" x14ac:dyDescent="0.3">
      <c r="A2315" s="28" t="str">
        <f>B2315&amp;C2315&amp;D2315&amp;E2315</f>
        <v>SalomatlikMassaj uskunalariMassaj yostiqchalariMassaj yostiqchalari</v>
      </c>
      <c r="B2315" s="35" t="s">
        <v>3147</v>
      </c>
      <c r="C2315" s="35" t="s">
        <v>3484</v>
      </c>
      <c r="D2315" s="35" t="s">
        <v>5624</v>
      </c>
      <c r="E2315" s="35" t="s">
        <v>5624</v>
      </c>
      <c r="F2315" s="36">
        <v>0.2</v>
      </c>
      <c r="G2315" s="31"/>
      <c r="H2315" s="31"/>
      <c r="I2315" s="31"/>
      <c r="J2315" s="31"/>
      <c r="K2315" s="31"/>
    </row>
    <row r="2316" spans="1:11" ht="14.4" x14ac:dyDescent="0.3">
      <c r="A2316" s="28" t="str">
        <f>B2316&amp;C2316&amp;D2316&amp;E2316</f>
        <v>SalomatlikMassaj uskunalariMassaj stoliMassaj stoli</v>
      </c>
      <c r="B2316" s="35" t="s">
        <v>3147</v>
      </c>
      <c r="C2316" s="35" t="s">
        <v>3484</v>
      </c>
      <c r="D2316" s="35" t="s">
        <v>5625</v>
      </c>
      <c r="E2316" s="35" t="s">
        <v>5625</v>
      </c>
      <c r="F2316" s="36">
        <v>0.2</v>
      </c>
      <c r="G2316" s="31"/>
      <c r="H2316" s="31"/>
      <c r="I2316" s="31"/>
      <c r="J2316" s="31"/>
      <c r="K2316" s="31"/>
    </row>
    <row r="2317" spans="1:11" ht="14.4" x14ac:dyDescent="0.3">
      <c r="A2317" s="28" t="str">
        <f>B2317&amp;C2317&amp;D2317&amp;E2317</f>
        <v>SalomatlikTibbiy buyumlar va sarflov materiallariDiagnostika testlariHomiladorlik va ovulyatsiya testlari</v>
      </c>
      <c r="B2317" s="35" t="s">
        <v>3147</v>
      </c>
      <c r="C2317" s="35" t="s">
        <v>3468</v>
      </c>
      <c r="D2317" s="35" t="s">
        <v>5618</v>
      </c>
      <c r="E2317" s="35" t="s">
        <v>5626</v>
      </c>
      <c r="F2317" s="36">
        <v>0.2</v>
      </c>
      <c r="G2317" s="31"/>
      <c r="H2317" s="31"/>
      <c r="I2317" s="31"/>
      <c r="J2317" s="31"/>
      <c r="K2317" s="31"/>
    </row>
    <row r="2318" spans="1:11" ht="14.4" x14ac:dyDescent="0.3">
      <c r="A2318" s="28" t="str">
        <f>B2318&amp;C2318&amp;D2318&amp;E2318</f>
        <v>SalomatlikTibbiy jihozlarIngalyatorlar va aksessuarlarIngalyatorlar va aksessuarlar</v>
      </c>
      <c r="B2318" s="35" t="s">
        <v>3147</v>
      </c>
      <c r="C2318" s="35" t="s">
        <v>4167</v>
      </c>
      <c r="D2318" s="35" t="s">
        <v>5627</v>
      </c>
      <c r="E2318" s="35" t="s">
        <v>5627</v>
      </c>
      <c r="F2318" s="36">
        <v>0.2</v>
      </c>
      <c r="G2318" s="31"/>
      <c r="H2318" s="31"/>
      <c r="I2318" s="31"/>
      <c r="J2318" s="31"/>
      <c r="K2318" s="31"/>
    </row>
    <row r="2319" spans="1:11" ht="14.4" x14ac:dyDescent="0.3">
      <c r="A2319" s="28" t="str">
        <f>B2319&amp;C2319&amp;D2319&amp;E2319</f>
        <v>SalomatlikTibbiy buyumlar va sarflov materiallariTibbiyot uskunalariTibbiyot uskunalari</v>
      </c>
      <c r="B2319" s="35" t="s">
        <v>3147</v>
      </c>
      <c r="C2319" s="35" t="s">
        <v>3468</v>
      </c>
      <c r="D2319" s="35" t="s">
        <v>5628</v>
      </c>
      <c r="E2319" s="35" t="s">
        <v>5628</v>
      </c>
      <c r="F2319" s="36">
        <v>0.2</v>
      </c>
      <c r="G2319" s="31"/>
      <c r="H2319" s="31"/>
      <c r="I2319" s="31"/>
      <c r="J2319" s="31"/>
      <c r="K2319" s="31"/>
    </row>
    <row r="2320" spans="1:11" ht="14.4" x14ac:dyDescent="0.3">
      <c r="A2320" s="28" t="str">
        <f>B2320&amp;C2320&amp;D2320&amp;E2320</f>
        <v>SalomatlikTibbiy buyumlar va sarflov materiallariBogʻlov materiallariMomiq paxta</v>
      </c>
      <c r="B2320" s="35" t="s">
        <v>3147</v>
      </c>
      <c r="C2320" s="35" t="s">
        <v>3468</v>
      </c>
      <c r="D2320" s="35" t="s">
        <v>5613</v>
      </c>
      <c r="E2320" s="35" t="s">
        <v>5629</v>
      </c>
      <c r="F2320" s="36">
        <v>0.2</v>
      </c>
      <c r="G2320" s="31"/>
      <c r="H2320" s="31"/>
      <c r="I2320" s="31"/>
      <c r="J2320" s="31"/>
      <c r="K2320" s="31"/>
    </row>
    <row r="2321" spans="1:11" ht="14.4" x14ac:dyDescent="0.3">
      <c r="A2321" s="28" t="str">
        <f>B2321&amp;C2321&amp;D2321&amp;E2321</f>
        <v>SalomatlikMassaj uskunalariMassaj qalpoqlariMassaj qalpoqlari</v>
      </c>
      <c r="B2321" s="35" t="s">
        <v>3147</v>
      </c>
      <c r="C2321" s="35" t="s">
        <v>3484</v>
      </c>
      <c r="D2321" s="35" t="s">
        <v>5630</v>
      </c>
      <c r="E2321" s="35" t="s">
        <v>5630</v>
      </c>
      <c r="F2321" s="36">
        <v>0.2</v>
      </c>
      <c r="G2321" s="31"/>
      <c r="H2321" s="31"/>
      <c r="I2321" s="31"/>
      <c r="J2321" s="31"/>
      <c r="K2321" s="31"/>
    </row>
    <row r="2322" spans="1:11" ht="14.4" x14ac:dyDescent="0.3">
      <c r="A2322" s="28" t="str">
        <f>B2322&amp;C2322&amp;D2322&amp;E2322</f>
        <v>SalomatlikTibbiy jihozlarGlyukometrlar va aksessuarlarGlyukometr uchun lansetlar</v>
      </c>
      <c r="B2322" s="35" t="s">
        <v>3147</v>
      </c>
      <c r="C2322" s="35" t="s">
        <v>4167</v>
      </c>
      <c r="D2322" s="35" t="s">
        <v>5631</v>
      </c>
      <c r="E2322" s="35" t="s">
        <v>5632</v>
      </c>
      <c r="F2322" s="36">
        <v>0.2</v>
      </c>
      <c r="G2322" s="31"/>
      <c r="H2322" s="31"/>
      <c r="I2322" s="31"/>
      <c r="J2322" s="31"/>
      <c r="K2322" s="31"/>
    </row>
    <row r="2323" spans="1:11" ht="14.4" x14ac:dyDescent="0.3">
      <c r="A2323" s="28" t="str">
        <f>B2323&amp;C2323&amp;D2323&amp;E2323</f>
        <v>SalomatlikTibbiy buyumlar va sarflov materiallariSarflov materiallarBir martalik kiyim</v>
      </c>
      <c r="B2323" s="35" t="s">
        <v>3147</v>
      </c>
      <c r="C2323" s="35" t="s">
        <v>3468</v>
      </c>
      <c r="D2323" s="35" t="s">
        <v>3475</v>
      </c>
      <c r="E2323" s="35" t="s">
        <v>5633</v>
      </c>
      <c r="F2323" s="36">
        <v>0.2</v>
      </c>
      <c r="G2323" s="31"/>
      <c r="H2323" s="31"/>
      <c r="I2323" s="31"/>
      <c r="J2323" s="31"/>
      <c r="K2323" s="31"/>
    </row>
    <row r="2324" spans="1:11" ht="14.4" x14ac:dyDescent="0.3">
      <c r="A2324" s="28" t="str">
        <f>B2324&amp;C2324&amp;D2324&amp;E2324</f>
        <v>SalomatlikTibbiy jihozlarStetoskoplarStetoskoplar</v>
      </c>
      <c r="B2324" s="35" t="s">
        <v>3147</v>
      </c>
      <c r="C2324" s="35" t="s">
        <v>4167</v>
      </c>
      <c r="D2324" s="35" t="s">
        <v>5634</v>
      </c>
      <c r="E2324" s="35" t="s">
        <v>5634</v>
      </c>
      <c r="F2324" s="36">
        <v>0.2</v>
      </c>
      <c r="G2324" s="31"/>
      <c r="H2324" s="31"/>
      <c r="I2324" s="31"/>
      <c r="J2324" s="31"/>
      <c r="K2324" s="31"/>
    </row>
    <row r="2325" spans="1:11" ht="14.4" x14ac:dyDescent="0.3">
      <c r="A2325" s="28" t="str">
        <f>B2325&amp;C2325&amp;D2325&amp;E2325</f>
        <v>SalomatlikOptikaNamlantiruvchi tomchilarNamlantiruvchi tomchilar</v>
      </c>
      <c r="B2325" s="35" t="s">
        <v>3147</v>
      </c>
      <c r="C2325" s="35" t="s">
        <v>3150</v>
      </c>
      <c r="D2325" s="35" t="s">
        <v>5635</v>
      </c>
      <c r="E2325" s="35" t="s">
        <v>5635</v>
      </c>
      <c r="F2325" s="36">
        <v>0.2</v>
      </c>
      <c r="G2325" s="31"/>
      <c r="H2325" s="31"/>
      <c r="I2325" s="31"/>
      <c r="J2325" s="31"/>
      <c r="K2325" s="31"/>
    </row>
    <row r="2326" spans="1:11" ht="14.4" x14ac:dyDescent="0.3">
      <c r="A2326" s="28" t="str">
        <f>B2326&amp;C2326&amp;D2326&amp;E2326</f>
        <v>SalomatlikTibbiy buyumlar va sarflov materiallariBogʻlov materiallariDokalar</v>
      </c>
      <c r="B2326" s="35" t="s">
        <v>3147</v>
      </c>
      <c r="C2326" s="35" t="s">
        <v>3468</v>
      </c>
      <c r="D2326" s="35" t="s">
        <v>5613</v>
      </c>
      <c r="E2326" s="35" t="s">
        <v>5636</v>
      </c>
      <c r="F2326" s="36">
        <v>0.2</v>
      </c>
      <c r="G2326" s="31"/>
      <c r="H2326" s="31"/>
      <c r="I2326" s="31"/>
      <c r="J2326" s="31"/>
      <c r="K2326" s="31"/>
    </row>
    <row r="2327" spans="1:11" ht="14.4" x14ac:dyDescent="0.3">
      <c r="A2327" s="28" t="str">
        <f>B2327&amp;C2327&amp;D2327&amp;E2327</f>
        <v>SalomatlikTibbiy buyumlar va sarflov materiallariSarflov materiallarSterilizatsiya uchun aksessuarlar</v>
      </c>
      <c r="B2327" s="35" t="s">
        <v>3147</v>
      </c>
      <c r="C2327" s="35" t="s">
        <v>3468</v>
      </c>
      <c r="D2327" s="35" t="s">
        <v>3475</v>
      </c>
      <c r="E2327" s="35" t="s">
        <v>5637</v>
      </c>
      <c r="F2327" s="36">
        <v>0.2</v>
      </c>
      <c r="G2327" s="31"/>
      <c r="H2327" s="31"/>
      <c r="I2327" s="31"/>
      <c r="J2327" s="31"/>
      <c r="K2327" s="31"/>
    </row>
    <row r="2328" spans="1:11" ht="14.4" x14ac:dyDescent="0.3">
      <c r="A2328" s="28" t="str">
        <f>B2328&amp;C2328&amp;D2328&amp;E2328</f>
        <v>Sport va hordiqSamokatlar va aksessuarlarSamokatlarSamokatlar</v>
      </c>
      <c r="B2328" s="35" t="s">
        <v>43</v>
      </c>
      <c r="C2328" s="35" t="s">
        <v>4185</v>
      </c>
      <c r="D2328" s="35" t="s">
        <v>46</v>
      </c>
      <c r="E2328" s="35" t="s">
        <v>46</v>
      </c>
      <c r="F2328" s="36">
        <v>0.2</v>
      </c>
      <c r="G2328" s="31"/>
      <c r="H2328" s="31"/>
      <c r="I2328" s="31"/>
      <c r="J2328" s="31"/>
      <c r="K2328" s="31"/>
    </row>
    <row r="2329" spans="1:11" ht="14.4" x14ac:dyDescent="0.3">
      <c r="A2329" s="28" t="str">
        <f>B2329&amp;C2329&amp;D2329&amp;E2329</f>
        <v>Sport va hordiqBasseynlar va aksessuarlarHovuz jihozlariFiltrlar, nasoslar, xlorageneratorlar</v>
      </c>
      <c r="B2329" s="35" t="s">
        <v>43</v>
      </c>
      <c r="C2329" s="35" t="s">
        <v>3486</v>
      </c>
      <c r="D2329" s="35" t="s">
        <v>5638</v>
      </c>
      <c r="E2329" s="35" t="s">
        <v>5639</v>
      </c>
      <c r="F2329" s="36">
        <v>0.2</v>
      </c>
      <c r="G2329" s="31"/>
      <c r="H2329" s="31"/>
      <c r="I2329" s="31"/>
      <c r="J2329" s="31"/>
      <c r="K2329" s="31"/>
    </row>
    <row r="2330" spans="1:11" ht="14.4" x14ac:dyDescent="0.3">
      <c r="A2330" s="28" t="str">
        <f>B2330&amp;C2330&amp;D2330&amp;E2330</f>
        <v>Sport va hordiqBasseynlar va aksessuarlarFiltrlar, nasoslar va xlor generatorlariFiltrlar, nasoslar va xlor generatorlari</v>
      </c>
      <c r="B2330" s="35" t="s">
        <v>43</v>
      </c>
      <c r="C2330" s="35" t="s">
        <v>3486</v>
      </c>
      <c r="D2330" s="35" t="s">
        <v>5640</v>
      </c>
      <c r="E2330" s="35" t="s">
        <v>5640</v>
      </c>
      <c r="F2330" s="36">
        <v>0.2</v>
      </c>
      <c r="G2330" s="31"/>
      <c r="H2330" s="31"/>
      <c r="I2330" s="31"/>
      <c r="J2330" s="31"/>
      <c r="K2330" s="31"/>
    </row>
    <row r="2331" spans="1:11" ht="14.4" x14ac:dyDescent="0.3">
      <c r="A2331" s="28" t="str">
        <f>B2331&amp;C2331&amp;D2331&amp;E2331</f>
        <v>Sport va hordiqTabiat qoʻynida dam olish, baliq ovi va ovBaliq oviExolotlar va navigatsiya</v>
      </c>
      <c r="B2331" s="35" t="s">
        <v>43</v>
      </c>
      <c r="C2331" s="35" t="s">
        <v>4172</v>
      </c>
      <c r="D2331" s="35" t="s">
        <v>4514</v>
      </c>
      <c r="E2331" s="35" t="s">
        <v>5641</v>
      </c>
      <c r="F2331" s="36">
        <v>0.2</v>
      </c>
      <c r="G2331" s="31"/>
      <c r="H2331" s="31"/>
      <c r="I2331" s="31"/>
      <c r="J2331" s="31"/>
      <c r="K2331" s="31"/>
    </row>
    <row r="2332" spans="1:11" ht="14.4" x14ac:dyDescent="0.3">
      <c r="A2332" s="28" t="str">
        <f>B2332&amp;C2332&amp;D2332&amp;E2332</f>
        <v>Sport va hordiqFaol hordiq turlariKompressli bogʻlamlar va yenglariKompressli bogʻlamlar va yenglari</v>
      </c>
      <c r="B2332" s="35" t="s">
        <v>43</v>
      </c>
      <c r="C2332" s="35" t="s">
        <v>4181</v>
      </c>
      <c r="D2332" s="35" t="s">
        <v>5642</v>
      </c>
      <c r="E2332" s="35" t="s">
        <v>5642</v>
      </c>
      <c r="F2332" s="36">
        <v>0.2</v>
      </c>
      <c r="G2332" s="31"/>
      <c r="H2332" s="31"/>
      <c r="I2332" s="31"/>
      <c r="J2332" s="31"/>
      <c r="K2332" s="31"/>
    </row>
    <row r="2333" spans="1:11" ht="14.4" x14ac:dyDescent="0.3">
      <c r="A2333" s="28" t="str">
        <f>B2333&amp;C2333&amp;D2333&amp;E2333</f>
        <v>Sport va hordiqRolikli konkilar, ekipirovka va ehtiyot qismlarRolikli konkilarRolikli konkilar</v>
      </c>
      <c r="B2333" s="35" t="s">
        <v>43</v>
      </c>
      <c r="C2333" s="35" t="s">
        <v>4202</v>
      </c>
      <c r="D2333" s="35" t="s">
        <v>5643</v>
      </c>
      <c r="E2333" s="35" t="s">
        <v>5643</v>
      </c>
      <c r="F2333" s="36">
        <v>0.2</v>
      </c>
      <c r="G2333" s="31"/>
      <c r="H2333" s="31"/>
      <c r="I2333" s="31"/>
      <c r="J2333" s="31"/>
      <c r="K2333" s="31"/>
    </row>
    <row r="2334" spans="1:11" ht="14.4" x14ac:dyDescent="0.3">
      <c r="A2334" s="28" t="str">
        <f>B2334&amp;C2334&amp;D2334&amp;E2334</f>
        <v>Sport va hordiqErkin og'irliklarTurniklar va brusyalarTurniklar va brusyalar</v>
      </c>
      <c r="B2334" s="35" t="s">
        <v>43</v>
      </c>
      <c r="C2334" s="35" t="s">
        <v>4508</v>
      </c>
      <c r="D2334" s="35" t="s">
        <v>5644</v>
      </c>
      <c r="E2334" s="35" t="s">
        <v>5644</v>
      </c>
      <c r="F2334" s="36">
        <v>0.2</v>
      </c>
      <c r="G2334" s="31"/>
      <c r="H2334" s="31"/>
      <c r="I2334" s="31"/>
      <c r="J2334" s="31"/>
      <c r="K2334" s="31"/>
    </row>
    <row r="2335" spans="1:11" ht="14.4" x14ac:dyDescent="0.3">
      <c r="A2335" s="28" t="str">
        <f>B2335&amp;C2335&amp;D2335&amp;E2335</f>
        <v>Sport va hordiqFaol hordiq turlariBilyardBilyard kiylari</v>
      </c>
      <c r="B2335" s="35" t="s">
        <v>43</v>
      </c>
      <c r="C2335" s="35" t="s">
        <v>4181</v>
      </c>
      <c r="D2335" s="35" t="s">
        <v>4182</v>
      </c>
      <c r="E2335" s="35" t="s">
        <v>5645</v>
      </c>
      <c r="F2335" s="36">
        <v>0.2</v>
      </c>
      <c r="G2335" s="31"/>
      <c r="H2335" s="31"/>
      <c r="I2335" s="31"/>
      <c r="J2335" s="31"/>
      <c r="K2335" s="31"/>
    </row>
    <row r="2336" spans="1:11" ht="14.4" x14ac:dyDescent="0.3">
      <c r="A2336" s="28" t="str">
        <f>B2336&amp;C2336&amp;D2336&amp;E2336</f>
        <v>Sport va hordiqQishki sportTog' chang'i niqoblar va ko'zoynaklarTog' chang'i niqoblar va ko'zoynaklar</v>
      </c>
      <c r="B2336" s="35" t="s">
        <v>43</v>
      </c>
      <c r="C2336" s="35" t="s">
        <v>5646</v>
      </c>
      <c r="D2336" s="35" t="s">
        <v>5647</v>
      </c>
      <c r="E2336" s="35" t="s">
        <v>5647</v>
      </c>
      <c r="F2336" s="36">
        <v>0.2</v>
      </c>
      <c r="G2336" s="31"/>
      <c r="H2336" s="31"/>
      <c r="I2336" s="31"/>
      <c r="J2336" s="31"/>
      <c r="K2336" s="31"/>
    </row>
    <row r="2337" spans="1:11" ht="14.4" x14ac:dyDescent="0.3">
      <c r="A2337" s="28" t="str">
        <f>B2337&amp;C2337&amp;D2337&amp;E2337</f>
        <v>Sport va hordiqQishki sportPuflama chanalarPuflama chanalar</v>
      </c>
      <c r="B2337" s="35" t="s">
        <v>43</v>
      </c>
      <c r="C2337" s="35" t="s">
        <v>5646</v>
      </c>
      <c r="D2337" s="35" t="s">
        <v>5648</v>
      </c>
      <c r="E2337" s="35" t="s">
        <v>5648</v>
      </c>
      <c r="F2337" s="36">
        <v>0.2</v>
      </c>
      <c r="G2337" s="31"/>
      <c r="H2337" s="31"/>
      <c r="I2337" s="31"/>
      <c r="J2337" s="31"/>
      <c r="K2337" s="31"/>
    </row>
    <row r="2338" spans="1:11" ht="14.4" x14ac:dyDescent="0.3">
      <c r="A2338" s="28" t="str">
        <f>B2338&amp;C2338&amp;D2338&amp;E2338</f>
        <v>Sport va hordiqElektr transportiElektr transport uchun aksessuarlar va ehtiyot qismlarElektr transport uchun aksessuarlar va ehtiyot qismlar</v>
      </c>
      <c r="B2338" s="35" t="s">
        <v>43</v>
      </c>
      <c r="C2338" s="35" t="s">
        <v>5649</v>
      </c>
      <c r="D2338" s="35" t="s">
        <v>5650</v>
      </c>
      <c r="E2338" s="35" t="s">
        <v>5650</v>
      </c>
      <c r="F2338" s="36">
        <v>0.2</v>
      </c>
      <c r="G2338" s="31"/>
      <c r="H2338" s="31"/>
      <c r="I2338" s="31"/>
      <c r="J2338" s="31"/>
      <c r="K2338" s="31"/>
    </row>
    <row r="2339" spans="1:11" ht="14.4" x14ac:dyDescent="0.3">
      <c r="A2339" s="28" t="str">
        <f>B2339&amp;C2339&amp;D2339&amp;E2339</f>
        <v>Sport va hordiqTrenajorlarTrenajorlar uchun aksessuarlarTrenajorlar uchun aksessuarlar</v>
      </c>
      <c r="B2339" s="35" t="s">
        <v>43</v>
      </c>
      <c r="C2339" s="35" t="s">
        <v>5651</v>
      </c>
      <c r="D2339" s="35" t="s">
        <v>5652</v>
      </c>
      <c r="E2339" s="35" t="s">
        <v>5652</v>
      </c>
      <c r="F2339" s="36">
        <v>0.2</v>
      </c>
      <c r="G2339" s="31"/>
      <c r="H2339" s="31"/>
      <c r="I2339" s="31"/>
      <c r="J2339" s="31"/>
      <c r="K2339" s="31"/>
    </row>
    <row r="2340" spans="1:11" ht="14.4" x14ac:dyDescent="0.3">
      <c r="A2340" s="28" t="str">
        <f>B2340&amp;C2340&amp;D2340&amp;E2340</f>
        <v>Uy-roʻzgʻor buyumlariMebelTokchalarTokchalar</v>
      </c>
      <c r="B2340" s="35" t="s">
        <v>3193</v>
      </c>
      <c r="C2340" s="35" t="s">
        <v>5653</v>
      </c>
      <c r="D2340" s="35" t="s">
        <v>5654</v>
      </c>
      <c r="E2340" s="35" t="s">
        <v>5654</v>
      </c>
      <c r="F2340" s="36">
        <v>0.2</v>
      </c>
      <c r="G2340" s="31"/>
      <c r="H2340" s="31"/>
      <c r="I2340" s="31"/>
      <c r="J2340" s="31"/>
      <c r="K2340" s="31"/>
    </row>
    <row r="2341" spans="1:11" ht="14.4" x14ac:dyDescent="0.3">
      <c r="A2341" s="28" t="str">
        <f>B2341&amp;C2341&amp;D2341&amp;E2341</f>
        <v>Uy-roʻzgʻor buyumlariXoʻjalik buyumlariKiyim va poyabzallar parvarishiTozalash uchun aksessuarlar</v>
      </c>
      <c r="B2341" s="35" t="s">
        <v>3193</v>
      </c>
      <c r="C2341" s="35" t="s">
        <v>5655</v>
      </c>
      <c r="D2341" s="35" t="s">
        <v>5656</v>
      </c>
      <c r="E2341" s="35" t="s">
        <v>5657</v>
      </c>
      <c r="F2341" s="36">
        <v>0.2</v>
      </c>
      <c r="G2341" s="31"/>
      <c r="H2341" s="31"/>
      <c r="I2341" s="31"/>
      <c r="J2341" s="31"/>
      <c r="K2341" s="31"/>
    </row>
    <row r="2342" spans="1:11" ht="14.4" x14ac:dyDescent="0.3">
      <c r="A2342" s="28" t="str">
        <f>B2342&amp;C2342&amp;D2342&amp;E2342</f>
        <v>Uy-roʻzgʻor buyumlariMebelStullar va taburetkalarStullar va taburetkalar</v>
      </c>
      <c r="B2342" s="35" t="s">
        <v>3193</v>
      </c>
      <c r="C2342" s="35" t="s">
        <v>5653</v>
      </c>
      <c r="D2342" s="35" t="s">
        <v>5658</v>
      </c>
      <c r="E2342" s="35" t="s">
        <v>5658</v>
      </c>
      <c r="F2342" s="36">
        <v>0.2</v>
      </c>
      <c r="G2342" s="31"/>
      <c r="H2342" s="31"/>
      <c r="I2342" s="31"/>
      <c r="J2342" s="31"/>
      <c r="K2342" s="31"/>
    </row>
    <row r="2343" spans="1:11" ht="14.4" x14ac:dyDescent="0.3">
      <c r="A2343" s="28" t="str">
        <f>B2343&amp;C2343&amp;D2343&amp;E2343</f>
        <v>Uy-roʻzgʻor buyumlariXoʻjalik buyumlariTozalash ishlari uchun inventarlarXoʻjalik qoʻlqoplari</v>
      </c>
      <c r="B2343" s="35" t="s">
        <v>3193</v>
      </c>
      <c r="C2343" s="35" t="s">
        <v>5655</v>
      </c>
      <c r="D2343" s="35" t="s">
        <v>5659</v>
      </c>
      <c r="E2343" s="35" t="s">
        <v>5660</v>
      </c>
      <c r="F2343" s="36">
        <v>0.2</v>
      </c>
      <c r="G2343" s="31"/>
      <c r="H2343" s="31"/>
      <c r="I2343" s="31"/>
      <c r="J2343" s="31"/>
      <c r="K2343" s="31"/>
    </row>
    <row r="2344" spans="1:11" ht="14.4" x14ac:dyDescent="0.3">
      <c r="A2344" s="28" t="str">
        <f>B2344&amp;C2344&amp;D2344&amp;E2344</f>
        <v>Uy-roʻzgʻor buyumlariOshxona buyumlariTamaddixona idishlariKoʻzalar va grafinlar</v>
      </c>
      <c r="B2344" s="35" t="s">
        <v>3193</v>
      </c>
      <c r="C2344" s="35" t="s">
        <v>3443</v>
      </c>
      <c r="D2344" s="35" t="s">
        <v>5661</v>
      </c>
      <c r="E2344" s="35" t="s">
        <v>5662</v>
      </c>
      <c r="F2344" s="36">
        <v>0.2</v>
      </c>
      <c r="G2344" s="31"/>
      <c r="H2344" s="31"/>
      <c r="I2344" s="31"/>
      <c r="J2344" s="31"/>
      <c r="K2344" s="31"/>
    </row>
    <row r="2345" spans="1:11" ht="14.4" x14ac:dyDescent="0.3">
      <c r="A2345" s="28" t="str">
        <f>B2345&amp;C2345&amp;D2345&amp;E2345</f>
        <v>Uy-roʻzgʻor buyumlariXoʻjalik buyumlariVanna uchun aksessuarlarVanna va rakovina uchun tiqinlar</v>
      </c>
      <c r="B2345" s="35" t="s">
        <v>3193</v>
      </c>
      <c r="C2345" s="35" t="s">
        <v>5655</v>
      </c>
      <c r="D2345" s="35" t="s">
        <v>5663</v>
      </c>
      <c r="E2345" s="35" t="s">
        <v>5664</v>
      </c>
      <c r="F2345" s="36">
        <v>0.2</v>
      </c>
      <c r="G2345" s="31"/>
      <c r="H2345" s="31"/>
      <c r="I2345" s="31"/>
      <c r="J2345" s="31"/>
      <c r="K2345" s="31"/>
    </row>
    <row r="2346" spans="1:11" ht="14.4" x14ac:dyDescent="0.3">
      <c r="A2346" s="28" t="str">
        <f>B2346&amp;C2346&amp;D2346&amp;E2346</f>
        <v>Uy-roʻzgʻor buyumlariXoʻjalik buyumlariKiyim va poyabzallar parvarishiKir yuvish uchun aksessuarlar</v>
      </c>
      <c r="B2346" s="35" t="s">
        <v>3193</v>
      </c>
      <c r="C2346" s="35" t="s">
        <v>5655</v>
      </c>
      <c r="D2346" s="35" t="s">
        <v>5656</v>
      </c>
      <c r="E2346" s="35" t="s">
        <v>5665</v>
      </c>
      <c r="F2346" s="36">
        <v>0.2</v>
      </c>
      <c r="G2346" s="31"/>
      <c r="H2346" s="31"/>
      <c r="I2346" s="31"/>
      <c r="J2346" s="31"/>
      <c r="K2346" s="31"/>
    </row>
    <row r="2347" spans="1:11" ht="14.4" x14ac:dyDescent="0.3">
      <c r="A2347" s="28" t="str">
        <f>B2347&amp;C2347&amp;D2347&amp;E2347</f>
        <v>Uy-roʻzgʻor buyumlariXoʻjalik buyumlariVanna uchun aksessuarlarPardalar va karnizlar</v>
      </c>
      <c r="B2347" s="35" t="s">
        <v>3193</v>
      </c>
      <c r="C2347" s="35" t="s">
        <v>5655</v>
      </c>
      <c r="D2347" s="35" t="s">
        <v>5663</v>
      </c>
      <c r="E2347" s="35" t="s">
        <v>4557</v>
      </c>
      <c r="F2347" s="36">
        <v>0.2</v>
      </c>
      <c r="G2347" s="31"/>
      <c r="H2347" s="31"/>
      <c r="I2347" s="31"/>
      <c r="J2347" s="31"/>
      <c r="K2347" s="31"/>
    </row>
    <row r="2348" spans="1:11" ht="14.4" x14ac:dyDescent="0.3">
      <c r="A2348" s="28" t="str">
        <f>B2348&amp;C2348&amp;D2348&amp;E2348</f>
        <v>Uy-roʻzgʻor buyumlariXoʻjalik buyumlariTozalash ishlari uchun inventarlarXokandozlar</v>
      </c>
      <c r="B2348" s="35" t="s">
        <v>3193</v>
      </c>
      <c r="C2348" s="35" t="s">
        <v>5655</v>
      </c>
      <c r="D2348" s="35" t="s">
        <v>5659</v>
      </c>
      <c r="E2348" s="35" t="s">
        <v>5666</v>
      </c>
      <c r="F2348" s="36">
        <v>0.2</v>
      </c>
      <c r="G2348" s="31"/>
      <c r="H2348" s="31"/>
      <c r="I2348" s="31"/>
      <c r="J2348" s="31"/>
      <c r="K2348" s="31"/>
    </row>
    <row r="2349" spans="1:11" ht="14.4" x14ac:dyDescent="0.3">
      <c r="A2349" s="28" t="str">
        <f>B2349&amp;C2349&amp;D2349&amp;E2349</f>
        <v>Uy-roʻzgʻor buyumlariOshxona buyumlariTamaddixona idishlariRozetkalar va kremankalar</v>
      </c>
      <c r="B2349" s="35" t="s">
        <v>3193</v>
      </c>
      <c r="C2349" s="35" t="s">
        <v>3443</v>
      </c>
      <c r="D2349" s="35" t="s">
        <v>5661</v>
      </c>
      <c r="E2349" s="35" t="s">
        <v>5667</v>
      </c>
      <c r="F2349" s="36">
        <v>0.2</v>
      </c>
      <c r="G2349" s="31"/>
      <c r="H2349" s="31"/>
      <c r="I2349" s="31"/>
      <c r="J2349" s="31"/>
      <c r="K2349" s="31"/>
    </row>
    <row r="2350" spans="1:11" ht="14.4" x14ac:dyDescent="0.3">
      <c r="A2350" s="28" t="str">
        <f>B2350&amp;C2350&amp;D2350&amp;E2350</f>
        <v>Uy-roʻzgʻor buyumlariXoʻjalik buyumlariTozalash ishlari uchun inventarlarSupurgilar</v>
      </c>
      <c r="B2350" s="35" t="s">
        <v>3193</v>
      </c>
      <c r="C2350" s="35" t="s">
        <v>5655</v>
      </c>
      <c r="D2350" s="35" t="s">
        <v>5659</v>
      </c>
      <c r="E2350" s="35" t="s">
        <v>5668</v>
      </c>
      <c r="F2350" s="36">
        <v>0.2</v>
      </c>
      <c r="G2350" s="31"/>
      <c r="H2350" s="31"/>
      <c r="I2350" s="31"/>
      <c r="J2350" s="31"/>
      <c r="K2350" s="31"/>
    </row>
    <row r="2351" spans="1:11" ht="14.4" x14ac:dyDescent="0.3">
      <c r="A2351" s="28" t="str">
        <f>B2351&amp;C2351&amp;D2351&amp;E2351</f>
        <v>Uy-roʻzgʻor buyumlariXoʻjalik buyumlariSumka-aravachalarSumka-aravachalar</v>
      </c>
      <c r="B2351" s="35" t="s">
        <v>3193</v>
      </c>
      <c r="C2351" s="35" t="s">
        <v>5655</v>
      </c>
      <c r="D2351" s="35" t="s">
        <v>5669</v>
      </c>
      <c r="E2351" s="35" t="s">
        <v>5669</v>
      </c>
      <c r="F2351" s="36">
        <v>0.2</v>
      </c>
      <c r="G2351" s="31"/>
      <c r="H2351" s="31"/>
      <c r="I2351" s="31"/>
      <c r="J2351" s="31"/>
      <c r="K2351" s="31"/>
    </row>
    <row r="2352" spans="1:11" ht="14.4" x14ac:dyDescent="0.3">
      <c r="A2352" s="28" t="str">
        <f>B2352&amp;C2352&amp;D2352&amp;E2352</f>
        <v>Uy-roʻzgʻor buyumlariXoʻjalik buyumlariTozalash ishlari uchun inventarlarVantuzlar va troslar</v>
      </c>
      <c r="B2352" s="35" t="s">
        <v>3193</v>
      </c>
      <c r="C2352" s="35" t="s">
        <v>5655</v>
      </c>
      <c r="D2352" s="35" t="s">
        <v>5659</v>
      </c>
      <c r="E2352" s="35" t="s">
        <v>5670</v>
      </c>
      <c r="F2352" s="36">
        <v>0.2</v>
      </c>
      <c r="G2352" s="31"/>
      <c r="H2352" s="31"/>
      <c r="I2352" s="31"/>
      <c r="J2352" s="31"/>
      <c r="K2352" s="31"/>
    </row>
    <row r="2353" spans="1:11" ht="14.4" x14ac:dyDescent="0.3">
      <c r="A2353" s="28" t="str">
        <f>B2353&amp;C2353&amp;D2353&amp;E2353</f>
        <v>Uy-roʻzgʻor buyumlariXoʻjalik buyumlariVanna uchun aksessuarlarIlgaklar va tutqichlar</v>
      </c>
      <c r="B2353" s="35" t="s">
        <v>3193</v>
      </c>
      <c r="C2353" s="35" t="s">
        <v>5655</v>
      </c>
      <c r="D2353" s="35" t="s">
        <v>5663</v>
      </c>
      <c r="E2353" s="35" t="s">
        <v>5671</v>
      </c>
      <c r="F2353" s="36">
        <v>0.2</v>
      </c>
      <c r="G2353" s="31"/>
      <c r="H2353" s="31"/>
      <c r="I2353" s="31"/>
      <c r="J2353" s="31"/>
      <c r="K2353" s="31"/>
    </row>
    <row r="2354" spans="1:11" ht="14.4" x14ac:dyDescent="0.3">
      <c r="A2354" s="28" t="str">
        <f>B2354&amp;C2354&amp;D2354&amp;E2354</f>
        <v>Uy-roʻzgʻor buyumlariMebelPufiklar ba banketkalarPufiklar ba banketkalar</v>
      </c>
      <c r="B2354" s="35" t="s">
        <v>3193</v>
      </c>
      <c r="C2354" s="35" t="s">
        <v>5653</v>
      </c>
      <c r="D2354" s="35" t="s">
        <v>5672</v>
      </c>
      <c r="E2354" s="35" t="s">
        <v>5672</v>
      </c>
      <c r="F2354" s="36">
        <v>0.2</v>
      </c>
      <c r="G2354" s="31"/>
      <c r="H2354" s="31"/>
      <c r="I2354" s="31"/>
      <c r="J2354" s="31"/>
      <c r="K2354" s="31"/>
    </row>
    <row r="2355" spans="1:11" ht="14.4" x14ac:dyDescent="0.3">
      <c r="A2355" s="28" t="str">
        <f>B2355&amp;C2355&amp;D2355&amp;E2355</f>
        <v>Uy-roʻzgʻor buyumlariXoʻjalik buyumlariTozalash ishlari uchun inventarlarShvabralar</v>
      </c>
      <c r="B2355" s="35" t="s">
        <v>3193</v>
      </c>
      <c r="C2355" s="35" t="s">
        <v>5655</v>
      </c>
      <c r="D2355" s="35" t="s">
        <v>5659</v>
      </c>
      <c r="E2355" s="35" t="s">
        <v>5673</v>
      </c>
      <c r="F2355" s="36">
        <v>0.2</v>
      </c>
      <c r="G2355" s="31"/>
      <c r="H2355" s="31"/>
      <c r="I2355" s="31"/>
      <c r="J2355" s="31"/>
      <c r="K2355" s="31"/>
    </row>
    <row r="2356" spans="1:11" ht="14.4" x14ac:dyDescent="0.3">
      <c r="A2356" s="28" t="str">
        <f>B2356&amp;C2356&amp;D2356&amp;E2356</f>
        <v>Uy-roʻzgʻor buyumlariXoʻjalik buyumlariTozalash ishlari uchun inventarlarChelaklar va togʻoralar</v>
      </c>
      <c r="B2356" s="35" t="s">
        <v>3193</v>
      </c>
      <c r="C2356" s="35" t="s">
        <v>5655</v>
      </c>
      <c r="D2356" s="35" t="s">
        <v>5659</v>
      </c>
      <c r="E2356" s="35" t="s">
        <v>5674</v>
      </c>
      <c r="F2356" s="36">
        <v>0.2</v>
      </c>
      <c r="G2356" s="31"/>
      <c r="H2356" s="31"/>
      <c r="I2356" s="31"/>
      <c r="J2356" s="31"/>
      <c r="K2356" s="31"/>
    </row>
    <row r="2357" spans="1:11" ht="14.4" x14ac:dyDescent="0.3">
      <c r="A2357" s="28" t="str">
        <f>B2357&amp;C2357&amp;D2357&amp;E2357</f>
        <v>Uy-roʻzgʻor buyumlariMebelMatraslarMatraslar</v>
      </c>
      <c r="B2357" s="35" t="s">
        <v>3193</v>
      </c>
      <c r="C2357" s="35" t="s">
        <v>5653</v>
      </c>
      <c r="D2357" s="35" t="s">
        <v>5675</v>
      </c>
      <c r="E2357" s="35" t="s">
        <v>5675</v>
      </c>
      <c r="F2357" s="36">
        <v>0.2</v>
      </c>
      <c r="G2357" s="31"/>
      <c r="H2357" s="31"/>
      <c r="I2357" s="31"/>
      <c r="J2357" s="31"/>
      <c r="K2357" s="31"/>
    </row>
    <row r="2358" spans="1:11" ht="14.4" x14ac:dyDescent="0.3">
      <c r="A2358" s="28" t="str">
        <f>B2358&amp;C2358&amp;D2358&amp;E2358</f>
        <v>Uy-roʻzgʻor buyumlariOshxona buyumlariTamaddixona idishlariShakar idishlari va sut idishlari</v>
      </c>
      <c r="B2358" s="35" t="s">
        <v>3193</v>
      </c>
      <c r="C2358" s="35" t="s">
        <v>3443</v>
      </c>
      <c r="D2358" s="35" t="s">
        <v>5661</v>
      </c>
      <c r="E2358" s="35" t="s">
        <v>5676</v>
      </c>
      <c r="F2358" s="36">
        <v>0.2</v>
      </c>
      <c r="G2358" s="31"/>
      <c r="H2358" s="31"/>
      <c r="I2358" s="31"/>
      <c r="J2358" s="31"/>
      <c r="K2358" s="31"/>
    </row>
    <row r="2359" spans="1:11" ht="14.4" x14ac:dyDescent="0.3">
      <c r="A2359" s="28" t="str">
        <f>B2359&amp;C2359&amp;D2359&amp;E2359</f>
        <v>Uy-roʻzgʻor buyumlariXoʻjalik buyumlariVanna uchun aksessuarlarSovun idishlar, stakanlar</v>
      </c>
      <c r="B2359" s="35" t="s">
        <v>3193</v>
      </c>
      <c r="C2359" s="35" t="s">
        <v>5655</v>
      </c>
      <c r="D2359" s="35" t="s">
        <v>5663</v>
      </c>
      <c r="E2359" s="35" t="s">
        <v>5677</v>
      </c>
      <c r="F2359" s="36">
        <v>0.2</v>
      </c>
      <c r="G2359" s="31"/>
      <c r="H2359" s="31"/>
      <c r="I2359" s="31"/>
      <c r="J2359" s="31"/>
      <c r="K2359" s="31"/>
    </row>
    <row r="2360" spans="1:11" ht="14.4" x14ac:dyDescent="0.3">
      <c r="A2360" s="28" t="str">
        <f>B2360&amp;C2360&amp;D2360&amp;E2360</f>
        <v>Uy-roʻzgʻor buyumlariXoʻjalik buyumlariTozalash ishlari uchun inventarlarLattalar, salfetkalar va gubkalar</v>
      </c>
      <c r="B2360" s="35" t="s">
        <v>3193</v>
      </c>
      <c r="C2360" s="35" t="s">
        <v>5655</v>
      </c>
      <c r="D2360" s="35" t="s">
        <v>5659</v>
      </c>
      <c r="E2360" s="35" t="s">
        <v>5678</v>
      </c>
      <c r="F2360" s="36">
        <v>0.2</v>
      </c>
      <c r="G2360" s="31"/>
      <c r="H2360" s="31"/>
      <c r="I2360" s="31"/>
      <c r="J2360" s="31"/>
      <c r="K2360" s="31"/>
    </row>
    <row r="2361" spans="1:11" ht="14.4" x14ac:dyDescent="0.3">
      <c r="A2361" s="28" t="str">
        <f>B2361&amp;C2361&amp;D2361&amp;E2361</f>
        <v>Uy-roʻzgʻor buyumlariXoʻjalik buyumlariKiyim va poyabzallar parvarishiQuritish uchun aksessuarlar</v>
      </c>
      <c r="B2361" s="35" t="s">
        <v>3193</v>
      </c>
      <c r="C2361" s="35" t="s">
        <v>5655</v>
      </c>
      <c r="D2361" s="35" t="s">
        <v>5656</v>
      </c>
      <c r="E2361" s="35" t="s">
        <v>5679</v>
      </c>
      <c r="F2361" s="36">
        <v>0.2</v>
      </c>
      <c r="G2361" s="31"/>
      <c r="H2361" s="31"/>
      <c r="I2361" s="31"/>
      <c r="J2361" s="31"/>
      <c r="K2361" s="31"/>
    </row>
    <row r="2362" spans="1:11" ht="14.4" x14ac:dyDescent="0.3">
      <c r="A2362" s="28" t="str">
        <f>B2362&amp;C2362&amp;D2362&amp;E2362</f>
        <v>Uy-roʻzgʻor buyumlariXoʻjalik buyumlariTozalash ishlari uchun inventarlarOyna yuvgichlar va skrebkalar</v>
      </c>
      <c r="B2362" s="35" t="s">
        <v>3193</v>
      </c>
      <c r="C2362" s="35" t="s">
        <v>5655</v>
      </c>
      <c r="D2362" s="35" t="s">
        <v>5659</v>
      </c>
      <c r="E2362" s="35" t="s">
        <v>5680</v>
      </c>
      <c r="F2362" s="36">
        <v>0.2</v>
      </c>
      <c r="G2362" s="31"/>
      <c r="H2362" s="31"/>
      <c r="I2362" s="31"/>
      <c r="J2362" s="31"/>
      <c r="K2362" s="31"/>
    </row>
    <row r="2363" spans="1:11" ht="14.4" x14ac:dyDescent="0.3">
      <c r="A2363" s="28" t="str">
        <f>B2363&amp;C2363&amp;D2363&amp;E2363</f>
        <v>Uy-roʻzgʻor buyumlariXoʻjalik buyumlariVanna uchun aksessuarlarTokchalar va javonlar</v>
      </c>
      <c r="B2363" s="35" t="s">
        <v>3193</v>
      </c>
      <c r="C2363" s="35" t="s">
        <v>5655</v>
      </c>
      <c r="D2363" s="35" t="s">
        <v>5663</v>
      </c>
      <c r="E2363" s="35" t="s">
        <v>5681</v>
      </c>
      <c r="F2363" s="36">
        <v>0.2</v>
      </c>
      <c r="G2363" s="31"/>
      <c r="H2363" s="31"/>
      <c r="I2363" s="31"/>
      <c r="J2363" s="31"/>
      <c r="K2363" s="31"/>
    </row>
    <row r="2364" spans="1:11" ht="14.4" x14ac:dyDescent="0.3">
      <c r="A2364" s="28" t="str">
        <f>B2364&amp;C2364&amp;D2364&amp;E2364</f>
        <v>Uy-roʻzgʻor buyumlariXoʻjalik buyumlariKiyim va poyabzallar parvarishiDazmollash uchun aksessuarlar</v>
      </c>
      <c r="B2364" s="35" t="s">
        <v>3193</v>
      </c>
      <c r="C2364" s="35" t="s">
        <v>5655</v>
      </c>
      <c r="D2364" s="35" t="s">
        <v>5656</v>
      </c>
      <c r="E2364" s="35" t="s">
        <v>5682</v>
      </c>
      <c r="F2364" s="36">
        <v>0.2</v>
      </c>
      <c r="G2364" s="31"/>
      <c r="H2364" s="31"/>
      <c r="I2364" s="31"/>
      <c r="J2364" s="31"/>
      <c r="K2364" s="31"/>
    </row>
    <row r="2365" spans="1:11" ht="14.4" x14ac:dyDescent="0.3">
      <c r="A2365" s="28" t="str">
        <f>B2365&amp;C2365&amp;D2365&amp;E2365</f>
        <v>Uy-roʻzgʻor buyumlariXoʻjalik buyumlariXoʻjalik sumkalariXoʻjalik sumkalari</v>
      </c>
      <c r="B2365" s="35" t="s">
        <v>3193</v>
      </c>
      <c r="C2365" s="35" t="s">
        <v>5655</v>
      </c>
      <c r="D2365" s="35" t="s">
        <v>5683</v>
      </c>
      <c r="E2365" s="35" t="s">
        <v>5683</v>
      </c>
      <c r="F2365" s="36">
        <v>0.2</v>
      </c>
      <c r="G2365" s="31"/>
      <c r="H2365" s="31"/>
      <c r="I2365" s="31"/>
      <c r="J2365" s="31"/>
      <c r="K2365" s="31"/>
    </row>
    <row r="2366" spans="1:11" ht="14.4" x14ac:dyDescent="0.3">
      <c r="A2366" s="28" t="str">
        <f>B2366&amp;C2366&amp;D2366&amp;E2366</f>
        <v>Uy-roʻzgʻor buyumlariXoʻjalik buyumlariVanna uchun aksessuarlarVannaxona uchun toʻplamlar</v>
      </c>
      <c r="B2366" s="35" t="s">
        <v>3193</v>
      </c>
      <c r="C2366" s="35" t="s">
        <v>5655</v>
      </c>
      <c r="D2366" s="35" t="s">
        <v>5663</v>
      </c>
      <c r="E2366" s="35" t="s">
        <v>5684</v>
      </c>
      <c r="F2366" s="36">
        <v>0.2</v>
      </c>
      <c r="G2366" s="31"/>
      <c r="H2366" s="31"/>
      <c r="I2366" s="31"/>
      <c r="J2366" s="31"/>
      <c r="K2366" s="31"/>
    </row>
    <row r="2367" spans="1:11" ht="14.4" x14ac:dyDescent="0.3">
      <c r="A2367" s="28" t="str">
        <f>B2367&amp;C2367&amp;D2367&amp;E2367</f>
        <v>Uy-roʻzgʻor buyumlariOshxona buyumlariTamaddixona idishlariSalfetka solgichlar</v>
      </c>
      <c r="B2367" s="35" t="s">
        <v>3193</v>
      </c>
      <c r="C2367" s="35" t="s">
        <v>3443</v>
      </c>
      <c r="D2367" s="35" t="s">
        <v>5661</v>
      </c>
      <c r="E2367" s="35" t="s">
        <v>5685</v>
      </c>
      <c r="F2367" s="36">
        <v>0.2</v>
      </c>
      <c r="G2367" s="31"/>
      <c r="H2367" s="31"/>
      <c r="I2367" s="31"/>
      <c r="J2367" s="31"/>
      <c r="K2367" s="31"/>
    </row>
    <row r="2368" spans="1:11" ht="14.4" x14ac:dyDescent="0.3">
      <c r="A2368" s="28" t="str">
        <f>B2368&amp;C2368&amp;D2368&amp;E2368</f>
        <v>Uy-roʻzgʻor buyumlariOshxona buyumlariTamaddixona idishlariDasturxon tuzash predmetlari</v>
      </c>
      <c r="B2368" s="35" t="s">
        <v>3193</v>
      </c>
      <c r="C2368" s="35" t="s">
        <v>3443</v>
      </c>
      <c r="D2368" s="35" t="s">
        <v>5661</v>
      </c>
      <c r="E2368" s="35" t="s">
        <v>5686</v>
      </c>
      <c r="F2368" s="36">
        <v>0.2</v>
      </c>
      <c r="G2368" s="31"/>
      <c r="H2368" s="31"/>
      <c r="I2368" s="31"/>
      <c r="J2368" s="31"/>
      <c r="K2368" s="31"/>
    </row>
    <row r="2369" spans="1:11" ht="14.4" x14ac:dyDescent="0.3">
      <c r="A2369" s="28" t="str">
        <f>B2369&amp;C2369&amp;D2369&amp;E2369</f>
        <v>Uy-roʻzgʻor buyumlariXoʻjalik buyumlariTozalash ishlari uchun inventarlarChoʻtkalar va smetkalar</v>
      </c>
      <c r="B2369" s="35" t="s">
        <v>3193</v>
      </c>
      <c r="C2369" s="35" t="s">
        <v>5655</v>
      </c>
      <c r="D2369" s="35" t="s">
        <v>5659</v>
      </c>
      <c r="E2369" s="35" t="s">
        <v>5687</v>
      </c>
      <c r="F2369" s="36">
        <v>0.2</v>
      </c>
      <c r="G2369" s="31"/>
      <c r="H2369" s="31"/>
      <c r="I2369" s="31"/>
      <c r="J2369" s="31"/>
      <c r="K2369" s="31"/>
    </row>
    <row r="2370" spans="1:11" ht="14.4" x14ac:dyDescent="0.3">
      <c r="A2370" s="28" t="str">
        <f>B2370&amp;C2370&amp;D2370&amp;E2370</f>
        <v>Uy-roʻzgʻor buyumlariXoʻjalik buyumlariVanna uchun aksessuarlarUnitaz choʻtkalari</v>
      </c>
      <c r="B2370" s="35" t="s">
        <v>3193</v>
      </c>
      <c r="C2370" s="35" t="s">
        <v>5655</v>
      </c>
      <c r="D2370" s="35" t="s">
        <v>5663</v>
      </c>
      <c r="E2370" s="35" t="s">
        <v>5688</v>
      </c>
      <c r="F2370" s="36">
        <v>0.2</v>
      </c>
      <c r="G2370" s="31"/>
      <c r="H2370" s="31"/>
      <c r="I2370" s="31"/>
      <c r="J2370" s="31"/>
      <c r="K2370" s="31"/>
    </row>
    <row r="2371" spans="1:11" ht="14.4" x14ac:dyDescent="0.3">
      <c r="A2371" s="28" t="str">
        <f>B2371&amp;C2371&amp;D2371&amp;E2371</f>
        <v>Uy-roʻzgʻor buyumlariXoʻjalik buyumlariVanna uchun aksessuarlarUnitaz uchun oʻrindiq</v>
      </c>
      <c r="B2371" s="35" t="s">
        <v>3193</v>
      </c>
      <c r="C2371" s="35" t="s">
        <v>5655</v>
      </c>
      <c r="D2371" s="35" t="s">
        <v>5663</v>
      </c>
      <c r="E2371" s="35" t="s">
        <v>5689</v>
      </c>
      <c r="F2371" s="36">
        <v>0.2</v>
      </c>
      <c r="G2371" s="31"/>
      <c r="H2371" s="31"/>
      <c r="I2371" s="31"/>
      <c r="J2371" s="31"/>
      <c r="K2371" s="31"/>
    </row>
    <row r="2372" spans="1:11" ht="14.4" x14ac:dyDescent="0.3">
      <c r="A2372" s="28" t="str">
        <f>B2372&amp;C2372&amp;D2372&amp;E2372</f>
        <v>Uy-roʻzgʻor buyumlariMebelKreslolarKreslolar</v>
      </c>
      <c r="B2372" s="35" t="s">
        <v>3193</v>
      </c>
      <c r="C2372" s="35" t="s">
        <v>5653</v>
      </c>
      <c r="D2372" s="35" t="s">
        <v>5690</v>
      </c>
      <c r="E2372" s="35" t="s">
        <v>5690</v>
      </c>
      <c r="F2372" s="36">
        <v>0.2</v>
      </c>
      <c r="G2372" s="31"/>
      <c r="H2372" s="31"/>
      <c r="I2372" s="31"/>
      <c r="J2372" s="31"/>
      <c r="K2372" s="31"/>
    </row>
    <row r="2373" spans="1:11" ht="14.4" x14ac:dyDescent="0.3">
      <c r="A2373" s="28" t="str">
        <f>B2373&amp;C2373&amp;D2373&amp;E2373</f>
        <v>Uy-roʻzgʻor buyumlariOshxona buyumlariTamaddixona idishlariQayladonlar</v>
      </c>
      <c r="B2373" s="35" t="s">
        <v>3193</v>
      </c>
      <c r="C2373" s="35" t="s">
        <v>3443</v>
      </c>
      <c r="D2373" s="35" t="s">
        <v>5661</v>
      </c>
      <c r="E2373" s="35" t="s">
        <v>5691</v>
      </c>
      <c r="F2373" s="36">
        <v>0.2</v>
      </c>
      <c r="G2373" s="31"/>
      <c r="H2373" s="31"/>
      <c r="I2373" s="31"/>
      <c r="J2373" s="31"/>
      <c r="K2373" s="31"/>
    </row>
    <row r="2374" spans="1:11" ht="14.4" x14ac:dyDescent="0.3">
      <c r="A2374" s="28" t="str">
        <f>B2374&amp;C2374&amp;D2374&amp;E2374</f>
        <v>Uy-roʻzgʻor buyumlariMebelShkaflar, tumbalar, komodlarShkaflar, tumbalar, komodlar</v>
      </c>
      <c r="B2374" s="35" t="s">
        <v>3193</v>
      </c>
      <c r="C2374" s="35" t="s">
        <v>5653</v>
      </c>
      <c r="D2374" s="35" t="s">
        <v>5692</v>
      </c>
      <c r="E2374" s="35" t="s">
        <v>5692</v>
      </c>
      <c r="F2374" s="36">
        <v>0.2</v>
      </c>
      <c r="G2374" s="31"/>
      <c r="H2374" s="31"/>
      <c r="I2374" s="31"/>
      <c r="J2374" s="31"/>
      <c r="K2374" s="31"/>
    </row>
    <row r="2375" spans="1:11" ht="14.4" x14ac:dyDescent="0.3">
      <c r="A2375" s="28" t="str">
        <f>B2375&amp;C2375&amp;D2375&amp;E2375</f>
        <v>Uy-roʻzgʻor buyumlariOshxona buyumlariTamaddixona idishlariIdishlar toʻplami</v>
      </c>
      <c r="B2375" s="35" t="s">
        <v>3193</v>
      </c>
      <c r="C2375" s="35" t="s">
        <v>3443</v>
      </c>
      <c r="D2375" s="35" t="s">
        <v>5661</v>
      </c>
      <c r="E2375" s="35" t="s">
        <v>5693</v>
      </c>
      <c r="F2375" s="36">
        <v>0.2</v>
      </c>
      <c r="G2375" s="31"/>
      <c r="H2375" s="31"/>
      <c r="I2375" s="31"/>
      <c r="J2375" s="31"/>
      <c r="K2375" s="31"/>
    </row>
    <row r="2376" spans="1:11" ht="14.4" x14ac:dyDescent="0.3">
      <c r="A2376" s="28" t="str">
        <f>B2376&amp;C2376&amp;D2376&amp;E2376</f>
        <v>Uy-roʻzgʻor buyumlariMebelSeyflarSeyflar</v>
      </c>
      <c r="B2376" s="35" t="s">
        <v>3193</v>
      </c>
      <c r="C2376" s="35" t="s">
        <v>5653</v>
      </c>
      <c r="D2376" s="35" t="s">
        <v>5694</v>
      </c>
      <c r="E2376" s="35" t="s">
        <v>5694</v>
      </c>
      <c r="F2376" s="36">
        <v>0.2</v>
      </c>
      <c r="G2376" s="31"/>
      <c r="H2376" s="31"/>
      <c r="I2376" s="31"/>
      <c r="J2376" s="31"/>
      <c r="K2376" s="31"/>
    </row>
    <row r="2377" spans="1:11" ht="14.4" x14ac:dyDescent="0.3">
      <c r="A2377" s="28" t="str">
        <f>B2377&amp;C2377&amp;D2377&amp;E2377</f>
        <v>Uy-roʻzgʻor buyumlariXoʻjalik buyumlariQoʻl tarozilari va pallali tarozilarQoʻl tarozilari va pallali tarozilar</v>
      </c>
      <c r="B2377" s="35" t="s">
        <v>3193</v>
      </c>
      <c r="C2377" s="35" t="s">
        <v>5655</v>
      </c>
      <c r="D2377" s="35" t="s">
        <v>5695</v>
      </c>
      <c r="E2377" s="35" t="s">
        <v>5695</v>
      </c>
      <c r="F2377" s="36">
        <v>0.2</v>
      </c>
      <c r="G2377" s="31"/>
      <c r="H2377" s="31"/>
      <c r="I2377" s="31"/>
      <c r="J2377" s="31"/>
      <c r="K2377" s="31"/>
    </row>
    <row r="2378" spans="1:11" ht="14.4" x14ac:dyDescent="0.3">
      <c r="A2378" s="28" t="str">
        <f>B2378&amp;C2378&amp;D2378&amp;E2378</f>
        <v>Uy-roʻzgʻor buyumlariXoʻjalik buyumlariVanna uchun aksessuarlarDispenserlar, dozatorlar</v>
      </c>
      <c r="B2378" s="35" t="s">
        <v>3193</v>
      </c>
      <c r="C2378" s="35" t="s">
        <v>5655</v>
      </c>
      <c r="D2378" s="35" t="s">
        <v>5663</v>
      </c>
      <c r="E2378" s="35" t="s">
        <v>5696</v>
      </c>
      <c r="F2378" s="36">
        <v>0.2</v>
      </c>
      <c r="G2378" s="31"/>
      <c r="H2378" s="31"/>
      <c r="I2378" s="31"/>
      <c r="J2378" s="31"/>
      <c r="K2378" s="31"/>
    </row>
    <row r="2379" spans="1:11" ht="14.4" x14ac:dyDescent="0.3">
      <c r="A2379" s="28" t="str">
        <f>B2379&amp;C2379&amp;D2379&amp;E2379</f>
        <v>Uy-roʻzgʻor buyumlariMebelStollarStollar</v>
      </c>
      <c r="B2379" s="35" t="s">
        <v>3193</v>
      </c>
      <c r="C2379" s="35" t="s">
        <v>5653</v>
      </c>
      <c r="D2379" s="35" t="s">
        <v>5697</v>
      </c>
      <c r="E2379" s="35" t="s">
        <v>5697</v>
      </c>
      <c r="F2379" s="36">
        <v>0.2</v>
      </c>
      <c r="G2379" s="31"/>
      <c r="H2379" s="31"/>
      <c r="I2379" s="31"/>
      <c r="J2379" s="31"/>
      <c r="K2379" s="31"/>
    </row>
    <row r="2380" spans="1:11" ht="14.4" x14ac:dyDescent="0.3">
      <c r="A2380" s="28" t="str">
        <f>B2380&amp;C2380&amp;D2380&amp;E2380</f>
        <v>Uy-roʻzgʻor buyumlariMebelJurnal stollariJurnal stollari</v>
      </c>
      <c r="B2380" s="35" t="s">
        <v>3193</v>
      </c>
      <c r="C2380" s="35" t="s">
        <v>5653</v>
      </c>
      <c r="D2380" s="35" t="s">
        <v>5698</v>
      </c>
      <c r="E2380" s="35" t="s">
        <v>5698</v>
      </c>
      <c r="F2380" s="36">
        <v>0.2</v>
      </c>
      <c r="G2380" s="31"/>
      <c r="H2380" s="31"/>
      <c r="I2380" s="31"/>
      <c r="J2380" s="31"/>
      <c r="K2380" s="31"/>
    </row>
    <row r="2381" spans="1:11" ht="14.4" x14ac:dyDescent="0.3">
      <c r="A2381" s="28" t="str">
        <f>B2381&amp;C2381&amp;D2381&amp;E2381</f>
        <v>Uy-roʻzgʻor buyumlariXoʻjalik buyumlariQadoqlash va tashishQadoqlash va tashish</v>
      </c>
      <c r="B2381" s="35" t="s">
        <v>3193</v>
      </c>
      <c r="C2381" s="35" t="s">
        <v>5655</v>
      </c>
      <c r="D2381" s="35" t="s">
        <v>5699</v>
      </c>
      <c r="E2381" s="35" t="s">
        <v>5699</v>
      </c>
      <c r="F2381" s="36">
        <v>0.2</v>
      </c>
      <c r="G2381" s="31"/>
      <c r="H2381" s="31"/>
      <c r="I2381" s="31"/>
      <c r="J2381" s="31"/>
      <c r="K2381" s="31"/>
    </row>
    <row r="2382" spans="1:11" ht="14.4" x14ac:dyDescent="0.3">
      <c r="A2382" s="28" t="str">
        <f>B2382&amp;C2382&amp;D2382&amp;E2382</f>
        <v>Uy-roʻzgʻor buyumlariMebelPoyabzal uchun javonlarPoyabzal uchun javonlar</v>
      </c>
      <c r="B2382" s="35" t="s">
        <v>3193</v>
      </c>
      <c r="C2382" s="35" t="s">
        <v>5653</v>
      </c>
      <c r="D2382" s="35" t="s">
        <v>5700</v>
      </c>
      <c r="E2382" s="35" t="s">
        <v>5700</v>
      </c>
      <c r="F2382" s="36">
        <v>0.2</v>
      </c>
      <c r="G2382" s="31"/>
      <c r="H2382" s="31"/>
      <c r="I2382" s="31"/>
      <c r="J2382" s="31"/>
      <c r="K2382" s="31"/>
    </row>
    <row r="2383" spans="1:11" ht="14.4" x14ac:dyDescent="0.3">
      <c r="A2383" s="28" t="str">
        <f>B2383&amp;C2383&amp;D2383&amp;E2383</f>
        <v>Uy-roʻzgʻor buyumlariXoʻjalik buyumlariAxlat qutilari va baklariAxlat qutilari va baklari</v>
      </c>
      <c r="B2383" s="35" t="s">
        <v>3193</v>
      </c>
      <c r="C2383" s="35" t="s">
        <v>5655</v>
      </c>
      <c r="D2383" s="35" t="s">
        <v>5701</v>
      </c>
      <c r="E2383" s="35" t="s">
        <v>5701</v>
      </c>
      <c r="F2383" s="36">
        <v>0.2</v>
      </c>
      <c r="G2383" s="31"/>
      <c r="H2383" s="31"/>
      <c r="I2383" s="31"/>
      <c r="J2383" s="31"/>
      <c r="K2383" s="31"/>
    </row>
    <row r="2384" spans="1:11" ht="14.4" x14ac:dyDescent="0.3">
      <c r="A2384" s="28" t="str">
        <f>B2384&amp;C2384&amp;D2384&amp;E2384</f>
        <v>Uy-roʻzgʻor buyumlariXoʻjalik buyumlariTozalash ishlari uchun inventarlarAxlat qoplari</v>
      </c>
      <c r="B2384" s="35" t="s">
        <v>3193</v>
      </c>
      <c r="C2384" s="35" t="s">
        <v>5655</v>
      </c>
      <c r="D2384" s="35" t="s">
        <v>5659</v>
      </c>
      <c r="E2384" s="35" t="s">
        <v>5702</v>
      </c>
      <c r="F2384" s="36">
        <v>0.2</v>
      </c>
      <c r="G2384" s="31"/>
      <c r="H2384" s="31"/>
      <c r="I2384" s="31"/>
      <c r="J2384" s="31"/>
      <c r="K2384" s="31"/>
    </row>
    <row r="2385" spans="1:11" ht="14.4" x14ac:dyDescent="0.3">
      <c r="A2385" s="28" t="str">
        <f>B2385&amp;C2385&amp;D2385&amp;E2385</f>
        <v>Uy-roʻzgʻor buyumlariXoʻjalik buyumlariVanna uchun aksessuarlarRezina gilamchalar</v>
      </c>
      <c r="B2385" s="35" t="s">
        <v>3193</v>
      </c>
      <c r="C2385" s="35" t="s">
        <v>5655</v>
      </c>
      <c r="D2385" s="35" t="s">
        <v>5663</v>
      </c>
      <c r="E2385" s="35" t="s">
        <v>5703</v>
      </c>
      <c r="F2385" s="36">
        <v>0.2</v>
      </c>
      <c r="G2385" s="31"/>
      <c r="H2385" s="31"/>
      <c r="I2385" s="31"/>
      <c r="J2385" s="31"/>
      <c r="K2385" s="31"/>
    </row>
    <row r="2386" spans="1:11" ht="14.4" x14ac:dyDescent="0.3">
      <c r="A2386" s="28" t="str">
        <f>B2386&amp;C2386&amp;D2386&amp;E2386</f>
        <v>Uy-roʻzgʻor buyumlariJoynamozlarJoynamozlarJoynamozlar</v>
      </c>
      <c r="B2386" s="35" t="s">
        <v>3193</v>
      </c>
      <c r="C2386" s="35" t="s">
        <v>5704</v>
      </c>
      <c r="D2386" s="35" t="s">
        <v>5704</v>
      </c>
      <c r="E2386" s="35" t="s">
        <v>5704</v>
      </c>
      <c r="F2386" s="36">
        <v>0.2</v>
      </c>
      <c r="G2386" s="31"/>
      <c r="H2386" s="31"/>
      <c r="I2386" s="31"/>
      <c r="J2386" s="31"/>
      <c r="K2386" s="31"/>
    </row>
    <row r="2387" spans="1:11" ht="14.4" x14ac:dyDescent="0.3">
      <c r="A2387" s="28" t="str">
        <f>B2387&amp;C2387&amp;D2387&amp;E2387</f>
        <v>Uy-roʻzgʻor buyumlariOshxona buyumlariTamaddixona idishlariSaryogʻ idishlari, pishloq idishlari va limon idishlari</v>
      </c>
      <c r="B2387" s="35" t="s">
        <v>3193</v>
      </c>
      <c r="C2387" s="35" t="s">
        <v>3443</v>
      </c>
      <c r="D2387" s="35" t="s">
        <v>5661</v>
      </c>
      <c r="E2387" s="35" t="s">
        <v>5705</v>
      </c>
      <c r="F2387" s="36">
        <v>0.2</v>
      </c>
      <c r="G2387" s="31"/>
      <c r="H2387" s="31"/>
      <c r="I2387" s="31"/>
      <c r="J2387" s="31"/>
      <c r="K2387" s="31"/>
    </row>
    <row r="2388" spans="1:11" ht="14.4" x14ac:dyDescent="0.3">
      <c r="A2388" s="28" t="str">
        <f>B2388&amp;C2388&amp;D2388&amp;E2388</f>
        <v>Uy-roʻzgʻor buyumlariMebelMebel furniturasiMebel furniturasi</v>
      </c>
      <c r="B2388" s="35" t="s">
        <v>3193</v>
      </c>
      <c r="C2388" s="35" t="s">
        <v>5653</v>
      </c>
      <c r="D2388" s="35" t="s">
        <v>5706</v>
      </c>
      <c r="E2388" s="35" t="s">
        <v>5706</v>
      </c>
      <c r="F2388" s="36">
        <v>0.2</v>
      </c>
      <c r="G2388" s="31"/>
      <c r="H2388" s="31"/>
      <c r="I2388" s="31"/>
      <c r="J2388" s="31"/>
      <c r="K2388" s="31"/>
    </row>
    <row r="2389" spans="1:11" ht="14.4" x14ac:dyDescent="0.3">
      <c r="A2389" s="28" t="str">
        <f>B2389&amp;C2389&amp;D2389&amp;E2389</f>
        <v>Xobbi va ijodMusiqiy asboblarTorli asboblarTorli asboblar</v>
      </c>
      <c r="B2389" s="35" t="s">
        <v>3195</v>
      </c>
      <c r="C2389" s="35" t="s">
        <v>4646</v>
      </c>
      <c r="D2389" s="35" t="s">
        <v>5707</v>
      </c>
      <c r="E2389" s="35" t="s">
        <v>5707</v>
      </c>
      <c r="F2389" s="36">
        <v>0.2</v>
      </c>
      <c r="G2389" s="31"/>
      <c r="H2389" s="31"/>
      <c r="I2389" s="31"/>
      <c r="J2389" s="31"/>
      <c r="K2389" s="31"/>
    </row>
    <row r="2390" spans="1:11" ht="14.4" x14ac:dyDescent="0.3">
      <c r="A2390" s="28" t="str">
        <f>B2390&amp;C2390&amp;D2390&amp;E2390</f>
        <v>Xobbi va ijodMusiqiy asboblarKlaviatura uskunalariKlaviatura uskunalari</v>
      </c>
      <c r="B2390" s="35" t="s">
        <v>3195</v>
      </c>
      <c r="C2390" s="35" t="s">
        <v>4646</v>
      </c>
      <c r="D2390" s="35" t="s">
        <v>6231</v>
      </c>
      <c r="E2390" s="35" t="s">
        <v>6231</v>
      </c>
      <c r="F2390" s="36">
        <v>0.2</v>
      </c>
      <c r="G2390" s="31"/>
      <c r="H2390" s="31"/>
      <c r="I2390" s="31"/>
      <c r="J2390" s="31"/>
      <c r="K2390" s="31"/>
    </row>
    <row r="2391" spans="1:11" ht="14.4" x14ac:dyDescent="0.3">
      <c r="A2391" s="28" t="str">
        <f>B2391&amp;C2391&amp;D2391&amp;E2391</f>
        <v>AvtotovarlarAvtomobil ehtiyot qismlariAvto chiroqlarAvto chiroqlar</v>
      </c>
      <c r="B2391" s="35" t="s">
        <v>39</v>
      </c>
      <c r="C2391" s="35" t="s">
        <v>4697</v>
      </c>
      <c r="D2391" s="35" t="s">
        <v>5708</v>
      </c>
      <c r="E2391" s="35" t="s">
        <v>5708</v>
      </c>
      <c r="F2391" s="36">
        <v>0.18</v>
      </c>
      <c r="G2391" s="31"/>
      <c r="H2391" s="31"/>
      <c r="I2391" s="31"/>
      <c r="J2391" s="31"/>
      <c r="K2391" s="31"/>
    </row>
    <row r="2392" spans="1:11" ht="14.4" x14ac:dyDescent="0.3">
      <c r="A2392" s="28" t="str">
        <f>B2392&amp;C2392&amp;D2392&amp;E2392</f>
        <v>Bolalar tovarlariBolalar sporti va faol hordiqBolalar transportiBolalar uchun roliklar</v>
      </c>
      <c r="B2392" s="35" t="s">
        <v>3153</v>
      </c>
      <c r="C2392" s="35" t="s">
        <v>3680</v>
      </c>
      <c r="D2392" s="35" t="s">
        <v>4792</v>
      </c>
      <c r="E2392" s="35" t="s">
        <v>5709</v>
      </c>
      <c r="F2392" s="36">
        <v>0.18</v>
      </c>
      <c r="G2392" s="31"/>
      <c r="H2392" s="31"/>
      <c r="I2392" s="31"/>
      <c r="J2392" s="31"/>
      <c r="K2392" s="31"/>
    </row>
    <row r="2393" spans="1:11" ht="14.4" x14ac:dyDescent="0.3">
      <c r="A2393" s="28" t="str">
        <f>B2393&amp;C2393&amp;D2393&amp;E2393</f>
        <v>Bolalar tovarlariBolalar sporti va faol hordiqBolalar transportiBolalar velosipedlari</v>
      </c>
      <c r="B2393" s="35" t="s">
        <v>3153</v>
      </c>
      <c r="C2393" s="35" t="s">
        <v>3680</v>
      </c>
      <c r="D2393" s="35" t="s">
        <v>4792</v>
      </c>
      <c r="E2393" s="35" t="s">
        <v>5710</v>
      </c>
      <c r="F2393" s="36">
        <v>0.18</v>
      </c>
      <c r="G2393" s="31"/>
      <c r="H2393" s="31"/>
      <c r="I2393" s="31"/>
      <c r="J2393" s="31"/>
      <c r="K2393" s="31"/>
    </row>
    <row r="2394" spans="1:11" ht="14.4" x14ac:dyDescent="0.3">
      <c r="A2394" s="28" t="str">
        <f>B2394&amp;C2394&amp;D2394&amp;E2394</f>
        <v>Bolalar tovarlariBolalar sporti va faol hordiqBolalar transportiBolalar uchun samokatlar</v>
      </c>
      <c r="B2394" s="35" t="s">
        <v>3153</v>
      </c>
      <c r="C2394" s="35" t="s">
        <v>3680</v>
      </c>
      <c r="D2394" s="35" t="s">
        <v>4792</v>
      </c>
      <c r="E2394" s="35" t="s">
        <v>5711</v>
      </c>
      <c r="F2394" s="36">
        <v>0.18</v>
      </c>
      <c r="G2394" s="31"/>
      <c r="H2394" s="31"/>
      <c r="I2394" s="31"/>
      <c r="J2394" s="31"/>
      <c r="K2394" s="31"/>
    </row>
    <row r="2395" spans="1:11" ht="14.4" x14ac:dyDescent="0.3">
      <c r="A2395" s="28" t="str">
        <f>B2395&amp;C2395&amp;D2395&amp;E2395</f>
        <v>Bolalar tovarlariBolalar sporti va faol hordiqBolalar transportiPedalsiz velosipedlar va katalkalar</v>
      </c>
      <c r="B2395" s="35" t="s">
        <v>3153</v>
      </c>
      <c r="C2395" s="35" t="s">
        <v>3680</v>
      </c>
      <c r="D2395" s="35" t="s">
        <v>4792</v>
      </c>
      <c r="E2395" s="35" t="s">
        <v>5712</v>
      </c>
      <c r="F2395" s="36">
        <v>0.18</v>
      </c>
      <c r="G2395" s="31"/>
      <c r="H2395" s="31"/>
      <c r="I2395" s="31"/>
      <c r="J2395" s="31"/>
      <c r="K2395" s="31"/>
    </row>
    <row r="2396" spans="1:11" ht="14.4" x14ac:dyDescent="0.3">
      <c r="A2396" s="28" t="str">
        <f>B2396&amp;C2396&amp;D2396&amp;E2396</f>
        <v>Bolalar tovarlariBolalar sporti va faol hordiqBolalar transportiDoskalar va taxtalar</v>
      </c>
      <c r="B2396" s="35" t="s">
        <v>3153</v>
      </c>
      <c r="C2396" s="35" t="s">
        <v>3680</v>
      </c>
      <c r="D2396" s="35" t="s">
        <v>4792</v>
      </c>
      <c r="E2396" s="35" t="s">
        <v>5713</v>
      </c>
      <c r="F2396" s="36">
        <v>0.18</v>
      </c>
      <c r="G2396" s="31"/>
      <c r="H2396" s="31"/>
      <c r="I2396" s="31"/>
      <c r="J2396" s="31"/>
      <c r="K2396" s="31"/>
    </row>
    <row r="2397" spans="1:11" ht="14.4" x14ac:dyDescent="0.3">
      <c r="A2397" s="28" t="str">
        <f>B2397&amp;C2397&amp;D2397&amp;E2397</f>
        <v>Dacha, bogʻ va tomorqaPiknik, barbekyu, grillGril, barbekyu va dudlamalarGril, barbekyu va dudlamalar</v>
      </c>
      <c r="B2397" s="35" t="s">
        <v>3157</v>
      </c>
      <c r="C2397" s="35" t="s">
        <v>3708</v>
      </c>
      <c r="D2397" s="35" t="s">
        <v>5714</v>
      </c>
      <c r="E2397" s="35" t="s">
        <v>5714</v>
      </c>
      <c r="F2397" s="36">
        <v>0.18</v>
      </c>
      <c r="G2397" s="31"/>
      <c r="H2397" s="31"/>
      <c r="I2397" s="31"/>
      <c r="J2397" s="31"/>
      <c r="K2397" s="31"/>
    </row>
    <row r="2398" spans="1:11" ht="14.4" x14ac:dyDescent="0.3">
      <c r="A2398" s="28" t="str">
        <f>B2398&amp;C2398&amp;D2398&amp;E2398</f>
        <v>Dacha, bogʻ va tomorqaPiknik, barbekyu, grillGulhan uchun oʻchoqlar va oʻtinlarGulhan uchun oʻchoqlar va oʻtinlar</v>
      </c>
      <c r="B2398" s="35" t="s">
        <v>3157</v>
      </c>
      <c r="C2398" s="35" t="s">
        <v>3708</v>
      </c>
      <c r="D2398" s="35" t="s">
        <v>5715</v>
      </c>
      <c r="E2398" s="35" t="s">
        <v>5715</v>
      </c>
      <c r="F2398" s="36">
        <v>0.18</v>
      </c>
      <c r="G2398" s="31"/>
      <c r="H2398" s="31"/>
      <c r="I2398" s="31"/>
      <c r="J2398" s="31"/>
      <c r="K2398" s="31"/>
    </row>
    <row r="2399" spans="1:11" ht="14.4" x14ac:dyDescent="0.3">
      <c r="A2399" s="28" t="str">
        <f>B2399&amp;C2399&amp;D2399&amp;E2399</f>
        <v>Dacha, bogʻ va tomorqaPiknik, barbekyu, grillMangallarMangallar</v>
      </c>
      <c r="B2399" s="35" t="s">
        <v>3157</v>
      </c>
      <c r="C2399" s="35" t="s">
        <v>3708</v>
      </c>
      <c r="D2399" s="35" t="s">
        <v>5716</v>
      </c>
      <c r="E2399" s="35" t="s">
        <v>5716</v>
      </c>
      <c r="F2399" s="36">
        <v>0.18</v>
      </c>
      <c r="G2399" s="31"/>
      <c r="H2399" s="31"/>
      <c r="I2399" s="31"/>
      <c r="J2399" s="31"/>
      <c r="K2399" s="31"/>
    </row>
    <row r="2400" spans="1:11" ht="14.4" x14ac:dyDescent="0.3">
      <c r="A2400" s="28" t="str">
        <f>B2400&amp;C2400&amp;D2400&amp;E2400</f>
        <v>ElektronikaAqlli uy va xavfsizlikVideokuzatuvVideo kuzatuv tizimlari</v>
      </c>
      <c r="B2400" s="35" t="s">
        <v>3161</v>
      </c>
      <c r="C2400" s="35" t="s">
        <v>4854</v>
      </c>
      <c r="D2400" s="35" t="s">
        <v>4883</v>
      </c>
      <c r="E2400" s="35" t="s">
        <v>5717</v>
      </c>
      <c r="F2400" s="36">
        <v>0.18</v>
      </c>
      <c r="G2400" s="31"/>
      <c r="H2400" s="31"/>
      <c r="I2400" s="31"/>
      <c r="J2400" s="31"/>
      <c r="K2400" s="31"/>
    </row>
    <row r="2401" spans="1:11" ht="14.4" x14ac:dyDescent="0.3">
      <c r="A2401" s="28" t="str">
        <f>B2401&amp;C2401&amp;D2401&amp;E2401</f>
        <v>ElektronikaQuloqchinlar va audio texnikalarAudiotexnikaRatsiya va radiostansiyalar</v>
      </c>
      <c r="B2401" s="35" t="s">
        <v>3161</v>
      </c>
      <c r="C2401" s="35" t="s">
        <v>3306</v>
      </c>
      <c r="D2401" s="35" t="s">
        <v>4850</v>
      </c>
      <c r="E2401" s="35" t="s">
        <v>5718</v>
      </c>
      <c r="F2401" s="36">
        <v>0.18</v>
      </c>
      <c r="G2401" s="31"/>
      <c r="H2401" s="31"/>
      <c r="I2401" s="31"/>
      <c r="J2401" s="31"/>
      <c r="K2401" s="31"/>
    </row>
    <row r="2402" spans="1:11" ht="14.4" x14ac:dyDescent="0.3">
      <c r="A2402" s="28" t="str">
        <f>B2402&amp;C2402&amp;D2402&amp;E2402</f>
        <v>Hayvonlar uchun tovarlarItlar uchunItlarni tashish uchun aksessuarlarTashish moslamalari itlar uchun</v>
      </c>
      <c r="B2402" s="35" t="s">
        <v>3168</v>
      </c>
      <c r="C2402" s="35" t="s">
        <v>3419</v>
      </c>
      <c r="D2402" s="35" t="s">
        <v>5173</v>
      </c>
      <c r="E2402" s="35" t="s">
        <v>5719</v>
      </c>
      <c r="F2402" s="36">
        <v>0.18</v>
      </c>
      <c r="G2402" s="31"/>
      <c r="H2402" s="31"/>
      <c r="I2402" s="31"/>
      <c r="J2402" s="31"/>
      <c r="K2402" s="31"/>
    </row>
    <row r="2403" spans="1:11" ht="14.4" x14ac:dyDescent="0.3">
      <c r="A2403" s="28" t="str">
        <f>B2403&amp;C2403&amp;D2403&amp;E2403</f>
        <v>Maishiy texnikaUy uchun texnikaChangyutgichlar va aksessuarlarChangyutgichlar uchun ehtiyot qism va aksessuarlar</v>
      </c>
      <c r="B2403" s="35" t="s">
        <v>48</v>
      </c>
      <c r="C2403" s="35" t="s">
        <v>3435</v>
      </c>
      <c r="D2403" s="35" t="s">
        <v>5720</v>
      </c>
      <c r="E2403" s="35" t="s">
        <v>5721</v>
      </c>
      <c r="F2403" s="36">
        <v>0.18</v>
      </c>
      <c r="G2403" s="31"/>
      <c r="H2403" s="31"/>
      <c r="I2403" s="31"/>
      <c r="J2403" s="31"/>
      <c r="K2403" s="31"/>
    </row>
    <row r="2404" spans="1:11" ht="14.4" x14ac:dyDescent="0.3">
      <c r="A2404" s="28" t="str">
        <f>B2404&amp;C2404&amp;D2404&amp;E2404</f>
        <v>Maishiy texnikaUy uchun texnikaDazmollar va bugʻlagichlarTozalash vositalari</v>
      </c>
      <c r="B2404" s="35" t="s">
        <v>48</v>
      </c>
      <c r="C2404" s="35" t="s">
        <v>3435</v>
      </c>
      <c r="D2404" s="35" t="s">
        <v>5722</v>
      </c>
      <c r="E2404" s="35" t="s">
        <v>3380</v>
      </c>
      <c r="F2404" s="36">
        <v>0.18</v>
      </c>
      <c r="G2404" s="31"/>
      <c r="H2404" s="31"/>
      <c r="I2404" s="31"/>
      <c r="J2404" s="31"/>
      <c r="K2404" s="31"/>
    </row>
    <row r="2405" spans="1:11" ht="14.4" x14ac:dyDescent="0.3">
      <c r="A2405" s="28" t="str">
        <f>B2405&amp;C2405&amp;D2405&amp;E2405</f>
        <v>Maishiy texnikaUy uchun texnikaDazmollar va bugʻlagichlarDazmollar uchun ehtiyot qismlar va aksessuarlar</v>
      </c>
      <c r="B2405" s="35" t="s">
        <v>48</v>
      </c>
      <c r="C2405" s="35" t="s">
        <v>3435</v>
      </c>
      <c r="D2405" s="35" t="s">
        <v>5722</v>
      </c>
      <c r="E2405" s="35" t="s">
        <v>5723</v>
      </c>
      <c r="F2405" s="36">
        <v>0.18</v>
      </c>
      <c r="G2405" s="31"/>
      <c r="H2405" s="31"/>
      <c r="I2405" s="31"/>
      <c r="J2405" s="31"/>
      <c r="K2405" s="31"/>
    </row>
    <row r="2406" spans="1:11" ht="14.4" x14ac:dyDescent="0.3">
      <c r="A2406" s="28" t="str">
        <f>B2406&amp;C2406&amp;D2406&amp;E2406</f>
        <v>AvtotovarlarGaraj va avtoservisShina oʻrnatish uskunalariShina oʻrnatish uskunalari</v>
      </c>
      <c r="B2406" s="35" t="s">
        <v>39</v>
      </c>
      <c r="C2406" s="35" t="s">
        <v>5724</v>
      </c>
      <c r="D2406" s="35" t="s">
        <v>5725</v>
      </c>
      <c r="E2406" s="35" t="s">
        <v>5725</v>
      </c>
      <c r="F2406" s="36">
        <v>0.17</v>
      </c>
      <c r="G2406" s="31"/>
      <c r="H2406" s="31"/>
      <c r="I2406" s="31"/>
      <c r="J2406" s="31"/>
      <c r="K2406" s="31"/>
    </row>
    <row r="2407" spans="1:11" ht="14.4" x14ac:dyDescent="0.3">
      <c r="A2407" s="28" t="str">
        <f>B2407&amp;C2407&amp;D2407&amp;E2407</f>
        <v>AvtotovarlarGaraj va avtoservisSlesarlik ishlari uchun maxsus asboblarSlesarlik ishlari uchun maxsus asboblar</v>
      </c>
      <c r="B2407" s="35" t="s">
        <v>39</v>
      </c>
      <c r="C2407" s="35" t="s">
        <v>5724</v>
      </c>
      <c r="D2407" s="35" t="s">
        <v>5726</v>
      </c>
      <c r="E2407" s="35" t="s">
        <v>5726</v>
      </c>
      <c r="F2407" s="36">
        <v>0.17</v>
      </c>
      <c r="G2407" s="31"/>
      <c r="H2407" s="31"/>
      <c r="I2407" s="31"/>
      <c r="J2407" s="31"/>
      <c r="K2407" s="31"/>
    </row>
    <row r="2408" spans="1:11" ht="14.4" x14ac:dyDescent="0.3">
      <c r="A2408" s="28" t="str">
        <f>B2408&amp;C2408&amp;D2408&amp;E2408</f>
        <v>AvtotovarlarGaraj va avtoservisTaʼmirlash lejaklariTaʼmirlash lejaklari</v>
      </c>
      <c r="B2408" s="35" t="s">
        <v>39</v>
      </c>
      <c r="C2408" s="35" t="s">
        <v>5724</v>
      </c>
      <c r="D2408" s="35" t="s">
        <v>5727</v>
      </c>
      <c r="E2408" s="35" t="s">
        <v>5727</v>
      </c>
      <c r="F2408" s="36">
        <v>0.17</v>
      </c>
      <c r="G2408" s="31"/>
      <c r="H2408" s="31"/>
      <c r="I2408" s="31"/>
      <c r="J2408" s="31"/>
      <c r="K2408" s="31"/>
    </row>
    <row r="2409" spans="1:11" ht="14.4" x14ac:dyDescent="0.3">
      <c r="A2409" s="28" t="str">
        <f>B2409&amp;C2409&amp;D2409&amp;E2409</f>
        <v>AvtotovarlarGaraj va avtoservisAvtomobillar uchun pnevmatik uskunalarAvtomobillar uchun pnevmatik uskunalar</v>
      </c>
      <c r="B2409" s="35" t="s">
        <v>39</v>
      </c>
      <c r="C2409" s="35" t="s">
        <v>5724</v>
      </c>
      <c r="D2409" s="35" t="s">
        <v>5728</v>
      </c>
      <c r="E2409" s="35" t="s">
        <v>5728</v>
      </c>
      <c r="F2409" s="36">
        <v>0.17</v>
      </c>
      <c r="G2409" s="31"/>
      <c r="H2409" s="31"/>
      <c r="I2409" s="31"/>
      <c r="J2409" s="31"/>
      <c r="K2409" s="31"/>
    </row>
    <row r="2410" spans="1:11" ht="14.4" x14ac:dyDescent="0.3">
      <c r="A2410" s="28" t="str">
        <f>B2410&amp;C2410&amp;D2410&amp;E2410</f>
        <v>AvtotovarlarGaraj va avtoservisAvtoturargoh uchun uskunalarAvtoturargoh uchun uskunalar</v>
      </c>
      <c r="B2410" s="35" t="s">
        <v>39</v>
      </c>
      <c r="C2410" s="35" t="s">
        <v>5724</v>
      </c>
      <c r="D2410" s="35" t="s">
        <v>40</v>
      </c>
      <c r="E2410" s="35" t="s">
        <v>40</v>
      </c>
      <c r="F2410" s="36">
        <v>0.17</v>
      </c>
      <c r="G2410" s="31"/>
      <c r="H2410" s="31"/>
      <c r="I2410" s="31"/>
      <c r="J2410" s="31"/>
      <c r="K2410" s="31"/>
    </row>
    <row r="2411" spans="1:11" ht="14.4" x14ac:dyDescent="0.3">
      <c r="A2411" s="28" t="str">
        <f>B2411&amp;C2411&amp;D2411&amp;E2411</f>
        <v>AvtotovarlarGaraj va avtoservisAvto taʼmirlash uskunalariAvto taʼmirlash uskunalari</v>
      </c>
      <c r="B2411" s="35" t="s">
        <v>39</v>
      </c>
      <c r="C2411" s="35" t="s">
        <v>5724</v>
      </c>
      <c r="D2411" s="35" t="s">
        <v>5729</v>
      </c>
      <c r="E2411" s="35" t="s">
        <v>5729</v>
      </c>
      <c r="F2411" s="36">
        <v>0.17</v>
      </c>
      <c r="G2411" s="31"/>
      <c r="H2411" s="31"/>
      <c r="I2411" s="31"/>
      <c r="J2411" s="31"/>
      <c r="K2411" s="31"/>
    </row>
    <row r="2412" spans="1:11" ht="14.4" x14ac:dyDescent="0.3">
      <c r="A2412" s="28" t="str">
        <f>B2412&amp;C2412&amp;D2412&amp;E2412</f>
        <v>AvtotovarlarGaraj va avtoservisKantovatellar va ushlagichlarKantovatellar va ushlagichlar</v>
      </c>
      <c r="B2412" s="35" t="s">
        <v>39</v>
      </c>
      <c r="C2412" s="35" t="s">
        <v>5724</v>
      </c>
      <c r="D2412" s="35" t="s">
        <v>5730</v>
      </c>
      <c r="E2412" s="35" t="s">
        <v>5730</v>
      </c>
      <c r="F2412" s="36">
        <v>0.17</v>
      </c>
      <c r="G2412" s="31"/>
      <c r="H2412" s="31"/>
      <c r="I2412" s="31"/>
      <c r="J2412" s="31"/>
      <c r="K2412" s="31"/>
    </row>
    <row r="2413" spans="1:11" ht="14.4" x14ac:dyDescent="0.3">
      <c r="A2413" s="28" t="str">
        <f>B2413&amp;C2413&amp;D2413&amp;E2413</f>
        <v>AvtotovarlarGaraj va avtoservisKuzov ishlari uchun uskunalarKuzov ishlari uchun uskunalar</v>
      </c>
      <c r="B2413" s="35" t="s">
        <v>39</v>
      </c>
      <c r="C2413" s="35" t="s">
        <v>5724</v>
      </c>
      <c r="D2413" s="35" t="s">
        <v>5731</v>
      </c>
      <c r="E2413" s="35" t="s">
        <v>5731</v>
      </c>
      <c r="F2413" s="36">
        <v>0.17</v>
      </c>
      <c r="G2413" s="31"/>
      <c r="H2413" s="31"/>
      <c r="I2413" s="31"/>
      <c r="J2413" s="31"/>
      <c r="K2413" s="31"/>
    </row>
    <row r="2414" spans="1:11" ht="14.4" x14ac:dyDescent="0.3">
      <c r="A2414" s="28" t="str">
        <f>B2414&amp;C2414&amp;D2414&amp;E2414</f>
        <v>AvtotovarlarGaraj va avtoservisDiagnostika uskunalariDiagnostika uskunalari</v>
      </c>
      <c r="B2414" s="35" t="s">
        <v>39</v>
      </c>
      <c r="C2414" s="35" t="s">
        <v>5724</v>
      </c>
      <c r="D2414" s="35" t="s">
        <v>5732</v>
      </c>
      <c r="E2414" s="35" t="s">
        <v>5732</v>
      </c>
      <c r="F2414" s="36">
        <v>0.17</v>
      </c>
      <c r="G2414" s="31"/>
      <c r="H2414" s="31"/>
      <c r="I2414" s="31"/>
      <c r="J2414" s="31"/>
      <c r="K2414" s="31"/>
    </row>
    <row r="2415" spans="1:11" ht="14.4" x14ac:dyDescent="0.3">
      <c r="A2415" s="28" t="str">
        <f>B2415&amp;C2415&amp;D2415&amp;E2415</f>
        <v>AvtotovarlarGaraj va avtoservisYuk koʻtarish uskunalariYuk koʻtarish uskunalari</v>
      </c>
      <c r="B2415" s="35" t="s">
        <v>39</v>
      </c>
      <c r="C2415" s="35" t="s">
        <v>5724</v>
      </c>
      <c r="D2415" s="35" t="s">
        <v>5733</v>
      </c>
      <c r="E2415" s="35" t="s">
        <v>5733</v>
      </c>
      <c r="F2415" s="36">
        <v>0.17</v>
      </c>
      <c r="G2415" s="31"/>
      <c r="H2415" s="31"/>
      <c r="I2415" s="31"/>
      <c r="J2415" s="31"/>
      <c r="K2415" s="31"/>
    </row>
    <row r="2416" spans="1:11" ht="14.4" x14ac:dyDescent="0.3">
      <c r="A2416" s="28" t="str">
        <f>B2416&amp;C2416&amp;D2416&amp;E2416</f>
        <v>AvtotovarlarGaraj va avtoservisAvtomobil suyuqliklarini almashtirishAvtomobil suyuqliklarini almashtirish</v>
      </c>
      <c r="B2416" s="35" t="s">
        <v>39</v>
      </c>
      <c r="C2416" s="35" t="s">
        <v>5724</v>
      </c>
      <c r="D2416" s="35" t="s">
        <v>5734</v>
      </c>
      <c r="E2416" s="35" t="s">
        <v>5734</v>
      </c>
      <c r="F2416" s="36">
        <v>0.17</v>
      </c>
      <c r="G2416" s="31"/>
      <c r="H2416" s="31"/>
      <c r="I2416" s="31"/>
      <c r="J2416" s="31"/>
      <c r="K2416" s="31"/>
    </row>
    <row r="2417" spans="1:11" ht="14.4" x14ac:dyDescent="0.3">
      <c r="A2417" s="28" t="str">
        <f>B2417&amp;C2417&amp;D2417&amp;E2417</f>
        <v>ElektronikaAqlli soatlar va fitnes bilaguzuklarAqlli soatlarAqlli soatlar</v>
      </c>
      <c r="B2417" s="35" t="s">
        <v>3161</v>
      </c>
      <c r="C2417" s="35" t="s">
        <v>3336</v>
      </c>
      <c r="D2417" s="35" t="s">
        <v>5735</v>
      </c>
      <c r="E2417" s="35" t="s">
        <v>5735</v>
      </c>
      <c r="F2417" s="36">
        <v>0.17</v>
      </c>
      <c r="G2417" s="31"/>
      <c r="H2417" s="31"/>
      <c r="I2417" s="31"/>
      <c r="J2417" s="31"/>
      <c r="K2417" s="31"/>
    </row>
    <row r="2418" spans="1:11" ht="14.4" x14ac:dyDescent="0.3">
      <c r="A2418" s="28" t="str">
        <f>B2418&amp;C2418&amp;D2418&amp;E2418</f>
        <v>Hayvonlar uchun tovarlarQushlar uchunQushlar uchun oʻyinchoqlar va aksessuarlarOʻyinchoqlar</v>
      </c>
      <c r="B2418" s="35" t="s">
        <v>3168</v>
      </c>
      <c r="C2418" s="35" t="s">
        <v>3800</v>
      </c>
      <c r="D2418" s="35" t="s">
        <v>5736</v>
      </c>
      <c r="E2418" s="35" t="s">
        <v>3432</v>
      </c>
      <c r="F2418" s="36">
        <v>0.17</v>
      </c>
      <c r="G2418" s="31"/>
      <c r="H2418" s="31"/>
      <c r="I2418" s="31"/>
      <c r="J2418" s="31"/>
      <c r="K2418" s="31"/>
    </row>
    <row r="2419" spans="1:11" ht="14.4" x14ac:dyDescent="0.3">
      <c r="A2419" s="28" t="str">
        <f>B2419&amp;C2419&amp;D2419&amp;E2419</f>
        <v>Hayvonlar uchun tovarlarQushlar uchunQafaslar va narvonlarQafaslar</v>
      </c>
      <c r="B2419" s="35" t="s">
        <v>3168</v>
      </c>
      <c r="C2419" s="35" t="s">
        <v>3800</v>
      </c>
      <c r="D2419" s="35" t="s">
        <v>3801</v>
      </c>
      <c r="E2419" s="35" t="s">
        <v>3814</v>
      </c>
      <c r="F2419" s="36">
        <v>0.17</v>
      </c>
      <c r="G2419" s="31"/>
      <c r="H2419" s="31"/>
      <c r="I2419" s="31"/>
      <c r="J2419" s="31"/>
      <c r="K2419" s="31"/>
    </row>
    <row r="2420" spans="1:11" ht="14.4" x14ac:dyDescent="0.3">
      <c r="A2420" s="28" t="str">
        <f>B2420&amp;C2420&amp;D2420&amp;E2420</f>
        <v>Hayvonlar uchun tovarlarMushuklar uchunTuvaklar va toʻldiruvchilarTuvaklar</v>
      </c>
      <c r="B2420" s="35" t="s">
        <v>3168</v>
      </c>
      <c r="C2420" s="35" t="s">
        <v>5178</v>
      </c>
      <c r="D2420" s="35" t="s">
        <v>5737</v>
      </c>
      <c r="E2420" s="35" t="s">
        <v>5738</v>
      </c>
      <c r="F2420" s="36">
        <v>0.17</v>
      </c>
      <c r="G2420" s="31"/>
      <c r="H2420" s="31"/>
      <c r="I2420" s="31"/>
      <c r="J2420" s="31"/>
      <c r="K2420" s="31"/>
    </row>
    <row r="2421" spans="1:11" ht="14.4" x14ac:dyDescent="0.3">
      <c r="A2421" s="28" t="str">
        <f>B2421&amp;C2421&amp;D2421&amp;E2421</f>
        <v>Maishiy texnikaOshxona buyumlariMikrotoʻlqinli pechlarMikrotoʻlqinli pechlar</v>
      </c>
      <c r="B2421" s="35" t="s">
        <v>48</v>
      </c>
      <c r="C2421" s="35" t="s">
        <v>3443</v>
      </c>
      <c r="D2421" s="35" t="s">
        <v>5485</v>
      </c>
      <c r="E2421" s="35" t="s">
        <v>5485</v>
      </c>
      <c r="F2421" s="36">
        <v>0.17</v>
      </c>
      <c r="G2421" s="31"/>
      <c r="H2421" s="31"/>
      <c r="I2421" s="31"/>
      <c r="J2421" s="31"/>
      <c r="K2421" s="31"/>
    </row>
    <row r="2422" spans="1:11" ht="14.4" x14ac:dyDescent="0.3">
      <c r="A2422" s="28" t="str">
        <f>B2422&amp;C2422&amp;D2422&amp;E2422</f>
        <v>Maishiy texnikaOshxona buyumlariBoshqa oshxona texnikalariPasta-mashinalar</v>
      </c>
      <c r="B2422" s="35" t="s">
        <v>48</v>
      </c>
      <c r="C2422" s="35" t="s">
        <v>3443</v>
      </c>
      <c r="D2422" s="35" t="s">
        <v>3444</v>
      </c>
      <c r="E2422" s="35" t="s">
        <v>5739</v>
      </c>
      <c r="F2422" s="36">
        <v>0.17</v>
      </c>
      <c r="G2422" s="31"/>
      <c r="H2422" s="31"/>
      <c r="I2422" s="31"/>
      <c r="J2422" s="31"/>
      <c r="K2422" s="31"/>
    </row>
    <row r="2423" spans="1:11" ht="14.4" x14ac:dyDescent="0.3">
      <c r="A2423" s="28" t="str">
        <f>B2423&amp;C2423&amp;D2423&amp;E2423</f>
        <v>Maishiy texnikaOshxona buyumlariBoshqa oshxona texnikalariPopkorn tayyorlash uskunasi</v>
      </c>
      <c r="B2423" s="35" t="s">
        <v>48</v>
      </c>
      <c r="C2423" s="35" t="s">
        <v>3443</v>
      </c>
      <c r="D2423" s="35" t="s">
        <v>3444</v>
      </c>
      <c r="E2423" s="35" t="s">
        <v>5740</v>
      </c>
      <c r="F2423" s="36">
        <v>0.17</v>
      </c>
      <c r="G2423" s="31"/>
      <c r="H2423" s="31"/>
      <c r="I2423" s="31"/>
      <c r="J2423" s="31"/>
      <c r="K2423" s="31"/>
    </row>
    <row r="2424" spans="1:11" ht="14.4" x14ac:dyDescent="0.3">
      <c r="A2424" s="28" t="str">
        <f>B2424&amp;C2424&amp;D2424&amp;E2424</f>
        <v>Maishiy texnikaIqlim texnikasiHavoni tozalash va namlantirishNamlagichlar va tozalagichlar uchun aksessuarlar</v>
      </c>
      <c r="B2424" s="35" t="s">
        <v>48</v>
      </c>
      <c r="C2424" s="35" t="s">
        <v>3447</v>
      </c>
      <c r="D2424" s="35" t="s">
        <v>5741</v>
      </c>
      <c r="E2424" s="35" t="s">
        <v>5742</v>
      </c>
      <c r="F2424" s="36">
        <v>0.17</v>
      </c>
      <c r="G2424" s="31"/>
      <c r="H2424" s="31"/>
      <c r="I2424" s="31"/>
      <c r="J2424" s="31"/>
      <c r="K2424" s="31"/>
    </row>
    <row r="2425" spans="1:11" ht="14.4" x14ac:dyDescent="0.3">
      <c r="A2425" s="28" t="str">
        <f>B2425&amp;C2425&amp;D2425&amp;E2425</f>
        <v>Maishiy texnikaOshxona buyumlariKofe tayyorlashKofe mashinalari uchun filtrlar</v>
      </c>
      <c r="B2425" s="35" t="s">
        <v>48</v>
      </c>
      <c r="C2425" s="35" t="s">
        <v>3443</v>
      </c>
      <c r="D2425" s="35" t="s">
        <v>4036</v>
      </c>
      <c r="E2425" s="35" t="s">
        <v>5743</v>
      </c>
      <c r="F2425" s="36">
        <v>0.17</v>
      </c>
      <c r="G2425" s="31"/>
      <c r="H2425" s="31"/>
      <c r="I2425" s="31"/>
      <c r="J2425" s="31"/>
      <c r="K2425" s="31"/>
    </row>
    <row r="2426" spans="1:11" ht="14.4" x14ac:dyDescent="0.3">
      <c r="A2426" s="28" t="str">
        <f>B2426&amp;C2426&amp;D2426&amp;E2426</f>
        <v>Maishiy texnikaOshxona buyumlariMaydalash va aralashtirishGoʻsht maydalagichlar</v>
      </c>
      <c r="B2426" s="35" t="s">
        <v>48</v>
      </c>
      <c r="C2426" s="35" t="s">
        <v>3443</v>
      </c>
      <c r="D2426" s="35" t="s">
        <v>5744</v>
      </c>
      <c r="E2426" s="35" t="s">
        <v>5745</v>
      </c>
      <c r="F2426" s="36">
        <v>0.17</v>
      </c>
      <c r="G2426" s="31"/>
      <c r="H2426" s="31"/>
      <c r="I2426" s="31"/>
      <c r="J2426" s="31"/>
      <c r="K2426" s="31"/>
    </row>
    <row r="2427" spans="1:11" ht="14.4" x14ac:dyDescent="0.3">
      <c r="A2427" s="28" t="str">
        <f>B2427&amp;C2427&amp;D2427&amp;E2427</f>
        <v>Maishiy texnikaOshxona buyumlariBoshqa oshxona texnikalariPaxtaqand tayyorlash uskunalari</v>
      </c>
      <c r="B2427" s="35" t="s">
        <v>48</v>
      </c>
      <c r="C2427" s="35" t="s">
        <v>3443</v>
      </c>
      <c r="D2427" s="35" t="s">
        <v>3444</v>
      </c>
      <c r="E2427" s="35" t="s">
        <v>5746</v>
      </c>
      <c r="F2427" s="36">
        <v>0.17</v>
      </c>
      <c r="G2427" s="31"/>
      <c r="H2427" s="31"/>
      <c r="I2427" s="31"/>
      <c r="J2427" s="31"/>
      <c r="K2427" s="31"/>
    </row>
    <row r="2428" spans="1:11" ht="14.4" x14ac:dyDescent="0.3">
      <c r="A2428" s="28" t="str">
        <f>B2428&amp;C2428&amp;D2428&amp;E2428</f>
        <v>Maishiy texnikaGoʻzallik uchun texnikaElektr ustaralarElektr ustaralar</v>
      </c>
      <c r="B2428" s="35" t="s">
        <v>48</v>
      </c>
      <c r="C2428" s="35" t="s">
        <v>5489</v>
      </c>
      <c r="D2428" s="35" t="s">
        <v>5747</v>
      </c>
      <c r="E2428" s="35" t="s">
        <v>5747</v>
      </c>
      <c r="F2428" s="36">
        <v>0.17</v>
      </c>
      <c r="G2428" s="31"/>
      <c r="H2428" s="31"/>
      <c r="I2428" s="31"/>
      <c r="J2428" s="31"/>
      <c r="K2428" s="31"/>
    </row>
    <row r="2429" spans="1:11" ht="14.4" x14ac:dyDescent="0.3">
      <c r="A2429" s="28" t="str">
        <f>B2429&amp;C2429&amp;D2429&amp;E2429</f>
        <v>Maishiy texnikaOshxona buyumlariMaydalash va aralashtirishStatsionar blenderlar</v>
      </c>
      <c r="B2429" s="35" t="s">
        <v>48</v>
      </c>
      <c r="C2429" s="35" t="s">
        <v>3443</v>
      </c>
      <c r="D2429" s="35" t="s">
        <v>5744</v>
      </c>
      <c r="E2429" s="35" t="s">
        <v>5748</v>
      </c>
      <c r="F2429" s="36">
        <v>0.17</v>
      </c>
      <c r="G2429" s="31"/>
      <c r="H2429" s="31"/>
      <c r="I2429" s="31"/>
      <c r="J2429" s="31"/>
      <c r="K2429" s="31"/>
    </row>
    <row r="2430" spans="1:11" ht="14.4" x14ac:dyDescent="0.3">
      <c r="A2430" s="28" t="str">
        <f>B2430&amp;C2430&amp;D2430&amp;E2430</f>
        <v>Maishiy texnikaOshxona buyumlariQovurish va pishirish uskunalariVafli va sendvich pishirgichlar</v>
      </c>
      <c r="B2430" s="35" t="s">
        <v>48</v>
      </c>
      <c r="C2430" s="35" t="s">
        <v>3443</v>
      </c>
      <c r="D2430" s="35" t="s">
        <v>5749</v>
      </c>
      <c r="E2430" s="35" t="s">
        <v>5750</v>
      </c>
      <c r="F2430" s="36">
        <v>0.17</v>
      </c>
      <c r="G2430" s="31"/>
      <c r="H2430" s="31"/>
      <c r="I2430" s="31"/>
      <c r="J2430" s="31"/>
      <c r="K2430" s="31"/>
    </row>
    <row r="2431" spans="1:11" ht="14.4" x14ac:dyDescent="0.3">
      <c r="A2431" s="28" t="str">
        <f>B2431&amp;C2431&amp;D2431&amp;E2431</f>
        <v>Maishiy texnikaIqlim texnikasiHavoni tozalash va namlantirishHavo quritgichlar</v>
      </c>
      <c r="B2431" s="35" t="s">
        <v>48</v>
      </c>
      <c r="C2431" s="35" t="s">
        <v>3447</v>
      </c>
      <c r="D2431" s="35" t="s">
        <v>5741</v>
      </c>
      <c r="E2431" s="35" t="s">
        <v>5751</v>
      </c>
      <c r="F2431" s="36">
        <v>0.17</v>
      </c>
      <c r="G2431" s="31"/>
      <c r="H2431" s="31"/>
      <c r="I2431" s="31"/>
      <c r="J2431" s="31"/>
      <c r="K2431" s="31"/>
    </row>
    <row r="2432" spans="1:11" ht="14.4" x14ac:dyDescent="0.3">
      <c r="A2432" s="28" t="str">
        <f>B2432&amp;C2432&amp;D2432&amp;E2432</f>
        <v>Maishiy texnikaOshxona buyumlariKofe tayyorlashKofemolkalar</v>
      </c>
      <c r="B2432" s="35" t="s">
        <v>48</v>
      </c>
      <c r="C2432" s="35" t="s">
        <v>3443</v>
      </c>
      <c r="D2432" s="35" t="s">
        <v>4036</v>
      </c>
      <c r="E2432" s="35" t="s">
        <v>5752</v>
      </c>
      <c r="F2432" s="36">
        <v>0.17</v>
      </c>
      <c r="G2432" s="31"/>
      <c r="H2432" s="31"/>
      <c r="I2432" s="31"/>
      <c r="J2432" s="31"/>
      <c r="K2432" s="31"/>
    </row>
    <row r="2433" spans="1:11" ht="14.4" x14ac:dyDescent="0.3">
      <c r="A2433" s="28" t="str">
        <f>B2433&amp;C2433&amp;D2433&amp;E2433</f>
        <v>Maishiy texnikaGoʻzallik uchun texnikaSoch turmaklashMultistylerlar</v>
      </c>
      <c r="B2433" s="35" t="s">
        <v>48</v>
      </c>
      <c r="C2433" s="35" t="s">
        <v>5489</v>
      </c>
      <c r="D2433" s="35" t="s">
        <v>5753</v>
      </c>
      <c r="E2433" s="35" t="s">
        <v>5754</v>
      </c>
      <c r="F2433" s="36">
        <v>0.17</v>
      </c>
      <c r="G2433" s="31"/>
      <c r="H2433" s="31"/>
      <c r="I2433" s="31"/>
      <c r="J2433" s="31"/>
      <c r="K2433" s="31"/>
    </row>
    <row r="2434" spans="1:11" ht="14.4" x14ac:dyDescent="0.3">
      <c r="A2434" s="28" t="str">
        <f>B2434&amp;C2434&amp;D2434&amp;E2434</f>
        <v>Maishiy texnikaOshxona buyumlariQovurish va pishirish uskunalariMini pechlar</v>
      </c>
      <c r="B2434" s="35" t="s">
        <v>48</v>
      </c>
      <c r="C2434" s="35" t="s">
        <v>3443</v>
      </c>
      <c r="D2434" s="35" t="s">
        <v>5749</v>
      </c>
      <c r="E2434" s="35" t="s">
        <v>5755</v>
      </c>
      <c r="F2434" s="36">
        <v>0.17</v>
      </c>
      <c r="G2434" s="31"/>
      <c r="H2434" s="31"/>
      <c r="I2434" s="31"/>
      <c r="J2434" s="31"/>
      <c r="K2434" s="31"/>
    </row>
    <row r="2435" spans="1:11" ht="14.4" x14ac:dyDescent="0.3">
      <c r="A2435" s="28" t="str">
        <f>B2435&amp;C2435&amp;D2435&amp;E2435</f>
        <v>Maishiy texnikaUy uchun texnikaDazmollar va bugʻlagichlarBugʻlagichlar</v>
      </c>
      <c r="B2435" s="35" t="s">
        <v>48</v>
      </c>
      <c r="C2435" s="35" t="s">
        <v>3435</v>
      </c>
      <c r="D2435" s="35" t="s">
        <v>5722</v>
      </c>
      <c r="E2435" s="35" t="s">
        <v>5756</v>
      </c>
      <c r="F2435" s="36">
        <v>0.17</v>
      </c>
      <c r="G2435" s="31"/>
      <c r="H2435" s="31"/>
      <c r="I2435" s="31"/>
      <c r="J2435" s="31"/>
      <c r="K2435" s="31"/>
    </row>
    <row r="2436" spans="1:11" ht="14.4" x14ac:dyDescent="0.3">
      <c r="A2436" s="28" t="str">
        <f>B2436&amp;C2436&amp;D2436&amp;E2436</f>
        <v>Maishiy texnikaOshxona buyumlariKofe tayyorlashSut koʻpirtirgichlar</v>
      </c>
      <c r="B2436" s="35" t="s">
        <v>48</v>
      </c>
      <c r="C2436" s="35" t="s">
        <v>3443</v>
      </c>
      <c r="D2436" s="35" t="s">
        <v>4036</v>
      </c>
      <c r="E2436" s="35" t="s">
        <v>4397</v>
      </c>
      <c r="F2436" s="36">
        <v>0.17</v>
      </c>
      <c r="G2436" s="31"/>
      <c r="H2436" s="31"/>
      <c r="I2436" s="31"/>
      <c r="J2436" s="31"/>
      <c r="K2436" s="31"/>
    </row>
    <row r="2437" spans="1:11" ht="14.4" x14ac:dyDescent="0.3">
      <c r="A2437" s="28" t="str">
        <f>B2437&amp;C2437&amp;D2437&amp;E2437</f>
        <v>Maishiy texnikaOshxona buyumlariQovurish va pishirish uskunalariStol ustiga qoʻyiladigan plitalar</v>
      </c>
      <c r="B2437" s="35" t="s">
        <v>48</v>
      </c>
      <c r="C2437" s="35" t="s">
        <v>3443</v>
      </c>
      <c r="D2437" s="35" t="s">
        <v>5749</v>
      </c>
      <c r="E2437" s="35" t="s">
        <v>5757</v>
      </c>
      <c r="F2437" s="36">
        <v>0.17</v>
      </c>
      <c r="G2437" s="31"/>
      <c r="H2437" s="31"/>
      <c r="I2437" s="31"/>
      <c r="J2437" s="31"/>
      <c r="K2437" s="31"/>
    </row>
    <row r="2438" spans="1:11" ht="14.4" x14ac:dyDescent="0.3">
      <c r="A2438" s="28" t="str">
        <f>B2438&amp;C2438&amp;D2438&amp;E2438</f>
        <v>Maishiy texnikaUy uchun texnikaDazmollar va bugʻlagichlarDazmollar</v>
      </c>
      <c r="B2438" s="35" t="s">
        <v>48</v>
      </c>
      <c r="C2438" s="35" t="s">
        <v>3435</v>
      </c>
      <c r="D2438" s="35" t="s">
        <v>5722</v>
      </c>
      <c r="E2438" s="35" t="s">
        <v>5758</v>
      </c>
      <c r="F2438" s="36">
        <v>0.17</v>
      </c>
      <c r="G2438" s="31"/>
      <c r="H2438" s="31"/>
      <c r="I2438" s="31"/>
      <c r="J2438" s="31"/>
      <c r="K2438" s="31"/>
    </row>
    <row r="2439" spans="1:11" ht="14.4" x14ac:dyDescent="0.3">
      <c r="A2439" s="28" t="str">
        <f>B2439&amp;C2439&amp;D2439&amp;E2439</f>
        <v>Maishiy texnikaOshxona buyumlariMaydalash va aralashtirishMaydalagichlar</v>
      </c>
      <c r="B2439" s="35" t="s">
        <v>48</v>
      </c>
      <c r="C2439" s="35" t="s">
        <v>3443</v>
      </c>
      <c r="D2439" s="35" t="s">
        <v>5744</v>
      </c>
      <c r="E2439" s="35" t="s">
        <v>5759</v>
      </c>
      <c r="F2439" s="36">
        <v>0.17</v>
      </c>
      <c r="G2439" s="31"/>
      <c r="H2439" s="31"/>
      <c r="I2439" s="31"/>
      <c r="J2439" s="31"/>
      <c r="K2439" s="31"/>
    </row>
    <row r="2440" spans="1:11" ht="14.4" x14ac:dyDescent="0.3">
      <c r="A2440" s="28" t="str">
        <f>B2440&amp;C2440&amp;D2440&amp;E2440</f>
        <v>Maishiy texnikaOshxona buyumlariQovurish va pishirish uskunalariMultivarkalar va guruch pishirgichlar</v>
      </c>
      <c r="B2440" s="35" t="s">
        <v>48</v>
      </c>
      <c r="C2440" s="35" t="s">
        <v>3443</v>
      </c>
      <c r="D2440" s="35" t="s">
        <v>5749</v>
      </c>
      <c r="E2440" s="35" t="s">
        <v>5760</v>
      </c>
      <c r="F2440" s="36">
        <v>0.17</v>
      </c>
      <c r="G2440" s="31"/>
      <c r="H2440" s="31"/>
      <c r="I2440" s="31"/>
      <c r="J2440" s="31"/>
      <c r="K2440" s="31"/>
    </row>
    <row r="2441" spans="1:11" ht="14.4" x14ac:dyDescent="0.3">
      <c r="A2441" s="28" t="str">
        <f>B2441&amp;C2441&amp;D2441&amp;E2441</f>
        <v>Maishiy texnikaOshxona buyumlariElektr choynaklar va termopotlarTermopotlar</v>
      </c>
      <c r="B2441" s="35" t="s">
        <v>48</v>
      </c>
      <c r="C2441" s="35" t="s">
        <v>3443</v>
      </c>
      <c r="D2441" s="35" t="s">
        <v>5501</v>
      </c>
      <c r="E2441" s="35" t="s">
        <v>5761</v>
      </c>
      <c r="F2441" s="36">
        <v>0.17</v>
      </c>
      <c r="G2441" s="31"/>
      <c r="H2441" s="31"/>
      <c r="I2441" s="31"/>
      <c r="J2441" s="31"/>
      <c r="K2441" s="31"/>
    </row>
    <row r="2442" spans="1:11" ht="14.4" x14ac:dyDescent="0.3">
      <c r="A2442" s="28" t="str">
        <f>B2442&amp;C2442&amp;D2442&amp;E2442</f>
        <v>Maishiy texnikaOshxona buyumlariSharbat chiqargichlarSharbat chiqargichlar</v>
      </c>
      <c r="B2442" s="35" t="s">
        <v>48</v>
      </c>
      <c r="C2442" s="35" t="s">
        <v>3443</v>
      </c>
      <c r="D2442" s="35" t="s">
        <v>5762</v>
      </c>
      <c r="E2442" s="35" t="s">
        <v>5762</v>
      </c>
      <c r="F2442" s="36">
        <v>0.17</v>
      </c>
      <c r="G2442" s="31"/>
      <c r="H2442" s="31"/>
      <c r="I2442" s="31"/>
      <c r="J2442" s="31"/>
      <c r="K2442" s="31"/>
    </row>
    <row r="2443" spans="1:11" ht="14.4" x14ac:dyDescent="0.3">
      <c r="A2443" s="28" t="str">
        <f>B2443&amp;C2443&amp;D2443&amp;E2443</f>
        <v>Maishiy texnikaOshxona buyumlariQovurish va pishirish uskunalariAero grill va frityurnitsalar</v>
      </c>
      <c r="B2443" s="35" t="s">
        <v>48</v>
      </c>
      <c r="C2443" s="35" t="s">
        <v>3443</v>
      </c>
      <c r="D2443" s="35" t="s">
        <v>5749</v>
      </c>
      <c r="E2443" s="35" t="s">
        <v>5763</v>
      </c>
      <c r="F2443" s="36">
        <v>0.17</v>
      </c>
      <c r="G2443" s="31"/>
      <c r="H2443" s="31"/>
      <c r="I2443" s="31"/>
      <c r="J2443" s="31"/>
      <c r="K2443" s="31"/>
    </row>
    <row r="2444" spans="1:11" ht="14.4" x14ac:dyDescent="0.3">
      <c r="A2444" s="28" t="str">
        <f>B2444&amp;C2444&amp;D2444&amp;E2444</f>
        <v>Maishiy texnikaIqlim texnikasiHavoni tozalash va namlantirishAroma diffuzerlar</v>
      </c>
      <c r="B2444" s="35" t="s">
        <v>48</v>
      </c>
      <c r="C2444" s="35" t="s">
        <v>3447</v>
      </c>
      <c r="D2444" s="35" t="s">
        <v>5741</v>
      </c>
      <c r="E2444" s="35" t="s">
        <v>5764</v>
      </c>
      <c r="F2444" s="36">
        <v>0.17</v>
      </c>
      <c r="G2444" s="31"/>
      <c r="H2444" s="31"/>
      <c r="I2444" s="31"/>
      <c r="J2444" s="31"/>
      <c r="K2444" s="31"/>
    </row>
    <row r="2445" spans="1:11" ht="14.4" x14ac:dyDescent="0.3">
      <c r="A2445" s="28" t="str">
        <f>B2445&amp;C2445&amp;D2445&amp;E2445</f>
        <v>Maishiy texnikaOshxona buyumlariMaydalash va aralashtirishSabzavot kesgichlar va elektr qirg'ichlari</v>
      </c>
      <c r="B2445" s="35" t="s">
        <v>48</v>
      </c>
      <c r="C2445" s="35" t="s">
        <v>3443</v>
      </c>
      <c r="D2445" s="35" t="s">
        <v>5744</v>
      </c>
      <c r="E2445" s="35" t="s">
        <v>5765</v>
      </c>
      <c r="F2445" s="36">
        <v>0.17</v>
      </c>
      <c r="G2445" s="31"/>
      <c r="H2445" s="31"/>
      <c r="I2445" s="31"/>
      <c r="J2445" s="31"/>
      <c r="K2445" s="31"/>
    </row>
    <row r="2446" spans="1:11" ht="14.4" x14ac:dyDescent="0.3">
      <c r="A2446" s="28" t="str">
        <f>B2446&amp;C2446&amp;D2446&amp;E2446</f>
        <v>Maishiy texnikaOshxona buyumlariElektr choynaklar va termopotlarKipyatilniklar</v>
      </c>
      <c r="B2446" s="35" t="s">
        <v>48</v>
      </c>
      <c r="C2446" s="35" t="s">
        <v>3443</v>
      </c>
      <c r="D2446" s="35" t="s">
        <v>5501</v>
      </c>
      <c r="E2446" s="35" t="s">
        <v>5766</v>
      </c>
      <c r="F2446" s="36">
        <v>0.17</v>
      </c>
      <c r="G2446" s="31"/>
      <c r="H2446" s="31"/>
      <c r="I2446" s="31"/>
      <c r="J2446" s="31"/>
      <c r="K2446" s="31"/>
    </row>
    <row r="2447" spans="1:11" ht="14.4" x14ac:dyDescent="0.3">
      <c r="A2447" s="28" t="str">
        <f>B2447&amp;C2447&amp;D2447&amp;E2447</f>
        <v>Maishiy texnikaOshxona buyumlariMaydalash va aralashtirishMikserlar</v>
      </c>
      <c r="B2447" s="35" t="s">
        <v>48</v>
      </c>
      <c r="C2447" s="35" t="s">
        <v>3443</v>
      </c>
      <c r="D2447" s="35" t="s">
        <v>5744</v>
      </c>
      <c r="E2447" s="35" t="s">
        <v>5767</v>
      </c>
      <c r="F2447" s="36">
        <v>0.17</v>
      </c>
      <c r="G2447" s="31"/>
      <c r="H2447" s="31"/>
      <c r="I2447" s="31"/>
      <c r="J2447" s="31"/>
      <c r="K2447" s="31"/>
    </row>
    <row r="2448" spans="1:11" ht="14.4" x14ac:dyDescent="0.3">
      <c r="A2448" s="28" t="str">
        <f>B2448&amp;C2448&amp;D2448&amp;E2448</f>
        <v>Maishiy texnikaOshxona buyumlariQovurish va pishirish uskunalariElektr grillar</v>
      </c>
      <c r="B2448" s="35" t="s">
        <v>48</v>
      </c>
      <c r="C2448" s="35" t="s">
        <v>3443</v>
      </c>
      <c r="D2448" s="35" t="s">
        <v>5749</v>
      </c>
      <c r="E2448" s="35" t="s">
        <v>5768</v>
      </c>
      <c r="F2448" s="36">
        <v>0.17</v>
      </c>
      <c r="G2448" s="31"/>
      <c r="H2448" s="31"/>
      <c r="I2448" s="31"/>
      <c r="J2448" s="31"/>
      <c r="K2448" s="31"/>
    </row>
    <row r="2449" spans="1:11" ht="14.4" x14ac:dyDescent="0.3">
      <c r="A2449" s="28" t="str">
        <f>B2449&amp;C2449&amp;D2449&amp;E2449</f>
        <v>Maishiy texnikaOshxona buyumlariQovurish va pishirish uskunalariTosterlar</v>
      </c>
      <c r="B2449" s="35" t="s">
        <v>48</v>
      </c>
      <c r="C2449" s="35" t="s">
        <v>3443</v>
      </c>
      <c r="D2449" s="35" t="s">
        <v>5749</v>
      </c>
      <c r="E2449" s="35" t="s">
        <v>5769</v>
      </c>
      <c r="F2449" s="36">
        <v>0.17</v>
      </c>
      <c r="G2449" s="31"/>
      <c r="H2449" s="31"/>
      <c r="I2449" s="31"/>
      <c r="J2449" s="31"/>
      <c r="K2449" s="31"/>
    </row>
    <row r="2450" spans="1:11" ht="14.4" x14ac:dyDescent="0.3">
      <c r="A2450" s="28" t="str">
        <f>B2450&amp;C2450&amp;D2450&amp;E2450</f>
        <v>Maishiy texnikaUy uchun texnikaDazmollar va bugʻlagichlarDazmollash tizimlari va presslar</v>
      </c>
      <c r="B2450" s="35" t="s">
        <v>48</v>
      </c>
      <c r="C2450" s="35" t="s">
        <v>3435</v>
      </c>
      <c r="D2450" s="35" t="s">
        <v>5722</v>
      </c>
      <c r="E2450" s="35" t="s">
        <v>5770</v>
      </c>
      <c r="F2450" s="36">
        <v>0.17</v>
      </c>
      <c r="G2450" s="31"/>
      <c r="H2450" s="31"/>
      <c r="I2450" s="31"/>
      <c r="J2450" s="31"/>
      <c r="K2450" s="31"/>
    </row>
    <row r="2451" spans="1:11" ht="14.4" x14ac:dyDescent="0.3">
      <c r="A2451" s="28" t="str">
        <f>B2451&amp;C2451&amp;D2451&amp;E2451</f>
        <v>Maishiy texnikaOshxona buyumlariQovurish va pishirish uskunalariMultipechlar</v>
      </c>
      <c r="B2451" s="35" t="s">
        <v>48</v>
      </c>
      <c r="C2451" s="35" t="s">
        <v>3443</v>
      </c>
      <c r="D2451" s="35" t="s">
        <v>5749</v>
      </c>
      <c r="E2451" s="35" t="s">
        <v>5771</v>
      </c>
      <c r="F2451" s="36">
        <v>0.17</v>
      </c>
      <c r="G2451" s="31"/>
      <c r="H2451" s="31"/>
      <c r="I2451" s="31"/>
      <c r="J2451" s="31"/>
      <c r="K2451" s="31"/>
    </row>
    <row r="2452" spans="1:11" ht="14.4" x14ac:dyDescent="0.3">
      <c r="A2452" s="28" t="str">
        <f>B2452&amp;C2452&amp;D2452&amp;E2452</f>
        <v>Maishiy texnikaGoʻzallik uchun texnikaSoch turmaklashSoch toʻgʻrilash vositalari</v>
      </c>
      <c r="B2452" s="35" t="s">
        <v>48</v>
      </c>
      <c r="C2452" s="35" t="s">
        <v>5489</v>
      </c>
      <c r="D2452" s="35" t="s">
        <v>5753</v>
      </c>
      <c r="E2452" s="35" t="s">
        <v>5772</v>
      </c>
      <c r="F2452" s="36">
        <v>0.17</v>
      </c>
      <c r="G2452" s="31"/>
      <c r="H2452" s="31"/>
      <c r="I2452" s="31"/>
      <c r="J2452" s="31"/>
      <c r="K2452" s="31"/>
    </row>
    <row r="2453" spans="1:11" ht="14.4" x14ac:dyDescent="0.3">
      <c r="A2453" s="28" t="str">
        <f>B2453&amp;C2453&amp;D2453&amp;E2453</f>
        <v>Maishiy texnikaOshxona buyumlariQovurish va pishirish uskunalariQovurish va qaynatish uchun boshqa texnikalar</v>
      </c>
      <c r="B2453" s="35" t="s">
        <v>48</v>
      </c>
      <c r="C2453" s="35" t="s">
        <v>3443</v>
      </c>
      <c r="D2453" s="35" t="s">
        <v>5749</v>
      </c>
      <c r="E2453" s="35" t="s">
        <v>5773</v>
      </c>
      <c r="F2453" s="36">
        <v>0.17</v>
      </c>
      <c r="G2453" s="31"/>
      <c r="H2453" s="31"/>
      <c r="I2453" s="31"/>
      <c r="J2453" s="31"/>
      <c r="K2453" s="31"/>
    </row>
    <row r="2454" spans="1:11" ht="14.4" x14ac:dyDescent="0.3">
      <c r="A2454" s="28" t="str">
        <f>B2454&amp;C2454&amp;D2454&amp;E2454</f>
        <v>Maishiy texnikaOshxona buyumlariKofe tayyorlashQahva qaynatgichlar</v>
      </c>
      <c r="B2454" s="35" t="s">
        <v>48</v>
      </c>
      <c r="C2454" s="35" t="s">
        <v>3443</v>
      </c>
      <c r="D2454" s="35" t="s">
        <v>4036</v>
      </c>
      <c r="E2454" s="35" t="s">
        <v>5774</v>
      </c>
      <c r="F2454" s="36">
        <v>0.17</v>
      </c>
      <c r="G2454" s="31"/>
      <c r="H2454" s="31"/>
      <c r="I2454" s="31"/>
      <c r="J2454" s="31"/>
      <c r="K2454" s="31"/>
    </row>
    <row r="2455" spans="1:11" ht="14.4" x14ac:dyDescent="0.3">
      <c r="A2455" s="28" t="str">
        <f>B2455&amp;C2455&amp;D2455&amp;E2455</f>
        <v>Maishiy texnikaOshxona buyumlariMaydalash va aralashtirishMaydalash uchun nasadkalar va aksessuarlar</v>
      </c>
      <c r="B2455" s="35" t="s">
        <v>48</v>
      </c>
      <c r="C2455" s="35" t="s">
        <v>3443</v>
      </c>
      <c r="D2455" s="35" t="s">
        <v>5744</v>
      </c>
      <c r="E2455" s="35" t="s">
        <v>5775</v>
      </c>
      <c r="F2455" s="36">
        <v>0.17</v>
      </c>
      <c r="G2455" s="31"/>
      <c r="H2455" s="31"/>
      <c r="I2455" s="31"/>
      <c r="J2455" s="31"/>
      <c r="K2455" s="31"/>
    </row>
    <row r="2456" spans="1:11" ht="14.4" x14ac:dyDescent="0.3">
      <c r="A2456" s="28" t="str">
        <f>B2456&amp;C2456&amp;D2456&amp;E2456</f>
        <v>Oziq-ovqat mahsulotlariChoy, qahva, issiq ichimliklarKoʻk choyKoʻk choy</v>
      </c>
      <c r="B2456" s="35" t="s">
        <v>3180</v>
      </c>
      <c r="C2456" s="35" t="s">
        <v>5776</v>
      </c>
      <c r="D2456" s="35" t="s">
        <v>5777</v>
      </c>
      <c r="E2456" s="35" t="s">
        <v>5777</v>
      </c>
      <c r="F2456" s="36">
        <v>0.17</v>
      </c>
      <c r="G2456" s="31"/>
      <c r="H2456" s="31"/>
      <c r="I2456" s="31"/>
      <c r="J2456" s="31"/>
      <c r="K2456" s="31"/>
    </row>
    <row r="2457" spans="1:11" ht="14.4" x14ac:dyDescent="0.3">
      <c r="A2457" s="28" t="str">
        <f>B2457&amp;C2457&amp;D2457&amp;E2457</f>
        <v>Oziq-ovqat mahsulotlariChoy, qahva, issiq ichimliklarQora choyQora choy</v>
      </c>
      <c r="B2457" s="35" t="s">
        <v>3180</v>
      </c>
      <c r="C2457" s="35" t="s">
        <v>5776</v>
      </c>
      <c r="D2457" s="35" t="s">
        <v>5778</v>
      </c>
      <c r="E2457" s="35" t="s">
        <v>5778</v>
      </c>
      <c r="F2457" s="36">
        <v>0.17</v>
      </c>
      <c r="G2457" s="31"/>
      <c r="H2457" s="31"/>
      <c r="I2457" s="31"/>
      <c r="J2457" s="31"/>
      <c r="K2457" s="31"/>
    </row>
    <row r="2458" spans="1:11" ht="14.4" x14ac:dyDescent="0.3">
      <c r="A2458" s="28" t="str">
        <f>B2458&amp;C2458&amp;D2458&amp;E2458</f>
        <v>Oziq-ovqat mahsulotlariChoy, qahva, issiq ichimliklarSikoriySikoriy</v>
      </c>
      <c r="B2458" s="35" t="s">
        <v>3180</v>
      </c>
      <c r="C2458" s="35" t="s">
        <v>5776</v>
      </c>
      <c r="D2458" s="35" t="s">
        <v>5779</v>
      </c>
      <c r="E2458" s="35" t="s">
        <v>5779</v>
      </c>
      <c r="F2458" s="36">
        <v>0.17</v>
      </c>
      <c r="G2458" s="31"/>
      <c r="H2458" s="31"/>
      <c r="I2458" s="31"/>
      <c r="J2458" s="31"/>
      <c r="K2458" s="31"/>
    </row>
    <row r="2459" spans="1:11" ht="14.4" x14ac:dyDescent="0.3">
      <c r="A2459" s="28" t="str">
        <f>B2459&amp;C2459&amp;D2459&amp;E2459</f>
        <v>Oziq-ovqat mahsulotlariChoy, qahva, issiq ichimliklarKakao, issiq shokoladKakao, issiq shokolad</v>
      </c>
      <c r="B2459" s="35" t="s">
        <v>3180</v>
      </c>
      <c r="C2459" s="35" t="s">
        <v>5776</v>
      </c>
      <c r="D2459" s="35" t="s">
        <v>5780</v>
      </c>
      <c r="E2459" s="35" t="s">
        <v>5780</v>
      </c>
      <c r="F2459" s="36">
        <v>0.17</v>
      </c>
      <c r="G2459" s="31"/>
      <c r="H2459" s="31"/>
      <c r="I2459" s="31"/>
      <c r="J2459" s="31"/>
      <c r="K2459" s="31"/>
    </row>
    <row r="2460" spans="1:11" ht="14.4" x14ac:dyDescent="0.3">
      <c r="A2460" s="28" t="str">
        <f>B2460&amp;C2460&amp;D2460&amp;E2460</f>
        <v>Oziq-ovqat mahsulotlariChoy, qahva, issiq ichimliklarMaydalangan qahvaMaydalangan qahva</v>
      </c>
      <c r="B2460" s="35" t="s">
        <v>3180</v>
      </c>
      <c r="C2460" s="35" t="s">
        <v>5776</v>
      </c>
      <c r="D2460" s="35" t="s">
        <v>5781</v>
      </c>
      <c r="E2460" s="35" t="s">
        <v>5781</v>
      </c>
      <c r="F2460" s="36">
        <v>0.17</v>
      </c>
      <c r="G2460" s="31"/>
      <c r="H2460" s="31"/>
      <c r="I2460" s="31"/>
      <c r="J2460" s="31"/>
      <c r="K2460" s="31"/>
    </row>
    <row r="2461" spans="1:11" ht="14.4" x14ac:dyDescent="0.3">
      <c r="A2461" s="28" t="str">
        <f>B2461&amp;C2461&amp;D2461&amp;E2461</f>
        <v>Oziq-ovqat mahsulotlariChoy, qahva, issiq ichimliklarEriydigan qahvaEriydigan qahva</v>
      </c>
      <c r="B2461" s="35" t="s">
        <v>3180</v>
      </c>
      <c r="C2461" s="35" t="s">
        <v>5776</v>
      </c>
      <c r="D2461" s="35" t="s">
        <v>5782</v>
      </c>
      <c r="E2461" s="35" t="s">
        <v>5782</v>
      </c>
      <c r="F2461" s="36">
        <v>0.17</v>
      </c>
      <c r="G2461" s="31"/>
      <c r="H2461" s="31"/>
      <c r="I2461" s="31"/>
      <c r="J2461" s="31"/>
      <c r="K2461" s="31"/>
    </row>
    <row r="2462" spans="1:11" ht="14.4" x14ac:dyDescent="0.3">
      <c r="A2462" s="28" t="str">
        <f>B2462&amp;C2462&amp;D2462&amp;E2462</f>
        <v>Oziq-ovqat mahsulotlariChoy, qahva, issiq ichimliklarQora choyQora choy</v>
      </c>
      <c r="B2462" s="35" t="s">
        <v>3180</v>
      </c>
      <c r="C2462" s="35" t="s">
        <v>5776</v>
      </c>
      <c r="D2462" s="35" t="s">
        <v>5778</v>
      </c>
      <c r="E2462" s="35" t="s">
        <v>5778</v>
      </c>
      <c r="F2462" s="36">
        <v>0.17</v>
      </c>
      <c r="G2462" s="31"/>
      <c r="H2462" s="31"/>
      <c r="I2462" s="31"/>
      <c r="J2462" s="31"/>
      <c r="K2462" s="31"/>
    </row>
    <row r="2463" spans="1:11" ht="14.4" x14ac:dyDescent="0.3">
      <c r="A2463" s="28" t="str">
        <f>B2463&amp;C2463&amp;D2463&amp;E2463</f>
        <v>Oziq-ovqat mahsulotlariChoy, qahva, issiq ichimliklarQoʻshimchalar qoʻshilgan choyQoʻshimchalar qoʻshilgan choy</v>
      </c>
      <c r="B2463" s="35" t="s">
        <v>3180</v>
      </c>
      <c r="C2463" s="35" t="s">
        <v>5776</v>
      </c>
      <c r="D2463" s="35" t="s">
        <v>5783</v>
      </c>
      <c r="E2463" s="35" t="s">
        <v>5783</v>
      </c>
      <c r="F2463" s="36">
        <v>0.17</v>
      </c>
      <c r="G2463" s="31"/>
      <c r="H2463" s="31"/>
      <c r="I2463" s="31"/>
      <c r="J2463" s="31"/>
      <c r="K2463" s="31"/>
    </row>
    <row r="2464" spans="1:11" ht="14.4" x14ac:dyDescent="0.3">
      <c r="A2464" s="28" t="str">
        <f>B2464&amp;C2464&amp;D2464&amp;E2464</f>
        <v>Oziq-ovqat mahsulotlariChoy, qahva, issiq ichimliklarGiyohli choylarGiyohli choylar</v>
      </c>
      <c r="B2464" s="35" t="s">
        <v>3180</v>
      </c>
      <c r="C2464" s="35" t="s">
        <v>5776</v>
      </c>
      <c r="D2464" s="35" t="s">
        <v>5784</v>
      </c>
      <c r="E2464" s="35" t="s">
        <v>5784</v>
      </c>
      <c r="F2464" s="36">
        <v>0.17</v>
      </c>
      <c r="G2464" s="31"/>
      <c r="H2464" s="31"/>
      <c r="I2464" s="31"/>
      <c r="J2464" s="31"/>
      <c r="K2464" s="31"/>
    </row>
    <row r="2465" spans="1:11" ht="14.4" x14ac:dyDescent="0.3">
      <c r="A2465" s="28" t="str">
        <f>B2465&amp;C2465&amp;D2465&amp;E2465</f>
        <v>Oziq-ovqat mahsulotlariChoy, qahva, issiq ichimliklarDonli qahvaDonli qahva</v>
      </c>
      <c r="B2465" s="35" t="s">
        <v>3180</v>
      </c>
      <c r="C2465" s="35" t="s">
        <v>5776</v>
      </c>
      <c r="D2465" s="35" t="s">
        <v>5785</v>
      </c>
      <c r="E2465" s="35" t="s">
        <v>5785</v>
      </c>
      <c r="F2465" s="36">
        <v>0.17</v>
      </c>
      <c r="G2465" s="31"/>
      <c r="H2465" s="31"/>
      <c r="I2465" s="31"/>
      <c r="J2465" s="31"/>
      <c r="K2465" s="31"/>
    </row>
    <row r="2466" spans="1:11" ht="14.4" x14ac:dyDescent="0.3">
      <c r="A2466" s="28" t="str">
        <f>B2466&amp;C2466&amp;D2466&amp;E2466</f>
        <v>Oziq-ovqat mahsulotlariChoy, qahva, issiq ichimliklarKapsulalardagi qahvaKapsulalardagi qahva</v>
      </c>
      <c r="B2466" s="35" t="s">
        <v>3180</v>
      </c>
      <c r="C2466" s="35" t="s">
        <v>5776</v>
      </c>
      <c r="D2466" s="35" t="s">
        <v>5786</v>
      </c>
      <c r="E2466" s="35" t="s">
        <v>5786</v>
      </c>
      <c r="F2466" s="36">
        <v>0.17</v>
      </c>
      <c r="G2466" s="31"/>
      <c r="H2466" s="31"/>
      <c r="I2466" s="31"/>
      <c r="J2466" s="31"/>
      <c r="K2466" s="31"/>
    </row>
    <row r="2467" spans="1:11" ht="14.4" x14ac:dyDescent="0.3">
      <c r="A2467" s="28" t="str">
        <f>B2467&amp;C2467&amp;D2467&amp;E2467</f>
        <v>Qurilish va taʼmirlashAsboblarSarflov materiallariParmalar</v>
      </c>
      <c r="B2467" s="35" t="s">
        <v>3184</v>
      </c>
      <c r="C2467" s="35" t="s">
        <v>4048</v>
      </c>
      <c r="D2467" s="35" t="s">
        <v>5787</v>
      </c>
      <c r="E2467" s="35" t="s">
        <v>5788</v>
      </c>
      <c r="F2467" s="36">
        <v>0.17</v>
      </c>
      <c r="G2467" s="31"/>
      <c r="H2467" s="31"/>
      <c r="I2467" s="31"/>
      <c r="J2467" s="31"/>
      <c r="K2467" s="31"/>
    </row>
    <row r="2468" spans="1:11" ht="14.4" x14ac:dyDescent="0.3">
      <c r="A2468" s="28" t="str">
        <f>B2468&amp;C2468&amp;D2468&amp;E2468</f>
        <v>Qurilish va taʼmirlashAsboblarKavsharlash uskunalariKavsharlash uchun aksessuarlar</v>
      </c>
      <c r="B2468" s="35" t="s">
        <v>3184</v>
      </c>
      <c r="C2468" s="35" t="s">
        <v>4048</v>
      </c>
      <c r="D2468" s="35" t="s">
        <v>5789</v>
      </c>
      <c r="E2468" s="35" t="s">
        <v>5790</v>
      </c>
      <c r="F2468" s="36">
        <v>0.17</v>
      </c>
      <c r="G2468" s="31"/>
      <c r="H2468" s="31"/>
      <c r="I2468" s="31"/>
      <c r="J2468" s="31"/>
      <c r="K2468" s="31"/>
    </row>
    <row r="2469" spans="1:11" ht="14.4" x14ac:dyDescent="0.3">
      <c r="A2469" s="28" t="str">
        <f>B2469&amp;C2469&amp;D2469&amp;E2469</f>
        <v>Qurilish va taʼmirlashAsboblarSarflov materiallariPichoq arralar pichogʻi</v>
      </c>
      <c r="B2469" s="35" t="s">
        <v>3184</v>
      </c>
      <c r="C2469" s="35" t="s">
        <v>4048</v>
      </c>
      <c r="D2469" s="35" t="s">
        <v>5787</v>
      </c>
      <c r="E2469" s="35" t="s">
        <v>5791</v>
      </c>
      <c r="F2469" s="36">
        <v>0.17</v>
      </c>
      <c r="G2469" s="31"/>
      <c r="H2469" s="31"/>
      <c r="I2469" s="31"/>
      <c r="J2469" s="31"/>
      <c r="K2469" s="31"/>
    </row>
    <row r="2470" spans="1:11" ht="14.4" x14ac:dyDescent="0.3">
      <c r="A2470" s="28" t="str">
        <f>B2470&amp;C2470&amp;D2470&amp;E2470</f>
        <v>Qurilish va taʼmirlashAsboblarPnevmouskunalarKompressor uchun havo shlanglari</v>
      </c>
      <c r="B2470" s="35" t="s">
        <v>3184</v>
      </c>
      <c r="C2470" s="35" t="s">
        <v>4048</v>
      </c>
      <c r="D2470" s="35" t="s">
        <v>5792</v>
      </c>
      <c r="E2470" s="35" t="s">
        <v>5793</v>
      </c>
      <c r="F2470" s="36">
        <v>0.17</v>
      </c>
      <c r="G2470" s="31"/>
      <c r="H2470" s="31"/>
      <c r="I2470" s="31"/>
      <c r="J2470" s="31"/>
      <c r="K2470" s="31"/>
    </row>
    <row r="2471" spans="1:11" ht="14.4" x14ac:dyDescent="0.3">
      <c r="A2471" s="28" t="str">
        <f>B2471&amp;C2471&amp;D2471&amp;E2471</f>
        <v>Qurilish va taʼmirlashAsboblarKavsharlash uskunalariKavsharlash uchun to'plam</v>
      </c>
      <c r="B2471" s="35" t="s">
        <v>3184</v>
      </c>
      <c r="C2471" s="35" t="s">
        <v>4048</v>
      </c>
      <c r="D2471" s="35" t="s">
        <v>5789</v>
      </c>
      <c r="E2471" s="35" t="s">
        <v>5794</v>
      </c>
      <c r="F2471" s="36">
        <v>0.17</v>
      </c>
      <c r="G2471" s="31"/>
      <c r="H2471" s="31"/>
      <c r="I2471" s="31"/>
      <c r="J2471" s="31"/>
      <c r="K2471" s="31"/>
    </row>
    <row r="2472" spans="1:11" ht="14.4" x14ac:dyDescent="0.3">
      <c r="A2472" s="28" t="str">
        <f>B2472&amp;C2472&amp;D2472&amp;E2472</f>
        <v>Qurilish va taʼmirlashAsboblarKavsharlash uskunalariKavsharlash uchun kimyo vositalari</v>
      </c>
      <c r="B2472" s="35" t="s">
        <v>3184</v>
      </c>
      <c r="C2472" s="35" t="s">
        <v>4048</v>
      </c>
      <c r="D2472" s="35" t="s">
        <v>5789</v>
      </c>
      <c r="E2472" s="35" t="s">
        <v>5795</v>
      </c>
      <c r="F2472" s="36">
        <v>0.17</v>
      </c>
      <c r="G2472" s="31"/>
      <c r="H2472" s="31"/>
      <c r="I2472" s="31"/>
      <c r="J2472" s="31"/>
      <c r="K2472" s="31"/>
    </row>
    <row r="2473" spans="1:11" ht="14.4" x14ac:dyDescent="0.3">
      <c r="A2473" s="28" t="str">
        <f>B2473&amp;C2473&amp;D2473&amp;E2473</f>
        <v>Qurilish va taʼmirlashAsboblarSarflov materiallariBurgʻular</v>
      </c>
      <c r="B2473" s="35" t="s">
        <v>3184</v>
      </c>
      <c r="C2473" s="35" t="s">
        <v>4048</v>
      </c>
      <c r="D2473" s="35" t="s">
        <v>5787</v>
      </c>
      <c r="E2473" s="35" t="s">
        <v>5796</v>
      </c>
      <c r="F2473" s="36">
        <v>0.17</v>
      </c>
      <c r="G2473" s="31"/>
      <c r="H2473" s="31"/>
      <c r="I2473" s="31"/>
      <c r="J2473" s="31"/>
      <c r="K2473" s="31"/>
    </row>
    <row r="2474" spans="1:11" ht="14.4" x14ac:dyDescent="0.3">
      <c r="A2474" s="28" t="str">
        <f>B2474&amp;C2474&amp;D2474&amp;E2474</f>
        <v>Qurilish va taʼmirlashAsboblarArralash-kesish asboblariRenovatorlar</v>
      </c>
      <c r="B2474" s="35" t="s">
        <v>3184</v>
      </c>
      <c r="C2474" s="35" t="s">
        <v>4048</v>
      </c>
      <c r="D2474" s="35" t="s">
        <v>5797</v>
      </c>
      <c r="E2474" s="35" t="s">
        <v>5798</v>
      </c>
      <c r="F2474" s="36">
        <v>0.17</v>
      </c>
      <c r="G2474" s="31"/>
      <c r="H2474" s="31"/>
      <c r="I2474" s="31"/>
      <c r="J2474" s="31"/>
      <c r="K2474" s="31"/>
    </row>
    <row r="2475" spans="1:11" ht="14.4" x14ac:dyDescent="0.3">
      <c r="A2475" s="28" t="str">
        <f>B2475&amp;C2475&amp;D2475&amp;E2475</f>
        <v>Qurilish va taʼmirlashAsboblarBoshqa asboblarBoshqa asboblar</v>
      </c>
      <c r="B2475" s="35" t="s">
        <v>3184</v>
      </c>
      <c r="C2475" s="35" t="s">
        <v>4048</v>
      </c>
      <c r="D2475" s="35" t="s">
        <v>5799</v>
      </c>
      <c r="E2475" s="35" t="s">
        <v>5799</v>
      </c>
      <c r="F2475" s="36">
        <v>0.17</v>
      </c>
      <c r="G2475" s="31"/>
      <c r="H2475" s="31"/>
      <c r="I2475" s="31"/>
      <c r="J2475" s="31"/>
      <c r="K2475" s="31"/>
    </row>
    <row r="2476" spans="1:11" ht="14.4" x14ac:dyDescent="0.3">
      <c r="A2476" s="28" t="str">
        <f>B2476&amp;C2476&amp;D2476&amp;E2476</f>
        <v>Qurilish va taʼmirlashAsboblarDastgohlar va butlovchi qismlarDastgohlar va butlovchi qismlar</v>
      </c>
      <c r="B2476" s="35" t="s">
        <v>3184</v>
      </c>
      <c r="C2476" s="35" t="s">
        <v>4048</v>
      </c>
      <c r="D2476" s="35" t="s">
        <v>5800</v>
      </c>
      <c r="E2476" s="35" t="s">
        <v>5800</v>
      </c>
      <c r="F2476" s="36">
        <v>0.17</v>
      </c>
      <c r="G2476" s="31"/>
      <c r="H2476" s="31"/>
      <c r="I2476" s="31"/>
      <c r="J2476" s="31"/>
      <c r="K2476" s="31"/>
    </row>
    <row r="2477" spans="1:11" ht="14.4" x14ac:dyDescent="0.3">
      <c r="A2477" s="28" t="str">
        <f>B2477&amp;C2477&amp;D2477&amp;E2477</f>
        <v>Qurilish va taʼmirlashAsboblarKavsharlash uskunalariKavsharlash stansiyasi</v>
      </c>
      <c r="B2477" s="35" t="s">
        <v>3184</v>
      </c>
      <c r="C2477" s="35" t="s">
        <v>4048</v>
      </c>
      <c r="D2477" s="35" t="s">
        <v>5789</v>
      </c>
      <c r="E2477" s="35" t="s">
        <v>5801</v>
      </c>
      <c r="F2477" s="36">
        <v>0.17</v>
      </c>
      <c r="G2477" s="31"/>
      <c r="H2477" s="31"/>
      <c r="I2477" s="31"/>
      <c r="J2477" s="31"/>
      <c r="K2477" s="31"/>
    </row>
    <row r="2478" spans="1:11" ht="14.4" x14ac:dyDescent="0.3">
      <c r="A2478" s="28" t="str">
        <f>B2478&amp;C2478&amp;D2478&amp;E2478</f>
        <v>Qurilish va taʼmirlashAsboblarSarflov materiallariSilliqlash doiralari</v>
      </c>
      <c r="B2478" s="35" t="s">
        <v>3184</v>
      </c>
      <c r="C2478" s="35" t="s">
        <v>4048</v>
      </c>
      <c r="D2478" s="35" t="s">
        <v>5787</v>
      </c>
      <c r="E2478" s="35" t="s">
        <v>5802</v>
      </c>
      <c r="F2478" s="36">
        <v>0.17</v>
      </c>
      <c r="G2478" s="31"/>
      <c r="H2478" s="31"/>
      <c r="I2478" s="31"/>
      <c r="J2478" s="31"/>
      <c r="K2478" s="31"/>
    </row>
    <row r="2479" spans="1:11" ht="14.4" x14ac:dyDescent="0.3">
      <c r="A2479" s="28" t="str">
        <f>B2479&amp;C2479&amp;D2479&amp;E2479</f>
        <v>Qurilish va taʼmirlashAsboblarSarflov materiallariBitalar</v>
      </c>
      <c r="B2479" s="35" t="s">
        <v>3184</v>
      </c>
      <c r="C2479" s="35" t="s">
        <v>4048</v>
      </c>
      <c r="D2479" s="35" t="s">
        <v>5787</v>
      </c>
      <c r="E2479" s="35" t="s">
        <v>5803</v>
      </c>
      <c r="F2479" s="36">
        <v>0.17</v>
      </c>
      <c r="G2479" s="31"/>
      <c r="H2479" s="31"/>
      <c r="I2479" s="31"/>
      <c r="J2479" s="31"/>
      <c r="K2479" s="31"/>
    </row>
    <row r="2480" spans="1:11" ht="14.4" x14ac:dyDescent="0.3">
      <c r="A2480" s="28" t="str">
        <f>B2480&amp;C2480&amp;D2480&amp;E2480</f>
        <v>Qurilish va taʼmirlashAsboblarSarflov materiallariGravyerlar uchun nasadkalar</v>
      </c>
      <c r="B2480" s="35" t="s">
        <v>3184</v>
      </c>
      <c r="C2480" s="35" t="s">
        <v>4048</v>
      </c>
      <c r="D2480" s="35" t="s">
        <v>5787</v>
      </c>
      <c r="E2480" s="35" t="s">
        <v>5804</v>
      </c>
      <c r="F2480" s="36">
        <v>0.17</v>
      </c>
      <c r="G2480" s="31"/>
      <c r="H2480" s="31"/>
      <c r="I2480" s="31"/>
      <c r="J2480" s="31"/>
      <c r="K2480" s="31"/>
    </row>
    <row r="2481" spans="1:11" ht="14.4" x14ac:dyDescent="0.3">
      <c r="A2481" s="28" t="str">
        <f>B2481&amp;C2481&amp;D2481&amp;E2481</f>
        <v>Qurilish va taʼmirlashAsboblarSarflov materiallariArra pichoqlari</v>
      </c>
      <c r="B2481" s="35" t="s">
        <v>3184</v>
      </c>
      <c r="C2481" s="35" t="s">
        <v>4048</v>
      </c>
      <c r="D2481" s="35" t="s">
        <v>5787</v>
      </c>
      <c r="E2481" s="35" t="s">
        <v>5805</v>
      </c>
      <c r="F2481" s="36">
        <v>0.17</v>
      </c>
      <c r="G2481" s="31"/>
      <c r="H2481" s="31"/>
      <c r="I2481" s="31"/>
      <c r="J2481" s="31"/>
      <c r="K2481" s="31"/>
    </row>
    <row r="2482" spans="1:11" ht="14.4" x14ac:dyDescent="0.3">
      <c r="A2482" s="28" t="str">
        <f>B2482&amp;C2482&amp;D2482&amp;E2482</f>
        <v>Qurilish va taʼmirlashAsboblarKavsharlash uskunalariKavsharlagichlar</v>
      </c>
      <c r="B2482" s="35" t="s">
        <v>3184</v>
      </c>
      <c r="C2482" s="35" t="s">
        <v>4048</v>
      </c>
      <c r="D2482" s="35" t="s">
        <v>5789</v>
      </c>
      <c r="E2482" s="35" t="s">
        <v>5806</v>
      </c>
      <c r="F2482" s="36">
        <v>0.17</v>
      </c>
      <c r="G2482" s="31"/>
      <c r="H2482" s="31"/>
      <c r="I2482" s="31"/>
      <c r="J2482" s="31"/>
      <c r="K2482" s="31"/>
    </row>
    <row r="2483" spans="1:11" ht="14.4" x14ac:dyDescent="0.3">
      <c r="A2483" s="28" t="str">
        <f>B2483&amp;C2483&amp;D2483&amp;E2483</f>
        <v>Qurilish va taʼmirlashAsboblarSarflov materiallariElektrolobziklar uchun pilkalar</v>
      </c>
      <c r="B2483" s="35" t="s">
        <v>3184</v>
      </c>
      <c r="C2483" s="35" t="s">
        <v>4048</v>
      </c>
      <c r="D2483" s="35" t="s">
        <v>5787</v>
      </c>
      <c r="E2483" s="35" t="s">
        <v>5807</v>
      </c>
      <c r="F2483" s="36">
        <v>0.17</v>
      </c>
      <c r="G2483" s="31"/>
      <c r="H2483" s="31"/>
      <c r="I2483" s="31"/>
      <c r="J2483" s="31"/>
      <c r="K2483" s="31"/>
    </row>
    <row r="2484" spans="1:11" ht="14.4" x14ac:dyDescent="0.3">
      <c r="A2484" s="28" t="str">
        <f>B2484&amp;C2484&amp;D2484&amp;E2484</f>
        <v>Qurilish va taʼmirlashAsboblarSarflov materiallariFrezalar</v>
      </c>
      <c r="B2484" s="35" t="s">
        <v>3184</v>
      </c>
      <c r="C2484" s="35" t="s">
        <v>4048</v>
      </c>
      <c r="D2484" s="35" t="s">
        <v>5787</v>
      </c>
      <c r="E2484" s="35" t="s">
        <v>5808</v>
      </c>
      <c r="F2484" s="36">
        <v>0.17</v>
      </c>
      <c r="G2484" s="31"/>
      <c r="H2484" s="31"/>
      <c r="I2484" s="31"/>
      <c r="J2484" s="31"/>
      <c r="K2484" s="31"/>
    </row>
    <row r="2485" spans="1:11" ht="14.4" x14ac:dyDescent="0.3">
      <c r="A2485" s="28" t="str">
        <f>B2485&amp;C2485&amp;D2485&amp;E2485</f>
        <v>Qurilish va taʼmirlashAsboblarPnevmouskunalarPnevmouskunalar</v>
      </c>
      <c r="B2485" s="35" t="s">
        <v>3184</v>
      </c>
      <c r="C2485" s="35" t="s">
        <v>4048</v>
      </c>
      <c r="D2485" s="35" t="s">
        <v>5792</v>
      </c>
      <c r="E2485" s="35" t="s">
        <v>5792</v>
      </c>
      <c r="F2485" s="36">
        <v>0.17</v>
      </c>
      <c r="G2485" s="31"/>
      <c r="H2485" s="31"/>
      <c r="I2485" s="31"/>
      <c r="J2485" s="31"/>
      <c r="K2485" s="31"/>
    </row>
    <row r="2486" spans="1:11" ht="14.4" x14ac:dyDescent="0.3">
      <c r="A2486" s="28" t="str">
        <f>B2486&amp;C2486&amp;D2486&amp;E2486</f>
        <v>Qurilish va taʼmirlashAsboblarKavsharlash uskunalariKavsharlar</v>
      </c>
      <c r="B2486" s="35" t="s">
        <v>3184</v>
      </c>
      <c r="C2486" s="35" t="s">
        <v>4048</v>
      </c>
      <c r="D2486" s="35" t="s">
        <v>5789</v>
      </c>
      <c r="E2486" s="35" t="s">
        <v>5809</v>
      </c>
      <c r="F2486" s="36">
        <v>0.17</v>
      </c>
      <c r="G2486" s="31"/>
      <c r="H2486" s="31"/>
      <c r="I2486" s="31"/>
      <c r="J2486" s="31"/>
      <c r="K2486" s="31"/>
    </row>
    <row r="2487" spans="1:11" ht="14.4" x14ac:dyDescent="0.3">
      <c r="A2487" s="28" t="str">
        <f>B2487&amp;C2487&amp;D2487&amp;E2487</f>
        <v>Sport va hordiqTabiat qoʻynida dam olish, baliq ovi va ovBaliq oviQayiqlar va aksessuarlar</v>
      </c>
      <c r="B2487" s="35" t="s">
        <v>43</v>
      </c>
      <c r="C2487" s="35" t="s">
        <v>4172</v>
      </c>
      <c r="D2487" s="35" t="s">
        <v>4514</v>
      </c>
      <c r="E2487" s="35" t="s">
        <v>5810</v>
      </c>
      <c r="F2487" s="36">
        <v>0.17</v>
      </c>
      <c r="G2487" s="31"/>
      <c r="H2487" s="31"/>
      <c r="I2487" s="31"/>
      <c r="J2487" s="31"/>
      <c r="K2487" s="31"/>
    </row>
    <row r="2488" spans="1:11" ht="14.4" x14ac:dyDescent="0.3">
      <c r="A2488" s="28" t="str">
        <f>B2488&amp;C2488&amp;D2488&amp;E2488</f>
        <v>AvtotovarlarAvtomobil uchun elektronikaOrqani koʻrish kameralariOrqani koʻrish kameralari</v>
      </c>
      <c r="B2488" s="35" t="s">
        <v>39</v>
      </c>
      <c r="C2488" s="35" t="s">
        <v>4681</v>
      </c>
      <c r="D2488" s="35" t="s">
        <v>5811</v>
      </c>
      <c r="E2488" s="35" t="s">
        <v>5811</v>
      </c>
      <c r="F2488" s="36">
        <v>0.15</v>
      </c>
      <c r="G2488" s="31"/>
      <c r="H2488" s="31"/>
      <c r="I2488" s="31"/>
      <c r="J2488" s="31"/>
      <c r="K2488" s="31"/>
    </row>
    <row r="2489" spans="1:11" ht="14.4" x14ac:dyDescent="0.3">
      <c r="A2489" s="28" t="str">
        <f>B2489&amp;C2489&amp;D2489&amp;E2489</f>
        <v>AvtotovarlarAvtomobil uchun elektronikaVideoregistratorlarVideoregistratorlar</v>
      </c>
      <c r="B2489" s="35" t="s">
        <v>39</v>
      </c>
      <c r="C2489" s="35" t="s">
        <v>4681</v>
      </c>
      <c r="D2489" s="35" t="s">
        <v>5812</v>
      </c>
      <c r="E2489" s="35" t="s">
        <v>5812</v>
      </c>
      <c r="F2489" s="36">
        <v>0.15</v>
      </c>
      <c r="G2489" s="31"/>
      <c r="H2489" s="31"/>
      <c r="I2489" s="31"/>
      <c r="J2489" s="31"/>
      <c r="K2489" s="31"/>
    </row>
    <row r="2490" spans="1:11" ht="14.4" x14ac:dyDescent="0.3">
      <c r="A2490" s="28" t="str">
        <f>B2490&amp;C2490&amp;D2490&amp;E2490</f>
        <v>AvtotovarlarAkkumulyatorlar va aksessuarlarElektrmobillar uchun zaryadlash stantsiyalariElektrmobillar uchun zaryadlash stantsiyalari</v>
      </c>
      <c r="B2490" s="35" t="s">
        <v>39</v>
      </c>
      <c r="C2490" s="35" t="s">
        <v>4696</v>
      </c>
      <c r="D2490" s="35" t="s">
        <v>5813</v>
      </c>
      <c r="E2490" s="35" t="s">
        <v>5813</v>
      </c>
      <c r="F2490" s="36">
        <v>0.15</v>
      </c>
      <c r="G2490" s="31"/>
      <c r="H2490" s="31"/>
      <c r="I2490" s="31"/>
      <c r="J2490" s="31"/>
      <c r="K2490" s="31"/>
    </row>
    <row r="2491" spans="1:11" ht="14.4" x14ac:dyDescent="0.3">
      <c r="A2491" s="28" t="str">
        <f>B2491&amp;C2491&amp;D2491&amp;E2491</f>
        <v>Bolalar tovarlariBolalar ovqatiBolalar boʻtqasiBolalar boʻtqasi</v>
      </c>
      <c r="B2491" s="35" t="s">
        <v>3153</v>
      </c>
      <c r="C2491" s="35" t="s">
        <v>5814</v>
      </c>
      <c r="D2491" s="35" t="s">
        <v>5815</v>
      </c>
      <c r="E2491" s="35" t="s">
        <v>5815</v>
      </c>
      <c r="F2491" s="36">
        <v>0.15</v>
      </c>
      <c r="G2491" s="31"/>
      <c r="H2491" s="31"/>
      <c r="I2491" s="31"/>
      <c r="J2491" s="31"/>
      <c r="K2491" s="31"/>
    </row>
    <row r="2492" spans="1:11" ht="14.4" x14ac:dyDescent="0.3">
      <c r="A2492" s="28" t="str">
        <f>B2492&amp;C2492&amp;D2492&amp;E2492</f>
        <v>Bolalar tovarlariOnalar uchun mahsulotlarHomiladorlar uchun yostiqlarHomiladorlar uchun yostiqlar</v>
      </c>
      <c r="B2492" s="35" t="s">
        <v>3153</v>
      </c>
      <c r="C2492" s="35" t="s">
        <v>3684</v>
      </c>
      <c r="D2492" s="35" t="s">
        <v>5816</v>
      </c>
      <c r="E2492" s="35" t="s">
        <v>5816</v>
      </c>
      <c r="F2492" s="36">
        <v>0.15</v>
      </c>
      <c r="G2492" s="31"/>
      <c r="H2492" s="31"/>
      <c r="I2492" s="31"/>
      <c r="J2492" s="31"/>
      <c r="K2492" s="31"/>
    </row>
    <row r="2493" spans="1:11" ht="14.4" x14ac:dyDescent="0.3">
      <c r="A2493" s="28" t="str">
        <f>B2493&amp;C2493&amp;D2493&amp;E2493</f>
        <v>Bolalar tovarlariBolalar ovqatiBolalar uchun suv, sharbatlar va choyBolalar uchun suv, sharbatlar va choy</v>
      </c>
      <c r="B2493" s="35" t="s">
        <v>3153</v>
      </c>
      <c r="C2493" s="35" t="s">
        <v>5814</v>
      </c>
      <c r="D2493" s="35" t="s">
        <v>5817</v>
      </c>
      <c r="E2493" s="35" t="s">
        <v>5817</v>
      </c>
      <c r="F2493" s="36">
        <v>0.15</v>
      </c>
      <c r="G2493" s="31"/>
      <c r="H2493" s="31"/>
      <c r="I2493" s="31"/>
      <c r="J2493" s="31"/>
      <c r="K2493" s="31"/>
    </row>
    <row r="2494" spans="1:11" ht="14.4" x14ac:dyDescent="0.3">
      <c r="A2494" s="28" t="str">
        <f>B2494&amp;C2494&amp;D2494&amp;E2494</f>
        <v>Bolalar tovarlariOnalar uchun mahsulotlarKosmetika va parvarishKosmetika va parvarish</v>
      </c>
      <c r="B2494" s="35" t="s">
        <v>3153</v>
      </c>
      <c r="C2494" s="35" t="s">
        <v>3684</v>
      </c>
      <c r="D2494" s="35" t="s">
        <v>5818</v>
      </c>
      <c r="E2494" s="35" t="s">
        <v>5818</v>
      </c>
      <c r="F2494" s="36">
        <v>0.15</v>
      </c>
      <c r="G2494" s="31"/>
      <c r="H2494" s="31"/>
      <c r="I2494" s="31"/>
      <c r="J2494" s="31"/>
      <c r="K2494" s="31"/>
    </row>
    <row r="2495" spans="1:11" ht="14.4" x14ac:dyDescent="0.3">
      <c r="A2495" s="28" t="str">
        <f>B2495&amp;C2495&amp;D2495&amp;E2495</f>
        <v>Bolalar tovarlariBolalar ovqatiBolalar uchun pyureBolalar uchun pyure</v>
      </c>
      <c r="B2495" s="35" t="s">
        <v>3153</v>
      </c>
      <c r="C2495" s="35" t="s">
        <v>5814</v>
      </c>
      <c r="D2495" s="35" t="s">
        <v>5819</v>
      </c>
      <c r="E2495" s="35" t="s">
        <v>5819</v>
      </c>
      <c r="F2495" s="36">
        <v>0.15</v>
      </c>
      <c r="G2495" s="31"/>
      <c r="H2495" s="31"/>
      <c r="I2495" s="31"/>
      <c r="J2495" s="31"/>
      <c r="K2495" s="31"/>
    </row>
    <row r="2496" spans="1:11" ht="14.4" x14ac:dyDescent="0.3">
      <c r="A2496" s="28" t="str">
        <f>B2496&amp;C2496&amp;D2496&amp;E2496</f>
        <v>Bolalar tovarlariOnalar uchun mahsulotlarKoʻkrak uchun plastir va vkladishlarKoʻkrak uchun plastir va vkladishlar</v>
      </c>
      <c r="B2496" s="35" t="s">
        <v>3153</v>
      </c>
      <c r="C2496" s="35" t="s">
        <v>3684</v>
      </c>
      <c r="D2496" s="35" t="s">
        <v>5820</v>
      </c>
      <c r="E2496" s="35" t="s">
        <v>5820</v>
      </c>
      <c r="F2496" s="36">
        <v>0.15</v>
      </c>
      <c r="G2496" s="31"/>
      <c r="H2496" s="31"/>
      <c r="I2496" s="31"/>
      <c r="J2496" s="31"/>
      <c r="K2496" s="31"/>
    </row>
    <row r="2497" spans="1:11" ht="14.4" x14ac:dyDescent="0.3">
      <c r="A2497" s="28" t="str">
        <f>B2497&amp;C2497&amp;D2497&amp;E2497</f>
        <v>Bolalar tovarlariOnalar uchun mahsulotlarTug'ilishdan oldin va tug'ruqdan keyingi trusiklarTug'ilishdan oldin va tug'ruqdan keyingi trusiklar</v>
      </c>
      <c r="B2497" s="35" t="s">
        <v>3153</v>
      </c>
      <c r="C2497" s="35" t="s">
        <v>3684</v>
      </c>
      <c r="D2497" s="35" t="s">
        <v>5821</v>
      </c>
      <c r="E2497" s="35" t="s">
        <v>5821</v>
      </c>
      <c r="F2497" s="36">
        <v>0.15</v>
      </c>
      <c r="G2497" s="31"/>
      <c r="H2497" s="31"/>
      <c r="I2497" s="31"/>
      <c r="J2497" s="31"/>
      <c r="K2497" s="31"/>
    </row>
    <row r="2498" spans="1:11" ht="14.4" x14ac:dyDescent="0.3">
      <c r="A2498" s="28" t="str">
        <f>B2498&amp;C2498&amp;D2498&amp;E2498</f>
        <v>Bolalar tovarlariBolalar ovqatiBolalar uchun aralashmasiBolalar uchun aralashmasi</v>
      </c>
      <c r="B2498" s="35" t="s">
        <v>3153</v>
      </c>
      <c r="C2498" s="35" t="s">
        <v>5814</v>
      </c>
      <c r="D2498" s="35" t="s">
        <v>5822</v>
      </c>
      <c r="E2498" s="35" t="s">
        <v>5822</v>
      </c>
      <c r="F2498" s="36">
        <v>0.15</v>
      </c>
      <c r="G2498" s="31"/>
      <c r="H2498" s="31"/>
      <c r="I2498" s="31"/>
      <c r="J2498" s="31"/>
      <c r="K2498" s="31"/>
    </row>
    <row r="2499" spans="1:11" ht="14.4" x14ac:dyDescent="0.3">
      <c r="A2499" s="28" t="str">
        <f>B2499&amp;C2499&amp;D2499&amp;E2499</f>
        <v>Bolalar tovarlariOnalar uchun mahsulotlarTugʻruqxona uchun toʻplamlarTugʻruqxona uchun toʻplamlar</v>
      </c>
      <c r="B2499" s="35" t="s">
        <v>3153</v>
      </c>
      <c r="C2499" s="35" t="s">
        <v>3684</v>
      </c>
      <c r="D2499" s="35" t="s">
        <v>5823</v>
      </c>
      <c r="E2499" s="35" t="s">
        <v>5823</v>
      </c>
      <c r="F2499" s="36">
        <v>0.15</v>
      </c>
      <c r="G2499" s="31"/>
      <c r="H2499" s="31"/>
      <c r="I2499" s="31"/>
      <c r="J2499" s="31"/>
      <c r="K2499" s="31"/>
    </row>
    <row r="2500" spans="1:11" ht="14.4" x14ac:dyDescent="0.3">
      <c r="A2500" s="28" t="str">
        <f>B2500&amp;C2500&amp;D2500&amp;E2500</f>
        <v>Bolalar tovarlariAravachalar va avtomobil uchun oʻrindiqlarKichkintoylar uchun velokresloKichkintoylar uchun velokreslo</v>
      </c>
      <c r="B2500" s="35" t="s">
        <v>3153</v>
      </c>
      <c r="C2500" s="35" t="s">
        <v>3694</v>
      </c>
      <c r="D2500" s="35" t="s">
        <v>5824</v>
      </c>
      <c r="E2500" s="35" t="s">
        <v>5824</v>
      </c>
      <c r="F2500" s="36">
        <v>0.15</v>
      </c>
      <c r="G2500" s="31"/>
      <c r="H2500" s="31"/>
      <c r="I2500" s="31"/>
      <c r="J2500" s="31"/>
      <c r="K2500" s="31"/>
    </row>
    <row r="2501" spans="1:11" ht="14.4" x14ac:dyDescent="0.3">
      <c r="A2501" s="28" t="str">
        <f>B2501&amp;C2501&amp;D2501&amp;E2501</f>
        <v>Bolalar tovarlariAravachalar va avtomobil uchun oʻrindiqlarAvtomobil uchun oʻrindiqlarAvtomobil uchun oʻrindiqlar</v>
      </c>
      <c r="B2501" s="35" t="s">
        <v>3153</v>
      </c>
      <c r="C2501" s="35" t="s">
        <v>3694</v>
      </c>
      <c r="D2501" s="35" t="s">
        <v>5825</v>
      </c>
      <c r="E2501" s="35" t="s">
        <v>5825</v>
      </c>
      <c r="F2501" s="36">
        <v>0.15</v>
      </c>
      <c r="G2501" s="31"/>
      <c r="H2501" s="31"/>
      <c r="I2501" s="31"/>
      <c r="J2501" s="31"/>
      <c r="K2501" s="31"/>
    </row>
    <row r="2502" spans="1:11" ht="14.4" x14ac:dyDescent="0.3">
      <c r="A2502" s="28" t="str">
        <f>B2502&amp;C2502&amp;D2502&amp;E2502</f>
        <v>Bolalar tovarlariBolalar ovqatiBolalar uchun desertlarBolalar uchun pechenye</v>
      </c>
      <c r="B2502" s="35" t="s">
        <v>3153</v>
      </c>
      <c r="C2502" s="35" t="s">
        <v>5814</v>
      </c>
      <c r="D2502" s="35" t="s">
        <v>5826</v>
      </c>
      <c r="E2502" s="35" t="s">
        <v>5827</v>
      </c>
      <c r="F2502" s="36">
        <v>0.15</v>
      </c>
      <c r="G2502" s="31"/>
      <c r="H2502" s="31"/>
      <c r="I2502" s="31"/>
      <c r="J2502" s="31"/>
      <c r="K2502" s="31"/>
    </row>
    <row r="2503" spans="1:11" ht="14.4" x14ac:dyDescent="0.3">
      <c r="A2503" s="28" t="str">
        <f>B2503&amp;C2503&amp;D2503&amp;E2503</f>
        <v>Bolalar tovarlariOvqatlantirish uchun tovarlarBolalar uchun ovqatlanish stulchalariBolalar uchun ovqatlanish stulchalari</v>
      </c>
      <c r="B2503" s="35" t="s">
        <v>3153</v>
      </c>
      <c r="C2503" s="35" t="s">
        <v>3282</v>
      </c>
      <c r="D2503" s="35" t="s">
        <v>5828</v>
      </c>
      <c r="E2503" s="35" t="s">
        <v>5828</v>
      </c>
      <c r="F2503" s="36">
        <v>0.15</v>
      </c>
      <c r="G2503" s="31"/>
      <c r="H2503" s="31"/>
      <c r="I2503" s="31"/>
      <c r="J2503" s="31"/>
      <c r="K2503" s="31"/>
    </row>
    <row r="2504" spans="1:11" ht="14.4" x14ac:dyDescent="0.3">
      <c r="A2504" s="28" t="str">
        <f>B2504&amp;C2504&amp;D2504&amp;E2504</f>
        <v>Bolalar tovarlariOvqatlantirish uchun tovarlarEmizish uchun tovarlarEmizish uchun tovarlar</v>
      </c>
      <c r="B2504" s="35" t="s">
        <v>3153</v>
      </c>
      <c r="C2504" s="35" t="s">
        <v>3282</v>
      </c>
      <c r="D2504" s="35" t="s">
        <v>5829</v>
      </c>
      <c r="E2504" s="35" t="s">
        <v>5829</v>
      </c>
      <c r="F2504" s="36">
        <v>0.15</v>
      </c>
      <c r="G2504" s="31"/>
      <c r="H2504" s="31"/>
      <c r="I2504" s="31"/>
      <c r="J2504" s="31"/>
      <c r="K2504" s="31"/>
    </row>
    <row r="2505" spans="1:11" ht="14.4" x14ac:dyDescent="0.3">
      <c r="A2505" s="28" t="str">
        <f>B2505&amp;C2505&amp;D2505&amp;E2505</f>
        <v>Bolalar tovarlariAravachalar va avtomobil uchun oʻrindiqlarAravachalarAravachalar</v>
      </c>
      <c r="B2505" s="35" t="s">
        <v>3153</v>
      </c>
      <c r="C2505" s="35" t="s">
        <v>3694</v>
      </c>
      <c r="D2505" s="35" t="s">
        <v>5830</v>
      </c>
      <c r="E2505" s="35" t="s">
        <v>5830</v>
      </c>
      <c r="F2505" s="36">
        <v>0.15</v>
      </c>
      <c r="G2505" s="31"/>
      <c r="H2505" s="31"/>
      <c r="I2505" s="31"/>
      <c r="J2505" s="31"/>
      <c r="K2505" s="31"/>
    </row>
    <row r="2506" spans="1:11" ht="14.4" x14ac:dyDescent="0.3">
      <c r="A2506" s="28" t="str">
        <f>B2506&amp;C2506&amp;D2506&amp;E2506</f>
        <v>Bolalar tovarlariOnalar uchun mahsulotlarHomilador ayollar uchun bandajlarHomilador ayollar uchun bandajlar</v>
      </c>
      <c r="B2506" s="35" t="s">
        <v>3153</v>
      </c>
      <c r="C2506" s="35" t="s">
        <v>3684</v>
      </c>
      <c r="D2506" s="35" t="s">
        <v>5831</v>
      </c>
      <c r="E2506" s="35" t="s">
        <v>5831</v>
      </c>
      <c r="F2506" s="36">
        <v>0.15</v>
      </c>
      <c r="G2506" s="31"/>
      <c r="H2506" s="31"/>
      <c r="I2506" s="31"/>
      <c r="J2506" s="31"/>
      <c r="K2506" s="31"/>
    </row>
    <row r="2507" spans="1:11" ht="14.4" x14ac:dyDescent="0.3">
      <c r="A2507" s="28" t="str">
        <f>B2507&amp;C2507&amp;D2507&amp;E2507</f>
        <v>ElektronikaKompyuter texnikasiMaʼlumotlarni saqlashParolni saqlash qurilmalari</v>
      </c>
      <c r="B2507" s="35" t="s">
        <v>3161</v>
      </c>
      <c r="C2507" s="35" t="s">
        <v>3311</v>
      </c>
      <c r="D2507" s="35" t="s">
        <v>3312</v>
      </c>
      <c r="E2507" s="35" t="s">
        <v>5832</v>
      </c>
      <c r="F2507" s="36">
        <v>0.15</v>
      </c>
      <c r="G2507" s="31"/>
      <c r="H2507" s="31"/>
      <c r="I2507" s="31"/>
      <c r="J2507" s="31"/>
      <c r="K2507" s="31"/>
    </row>
    <row r="2508" spans="1:11" ht="14.4" x14ac:dyDescent="0.3">
      <c r="A2508" s="28" t="str">
        <f>B2508&amp;C2508&amp;D2508&amp;E2508</f>
        <v>ElektronikaOʻyin pristavkalariOʻyin kontrollerlariOʻyin gʻildiraklari va pedallar</v>
      </c>
      <c r="B2508" s="35" t="s">
        <v>3161</v>
      </c>
      <c r="C2508" s="35" t="s">
        <v>3360</v>
      </c>
      <c r="D2508" s="35" t="s">
        <v>5833</v>
      </c>
      <c r="E2508" s="35" t="s">
        <v>5834</v>
      </c>
      <c r="F2508" s="36">
        <v>0.15</v>
      </c>
      <c r="G2508" s="31"/>
      <c r="H2508" s="31"/>
      <c r="I2508" s="31"/>
      <c r="J2508" s="31"/>
      <c r="K2508" s="31"/>
    </row>
    <row r="2509" spans="1:11" ht="14.4" x14ac:dyDescent="0.3">
      <c r="A2509" s="28" t="str">
        <f>B2509&amp;C2509&amp;D2509&amp;E2509</f>
        <v>ElektronikaFoto va video texnikaFoto va video kameralarEkshn-kameralar</v>
      </c>
      <c r="B2509" s="35" t="s">
        <v>3161</v>
      </c>
      <c r="C2509" s="35" t="s">
        <v>3347</v>
      </c>
      <c r="D2509" s="35" t="s">
        <v>3743</v>
      </c>
      <c r="E2509" s="35" t="s">
        <v>5835</v>
      </c>
      <c r="F2509" s="36">
        <v>0.15</v>
      </c>
      <c r="G2509" s="31"/>
      <c r="H2509" s="31"/>
      <c r="I2509" s="31"/>
      <c r="J2509" s="31"/>
      <c r="K2509" s="31"/>
    </row>
    <row r="2510" spans="1:11" ht="14.4" x14ac:dyDescent="0.3">
      <c r="A2510" s="28" t="str">
        <f>B2510&amp;C2510&amp;D2510&amp;E2510</f>
        <v>ElektronikaKompyuter texnikasiKompyuter aksessuarlariVeb-kameralar</v>
      </c>
      <c r="B2510" s="35" t="s">
        <v>3161</v>
      </c>
      <c r="C2510" s="35" t="s">
        <v>3311</v>
      </c>
      <c r="D2510" s="35" t="s">
        <v>3354</v>
      </c>
      <c r="E2510" s="35" t="s">
        <v>5836</v>
      </c>
      <c r="F2510" s="36">
        <v>0.15</v>
      </c>
      <c r="G2510" s="31"/>
      <c r="H2510" s="31"/>
      <c r="I2510" s="31"/>
      <c r="J2510" s="31"/>
      <c r="K2510" s="31"/>
    </row>
    <row r="2511" spans="1:11" ht="14.4" x14ac:dyDescent="0.3">
      <c r="A2511" s="28" t="str">
        <f>B2511&amp;C2511&amp;D2511&amp;E2511</f>
        <v>ElektronikaKompyuter texnikasiKompyuterning tashqi qurilmalariUQM va aksessuarlar</v>
      </c>
      <c r="B2511" s="35" t="s">
        <v>3161</v>
      </c>
      <c r="C2511" s="35" t="s">
        <v>3311</v>
      </c>
      <c r="D2511" s="35" t="s">
        <v>3388</v>
      </c>
      <c r="E2511" s="35" t="s">
        <v>5837</v>
      </c>
      <c r="F2511" s="36">
        <v>0.15</v>
      </c>
      <c r="G2511" s="31"/>
      <c r="H2511" s="31"/>
      <c r="I2511" s="31"/>
      <c r="J2511" s="31"/>
      <c r="K2511" s="31"/>
    </row>
    <row r="2512" spans="1:11" ht="14.4" x14ac:dyDescent="0.3">
      <c r="A2512" s="28" t="str">
        <f>B2512&amp;C2512&amp;D2512&amp;E2512</f>
        <v>ElektronikaAqlli soatlar va fitnes bilaguzuklarFitnes bilaguzuklarFitnes bilaguzuklar</v>
      </c>
      <c r="B2512" s="35" t="s">
        <v>3161</v>
      </c>
      <c r="C2512" s="35" t="s">
        <v>3336</v>
      </c>
      <c r="D2512" s="35" t="s">
        <v>5838</v>
      </c>
      <c r="E2512" s="35" t="s">
        <v>5838</v>
      </c>
      <c r="F2512" s="36">
        <v>0.15</v>
      </c>
      <c r="G2512" s="31"/>
      <c r="H2512" s="31"/>
      <c r="I2512" s="31"/>
      <c r="J2512" s="31"/>
      <c r="K2512" s="31"/>
    </row>
    <row r="2513" spans="1:11" ht="14.4" x14ac:dyDescent="0.3">
      <c r="A2513" s="28" t="str">
        <f>B2513&amp;C2513&amp;D2513&amp;E2513</f>
        <v>ElektronikaOʻyin pristavkalariPristavkalarBoshqa pristavkalar</v>
      </c>
      <c r="B2513" s="35" t="s">
        <v>3161</v>
      </c>
      <c r="C2513" s="35" t="s">
        <v>3360</v>
      </c>
      <c r="D2513" s="35" t="s">
        <v>5839</v>
      </c>
      <c r="E2513" s="35" t="s">
        <v>5840</v>
      </c>
      <c r="F2513" s="36">
        <v>0.15</v>
      </c>
      <c r="G2513" s="31"/>
      <c r="H2513" s="31"/>
      <c r="I2513" s="31"/>
      <c r="J2513" s="31"/>
      <c r="K2513" s="31"/>
    </row>
    <row r="2514" spans="1:11" ht="14.4" x14ac:dyDescent="0.3">
      <c r="A2514" s="28" t="str">
        <f>B2514&amp;C2514&amp;D2514&amp;E2514</f>
        <v>ElektronikaOʻyin pristavkalariOʻyinlarOʻyinlar</v>
      </c>
      <c r="B2514" s="35" t="s">
        <v>3161</v>
      </c>
      <c r="C2514" s="35" t="s">
        <v>3360</v>
      </c>
      <c r="D2514" s="35" t="s">
        <v>5841</v>
      </c>
      <c r="E2514" s="35" t="s">
        <v>5841</v>
      </c>
      <c r="F2514" s="36">
        <v>0.15</v>
      </c>
      <c r="G2514" s="31"/>
      <c r="H2514" s="31"/>
      <c r="I2514" s="31"/>
      <c r="J2514" s="31"/>
      <c r="K2514" s="31"/>
    </row>
    <row r="2515" spans="1:11" ht="14.4" x14ac:dyDescent="0.3">
      <c r="A2515" s="28" t="str">
        <f>B2515&amp;C2515&amp;D2515&amp;E2515</f>
        <v>ElektronikaQuloqchinlar va audio texnikalarAudiotexnikaAkustik tizimlar</v>
      </c>
      <c r="B2515" s="35" t="s">
        <v>3161</v>
      </c>
      <c r="C2515" s="35" t="s">
        <v>3306</v>
      </c>
      <c r="D2515" s="35" t="s">
        <v>4850</v>
      </c>
      <c r="E2515" s="35" t="s">
        <v>5842</v>
      </c>
      <c r="F2515" s="36">
        <v>0.15</v>
      </c>
      <c r="G2515" s="31"/>
      <c r="H2515" s="31"/>
      <c r="I2515" s="31"/>
      <c r="J2515" s="31"/>
      <c r="K2515" s="31"/>
    </row>
    <row r="2516" spans="1:11" ht="14.4" x14ac:dyDescent="0.3">
      <c r="A2516" s="28" t="str">
        <f>B2516&amp;C2516&amp;D2516&amp;E2516</f>
        <v>ElektronikaOʻyin pristavkalariOʻyin pristavkalari uchun aksessuarlar va ehtiyot qismlarBarmoqlar uchun qopchalar va nakladkalar</v>
      </c>
      <c r="B2516" s="35" t="s">
        <v>3161</v>
      </c>
      <c r="C2516" s="35" t="s">
        <v>3360</v>
      </c>
      <c r="D2516" s="35" t="s">
        <v>3361</v>
      </c>
      <c r="E2516" s="35" t="s">
        <v>5843</v>
      </c>
      <c r="F2516" s="36">
        <v>0.15</v>
      </c>
      <c r="G2516" s="31"/>
      <c r="H2516" s="31"/>
      <c r="I2516" s="31"/>
      <c r="J2516" s="31"/>
      <c r="K2516" s="31"/>
    </row>
    <row r="2517" spans="1:11" ht="14.4" x14ac:dyDescent="0.3">
      <c r="A2517" s="28" t="str">
        <f>B2517&amp;C2517&amp;D2517&amp;E2517</f>
        <v>ElektronikaKompyuter texnikasiKompyuterning tashqi qurilmalariSimsiz signal kuchaytirgichlari</v>
      </c>
      <c r="B2517" s="35" t="s">
        <v>3161</v>
      </c>
      <c r="C2517" s="35" t="s">
        <v>3311</v>
      </c>
      <c r="D2517" s="35" t="s">
        <v>3388</v>
      </c>
      <c r="E2517" s="35" t="s">
        <v>5844</v>
      </c>
      <c r="F2517" s="36">
        <v>0.15</v>
      </c>
      <c r="G2517" s="31"/>
      <c r="H2517" s="31"/>
      <c r="I2517" s="31"/>
      <c r="J2517" s="31"/>
      <c r="K2517" s="31"/>
    </row>
    <row r="2518" spans="1:11" ht="14.4" x14ac:dyDescent="0.3">
      <c r="A2518" s="28" t="str">
        <f>B2518&amp;C2518&amp;D2518&amp;E2518</f>
        <v>ElektronikaOʻyin pristavkalariPristavkalarRetro pristavkalar</v>
      </c>
      <c r="B2518" s="35" t="s">
        <v>3161</v>
      </c>
      <c r="C2518" s="35" t="s">
        <v>3360</v>
      </c>
      <c r="D2518" s="35" t="s">
        <v>5839</v>
      </c>
      <c r="E2518" s="35" t="s">
        <v>5845</v>
      </c>
      <c r="F2518" s="36">
        <v>0.15</v>
      </c>
      <c r="G2518" s="31"/>
      <c r="H2518" s="31"/>
      <c r="I2518" s="31"/>
      <c r="J2518" s="31"/>
      <c r="K2518" s="31"/>
    </row>
    <row r="2519" spans="1:11" ht="14.4" x14ac:dyDescent="0.3">
      <c r="A2519" s="28" t="str">
        <f>B2519&amp;C2519&amp;D2519&amp;E2519</f>
        <v>ElektronikaKompyuter texnikasiKompyuterning tashqi qurilmalariDSL modemlari va transiverlari</v>
      </c>
      <c r="B2519" s="35" t="s">
        <v>3161</v>
      </c>
      <c r="C2519" s="35" t="s">
        <v>3311</v>
      </c>
      <c r="D2519" s="35" t="s">
        <v>3388</v>
      </c>
      <c r="E2519" s="35" t="s">
        <v>5846</v>
      </c>
      <c r="F2519" s="36">
        <v>0.15</v>
      </c>
      <c r="G2519" s="31"/>
      <c r="H2519" s="31"/>
      <c r="I2519" s="31"/>
      <c r="J2519" s="31"/>
      <c r="K2519" s="31"/>
    </row>
    <row r="2520" spans="1:11" ht="14.4" x14ac:dyDescent="0.3">
      <c r="A2520" s="28" t="str">
        <f>B2520&amp;C2520&amp;D2520&amp;E2520</f>
        <v>ElektronikaSmartfonlar va telefonlarStatsionar telefonlarRadiotelefonlar DECT</v>
      </c>
      <c r="B2520" s="35" t="s">
        <v>3161</v>
      </c>
      <c r="C2520" s="35" t="s">
        <v>3303</v>
      </c>
      <c r="D2520" s="35" t="s">
        <v>3396</v>
      </c>
      <c r="E2520" s="35" t="s">
        <v>5847</v>
      </c>
      <c r="F2520" s="36">
        <v>0.15</v>
      </c>
      <c r="G2520" s="31"/>
      <c r="H2520" s="31"/>
      <c r="I2520" s="31"/>
      <c r="J2520" s="31"/>
      <c r="K2520" s="31"/>
    </row>
    <row r="2521" spans="1:11" ht="14.4" x14ac:dyDescent="0.3">
      <c r="A2521" s="28" t="str">
        <f>B2521&amp;C2521&amp;D2521&amp;E2521</f>
        <v>ElektronikaOʻyin pristavkalariOʻyin pristavkalari uchun aksessuarlar va ehtiyot qismlarOʻyin pristavkalari uchun gʻiloflar</v>
      </c>
      <c r="B2521" s="35" t="s">
        <v>3161</v>
      </c>
      <c r="C2521" s="35" t="s">
        <v>3360</v>
      </c>
      <c r="D2521" s="35" t="s">
        <v>3361</v>
      </c>
      <c r="E2521" s="35" t="s">
        <v>5848</v>
      </c>
      <c r="F2521" s="36">
        <v>0.15</v>
      </c>
      <c r="G2521" s="31"/>
      <c r="H2521" s="31"/>
      <c r="I2521" s="31"/>
      <c r="J2521" s="31"/>
      <c r="K2521" s="31"/>
    </row>
    <row r="2522" spans="1:11" ht="14.4" x14ac:dyDescent="0.3">
      <c r="A2522" s="28" t="str">
        <f>B2522&amp;C2522&amp;D2522&amp;E2522</f>
        <v>ElektronikaQuloqchinlar va audio texnikalarAudiotexnikaSaundbarlar</v>
      </c>
      <c r="B2522" s="35" t="s">
        <v>3161</v>
      </c>
      <c r="C2522" s="35" t="s">
        <v>3306</v>
      </c>
      <c r="D2522" s="35" t="s">
        <v>4850</v>
      </c>
      <c r="E2522" s="35" t="s">
        <v>5849</v>
      </c>
      <c r="F2522" s="36">
        <v>0.15</v>
      </c>
      <c r="G2522" s="31"/>
      <c r="H2522" s="31"/>
      <c r="I2522" s="31"/>
      <c r="J2522" s="31"/>
      <c r="K2522" s="31"/>
    </row>
    <row r="2523" spans="1:11" ht="14.4" x14ac:dyDescent="0.3">
      <c r="A2523" s="28" t="str">
        <f>B2523&amp;C2523&amp;D2523&amp;E2523</f>
        <v>ElektronikaFoto va video texnikaFoto va video kameralarBir zumda chop etadigan fotoapparatlar</v>
      </c>
      <c r="B2523" s="35" t="s">
        <v>3161</v>
      </c>
      <c r="C2523" s="35" t="s">
        <v>3347</v>
      </c>
      <c r="D2523" s="35" t="s">
        <v>3743</v>
      </c>
      <c r="E2523" s="35" t="s">
        <v>5850</v>
      </c>
      <c r="F2523" s="36">
        <v>0.15</v>
      </c>
      <c r="G2523" s="31"/>
      <c r="H2523" s="31"/>
      <c r="I2523" s="31"/>
      <c r="J2523" s="31"/>
      <c r="K2523" s="31"/>
    </row>
    <row r="2524" spans="1:11" ht="14.4" x14ac:dyDescent="0.3">
      <c r="A2524" s="28" t="str">
        <f>B2524&amp;C2524&amp;D2524&amp;E2524</f>
        <v>ElektronikaKompyuter texnikasiKompyuterning tashqi qurilmalariDostup nuqtalari</v>
      </c>
      <c r="B2524" s="35" t="s">
        <v>3161</v>
      </c>
      <c r="C2524" s="35" t="s">
        <v>3311</v>
      </c>
      <c r="D2524" s="35" t="s">
        <v>3388</v>
      </c>
      <c r="E2524" s="35" t="s">
        <v>5851</v>
      </c>
      <c r="F2524" s="36">
        <v>0.15</v>
      </c>
      <c r="G2524" s="31"/>
      <c r="H2524" s="31"/>
      <c r="I2524" s="31"/>
      <c r="J2524" s="31"/>
      <c r="K2524" s="31"/>
    </row>
    <row r="2525" spans="1:11" ht="14.4" x14ac:dyDescent="0.3">
      <c r="A2525" s="28" t="str">
        <f>B2525&amp;C2525&amp;D2525&amp;E2525</f>
        <v>ElektronikaOʻyin pristavkalariOʻyin pristavkalari uchun aksessuarlar va ehtiyot qismlarAkkumulyatorlar va zaryadlash qurilmalari</v>
      </c>
      <c r="B2525" s="35" t="s">
        <v>3161</v>
      </c>
      <c r="C2525" s="35" t="s">
        <v>3360</v>
      </c>
      <c r="D2525" s="35" t="s">
        <v>3361</v>
      </c>
      <c r="E2525" s="35" t="s">
        <v>5852</v>
      </c>
      <c r="F2525" s="36">
        <v>0.15</v>
      </c>
      <c r="G2525" s="31"/>
      <c r="H2525" s="31"/>
      <c r="I2525" s="31"/>
      <c r="J2525" s="31"/>
      <c r="K2525" s="31"/>
    </row>
    <row r="2526" spans="1:11" ht="14.4" x14ac:dyDescent="0.3">
      <c r="A2526" s="28" t="str">
        <f>B2526&amp;C2526&amp;D2526&amp;E2526</f>
        <v>ElektronikaOʻyin pristavkalariOʻyin kontrollerlariGeympadlar, joystiklar va triggerlar</v>
      </c>
      <c r="B2526" s="35" t="s">
        <v>3161</v>
      </c>
      <c r="C2526" s="35" t="s">
        <v>3360</v>
      </c>
      <c r="D2526" s="35" t="s">
        <v>5833</v>
      </c>
      <c r="E2526" s="35" t="s">
        <v>5853</v>
      </c>
      <c r="F2526" s="36">
        <v>0.15</v>
      </c>
      <c r="G2526" s="31"/>
      <c r="H2526" s="31"/>
      <c r="I2526" s="31"/>
      <c r="J2526" s="31"/>
      <c r="K2526" s="31"/>
    </row>
    <row r="2527" spans="1:11" ht="14.4" x14ac:dyDescent="0.3">
      <c r="A2527" s="28" t="str">
        <f>B2527&amp;C2527&amp;D2527&amp;E2527</f>
        <v>ElektronikaKompyuter texnikasiKompyuterning tashqi qurilmalari3G/4G routerlar</v>
      </c>
      <c r="B2527" s="35" t="s">
        <v>3161</v>
      </c>
      <c r="C2527" s="35" t="s">
        <v>3311</v>
      </c>
      <c r="D2527" s="35" t="s">
        <v>3388</v>
      </c>
      <c r="E2527" s="35" t="s">
        <v>5854</v>
      </c>
      <c r="F2527" s="36">
        <v>0.15</v>
      </c>
      <c r="G2527" s="31"/>
      <c r="H2527" s="31"/>
      <c r="I2527" s="31"/>
      <c r="J2527" s="31"/>
      <c r="K2527" s="31"/>
    </row>
    <row r="2528" spans="1:11" ht="14.4" x14ac:dyDescent="0.3">
      <c r="A2528" s="28" t="str">
        <f>B2528&amp;C2528&amp;D2528&amp;E2528</f>
        <v>ElektronikaOʻyin pristavkalariOʻyin pristavkalari uchun aksessuarlar va ehtiyot qismlarOʻyin kartridjlari</v>
      </c>
      <c r="B2528" s="35" t="s">
        <v>3161</v>
      </c>
      <c r="C2528" s="35" t="s">
        <v>3360</v>
      </c>
      <c r="D2528" s="35" t="s">
        <v>3361</v>
      </c>
      <c r="E2528" s="35" t="s">
        <v>5855</v>
      </c>
      <c r="F2528" s="36">
        <v>0.15</v>
      </c>
      <c r="G2528" s="31"/>
      <c r="H2528" s="31"/>
      <c r="I2528" s="31"/>
      <c r="J2528" s="31"/>
      <c r="K2528" s="31"/>
    </row>
    <row r="2529" spans="1:11" ht="14.4" x14ac:dyDescent="0.3">
      <c r="A2529" s="28" t="str">
        <f>B2529&amp;C2529&amp;D2529&amp;E2529</f>
        <v>ElektronikaOʻyin pristavkalariOʻyin pristavkalari uchun aksessuarlar va ehtiyot qismlarSimsiz adapterlar</v>
      </c>
      <c r="B2529" s="35" t="s">
        <v>3161</v>
      </c>
      <c r="C2529" s="35" t="s">
        <v>3360</v>
      </c>
      <c r="D2529" s="35" t="s">
        <v>3361</v>
      </c>
      <c r="E2529" s="35" t="s">
        <v>5856</v>
      </c>
      <c r="F2529" s="36">
        <v>0.15</v>
      </c>
      <c r="G2529" s="31"/>
      <c r="H2529" s="31"/>
      <c r="I2529" s="31"/>
      <c r="J2529" s="31"/>
      <c r="K2529" s="31"/>
    </row>
    <row r="2530" spans="1:11" ht="14.4" x14ac:dyDescent="0.3">
      <c r="A2530" s="28" t="str">
        <f>B2530&amp;C2530&amp;D2530&amp;E2530</f>
        <v>ElektronikaKompyuter texnikasiKompyuterning tashqi qurilmalariRouterlar</v>
      </c>
      <c r="B2530" s="35" t="s">
        <v>3161</v>
      </c>
      <c r="C2530" s="35" t="s">
        <v>3311</v>
      </c>
      <c r="D2530" s="35" t="s">
        <v>3388</v>
      </c>
      <c r="E2530" s="35" t="s">
        <v>5857</v>
      </c>
      <c r="F2530" s="36">
        <v>0.15</v>
      </c>
      <c r="G2530" s="31"/>
      <c r="H2530" s="31"/>
      <c r="I2530" s="31"/>
      <c r="J2530" s="31"/>
      <c r="K2530" s="31"/>
    </row>
    <row r="2531" spans="1:11" ht="14.4" x14ac:dyDescent="0.3">
      <c r="A2531" s="28" t="str">
        <f>B2531&amp;C2531&amp;D2531&amp;E2531</f>
        <v>ElektronikaQuloqchinlar va audio texnikalarAudiotexnikaSabvuferlar</v>
      </c>
      <c r="B2531" s="35" t="s">
        <v>3161</v>
      </c>
      <c r="C2531" s="35" t="s">
        <v>3306</v>
      </c>
      <c r="D2531" s="35" t="s">
        <v>4850</v>
      </c>
      <c r="E2531" s="35" t="s">
        <v>5858</v>
      </c>
      <c r="F2531" s="36">
        <v>0.15</v>
      </c>
      <c r="G2531" s="31"/>
      <c r="H2531" s="31"/>
      <c r="I2531" s="31"/>
      <c r="J2531" s="31"/>
      <c r="K2531" s="31"/>
    </row>
    <row r="2532" spans="1:11" ht="14.4" x14ac:dyDescent="0.3">
      <c r="A2532" s="28" t="str">
        <f>B2532&amp;C2532&amp;D2532&amp;E2532</f>
        <v>ElektronikaOʻyin pristavkalariOʻyin pristavkalari uchun aksessuarlar va ehtiyot qismlarAksessuarlar toʻplami</v>
      </c>
      <c r="B2532" s="35" t="s">
        <v>3161</v>
      </c>
      <c r="C2532" s="35" t="s">
        <v>3360</v>
      </c>
      <c r="D2532" s="35" t="s">
        <v>3361</v>
      </c>
      <c r="E2532" s="35" t="s">
        <v>5859</v>
      </c>
      <c r="F2532" s="36">
        <v>0.15</v>
      </c>
      <c r="G2532" s="31"/>
      <c r="H2532" s="31"/>
      <c r="I2532" s="31"/>
      <c r="J2532" s="31"/>
      <c r="K2532" s="31"/>
    </row>
    <row r="2533" spans="1:11" ht="14.4" x14ac:dyDescent="0.3">
      <c r="A2533" s="28" t="str">
        <f>B2533&amp;C2533&amp;D2533&amp;E2533</f>
        <v>ElektronikaOʻyin pristavkalariOʻyin pristavkalari uchun aksessuarlar va ehtiyot qismlarOʻyin kontrollerlari uchun aksessuarlari</v>
      </c>
      <c r="B2533" s="35" t="s">
        <v>3161</v>
      </c>
      <c r="C2533" s="35" t="s">
        <v>3360</v>
      </c>
      <c r="D2533" s="35" t="s">
        <v>3361</v>
      </c>
      <c r="E2533" s="35" t="s">
        <v>5860</v>
      </c>
      <c r="F2533" s="36">
        <v>0.15</v>
      </c>
      <c r="G2533" s="31"/>
      <c r="H2533" s="31"/>
      <c r="I2533" s="31"/>
      <c r="J2533" s="31"/>
      <c r="K2533" s="31"/>
    </row>
    <row r="2534" spans="1:11" ht="14.4" x14ac:dyDescent="0.3">
      <c r="A2534" s="28" t="str">
        <f>B2534&amp;C2534&amp;D2534&amp;E2534</f>
        <v>ElektronikaQuloqchinlar va audio texnikalarAudiotexnikaPortativ akustika</v>
      </c>
      <c r="B2534" s="35" t="s">
        <v>3161</v>
      </c>
      <c r="C2534" s="35" t="s">
        <v>3306</v>
      </c>
      <c r="D2534" s="35" t="s">
        <v>4850</v>
      </c>
      <c r="E2534" s="35" t="s">
        <v>5861</v>
      </c>
      <c r="F2534" s="36">
        <v>0.15</v>
      </c>
      <c r="G2534" s="31"/>
      <c r="H2534" s="31"/>
      <c r="I2534" s="31"/>
      <c r="J2534" s="31"/>
      <c r="K2534" s="31"/>
    </row>
    <row r="2535" spans="1:11" ht="14.4" x14ac:dyDescent="0.3">
      <c r="A2535" s="28" t="str">
        <f>B2535&amp;C2535&amp;D2535&amp;E2535</f>
        <v>ElektronikaOʻyin pristavkalariOʻyin kontrollerlariOʻyin uchun quloqchinlar</v>
      </c>
      <c r="B2535" s="35" t="s">
        <v>3161</v>
      </c>
      <c r="C2535" s="35" t="s">
        <v>3360</v>
      </c>
      <c r="D2535" s="35" t="s">
        <v>5833</v>
      </c>
      <c r="E2535" s="35" t="s">
        <v>4898</v>
      </c>
      <c r="F2535" s="36">
        <v>0.15</v>
      </c>
      <c r="G2535" s="31"/>
      <c r="H2535" s="31"/>
      <c r="I2535" s="31"/>
      <c r="J2535" s="31"/>
      <c r="K2535" s="31"/>
    </row>
    <row r="2536" spans="1:11" ht="14.4" x14ac:dyDescent="0.3">
      <c r="A2536" s="28" t="str">
        <f>B2536&amp;C2536&amp;D2536&amp;E2536</f>
        <v>ElektronikaNavigatorlarAvtomobil navigatorlariAvtomobil navigatorlari</v>
      </c>
      <c r="B2536" s="35" t="s">
        <v>3161</v>
      </c>
      <c r="C2536" s="35" t="s">
        <v>3326</v>
      </c>
      <c r="D2536" s="35" t="s">
        <v>5862</v>
      </c>
      <c r="E2536" s="35" t="s">
        <v>5862</v>
      </c>
      <c r="F2536" s="36">
        <v>0.15</v>
      </c>
      <c r="G2536" s="31"/>
      <c r="H2536" s="31"/>
      <c r="I2536" s="31"/>
      <c r="J2536" s="31"/>
      <c r="K2536" s="31"/>
    </row>
    <row r="2537" spans="1:11" ht="14.4" x14ac:dyDescent="0.3">
      <c r="A2537" s="28" t="str">
        <f>B2537&amp;C2537&amp;D2537&amp;E2537</f>
        <v>ElektronikaOʻyin pristavkalariOʻyin kontrollerlariOʻyin sichqonchalari</v>
      </c>
      <c r="B2537" s="35" t="s">
        <v>3161</v>
      </c>
      <c r="C2537" s="35" t="s">
        <v>3360</v>
      </c>
      <c r="D2537" s="35" t="s">
        <v>5833</v>
      </c>
      <c r="E2537" s="35" t="s">
        <v>5863</v>
      </c>
      <c r="F2537" s="36">
        <v>0.15</v>
      </c>
      <c r="G2537" s="31"/>
      <c r="H2537" s="31"/>
      <c r="I2537" s="31"/>
      <c r="J2537" s="31"/>
      <c r="K2537" s="31"/>
    </row>
    <row r="2538" spans="1:11" ht="14.4" x14ac:dyDescent="0.3">
      <c r="A2538" s="28" t="str">
        <f>B2538&amp;C2538&amp;D2538&amp;E2538</f>
        <v>ElektronikaKompyuter texnikasiKompyuterning tashqi qurilmalariKommutatorlar</v>
      </c>
      <c r="B2538" s="35" t="s">
        <v>3161</v>
      </c>
      <c r="C2538" s="35" t="s">
        <v>3311</v>
      </c>
      <c r="D2538" s="35" t="s">
        <v>3388</v>
      </c>
      <c r="E2538" s="35" t="s">
        <v>5864</v>
      </c>
      <c r="F2538" s="36">
        <v>0.15</v>
      </c>
      <c r="G2538" s="31"/>
      <c r="H2538" s="31"/>
      <c r="I2538" s="31"/>
      <c r="J2538" s="31"/>
      <c r="K2538" s="31"/>
    </row>
    <row r="2539" spans="1:11" ht="14.4" x14ac:dyDescent="0.3">
      <c r="A2539" s="28" t="str">
        <f>B2539&amp;C2539&amp;D2539&amp;E2539</f>
        <v>ElektronikaOʻyin pristavkalariOʻyin pristavkalari uchun aksessuarlar va ehtiyot qismlarHimoya plyonkalari</v>
      </c>
      <c r="B2539" s="35" t="s">
        <v>3161</v>
      </c>
      <c r="C2539" s="35" t="s">
        <v>3360</v>
      </c>
      <c r="D2539" s="35" t="s">
        <v>3361</v>
      </c>
      <c r="E2539" s="35" t="s">
        <v>5865</v>
      </c>
      <c r="F2539" s="36">
        <v>0.15</v>
      </c>
      <c r="G2539" s="31"/>
      <c r="H2539" s="31"/>
      <c r="I2539" s="31"/>
      <c r="J2539" s="31"/>
      <c r="K2539" s="31"/>
    </row>
    <row r="2540" spans="1:11" ht="14.4" x14ac:dyDescent="0.3">
      <c r="A2540" s="28" t="str">
        <f>B2540&amp;C2540&amp;D2540&amp;E2540</f>
        <v>ElektronikaOʻyin pristavkalariOʻyin kontrollerlariOʻyin klaviaturalari</v>
      </c>
      <c r="B2540" s="35" t="s">
        <v>3161</v>
      </c>
      <c r="C2540" s="35" t="s">
        <v>3360</v>
      </c>
      <c r="D2540" s="35" t="s">
        <v>5833</v>
      </c>
      <c r="E2540" s="35" t="s">
        <v>5866</v>
      </c>
      <c r="F2540" s="36">
        <v>0.15</v>
      </c>
      <c r="G2540" s="31"/>
      <c r="H2540" s="31"/>
      <c r="I2540" s="31"/>
      <c r="J2540" s="31"/>
      <c r="K2540" s="31"/>
    </row>
    <row r="2541" spans="1:11" ht="14.4" x14ac:dyDescent="0.3">
      <c r="A2541" s="28" t="str">
        <f>B2541&amp;C2541&amp;D2541&amp;E2541</f>
        <v>ElektronikaQuloqchinlar va audio texnikalarAudiotexnikaAqlli kolonkalar</v>
      </c>
      <c r="B2541" s="35" t="s">
        <v>3161</v>
      </c>
      <c r="C2541" s="35" t="s">
        <v>3306</v>
      </c>
      <c r="D2541" s="35" t="s">
        <v>4850</v>
      </c>
      <c r="E2541" s="35" t="s">
        <v>5867</v>
      </c>
      <c r="F2541" s="36">
        <v>0.15</v>
      </c>
      <c r="G2541" s="31"/>
      <c r="H2541" s="31"/>
      <c r="I2541" s="31"/>
      <c r="J2541" s="31"/>
      <c r="K2541" s="31"/>
    </row>
    <row r="2542" spans="1:11" ht="14.4" x14ac:dyDescent="0.3">
      <c r="A2542" s="28" t="str">
        <f>B2542&amp;C2542&amp;D2542&amp;E2542</f>
        <v>Goʻzallik va parvarishYuz parvarishiNiqoblarMatoli niqoblar</v>
      </c>
      <c r="B2542" s="35" t="s">
        <v>3165</v>
      </c>
      <c r="C2542" s="35" t="s">
        <v>4939</v>
      </c>
      <c r="D2542" s="35" t="s">
        <v>3525</v>
      </c>
      <c r="E2542" s="35" t="s">
        <v>5868</v>
      </c>
      <c r="F2542" s="36">
        <v>0.15</v>
      </c>
      <c r="G2542" s="31"/>
      <c r="H2542" s="31"/>
      <c r="I2542" s="31"/>
      <c r="J2542" s="31"/>
      <c r="K2542" s="31"/>
    </row>
    <row r="2543" spans="1:11" ht="14.4" x14ac:dyDescent="0.3">
      <c r="A2543" s="28" t="str">
        <f>B2543&amp;C2543&amp;D2543&amp;E2543</f>
        <v>Hayvonlar uchun tovarlarKemiruvchilar uchunKemiruvchilar uchun ozuqa va shirinliklarOzuqalar</v>
      </c>
      <c r="B2543" s="35" t="s">
        <v>3168</v>
      </c>
      <c r="C2543" s="35" t="s">
        <v>3806</v>
      </c>
      <c r="D2543" s="35" t="s">
        <v>5175</v>
      </c>
      <c r="E2543" s="35" t="s">
        <v>5869</v>
      </c>
      <c r="F2543" s="36">
        <v>0.15</v>
      </c>
      <c r="G2543" s="31"/>
      <c r="H2543" s="31"/>
      <c r="I2543" s="31"/>
      <c r="J2543" s="31"/>
      <c r="K2543" s="31"/>
    </row>
    <row r="2544" spans="1:11" ht="14.4" x14ac:dyDescent="0.3">
      <c r="A2544" s="28" t="str">
        <f>B2544&amp;C2544&amp;D2544&amp;E2544</f>
        <v>Hayvonlar uchun tovarlarGigiyenaHayvonlarni parvarish qilish vositalariSoch olish mashinkasi</v>
      </c>
      <c r="B2544" s="35" t="s">
        <v>3168</v>
      </c>
      <c r="C2544" s="35" t="s">
        <v>3421</v>
      </c>
      <c r="D2544" s="35" t="s">
        <v>3428</v>
      </c>
      <c r="E2544" s="35" t="s">
        <v>5870</v>
      </c>
      <c r="F2544" s="36">
        <v>0.15</v>
      </c>
      <c r="G2544" s="31"/>
      <c r="H2544" s="31"/>
      <c r="I2544" s="31"/>
      <c r="J2544" s="31"/>
      <c r="K2544" s="31"/>
    </row>
    <row r="2545" spans="1:11" ht="14.4" x14ac:dyDescent="0.3">
      <c r="A2545" s="28" t="str">
        <f>B2545&amp;C2545&amp;D2545&amp;E2545</f>
        <v>Hayvonlar uchun tovarlarMushuklar uchunTuvaklar va toʻldiruvchilarToʻldiruvchilar</v>
      </c>
      <c r="B2545" s="35" t="s">
        <v>3168</v>
      </c>
      <c r="C2545" s="35" t="s">
        <v>5178</v>
      </c>
      <c r="D2545" s="35" t="s">
        <v>5737</v>
      </c>
      <c r="E2545" s="35" t="s">
        <v>5871</v>
      </c>
      <c r="F2545" s="36">
        <v>0.15</v>
      </c>
      <c r="G2545" s="31"/>
      <c r="H2545" s="31"/>
      <c r="I2545" s="31"/>
      <c r="J2545" s="31"/>
      <c r="K2545" s="31"/>
    </row>
    <row r="2546" spans="1:11" ht="14.4" x14ac:dyDescent="0.3">
      <c r="A2546" s="28" t="str">
        <f>B2546&amp;C2546&amp;D2546&amp;E2546</f>
        <v>Kanselyariya tovarlariQogʻoz mahsulotlariDaftarlarMusiqa daftari</v>
      </c>
      <c r="B2546" s="35" t="s">
        <v>3170</v>
      </c>
      <c r="C2546" s="35" t="s">
        <v>3821</v>
      </c>
      <c r="D2546" s="35" t="s">
        <v>5251</v>
      </c>
      <c r="E2546" s="35" t="s">
        <v>5872</v>
      </c>
      <c r="F2546" s="36">
        <v>0.15</v>
      </c>
      <c r="G2546" s="31"/>
      <c r="H2546" s="31"/>
      <c r="I2546" s="31"/>
      <c r="J2546" s="31"/>
      <c r="K2546" s="31"/>
    </row>
    <row r="2547" spans="1:11" ht="14.4" x14ac:dyDescent="0.3">
      <c r="A2547" s="28" t="str">
        <f>B2547&amp;C2547&amp;D2547&amp;E2547</f>
        <v>Kanselyariya tovarlariQogʻoz mahsulotlariDaftarlarMavzu daftari</v>
      </c>
      <c r="B2547" s="35" t="s">
        <v>3170</v>
      </c>
      <c r="C2547" s="35" t="s">
        <v>3821</v>
      </c>
      <c r="D2547" s="35" t="s">
        <v>5251</v>
      </c>
      <c r="E2547" s="35" t="s">
        <v>5873</v>
      </c>
      <c r="F2547" s="36">
        <v>0.15</v>
      </c>
      <c r="G2547" s="31"/>
      <c r="H2547" s="31"/>
      <c r="I2547" s="31"/>
      <c r="J2547" s="31"/>
      <c r="K2547" s="31"/>
    </row>
    <row r="2548" spans="1:11" ht="14.4" x14ac:dyDescent="0.3">
      <c r="A2548" s="28" t="str">
        <f>B2548&amp;C2548&amp;D2548&amp;E2548</f>
        <v>Kanselyariya tovarlariQogʻoz mahsulotlariDaftarlarChet so'zlarni yozish uchun daftar</v>
      </c>
      <c r="B2548" s="35" t="s">
        <v>3170</v>
      </c>
      <c r="C2548" s="35" t="s">
        <v>3821</v>
      </c>
      <c r="D2548" s="35" t="s">
        <v>5251</v>
      </c>
      <c r="E2548" s="35" t="s">
        <v>5874</v>
      </c>
      <c r="F2548" s="36">
        <v>0.15</v>
      </c>
      <c r="G2548" s="31"/>
      <c r="H2548" s="31"/>
      <c r="I2548" s="31"/>
      <c r="J2548" s="31"/>
      <c r="K2548" s="31"/>
    </row>
    <row r="2549" spans="1:11" ht="14.4" x14ac:dyDescent="0.3">
      <c r="A2549" s="28" t="str">
        <f>B2549&amp;C2549&amp;D2549&amp;E2549</f>
        <v>Kanselyariya tovarlariQogʻoz mahsulotlariDaftarlarDaftarlar</v>
      </c>
      <c r="B2549" s="35" t="s">
        <v>3170</v>
      </c>
      <c r="C2549" s="35" t="s">
        <v>3821</v>
      </c>
      <c r="D2549" s="35" t="s">
        <v>5251</v>
      </c>
      <c r="E2549" s="35" t="s">
        <v>5251</v>
      </c>
      <c r="F2549" s="36">
        <v>0.15</v>
      </c>
      <c r="G2549" s="31"/>
      <c r="H2549" s="31"/>
      <c r="I2549" s="31"/>
      <c r="J2549" s="31"/>
      <c r="K2549" s="31"/>
    </row>
    <row r="2550" spans="1:11" ht="14.4" x14ac:dyDescent="0.3">
      <c r="A2550" s="28" t="str">
        <f>B2550&amp;C2550&amp;D2550&amp;E2550</f>
        <v>Kanselyariya tovarlariQogʻoz mahsulotlariDaftarlarDaftarlar to'plami</v>
      </c>
      <c r="B2550" s="35" t="s">
        <v>3170</v>
      </c>
      <c r="C2550" s="35" t="s">
        <v>3821</v>
      </c>
      <c r="D2550" s="35" t="s">
        <v>5251</v>
      </c>
      <c r="E2550" s="35" t="s">
        <v>5875</v>
      </c>
      <c r="F2550" s="36">
        <v>0.15</v>
      </c>
      <c r="G2550" s="31"/>
      <c r="H2550" s="31"/>
      <c r="I2550" s="31"/>
      <c r="J2550" s="31"/>
      <c r="K2550" s="31"/>
    </row>
    <row r="2551" spans="1:11" ht="14.4" x14ac:dyDescent="0.3">
      <c r="A2551" s="28" t="str">
        <f>B2551&amp;C2551&amp;D2551&amp;E2551</f>
        <v>Maishiy texnikaGoʻzallik uchun texnikaSoch turmaklashElektr bigudilar</v>
      </c>
      <c r="B2551" s="35" t="s">
        <v>48</v>
      </c>
      <c r="C2551" s="35" t="s">
        <v>5489</v>
      </c>
      <c r="D2551" s="35" t="s">
        <v>5753</v>
      </c>
      <c r="E2551" s="35" t="s">
        <v>5876</v>
      </c>
      <c r="F2551" s="36">
        <v>0.15</v>
      </c>
      <c r="G2551" s="31"/>
      <c r="H2551" s="31"/>
      <c r="I2551" s="31"/>
      <c r="J2551" s="31"/>
      <c r="K2551" s="31"/>
    </row>
    <row r="2552" spans="1:11" ht="14.4" x14ac:dyDescent="0.3">
      <c r="A2552" s="28" t="str">
        <f>B2552&amp;C2552&amp;D2552&amp;E2552</f>
        <v>Maishiy texnikaGoʻzallik uchun texnikaSoch turmaklashSoch quritgichlar va nasadkalar</v>
      </c>
      <c r="B2552" s="35" t="s">
        <v>48</v>
      </c>
      <c r="C2552" s="35" t="s">
        <v>5489</v>
      </c>
      <c r="D2552" s="35" t="s">
        <v>5753</v>
      </c>
      <c r="E2552" s="35" t="s">
        <v>5877</v>
      </c>
      <c r="F2552" s="36">
        <v>0.15</v>
      </c>
      <c r="G2552" s="31"/>
      <c r="H2552" s="31"/>
      <c r="I2552" s="31"/>
      <c r="J2552" s="31"/>
      <c r="K2552" s="31"/>
    </row>
    <row r="2553" spans="1:11" ht="14.4" x14ac:dyDescent="0.3">
      <c r="A2553" s="28" t="str">
        <f>B2553&amp;C2553&amp;D2553&amp;E2553</f>
        <v>Maishiy texnikaGoʻzallik uchun texnikaEpilyatorlar va aksessuarlarEpilyatorlar va aksessuarlar</v>
      </c>
      <c r="B2553" s="35" t="s">
        <v>48</v>
      </c>
      <c r="C2553" s="35" t="s">
        <v>5489</v>
      </c>
      <c r="D2553" s="35" t="s">
        <v>5878</v>
      </c>
      <c r="E2553" s="35" t="s">
        <v>5878</v>
      </c>
      <c r="F2553" s="36">
        <v>0.15</v>
      </c>
      <c r="G2553" s="31"/>
      <c r="H2553" s="31"/>
      <c r="I2553" s="31"/>
      <c r="J2553" s="31"/>
      <c r="K2553" s="31"/>
    </row>
    <row r="2554" spans="1:11" ht="14.4" x14ac:dyDescent="0.3">
      <c r="A2554" s="28" t="str">
        <f>B2554&amp;C2554&amp;D2554&amp;E2554</f>
        <v>Maishiy texnikaGoʻzallik uchun texnikaSoch turmaklashSoch quritgich choʻtkalari va termochoʻtkalar</v>
      </c>
      <c r="B2554" s="35" t="s">
        <v>48</v>
      </c>
      <c r="C2554" s="35" t="s">
        <v>5489</v>
      </c>
      <c r="D2554" s="35" t="s">
        <v>5753</v>
      </c>
      <c r="E2554" s="35" t="s">
        <v>5879</v>
      </c>
      <c r="F2554" s="36">
        <v>0.15</v>
      </c>
      <c r="G2554" s="31"/>
      <c r="H2554" s="31"/>
      <c r="I2554" s="31"/>
      <c r="J2554" s="31"/>
      <c r="K2554" s="31"/>
    </row>
    <row r="2555" spans="1:11" ht="14.4" x14ac:dyDescent="0.3">
      <c r="A2555" s="28" t="str">
        <f>B2555&amp;C2555&amp;D2555&amp;E2555</f>
        <v>Maishiy texnikaGoʻzallik uchun texnikaSoch turmaklashSochlarni jingalak qilish uchun qisqichlar</v>
      </c>
      <c r="B2555" s="35" t="s">
        <v>48</v>
      </c>
      <c r="C2555" s="35" t="s">
        <v>5489</v>
      </c>
      <c r="D2555" s="35" t="s">
        <v>5753</v>
      </c>
      <c r="E2555" s="35" t="s">
        <v>5880</v>
      </c>
      <c r="F2555" s="36">
        <v>0.15</v>
      </c>
      <c r="G2555" s="31"/>
      <c r="H2555" s="31"/>
      <c r="I2555" s="31"/>
      <c r="J2555" s="31"/>
      <c r="K2555" s="31"/>
    </row>
    <row r="2556" spans="1:11" ht="14.4" x14ac:dyDescent="0.3">
      <c r="A2556" s="28" t="str">
        <f>B2556&amp;C2556&amp;D2556&amp;E2556</f>
        <v>Maishiy texnikaIqlim texnikasiHavoni tozalash va namlantirishHavo namlagichlar</v>
      </c>
      <c r="B2556" s="35" t="s">
        <v>48</v>
      </c>
      <c r="C2556" s="35" t="s">
        <v>3447</v>
      </c>
      <c r="D2556" s="35" t="s">
        <v>5741</v>
      </c>
      <c r="E2556" s="35" t="s">
        <v>5881</v>
      </c>
      <c r="F2556" s="36">
        <v>0.15</v>
      </c>
      <c r="G2556" s="31"/>
      <c r="H2556" s="31"/>
      <c r="I2556" s="31"/>
      <c r="J2556" s="31"/>
      <c r="K2556" s="31"/>
    </row>
    <row r="2557" spans="1:11" ht="14.4" x14ac:dyDescent="0.3">
      <c r="A2557" s="28" t="str">
        <f>B2557&amp;C2557&amp;D2557&amp;E2557</f>
        <v>Maishiy texnikaOshxona buyumlariMaydalash va aralashtirishOshxona mashinalari va kombaynlari</v>
      </c>
      <c r="B2557" s="35" t="s">
        <v>48</v>
      </c>
      <c r="C2557" s="35" t="s">
        <v>3443</v>
      </c>
      <c r="D2557" s="35" t="s">
        <v>5744</v>
      </c>
      <c r="E2557" s="35" t="s">
        <v>5882</v>
      </c>
      <c r="F2557" s="36">
        <v>0.15</v>
      </c>
      <c r="G2557" s="31"/>
      <c r="H2557" s="31"/>
      <c r="I2557" s="31"/>
      <c r="J2557" s="31"/>
      <c r="K2557" s="31"/>
    </row>
    <row r="2558" spans="1:11" ht="14.4" x14ac:dyDescent="0.3">
      <c r="A2558" s="28" t="str">
        <f>B2558&amp;C2558&amp;D2558&amp;E2558</f>
        <v>Maishiy texnikaOshxona buyumlariBoshqa oshxona texnikalariVakuumli qadoqlagichlar</v>
      </c>
      <c r="B2558" s="35" t="s">
        <v>48</v>
      </c>
      <c r="C2558" s="35" t="s">
        <v>3443</v>
      </c>
      <c r="D2558" s="35" t="s">
        <v>3444</v>
      </c>
      <c r="E2558" s="35" t="s">
        <v>5883</v>
      </c>
      <c r="F2558" s="36">
        <v>0.15</v>
      </c>
      <c r="G2558" s="31"/>
      <c r="H2558" s="31"/>
      <c r="I2558" s="31"/>
      <c r="J2558" s="31"/>
      <c r="K2558" s="31"/>
    </row>
    <row r="2559" spans="1:11" ht="14.4" x14ac:dyDescent="0.3">
      <c r="A2559" s="28" t="str">
        <f>B2559&amp;C2559&amp;D2559&amp;E2559</f>
        <v>Maishiy texnikaIqlim texnikasiIsitgichlarIsitgichlar</v>
      </c>
      <c r="B2559" s="35" t="s">
        <v>48</v>
      </c>
      <c r="C2559" s="35" t="s">
        <v>3447</v>
      </c>
      <c r="D2559" s="35" t="s">
        <v>5602</v>
      </c>
      <c r="E2559" s="35" t="s">
        <v>5602</v>
      </c>
      <c r="F2559" s="36">
        <v>0.15</v>
      </c>
      <c r="G2559" s="31"/>
      <c r="H2559" s="31"/>
      <c r="I2559" s="31"/>
      <c r="J2559" s="31"/>
      <c r="K2559" s="31"/>
    </row>
    <row r="2560" spans="1:11" ht="14.4" x14ac:dyDescent="0.3">
      <c r="A2560" s="28" t="str">
        <f>B2560&amp;C2560&amp;D2560&amp;E2560</f>
        <v>Oziq-ovqat mahsulotlariYog'lar va souslarSouslarMayonez</v>
      </c>
      <c r="B2560" s="35" t="s">
        <v>3180</v>
      </c>
      <c r="C2560" s="35" t="s">
        <v>5884</v>
      </c>
      <c r="D2560" s="35" t="s">
        <v>5885</v>
      </c>
      <c r="E2560" s="35" t="s">
        <v>5886</v>
      </c>
      <c r="F2560" s="36">
        <v>0.15</v>
      </c>
      <c r="G2560" s="31"/>
      <c r="H2560" s="31"/>
      <c r="I2560" s="31"/>
      <c r="J2560" s="31"/>
      <c r="K2560" s="31"/>
    </row>
    <row r="2561" spans="1:11" ht="14.4" x14ac:dyDescent="0.3">
      <c r="A2561" s="28" t="str">
        <f>B2561&amp;C2561&amp;D2561&amp;E2561</f>
        <v>Oziq-ovqat mahsulotlariPishiriq va desertlar uchun mahsulotlarPishirish uchun yeyiladigan dekorPishirish uchun yeyiladigan dekor</v>
      </c>
      <c r="B2561" s="35" t="s">
        <v>3180</v>
      </c>
      <c r="C2561" s="35" t="s">
        <v>5887</v>
      </c>
      <c r="D2561" s="35" t="s">
        <v>5888</v>
      </c>
      <c r="E2561" s="35" t="s">
        <v>5888</v>
      </c>
      <c r="F2561" s="36">
        <v>0.15</v>
      </c>
      <c r="G2561" s="31"/>
      <c r="H2561" s="31"/>
      <c r="I2561" s="31"/>
      <c r="J2561" s="31"/>
      <c r="K2561" s="31"/>
    </row>
    <row r="2562" spans="1:11" ht="14.4" x14ac:dyDescent="0.3">
      <c r="A2562" s="28" t="str">
        <f>B2562&amp;C2562&amp;D2562&amp;E2562</f>
        <v>Oziq-ovqat mahsulotlariSogʻlom ovqatlanishOʻsimlik sutiOʻsimlik suti</v>
      </c>
      <c r="B2562" s="35" t="s">
        <v>3180</v>
      </c>
      <c r="C2562" s="35" t="s">
        <v>5889</v>
      </c>
      <c r="D2562" s="35" t="s">
        <v>5890</v>
      </c>
      <c r="E2562" s="35" t="s">
        <v>5890</v>
      </c>
      <c r="F2562" s="36">
        <v>0.15</v>
      </c>
      <c r="G2562" s="31"/>
      <c r="H2562" s="31"/>
      <c r="I2562" s="31"/>
      <c r="J2562" s="31"/>
      <c r="K2562" s="31"/>
    </row>
    <row r="2563" spans="1:11" ht="14.4" x14ac:dyDescent="0.3">
      <c r="A2563" s="28" t="str">
        <f>B2563&amp;C2563&amp;D2563&amp;E2563</f>
        <v>Oziq-ovqat mahsulotlariYog'lar va souslarYog’larKunjut yog'i</v>
      </c>
      <c r="B2563" s="35" t="s">
        <v>3180</v>
      </c>
      <c r="C2563" s="35" t="s">
        <v>5884</v>
      </c>
      <c r="D2563" s="35" t="s">
        <v>5891</v>
      </c>
      <c r="E2563" s="35" t="s">
        <v>5892</v>
      </c>
      <c r="F2563" s="36">
        <v>0.15</v>
      </c>
      <c r="G2563" s="31"/>
      <c r="H2563" s="31"/>
      <c r="I2563" s="31"/>
      <c r="J2563" s="31"/>
      <c r="K2563" s="31"/>
    </row>
    <row r="2564" spans="1:11" ht="14.4" x14ac:dyDescent="0.3">
      <c r="A2564" s="28" t="str">
        <f>B2564&amp;C2564&amp;D2564&amp;E2564</f>
        <v>Oziq-ovqat mahsulotlariSuv, sharbatlar, ichimliklarKvas, yaxna choy, kombuchaKvas, yaxna choy, kombucha</v>
      </c>
      <c r="B2564" s="35" t="s">
        <v>3180</v>
      </c>
      <c r="C2564" s="35" t="s">
        <v>5893</v>
      </c>
      <c r="D2564" s="35" t="s">
        <v>5894</v>
      </c>
      <c r="E2564" s="35" t="s">
        <v>5894</v>
      </c>
      <c r="F2564" s="36">
        <v>0.15</v>
      </c>
      <c r="G2564" s="31"/>
      <c r="H2564" s="31"/>
      <c r="I2564" s="31"/>
      <c r="J2564" s="31"/>
      <c r="K2564" s="31"/>
    </row>
    <row r="2565" spans="1:11" ht="14.4" x14ac:dyDescent="0.3">
      <c r="A2565" s="28" t="str">
        <f>B2565&amp;C2565&amp;D2565&amp;E2565</f>
        <v>Oziq-ovqat mahsulotlariPishiriq va desertlar uchun mahsulotlarOzuqaviy qoʻshimchalarLimon kislotasi</v>
      </c>
      <c r="B2565" s="35" t="s">
        <v>3180</v>
      </c>
      <c r="C2565" s="35" t="s">
        <v>5887</v>
      </c>
      <c r="D2565" s="35" t="s">
        <v>5895</v>
      </c>
      <c r="E2565" s="35" t="s">
        <v>5896</v>
      </c>
      <c r="F2565" s="36">
        <v>0.15</v>
      </c>
      <c r="G2565" s="31"/>
      <c r="H2565" s="31"/>
      <c r="I2565" s="31"/>
      <c r="J2565" s="31"/>
      <c r="K2565" s="31"/>
    </row>
    <row r="2566" spans="1:11" ht="14.4" x14ac:dyDescent="0.3">
      <c r="A2566" s="28" t="str">
        <f>B2566&amp;C2566&amp;D2566&amp;E2566</f>
        <v>Oziq-ovqat mahsulotlariMakaronlar, yormalar va quruq nonushtalarQuruq nonushtaGranola</v>
      </c>
      <c r="B2566" s="35" t="s">
        <v>3180</v>
      </c>
      <c r="C2566" s="35" t="s">
        <v>5897</v>
      </c>
      <c r="D2566" s="35" t="s">
        <v>5898</v>
      </c>
      <c r="E2566" s="35" t="s">
        <v>5899</v>
      </c>
      <c r="F2566" s="36">
        <v>0.15</v>
      </c>
      <c r="G2566" s="31"/>
      <c r="H2566" s="31"/>
      <c r="I2566" s="31"/>
      <c r="J2566" s="31"/>
      <c r="K2566" s="31"/>
    </row>
    <row r="2567" spans="1:11" ht="14.4" x14ac:dyDescent="0.3">
      <c r="A2567" s="28" t="str">
        <f>B2567&amp;C2567&amp;D2567&amp;E2567</f>
        <v>Oziq-ovqat mahsulotlariYongʻoqlar, quritilgan mevalar, pistalarYongʻoqlarYongʻoqlar</v>
      </c>
      <c r="B2567" s="35" t="s">
        <v>3180</v>
      </c>
      <c r="C2567" s="35" t="s">
        <v>5900</v>
      </c>
      <c r="D2567" s="35" t="s">
        <v>5901</v>
      </c>
      <c r="E2567" s="35" t="s">
        <v>5901</v>
      </c>
      <c r="F2567" s="36">
        <v>0.15</v>
      </c>
      <c r="G2567" s="31"/>
      <c r="H2567" s="31"/>
      <c r="I2567" s="31"/>
      <c r="J2567" s="31"/>
      <c r="K2567" s="31"/>
    </row>
    <row r="2568" spans="1:11" ht="14.4" x14ac:dyDescent="0.3">
      <c r="A2568" s="28" t="str">
        <f>B2568&amp;C2568&amp;D2568&amp;E2568</f>
        <v>Oziq-ovqat mahsulotlariMakaronlar, yormalar va quruq nonushtalarQuruq nonushtaQuruq nonushta</v>
      </c>
      <c r="B2568" s="35" t="s">
        <v>3180</v>
      </c>
      <c r="C2568" s="35" t="s">
        <v>5897</v>
      </c>
      <c r="D2568" s="35" t="s">
        <v>5898</v>
      </c>
      <c r="E2568" s="35" t="s">
        <v>5898</v>
      </c>
      <c r="F2568" s="36">
        <v>0.15</v>
      </c>
      <c r="G2568" s="31"/>
      <c r="H2568" s="31"/>
      <c r="I2568" s="31"/>
      <c r="J2568" s="31"/>
      <c r="K2568" s="31"/>
    </row>
    <row r="2569" spans="1:11" ht="14.4" x14ac:dyDescent="0.3">
      <c r="A2569" s="28" t="str">
        <f>B2569&amp;C2569&amp;D2569&amp;E2569</f>
        <v>Oziq-ovqat mahsulotlariYog'lar va souslarSouslarPaprichi sousi</v>
      </c>
      <c r="B2569" s="35" t="s">
        <v>3180</v>
      </c>
      <c r="C2569" s="35" t="s">
        <v>5884</v>
      </c>
      <c r="D2569" s="35" t="s">
        <v>5885</v>
      </c>
      <c r="E2569" s="35" t="s">
        <v>5902</v>
      </c>
      <c r="F2569" s="36">
        <v>0.15</v>
      </c>
      <c r="G2569" s="31"/>
      <c r="H2569" s="31"/>
      <c r="I2569" s="31"/>
      <c r="J2569" s="31"/>
      <c r="K2569" s="31"/>
    </row>
    <row r="2570" spans="1:11" ht="14.4" x14ac:dyDescent="0.3">
      <c r="A2570" s="28" t="str">
        <f>B2570&amp;C2570&amp;D2570&amp;E2570</f>
        <v>Oziq-ovqat mahsulotlariZiravorlarZiravorlarZiravorlar</v>
      </c>
      <c r="B2570" s="35" t="s">
        <v>3180</v>
      </c>
      <c r="C2570" s="35" t="s">
        <v>5903</v>
      </c>
      <c r="D2570" s="35" t="s">
        <v>5903</v>
      </c>
      <c r="E2570" s="35" t="s">
        <v>5903</v>
      </c>
      <c r="F2570" s="36">
        <v>0.15</v>
      </c>
      <c r="G2570" s="31"/>
      <c r="H2570" s="31"/>
      <c r="I2570" s="31"/>
      <c r="J2570" s="31"/>
      <c r="K2570" s="31"/>
    </row>
    <row r="2571" spans="1:11" ht="14.4" x14ac:dyDescent="0.3">
      <c r="A2571" s="28" t="str">
        <f>B2571&amp;C2571&amp;D2571&amp;E2571</f>
        <v>Oziq-ovqat mahsulotlariAsal, murabbo, shirin konservalarSiroplar va toppinglarSiroplar va toppinglar</v>
      </c>
      <c r="B2571" s="35" t="s">
        <v>3180</v>
      </c>
      <c r="C2571" s="35" t="s">
        <v>5904</v>
      </c>
      <c r="D2571" s="35" t="s">
        <v>5905</v>
      </c>
      <c r="E2571" s="35" t="s">
        <v>5905</v>
      </c>
      <c r="F2571" s="36">
        <v>0.15</v>
      </c>
      <c r="G2571" s="31"/>
      <c r="H2571" s="31"/>
      <c r="I2571" s="31"/>
      <c r="J2571" s="31"/>
      <c r="K2571" s="31"/>
    </row>
    <row r="2572" spans="1:11" ht="14.4" x14ac:dyDescent="0.3">
      <c r="A2572" s="28" t="str">
        <f>B2572&amp;C2572&amp;D2572&amp;E2572</f>
        <v>Oziq-ovqat mahsulotlariSuv, sharbatlar, ichimliklarMorslar, kissellar, kompotlarMorslar, kissellar, kompotlar</v>
      </c>
      <c r="B2572" s="35" t="s">
        <v>3180</v>
      </c>
      <c r="C2572" s="35" t="s">
        <v>5893</v>
      </c>
      <c r="D2572" s="35" t="s">
        <v>5906</v>
      </c>
      <c r="E2572" s="35" t="s">
        <v>5906</v>
      </c>
      <c r="F2572" s="36">
        <v>0.15</v>
      </c>
      <c r="G2572" s="31"/>
      <c r="H2572" s="31"/>
      <c r="I2572" s="31"/>
      <c r="J2572" s="31"/>
      <c r="K2572" s="31"/>
    </row>
    <row r="2573" spans="1:11" ht="14.4" x14ac:dyDescent="0.3">
      <c r="A2573" s="28" t="str">
        <f>B2573&amp;C2573&amp;D2573&amp;E2573</f>
        <v>Oziq-ovqat mahsulotlariYog'lar va souslarSouslarMarinadlar</v>
      </c>
      <c r="B2573" s="35" t="s">
        <v>3180</v>
      </c>
      <c r="C2573" s="35" t="s">
        <v>5884</v>
      </c>
      <c r="D2573" s="35" t="s">
        <v>5885</v>
      </c>
      <c r="E2573" s="35" t="s">
        <v>5907</v>
      </c>
      <c r="F2573" s="36">
        <v>0.15</v>
      </c>
      <c r="G2573" s="31"/>
      <c r="H2573" s="31"/>
      <c r="I2573" s="31"/>
      <c r="J2573" s="31"/>
      <c r="K2573" s="31"/>
    </row>
    <row r="2574" spans="1:11" ht="14.4" x14ac:dyDescent="0.3">
      <c r="A2574" s="28" t="str">
        <f>B2574&amp;C2574&amp;D2574&amp;E2574</f>
        <v>Oziq-ovqat mahsulotlariKonservalarKonservalangan mevalarKonservalangan mevalar</v>
      </c>
      <c r="B2574" s="35" t="s">
        <v>3180</v>
      </c>
      <c r="C2574" s="35" t="s">
        <v>5908</v>
      </c>
      <c r="D2574" s="35" t="s">
        <v>5909</v>
      </c>
      <c r="E2574" s="35" t="s">
        <v>5909</v>
      </c>
      <c r="F2574" s="36">
        <v>0.15</v>
      </c>
      <c r="G2574" s="31"/>
      <c r="H2574" s="31"/>
      <c r="I2574" s="31"/>
      <c r="J2574" s="31"/>
      <c r="K2574" s="31"/>
    </row>
    <row r="2575" spans="1:11" ht="14.4" x14ac:dyDescent="0.3">
      <c r="A2575" s="28" t="str">
        <f>B2575&amp;C2575&amp;D2575&amp;E2575</f>
        <v>Oziq-ovqat mahsulotlariYongʻoqlar, quritilgan mevalar, pistalarQuruq mevalar va sabzavotlarQuruq mevalar va sabzavotlar</v>
      </c>
      <c r="B2575" s="35" t="s">
        <v>3180</v>
      </c>
      <c r="C2575" s="35" t="s">
        <v>5900</v>
      </c>
      <c r="D2575" s="35" t="s">
        <v>5910</v>
      </c>
      <c r="E2575" s="35" t="s">
        <v>5910</v>
      </c>
      <c r="F2575" s="36">
        <v>0.15</v>
      </c>
      <c r="G2575" s="31"/>
      <c r="H2575" s="31"/>
      <c r="I2575" s="31"/>
      <c r="J2575" s="31"/>
      <c r="K2575" s="31"/>
    </row>
    <row r="2576" spans="1:11" ht="14.4" x14ac:dyDescent="0.3">
      <c r="A2576" s="28" t="str">
        <f>B2576&amp;C2576&amp;D2576&amp;E2576</f>
        <v>Oziq-ovqat mahsulotlariMakaronlar, yormalar va quruq nonushtalarTez tayyorlanadigan mahsulotlarSho'rvalar va bulyonlar</v>
      </c>
      <c r="B2576" s="35" t="s">
        <v>3180</v>
      </c>
      <c r="C2576" s="35" t="s">
        <v>5897</v>
      </c>
      <c r="D2576" s="35" t="s">
        <v>5911</v>
      </c>
      <c r="E2576" s="35" t="s">
        <v>5912</v>
      </c>
      <c r="F2576" s="36">
        <v>0.15</v>
      </c>
      <c r="G2576" s="31"/>
      <c r="H2576" s="31"/>
      <c r="I2576" s="31"/>
      <c r="J2576" s="31"/>
      <c r="K2576" s="31"/>
    </row>
    <row r="2577" spans="1:11" ht="14.4" x14ac:dyDescent="0.3">
      <c r="A2577" s="28" t="str">
        <f>B2577&amp;C2577&amp;D2577&amp;E2577</f>
        <v>Oziq-ovqat mahsulotlariKonservalarKonservalangan goʻshtKonservalangan goʻsht</v>
      </c>
      <c r="B2577" s="35" t="s">
        <v>3180</v>
      </c>
      <c r="C2577" s="35" t="s">
        <v>5908</v>
      </c>
      <c r="D2577" s="35" t="s">
        <v>5913</v>
      </c>
      <c r="E2577" s="35" t="s">
        <v>5913</v>
      </c>
      <c r="F2577" s="36">
        <v>0.15</v>
      </c>
      <c r="G2577" s="31"/>
      <c r="H2577" s="31"/>
      <c r="I2577" s="31"/>
      <c r="J2577" s="31"/>
      <c r="K2577" s="31"/>
    </row>
    <row r="2578" spans="1:11" ht="14.4" x14ac:dyDescent="0.3">
      <c r="A2578" s="28" t="str">
        <f>B2578&amp;C2578&amp;D2578&amp;E2578</f>
        <v>Oziq-ovqat mahsulotlariYongʻoqlar, quritilgan mevalar, pistalarMevali chipslarMevali chipslar</v>
      </c>
      <c r="B2578" s="35" t="s">
        <v>3180</v>
      </c>
      <c r="C2578" s="35" t="s">
        <v>5900</v>
      </c>
      <c r="D2578" s="35" t="s">
        <v>5914</v>
      </c>
      <c r="E2578" s="35" t="s">
        <v>5914</v>
      </c>
      <c r="F2578" s="36">
        <v>0.15</v>
      </c>
      <c r="G2578" s="31"/>
      <c r="H2578" s="31"/>
      <c r="I2578" s="31"/>
      <c r="J2578" s="31"/>
      <c r="K2578" s="31"/>
    </row>
    <row r="2579" spans="1:11" ht="14.4" x14ac:dyDescent="0.3">
      <c r="A2579" s="28" t="str">
        <f>B2579&amp;C2579&amp;D2579&amp;E2579</f>
        <v>Oziq-ovqat mahsulotlariYog'lar va souslarSouslarXantal va xren</v>
      </c>
      <c r="B2579" s="35" t="s">
        <v>3180</v>
      </c>
      <c r="C2579" s="35" t="s">
        <v>5884</v>
      </c>
      <c r="D2579" s="35" t="s">
        <v>5885</v>
      </c>
      <c r="E2579" s="35" t="s">
        <v>5915</v>
      </c>
      <c r="F2579" s="36">
        <v>0.15</v>
      </c>
      <c r="G2579" s="31"/>
      <c r="H2579" s="31"/>
      <c r="I2579" s="31"/>
      <c r="J2579" s="31"/>
      <c r="K2579" s="31"/>
    </row>
    <row r="2580" spans="1:11" ht="14.4" x14ac:dyDescent="0.3">
      <c r="A2580" s="28" t="str">
        <f>B2580&amp;C2580&amp;D2580&amp;E2580</f>
        <v>Oziq-ovqat mahsulotlariYog'lar va souslarSouslarLimon sharbati</v>
      </c>
      <c r="B2580" s="35" t="s">
        <v>3180</v>
      </c>
      <c r="C2580" s="35" t="s">
        <v>5884</v>
      </c>
      <c r="D2580" s="35" t="s">
        <v>5885</v>
      </c>
      <c r="E2580" s="35" t="s">
        <v>5916</v>
      </c>
      <c r="F2580" s="36">
        <v>0.15</v>
      </c>
      <c r="G2580" s="31"/>
      <c r="H2580" s="31"/>
      <c r="I2580" s="31"/>
      <c r="J2580" s="31"/>
      <c r="K2580" s="31"/>
    </row>
    <row r="2581" spans="1:11" ht="14.4" x14ac:dyDescent="0.3">
      <c r="A2581" s="28" t="str">
        <f>B2581&amp;C2581&amp;D2581&amp;E2581</f>
        <v>Oziq-ovqat mahsulotlariYog'lar va souslarYog’larZaytun yog'i</v>
      </c>
      <c r="B2581" s="35" t="s">
        <v>3180</v>
      </c>
      <c r="C2581" s="35" t="s">
        <v>5884</v>
      </c>
      <c r="D2581" s="35" t="s">
        <v>5891</v>
      </c>
      <c r="E2581" s="35" t="s">
        <v>5917</v>
      </c>
      <c r="F2581" s="36">
        <v>0.15</v>
      </c>
      <c r="G2581" s="31"/>
      <c r="H2581" s="31"/>
      <c r="I2581" s="31"/>
      <c r="J2581" s="31"/>
      <c r="K2581" s="31"/>
    </row>
    <row r="2582" spans="1:11" ht="14.4" x14ac:dyDescent="0.3">
      <c r="A2582" s="28" t="str">
        <f>B2582&amp;C2582&amp;D2582&amp;E2582</f>
        <v>Oziq-ovqat mahsulotlariYog'lar va souslarYog’larZig'ir yog'i</v>
      </c>
      <c r="B2582" s="35" t="s">
        <v>3180</v>
      </c>
      <c r="C2582" s="35" t="s">
        <v>5884</v>
      </c>
      <c r="D2582" s="35" t="s">
        <v>5891</v>
      </c>
      <c r="E2582" s="35" t="s">
        <v>5918</v>
      </c>
      <c r="F2582" s="36">
        <v>0.15</v>
      </c>
      <c r="G2582" s="31"/>
      <c r="H2582" s="31"/>
      <c r="I2582" s="31"/>
      <c r="J2582" s="31"/>
      <c r="K2582" s="31"/>
    </row>
    <row r="2583" spans="1:11" ht="14.4" x14ac:dyDescent="0.3">
      <c r="A2583" s="28" t="str">
        <f>B2583&amp;C2583&amp;D2583&amp;E2583</f>
        <v>Oziq-ovqat mahsulotlariPishiriq va desertlar uchun mahsulotlarOzuqaviy qoʻshimchalarKraxmal</v>
      </c>
      <c r="B2583" s="35" t="s">
        <v>3180</v>
      </c>
      <c r="C2583" s="35" t="s">
        <v>5887</v>
      </c>
      <c r="D2583" s="35" t="s">
        <v>5895</v>
      </c>
      <c r="E2583" s="35" t="s">
        <v>5919</v>
      </c>
      <c r="F2583" s="36">
        <v>0.15</v>
      </c>
      <c r="G2583" s="31"/>
      <c r="H2583" s="31"/>
      <c r="I2583" s="31"/>
      <c r="J2583" s="31"/>
      <c r="K2583" s="31"/>
    </row>
    <row r="2584" spans="1:11" ht="14.4" x14ac:dyDescent="0.3">
      <c r="A2584" s="28" t="str">
        <f>B2584&amp;C2584&amp;D2584&amp;E2584</f>
        <v>Oziq-ovqat mahsulotlariPishiriq va desertlar uchun mahsulotlarOzuqaviy qoʻshimchalarQuruq xamirturush</v>
      </c>
      <c r="B2584" s="35" t="s">
        <v>3180</v>
      </c>
      <c r="C2584" s="35" t="s">
        <v>5887</v>
      </c>
      <c r="D2584" s="35" t="s">
        <v>5895</v>
      </c>
      <c r="E2584" s="35" t="s">
        <v>5920</v>
      </c>
      <c r="F2584" s="36">
        <v>0.15</v>
      </c>
      <c r="G2584" s="31"/>
      <c r="H2584" s="31"/>
      <c r="I2584" s="31"/>
      <c r="J2584" s="31"/>
      <c r="K2584" s="31"/>
    </row>
    <row r="2585" spans="1:11" ht="14.4" x14ac:dyDescent="0.3">
      <c r="A2585" s="28" t="str">
        <f>B2585&amp;C2585&amp;D2585&amp;E2585</f>
        <v>Oziq-ovqat mahsulotlariAsal, murabbo, shirin konservalarAsal va asalarichilik mahsulotlariMum</v>
      </c>
      <c r="B2585" s="35" t="s">
        <v>3180</v>
      </c>
      <c r="C2585" s="35" t="s">
        <v>5904</v>
      </c>
      <c r="D2585" s="35" t="s">
        <v>5921</v>
      </c>
      <c r="E2585" s="35" t="s">
        <v>5922</v>
      </c>
      <c r="F2585" s="36">
        <v>0.15</v>
      </c>
      <c r="G2585" s="31"/>
      <c r="H2585" s="31"/>
      <c r="I2585" s="31"/>
      <c r="J2585" s="31"/>
      <c r="K2585" s="31"/>
    </row>
    <row r="2586" spans="1:11" ht="14.4" x14ac:dyDescent="0.3">
      <c r="A2586" s="28" t="str">
        <f>B2586&amp;C2586&amp;D2586&amp;E2586</f>
        <v>Oziq-ovqat mahsulotlariPishiriq va desertlar uchun mahsulotlarQuruq qaymoq va sutQuruq qaymoq va sut</v>
      </c>
      <c r="B2586" s="35" t="s">
        <v>3180</v>
      </c>
      <c r="C2586" s="35" t="s">
        <v>5887</v>
      </c>
      <c r="D2586" s="35" t="s">
        <v>5923</v>
      </c>
      <c r="E2586" s="35" t="s">
        <v>5923</v>
      </c>
      <c r="F2586" s="36">
        <v>0.15</v>
      </c>
      <c r="G2586" s="31"/>
      <c r="H2586" s="31"/>
      <c r="I2586" s="31"/>
      <c r="J2586" s="31"/>
      <c r="K2586" s="31"/>
    </row>
    <row r="2587" spans="1:11" ht="14.4" x14ac:dyDescent="0.3">
      <c r="A2587" s="28" t="str">
        <f>B2587&amp;C2587&amp;D2587&amp;E2587</f>
        <v>Oziq-ovqat mahsulotlariYog'lar va souslarSouslarTomat pastasi</v>
      </c>
      <c r="B2587" s="35" t="s">
        <v>3180</v>
      </c>
      <c r="C2587" s="35" t="s">
        <v>5884</v>
      </c>
      <c r="D2587" s="35" t="s">
        <v>5885</v>
      </c>
      <c r="E2587" s="35" t="s">
        <v>5924</v>
      </c>
      <c r="F2587" s="36">
        <v>0.15</v>
      </c>
      <c r="G2587" s="31"/>
      <c r="H2587" s="31"/>
      <c r="I2587" s="31"/>
      <c r="J2587" s="31"/>
      <c r="K2587" s="31"/>
    </row>
    <row r="2588" spans="1:11" ht="14.4" x14ac:dyDescent="0.3">
      <c r="A2588" s="28" t="str">
        <f>B2588&amp;C2588&amp;D2588&amp;E2588</f>
        <v>Oziq-ovqat mahsulotlariSogʻlom ovqatlanishShakar o'rnini bosuvchilariShakar o'rnini bosuvchilari</v>
      </c>
      <c r="B2588" s="35" t="s">
        <v>3180</v>
      </c>
      <c r="C2588" s="35" t="s">
        <v>5889</v>
      </c>
      <c r="D2588" s="35" t="s">
        <v>5925</v>
      </c>
      <c r="E2588" s="35" t="s">
        <v>5925</v>
      </c>
      <c r="F2588" s="36">
        <v>0.15</v>
      </c>
      <c r="G2588" s="31"/>
      <c r="H2588" s="31"/>
      <c r="I2588" s="31"/>
      <c r="J2588" s="31"/>
      <c r="K2588" s="31"/>
    </row>
    <row r="2589" spans="1:11" ht="14.4" x14ac:dyDescent="0.3">
      <c r="A2589" s="28" t="str">
        <f>B2589&amp;C2589&amp;D2589&amp;E2589</f>
        <v>Oziq-ovqat mahsulotlariSuv, sharbatlar, ichimliklarGazlangan ichimliklarGazlangan ichimliklar</v>
      </c>
      <c r="B2589" s="35" t="s">
        <v>3180</v>
      </c>
      <c r="C2589" s="35" t="s">
        <v>5893</v>
      </c>
      <c r="D2589" s="35" t="s">
        <v>5926</v>
      </c>
      <c r="E2589" s="35" t="s">
        <v>5926</v>
      </c>
      <c r="F2589" s="36">
        <v>0.15</v>
      </c>
      <c r="G2589" s="31"/>
      <c r="H2589" s="31"/>
      <c r="I2589" s="31"/>
      <c r="J2589" s="31"/>
      <c r="K2589" s="31"/>
    </row>
    <row r="2590" spans="1:11" ht="14.4" x14ac:dyDescent="0.3">
      <c r="A2590" s="28" t="str">
        <f>B2590&amp;C2590&amp;D2590&amp;E2590</f>
        <v>Oziq-ovqat mahsulotlariZiravorlarZiravorlarZiravorlar</v>
      </c>
      <c r="B2590" s="35" t="s">
        <v>3180</v>
      </c>
      <c r="C2590" s="35" t="s">
        <v>5903</v>
      </c>
      <c r="D2590" s="35" t="s">
        <v>5903</v>
      </c>
      <c r="E2590" s="35" t="s">
        <v>5903</v>
      </c>
      <c r="F2590" s="36">
        <v>0.15</v>
      </c>
      <c r="G2590" s="31"/>
      <c r="H2590" s="31"/>
      <c r="I2590" s="31"/>
      <c r="J2590" s="31"/>
      <c r="K2590" s="31"/>
    </row>
    <row r="2591" spans="1:11" ht="14.4" x14ac:dyDescent="0.3">
      <c r="A2591" s="28" t="str">
        <f>B2591&amp;C2591&amp;D2591&amp;E2591</f>
        <v>Oziq-ovqat mahsulotlariAsal, murabbo, shirin konservalarQuyultirilgan sutQuyultirilgan sut</v>
      </c>
      <c r="B2591" s="35" t="s">
        <v>3180</v>
      </c>
      <c r="C2591" s="35" t="s">
        <v>5904</v>
      </c>
      <c r="D2591" s="35" t="s">
        <v>5927</v>
      </c>
      <c r="E2591" s="35" t="s">
        <v>5927</v>
      </c>
      <c r="F2591" s="36">
        <v>0.15</v>
      </c>
      <c r="G2591" s="31"/>
      <c r="H2591" s="31"/>
      <c r="I2591" s="31"/>
      <c r="J2591" s="31"/>
      <c r="K2591" s="31"/>
    </row>
    <row r="2592" spans="1:11" ht="14.4" x14ac:dyDescent="0.3">
      <c r="A2592" s="28" t="str">
        <f>B2592&amp;C2592&amp;D2592&amp;E2592</f>
        <v>Oziq-ovqat mahsulotlariKonservalarKonservalangan ovqatlarKonservalangan ovqatlar</v>
      </c>
      <c r="B2592" s="35" t="s">
        <v>3180</v>
      </c>
      <c r="C2592" s="35" t="s">
        <v>5908</v>
      </c>
      <c r="D2592" s="35" t="s">
        <v>5928</v>
      </c>
      <c r="E2592" s="35" t="s">
        <v>5928</v>
      </c>
      <c r="F2592" s="36">
        <v>0.15</v>
      </c>
      <c r="G2592" s="31"/>
      <c r="H2592" s="31"/>
      <c r="I2592" s="31"/>
      <c r="J2592" s="31"/>
      <c r="K2592" s="31"/>
    </row>
    <row r="2593" spans="1:11" ht="14.4" x14ac:dyDescent="0.3">
      <c r="A2593" s="28" t="str">
        <f>B2593&amp;C2593&amp;D2593&amp;E2593</f>
        <v>Oziq-ovqat mahsulotlariKonservalarSabzavotli ikra va gazaklarSabzavotli ikra va gazaklar</v>
      </c>
      <c r="B2593" s="35" t="s">
        <v>3180</v>
      </c>
      <c r="C2593" s="35" t="s">
        <v>5908</v>
      </c>
      <c r="D2593" s="35" t="s">
        <v>5929</v>
      </c>
      <c r="E2593" s="35" t="s">
        <v>5929</v>
      </c>
      <c r="F2593" s="36">
        <v>0.15</v>
      </c>
      <c r="G2593" s="31"/>
      <c r="H2593" s="31"/>
      <c r="I2593" s="31"/>
      <c r="J2593" s="31"/>
      <c r="K2593" s="31"/>
    </row>
    <row r="2594" spans="1:11" ht="14.4" x14ac:dyDescent="0.3">
      <c r="A2594" s="28" t="str">
        <f>B2594&amp;C2594&amp;D2594&amp;E2594</f>
        <v>Oziq-ovqat mahsulotlariChoy, qahva, issiq ichimliklarQahvali va sutli ichimliklarQahvali va sutli ichimliklar</v>
      </c>
      <c r="B2594" s="35" t="s">
        <v>3180</v>
      </c>
      <c r="C2594" s="35" t="s">
        <v>5776</v>
      </c>
      <c r="D2594" s="35" t="s">
        <v>5930</v>
      </c>
      <c r="E2594" s="35" t="s">
        <v>5930</v>
      </c>
      <c r="F2594" s="36">
        <v>0.15</v>
      </c>
      <c r="G2594" s="31"/>
      <c r="H2594" s="31"/>
      <c r="I2594" s="31"/>
      <c r="J2594" s="31"/>
      <c r="K2594" s="31"/>
    </row>
    <row r="2595" spans="1:11" ht="14.4" x14ac:dyDescent="0.3">
      <c r="A2595" s="28" t="str">
        <f>B2595&amp;C2595&amp;D2595&amp;E2595</f>
        <v>Oziq-ovqat mahsulotlariSneklarChips, popkornChips, popkorn</v>
      </c>
      <c r="B2595" s="35" t="s">
        <v>3180</v>
      </c>
      <c r="C2595" s="35" t="s">
        <v>5931</v>
      </c>
      <c r="D2595" s="35" t="s">
        <v>5932</v>
      </c>
      <c r="E2595" s="35" t="s">
        <v>5932</v>
      </c>
      <c r="F2595" s="36">
        <v>0.15</v>
      </c>
      <c r="G2595" s="31"/>
      <c r="H2595" s="31"/>
      <c r="I2595" s="31"/>
      <c r="J2595" s="31"/>
      <c r="K2595" s="31"/>
    </row>
    <row r="2596" spans="1:11" ht="14.4" x14ac:dyDescent="0.3">
      <c r="A2596" s="28" t="str">
        <f>B2596&amp;C2596&amp;D2596&amp;E2596</f>
        <v>Oziq-ovqat mahsulotlariYog'lar va souslarYog’larPaxta yog'i</v>
      </c>
      <c r="B2596" s="35" t="s">
        <v>3180</v>
      </c>
      <c r="C2596" s="35" t="s">
        <v>5884</v>
      </c>
      <c r="D2596" s="35" t="s">
        <v>5891</v>
      </c>
      <c r="E2596" s="35" t="s">
        <v>5933</v>
      </c>
      <c r="F2596" s="36">
        <v>0.15</v>
      </c>
      <c r="G2596" s="31"/>
      <c r="H2596" s="31"/>
      <c r="I2596" s="31"/>
      <c r="J2596" s="31"/>
      <c r="K2596" s="31"/>
    </row>
    <row r="2597" spans="1:11" ht="14.4" x14ac:dyDescent="0.3">
      <c r="A2597" s="28" t="str">
        <f>B2597&amp;C2597&amp;D2597&amp;E2597</f>
        <v>Oziq-ovqat mahsulotlariAsal, murabbo, shirin konservalarMurabbo, jemlar va yanchilgan rezavorlarMurabbo, jemlar va yanchilgan rezavorlar</v>
      </c>
      <c r="B2597" s="35" t="s">
        <v>3180</v>
      </c>
      <c r="C2597" s="35" t="s">
        <v>5904</v>
      </c>
      <c r="D2597" s="35" t="s">
        <v>5934</v>
      </c>
      <c r="E2597" s="35" t="s">
        <v>5934</v>
      </c>
      <c r="F2597" s="36">
        <v>0.15</v>
      </c>
      <c r="G2597" s="31"/>
      <c r="H2597" s="31"/>
      <c r="I2597" s="31"/>
      <c r="J2597" s="31"/>
      <c r="K2597" s="31"/>
    </row>
    <row r="2598" spans="1:11" ht="14.4" x14ac:dyDescent="0.3">
      <c r="A2598" s="28" t="str">
        <f>B2598&amp;C2598&amp;D2598&amp;E2598</f>
        <v>Oziq-ovqat mahsulotlariYog'lar va souslarSouslarTeriyaki sousi</v>
      </c>
      <c r="B2598" s="35" t="s">
        <v>3180</v>
      </c>
      <c r="C2598" s="35" t="s">
        <v>5884</v>
      </c>
      <c r="D2598" s="35" t="s">
        <v>5885</v>
      </c>
      <c r="E2598" s="35" t="s">
        <v>5935</v>
      </c>
      <c r="F2598" s="36">
        <v>0.15</v>
      </c>
      <c r="G2598" s="31"/>
      <c r="H2598" s="31"/>
      <c r="I2598" s="31"/>
      <c r="J2598" s="31"/>
      <c r="K2598" s="31"/>
    </row>
    <row r="2599" spans="1:11" ht="14.4" x14ac:dyDescent="0.3">
      <c r="A2599" s="28" t="str">
        <f>B2599&amp;C2599&amp;D2599&amp;E2599</f>
        <v>Oziq-ovqat mahsulotlariUn, shakar va tuzTuzTuz</v>
      </c>
      <c r="B2599" s="35" t="s">
        <v>3180</v>
      </c>
      <c r="C2599" s="35" t="s">
        <v>5936</v>
      </c>
      <c r="D2599" s="35" t="s">
        <v>5937</v>
      </c>
      <c r="E2599" s="35" t="s">
        <v>5937</v>
      </c>
      <c r="F2599" s="36">
        <v>0.15</v>
      </c>
      <c r="G2599" s="31"/>
      <c r="H2599" s="31"/>
      <c r="I2599" s="31"/>
      <c r="J2599" s="31"/>
      <c r="K2599" s="31"/>
    </row>
    <row r="2600" spans="1:11" ht="14.4" x14ac:dyDescent="0.3">
      <c r="A2600" s="28" t="str">
        <f>B2600&amp;C2600&amp;D2600&amp;E2600</f>
        <v>Oziq-ovqat mahsulotlariSneklarSuxarilar, krekerlar, barankalar, sushkalarSuxarilar, krekerlar, barankalar, sushkalar</v>
      </c>
      <c r="B2600" s="35" t="s">
        <v>3180</v>
      </c>
      <c r="C2600" s="35" t="s">
        <v>5931</v>
      </c>
      <c r="D2600" s="35" t="s">
        <v>5938</v>
      </c>
      <c r="E2600" s="35" t="s">
        <v>5938</v>
      </c>
      <c r="F2600" s="36">
        <v>0.15</v>
      </c>
      <c r="G2600" s="31"/>
      <c r="H2600" s="31"/>
      <c r="I2600" s="31"/>
      <c r="J2600" s="31"/>
      <c r="K2600" s="31"/>
    </row>
    <row r="2601" spans="1:11" ht="14.4" x14ac:dyDescent="0.3">
      <c r="A2601" s="28" t="str">
        <f>B2601&amp;C2601&amp;D2601&amp;E2601</f>
        <v>Oziq-ovqat mahsulotlariSuv, sharbatlar, ichimliklarSharbatlar, nektarlar, smuzilarSharbatlar, nektarlar, smuzilar</v>
      </c>
      <c r="B2601" s="35" t="s">
        <v>3180</v>
      </c>
      <c r="C2601" s="35" t="s">
        <v>5893</v>
      </c>
      <c r="D2601" s="35" t="s">
        <v>5939</v>
      </c>
      <c r="E2601" s="35" t="s">
        <v>5939</v>
      </c>
      <c r="F2601" s="36">
        <v>0.15</v>
      </c>
      <c r="G2601" s="31"/>
      <c r="H2601" s="31"/>
      <c r="I2601" s="31"/>
      <c r="J2601" s="31"/>
      <c r="K2601" s="31"/>
    </row>
    <row r="2602" spans="1:11" ht="14.4" x14ac:dyDescent="0.3">
      <c r="A2602" s="28" t="str">
        <f>B2602&amp;C2602&amp;D2602&amp;E2602</f>
        <v>Oziq-ovqat mahsulotlariSogʻlom ovqatlanishBalzamlar, toniklar, eliksirlarBalzamlar, toniklar, eliksirlar</v>
      </c>
      <c r="B2602" s="35" t="s">
        <v>3180</v>
      </c>
      <c r="C2602" s="35" t="s">
        <v>5889</v>
      </c>
      <c r="D2602" s="35" t="s">
        <v>5940</v>
      </c>
      <c r="E2602" s="35" t="s">
        <v>5940</v>
      </c>
      <c r="F2602" s="36">
        <v>0.15</v>
      </c>
      <c r="G2602" s="31"/>
      <c r="H2602" s="31"/>
      <c r="I2602" s="31"/>
      <c r="J2602" s="31"/>
      <c r="K2602" s="31"/>
    </row>
    <row r="2603" spans="1:11" ht="14.4" x14ac:dyDescent="0.3">
      <c r="A2603" s="28" t="str">
        <f>B2603&amp;C2603&amp;D2603&amp;E2603</f>
        <v>Oziq-ovqat mahsulotlariPishiriq va desertlar uchun mahsulotlarOzuqaviy qoʻshimchalarShakar kukuni</v>
      </c>
      <c r="B2603" s="35" t="s">
        <v>3180</v>
      </c>
      <c r="C2603" s="35" t="s">
        <v>5887</v>
      </c>
      <c r="D2603" s="35" t="s">
        <v>5895</v>
      </c>
      <c r="E2603" s="35" t="s">
        <v>5941</v>
      </c>
      <c r="F2603" s="36">
        <v>0.15</v>
      </c>
      <c r="G2603" s="31"/>
      <c r="H2603" s="31"/>
      <c r="I2603" s="31"/>
      <c r="J2603" s="31"/>
      <c r="K2603" s="31"/>
    </row>
    <row r="2604" spans="1:11" ht="14.4" x14ac:dyDescent="0.3">
      <c r="A2604" s="28" t="str">
        <f>B2604&amp;C2604&amp;D2604&amp;E2604</f>
        <v>Oziq-ovqat mahsulotlariSneklarKrekerlarKrekerlar</v>
      </c>
      <c r="B2604" s="35" t="s">
        <v>3180</v>
      </c>
      <c r="C2604" s="35" t="s">
        <v>5931</v>
      </c>
      <c r="D2604" s="35" t="s">
        <v>5942</v>
      </c>
      <c r="E2604" s="35" t="s">
        <v>5942</v>
      </c>
      <c r="F2604" s="36">
        <v>0.15</v>
      </c>
      <c r="G2604" s="31"/>
      <c r="H2604" s="31"/>
      <c r="I2604" s="31"/>
      <c r="J2604" s="31"/>
      <c r="K2604" s="31"/>
    </row>
    <row r="2605" spans="1:11" ht="14.4" x14ac:dyDescent="0.3">
      <c r="A2605" s="28" t="str">
        <f>B2605&amp;C2605&amp;D2605&amp;E2605</f>
        <v>Oziq-ovqat mahsulotlariMakaronlar, yormalar va quruq nonushtalarTez tayyorlanadigan mahsulotlarBo'tqalar</v>
      </c>
      <c r="B2605" s="35" t="s">
        <v>3180</v>
      </c>
      <c r="C2605" s="35" t="s">
        <v>5897</v>
      </c>
      <c r="D2605" s="35" t="s">
        <v>5911</v>
      </c>
      <c r="E2605" s="35" t="s">
        <v>5943</v>
      </c>
      <c r="F2605" s="36">
        <v>0.15</v>
      </c>
      <c r="G2605" s="31"/>
      <c r="H2605" s="31"/>
      <c r="I2605" s="31"/>
      <c r="J2605" s="31"/>
      <c r="K2605" s="31"/>
    </row>
    <row r="2606" spans="1:11" ht="14.4" x14ac:dyDescent="0.3">
      <c r="A2606" s="28" t="str">
        <f>B2606&amp;C2606&amp;D2606&amp;E2606</f>
        <v>Oziq-ovqat mahsulotlariPishiriq va desertlar uchun mahsulotlarDesertlar va pishiriqlar tayyorlash uchun aralashmalarDesertlar va pishiriqlar tayyorlash uchun aralashmalar</v>
      </c>
      <c r="B2606" s="35" t="s">
        <v>3180</v>
      </c>
      <c r="C2606" s="35" t="s">
        <v>5887</v>
      </c>
      <c r="D2606" s="35" t="s">
        <v>5944</v>
      </c>
      <c r="E2606" s="35" t="s">
        <v>5944</v>
      </c>
      <c r="F2606" s="36">
        <v>0.15</v>
      </c>
      <c r="G2606" s="31"/>
      <c r="H2606" s="31"/>
      <c r="I2606" s="31"/>
      <c r="J2606" s="31"/>
      <c r="K2606" s="31"/>
    </row>
    <row r="2607" spans="1:11" ht="14.4" x14ac:dyDescent="0.3">
      <c r="A2607" s="28" t="str">
        <f>B2607&amp;C2607&amp;D2607&amp;E2607</f>
        <v>Oziq-ovqat mahsulotlariYog'lar va souslarSouslarBalsamik sousi</v>
      </c>
      <c r="B2607" s="35" t="s">
        <v>3180</v>
      </c>
      <c r="C2607" s="35" t="s">
        <v>5884</v>
      </c>
      <c r="D2607" s="35" t="s">
        <v>5885</v>
      </c>
      <c r="E2607" s="35" t="s">
        <v>5945</v>
      </c>
      <c r="F2607" s="36">
        <v>0.15</v>
      </c>
      <c r="G2607" s="31"/>
      <c r="H2607" s="31"/>
      <c r="I2607" s="31"/>
      <c r="J2607" s="31"/>
      <c r="K2607" s="31"/>
    </row>
    <row r="2608" spans="1:11" ht="14.4" x14ac:dyDescent="0.3">
      <c r="A2608" s="28" t="str">
        <f>B2608&amp;C2608&amp;D2608&amp;E2608</f>
        <v>Oziq-ovqat mahsulotlariKonservalarKonservalangan sabzavotlarKonservalangan sabzavotlar</v>
      </c>
      <c r="B2608" s="35" t="s">
        <v>3180</v>
      </c>
      <c r="C2608" s="35" t="s">
        <v>5908</v>
      </c>
      <c r="D2608" s="35" t="s">
        <v>5946</v>
      </c>
      <c r="E2608" s="35" t="s">
        <v>5946</v>
      </c>
      <c r="F2608" s="36">
        <v>0.15</v>
      </c>
      <c r="G2608" s="31"/>
      <c r="H2608" s="31"/>
      <c r="I2608" s="31"/>
      <c r="J2608" s="31"/>
      <c r="K2608" s="31"/>
    </row>
    <row r="2609" spans="1:11" ht="14.4" x14ac:dyDescent="0.3">
      <c r="A2609" s="28" t="str">
        <f>B2609&amp;C2609&amp;D2609&amp;E2609</f>
        <v>Oziq-ovqat mahsulotlariYog'lar va souslarSouslarSoya sousi</v>
      </c>
      <c r="B2609" s="35" t="s">
        <v>3180</v>
      </c>
      <c r="C2609" s="35" t="s">
        <v>5884</v>
      </c>
      <c r="D2609" s="35" t="s">
        <v>5885</v>
      </c>
      <c r="E2609" s="35" t="s">
        <v>5947</v>
      </c>
      <c r="F2609" s="36">
        <v>0.15</v>
      </c>
      <c r="G2609" s="31"/>
      <c r="H2609" s="31"/>
      <c r="I2609" s="31"/>
      <c r="J2609" s="31"/>
      <c r="K2609" s="31"/>
    </row>
    <row r="2610" spans="1:11" ht="14.4" x14ac:dyDescent="0.3">
      <c r="A2610" s="28" t="str">
        <f>B2610&amp;C2610&amp;D2610&amp;E2610</f>
        <v>Oziq-ovqat mahsulotlariYog'lar va souslarSouslarPesto sousi</v>
      </c>
      <c r="B2610" s="35" t="s">
        <v>3180</v>
      </c>
      <c r="C2610" s="35" t="s">
        <v>5884</v>
      </c>
      <c r="D2610" s="35" t="s">
        <v>5885</v>
      </c>
      <c r="E2610" s="35" t="s">
        <v>5948</v>
      </c>
      <c r="F2610" s="36">
        <v>0.15</v>
      </c>
      <c r="G2610" s="31"/>
      <c r="H2610" s="31"/>
      <c r="I2610" s="31"/>
      <c r="J2610" s="31"/>
      <c r="K2610" s="31"/>
    </row>
    <row r="2611" spans="1:11" ht="14.4" x14ac:dyDescent="0.3">
      <c r="A2611" s="28" t="str">
        <f>B2611&amp;C2611&amp;D2611&amp;E2611</f>
        <v>Oziq-ovqat mahsulotlariKonservalarKonservalangan baliqlarKonservalangan baliqlar</v>
      </c>
      <c r="B2611" s="35" t="s">
        <v>3180</v>
      </c>
      <c r="C2611" s="35" t="s">
        <v>5908</v>
      </c>
      <c r="D2611" s="35" t="s">
        <v>5949</v>
      </c>
      <c r="E2611" s="35" t="s">
        <v>5949</v>
      </c>
      <c r="F2611" s="36">
        <v>0.15</v>
      </c>
      <c r="G2611" s="31"/>
      <c r="H2611" s="31"/>
      <c r="I2611" s="31"/>
      <c r="J2611" s="31"/>
      <c r="K2611" s="31"/>
    </row>
    <row r="2612" spans="1:11" ht="14.4" x14ac:dyDescent="0.3">
      <c r="A2612" s="28" t="str">
        <f>B2612&amp;C2612&amp;D2612&amp;E2612</f>
        <v>Oziq-ovqat mahsulotlariSogʻlom ovqatlanishQarsildoq nonlarQarsildoq nonlar</v>
      </c>
      <c r="B2612" s="35" t="s">
        <v>3180</v>
      </c>
      <c r="C2612" s="35" t="s">
        <v>5889</v>
      </c>
      <c r="D2612" s="35" t="s">
        <v>5950</v>
      </c>
      <c r="E2612" s="35" t="s">
        <v>5950</v>
      </c>
      <c r="F2612" s="36">
        <v>0.15</v>
      </c>
      <c r="G2612" s="31"/>
      <c r="H2612" s="31"/>
      <c r="I2612" s="31"/>
      <c r="J2612" s="31"/>
      <c r="K2612" s="31"/>
    </row>
    <row r="2613" spans="1:11" ht="14.4" x14ac:dyDescent="0.3">
      <c r="A2613" s="28" t="str">
        <f>B2613&amp;C2613&amp;D2613&amp;E2613</f>
        <v>Oziq-ovqat mahsulotlariShokolad, konfetlar, shirinliklarKraft shokoladlarKraft shokoladlar</v>
      </c>
      <c r="B2613" s="35" t="s">
        <v>3180</v>
      </c>
      <c r="C2613" s="35" t="s">
        <v>5503</v>
      </c>
      <c r="D2613" s="35" t="s">
        <v>5951</v>
      </c>
      <c r="E2613" s="35" t="s">
        <v>5951</v>
      </c>
      <c r="F2613" s="36">
        <v>0.15</v>
      </c>
      <c r="G2613" s="31"/>
      <c r="H2613" s="31"/>
      <c r="I2613" s="31"/>
      <c r="J2613" s="31"/>
      <c r="K2613" s="31"/>
    </row>
    <row r="2614" spans="1:11" ht="14.4" x14ac:dyDescent="0.3">
      <c r="A2614" s="28" t="str">
        <f>B2614&amp;C2614&amp;D2614&amp;E2614</f>
        <v>Oziq-ovqat mahsulotlariAsal, murabbo, shirin konservalarAsal va asalarichilik mahsulotlariGulchanglar</v>
      </c>
      <c r="B2614" s="35" t="s">
        <v>3180</v>
      </c>
      <c r="C2614" s="35" t="s">
        <v>5904</v>
      </c>
      <c r="D2614" s="35" t="s">
        <v>5921</v>
      </c>
      <c r="E2614" s="35" t="s">
        <v>5952</v>
      </c>
      <c r="F2614" s="36">
        <v>0.15</v>
      </c>
      <c r="G2614" s="31"/>
      <c r="H2614" s="31"/>
      <c r="I2614" s="31"/>
      <c r="J2614" s="31"/>
      <c r="K2614" s="31"/>
    </row>
    <row r="2615" spans="1:11" ht="14.4" x14ac:dyDescent="0.3">
      <c r="A2615" s="28" t="str">
        <f>B2615&amp;C2615&amp;D2615&amp;E2615</f>
        <v>Oziq-ovqat mahsulotlariYongʻoqlar, quritilgan mevalar, pistalarPistalarPistalar</v>
      </c>
      <c r="B2615" s="35" t="s">
        <v>3180</v>
      </c>
      <c r="C2615" s="35" t="s">
        <v>5900</v>
      </c>
      <c r="D2615" s="35" t="s">
        <v>5953</v>
      </c>
      <c r="E2615" s="35" t="s">
        <v>5953</v>
      </c>
      <c r="F2615" s="36">
        <v>0.15</v>
      </c>
      <c r="G2615" s="31"/>
      <c r="H2615" s="31"/>
      <c r="I2615" s="31"/>
      <c r="J2615" s="31"/>
      <c r="K2615" s="31"/>
    </row>
    <row r="2616" spans="1:11" ht="14.4" x14ac:dyDescent="0.3">
      <c r="A2616" s="28" t="str">
        <f>B2616&amp;C2616&amp;D2616&amp;E2616</f>
        <v>Oziq-ovqat mahsulotlariYog'lar va souslarSouslarSirka</v>
      </c>
      <c r="B2616" s="35" t="s">
        <v>3180</v>
      </c>
      <c r="C2616" s="35" t="s">
        <v>5884</v>
      </c>
      <c r="D2616" s="35" t="s">
        <v>5885</v>
      </c>
      <c r="E2616" s="35" t="s">
        <v>5954</v>
      </c>
      <c r="F2616" s="36">
        <v>0.15</v>
      </c>
      <c r="G2616" s="31"/>
      <c r="H2616" s="31"/>
      <c r="I2616" s="31"/>
      <c r="J2616" s="31"/>
      <c r="K2616" s="31"/>
    </row>
    <row r="2617" spans="1:11" ht="14.4" x14ac:dyDescent="0.3">
      <c r="A2617" s="28" t="str">
        <f>B2617&amp;C2617&amp;D2617&amp;E2617</f>
        <v>Oziq-ovqat mahsulotlariPishiriq va desertlar uchun mahsulotlarOzuqaviy qoʻshimchalarOzuqaviy bo'yoqlar va aromatizatorlar</v>
      </c>
      <c r="B2617" s="35" t="s">
        <v>3180</v>
      </c>
      <c r="C2617" s="35" t="s">
        <v>5887</v>
      </c>
      <c r="D2617" s="35" t="s">
        <v>5895</v>
      </c>
      <c r="E2617" s="35" t="s">
        <v>5955</v>
      </c>
      <c r="F2617" s="36">
        <v>0.15</v>
      </c>
      <c r="G2617" s="31"/>
      <c r="H2617" s="31"/>
      <c r="I2617" s="31"/>
      <c r="J2617" s="31"/>
      <c r="K2617" s="31"/>
    </row>
    <row r="2618" spans="1:11" ht="14.4" x14ac:dyDescent="0.3">
      <c r="A2618" s="28" t="str">
        <f>B2618&amp;C2618&amp;D2618&amp;E2618</f>
        <v>Oziq-ovqat mahsulotlariYog'lar va souslarSouslarSouslar</v>
      </c>
      <c r="B2618" s="35" t="s">
        <v>3180</v>
      </c>
      <c r="C2618" s="35" t="s">
        <v>5884</v>
      </c>
      <c r="D2618" s="35" t="s">
        <v>5885</v>
      </c>
      <c r="E2618" s="35" t="s">
        <v>5885</v>
      </c>
      <c r="F2618" s="36">
        <v>0.15</v>
      </c>
      <c r="G2618" s="31"/>
      <c r="H2618" s="31"/>
      <c r="I2618" s="31"/>
      <c r="J2618" s="31"/>
      <c r="K2618" s="31"/>
    </row>
    <row r="2619" spans="1:11" ht="14.4" x14ac:dyDescent="0.3">
      <c r="A2619" s="28" t="str">
        <f>B2619&amp;C2619&amp;D2619&amp;E2619</f>
        <v>Oziq-ovqat mahsulotlariYog'lar va souslarSouslarKetchup</v>
      </c>
      <c r="B2619" s="35" t="s">
        <v>3180</v>
      </c>
      <c r="C2619" s="35" t="s">
        <v>5884</v>
      </c>
      <c r="D2619" s="35" t="s">
        <v>5885</v>
      </c>
      <c r="E2619" s="35" t="s">
        <v>5956</v>
      </c>
      <c r="F2619" s="36">
        <v>0.15</v>
      </c>
      <c r="G2619" s="31"/>
      <c r="H2619" s="31"/>
      <c r="I2619" s="31"/>
      <c r="J2619" s="31"/>
      <c r="K2619" s="31"/>
    </row>
    <row r="2620" spans="1:11" ht="14.4" x14ac:dyDescent="0.3">
      <c r="A2620" s="28" t="str">
        <f>B2620&amp;C2620&amp;D2620&amp;E2620</f>
        <v>Oziq-ovqat mahsulotlariYog'lar va souslarSouslarChili sousi</v>
      </c>
      <c r="B2620" s="35" t="s">
        <v>3180</v>
      </c>
      <c r="C2620" s="35" t="s">
        <v>5884</v>
      </c>
      <c r="D2620" s="35" t="s">
        <v>5885</v>
      </c>
      <c r="E2620" s="35" t="s">
        <v>5957</v>
      </c>
      <c r="F2620" s="36">
        <v>0.15</v>
      </c>
      <c r="G2620" s="31"/>
      <c r="H2620" s="31"/>
      <c r="I2620" s="31"/>
      <c r="J2620" s="31"/>
      <c r="K2620" s="31"/>
    </row>
    <row r="2621" spans="1:11" ht="14.4" x14ac:dyDescent="0.3">
      <c r="A2621" s="28" t="str">
        <f>B2621&amp;C2621&amp;D2621&amp;E2621</f>
        <v>Oziq-ovqat mahsulotlariMakaronlar, yormalar va quruq nonushtalarTez tayyorlanadigan mahsulotlarLapsha va kartoshka pyuresi</v>
      </c>
      <c r="B2621" s="35" t="s">
        <v>3180</v>
      </c>
      <c r="C2621" s="35" t="s">
        <v>5897</v>
      </c>
      <c r="D2621" s="35" t="s">
        <v>5911</v>
      </c>
      <c r="E2621" s="35" t="s">
        <v>5958</v>
      </c>
      <c r="F2621" s="36">
        <v>0.15</v>
      </c>
      <c r="G2621" s="31"/>
      <c r="H2621" s="31"/>
      <c r="I2621" s="31"/>
      <c r="J2621" s="31"/>
      <c r="K2621" s="31"/>
    </row>
    <row r="2622" spans="1:11" ht="14.4" x14ac:dyDescent="0.3">
      <c r="A2622" s="28" t="str">
        <f>B2622&amp;C2622&amp;D2622&amp;E2622</f>
        <v>Oziq-ovqat mahsulotlariSuv, sharbatlar, ichimliklarSuvSuv</v>
      </c>
      <c r="B2622" s="35" t="s">
        <v>3180</v>
      </c>
      <c r="C2622" s="35" t="s">
        <v>5893</v>
      </c>
      <c r="D2622" s="35" t="s">
        <v>5959</v>
      </c>
      <c r="E2622" s="35" t="s">
        <v>5959</v>
      </c>
      <c r="F2622" s="36">
        <v>0.15</v>
      </c>
      <c r="G2622" s="31"/>
      <c r="H2622" s="31"/>
      <c r="I2622" s="31"/>
      <c r="J2622" s="31"/>
      <c r="K2622" s="31"/>
    </row>
    <row r="2623" spans="1:11" ht="14.4" x14ac:dyDescent="0.3">
      <c r="A2623" s="28" t="str">
        <f>B2623&amp;C2623&amp;D2623&amp;E2623</f>
        <v>Oziq-ovqat mahsulotlariPishiriq va desertlar uchun mahsulotlarOzuqaviy qoʻshimchalarPishirish soda</v>
      </c>
      <c r="B2623" s="35" t="s">
        <v>3180</v>
      </c>
      <c r="C2623" s="35" t="s">
        <v>5887</v>
      </c>
      <c r="D2623" s="35" t="s">
        <v>5895</v>
      </c>
      <c r="E2623" s="35" t="s">
        <v>5960</v>
      </c>
      <c r="F2623" s="36">
        <v>0.15</v>
      </c>
      <c r="G2623" s="31"/>
      <c r="H2623" s="31"/>
      <c r="I2623" s="31"/>
      <c r="J2623" s="31"/>
      <c r="K2623" s="31"/>
    </row>
    <row r="2624" spans="1:11" ht="14.4" x14ac:dyDescent="0.3">
      <c r="A2624" s="28" t="str">
        <f>B2624&amp;C2624&amp;D2624&amp;E2624</f>
        <v>Oziq-ovqat mahsulotlariYog'lar va souslarYog’larYog’lar</v>
      </c>
      <c r="B2624" s="35" t="s">
        <v>3180</v>
      </c>
      <c r="C2624" s="35" t="s">
        <v>5884</v>
      </c>
      <c r="D2624" s="35" t="s">
        <v>5891</v>
      </c>
      <c r="E2624" s="35" t="s">
        <v>5891</v>
      </c>
      <c r="F2624" s="36">
        <v>0.15</v>
      </c>
      <c r="G2624" s="31"/>
      <c r="H2624" s="31"/>
      <c r="I2624" s="31"/>
      <c r="J2624" s="31"/>
      <c r="K2624" s="31"/>
    </row>
    <row r="2625" spans="1:11" ht="14.4" x14ac:dyDescent="0.3">
      <c r="A2625" s="28" t="str">
        <f>B2625&amp;C2625&amp;D2625&amp;E2625</f>
        <v>Oziq-ovqat mahsulotlariUn, shakar va tuzUnUn</v>
      </c>
      <c r="B2625" s="35" t="s">
        <v>3180</v>
      </c>
      <c r="C2625" s="35" t="s">
        <v>5936</v>
      </c>
      <c r="D2625" s="35" t="s">
        <v>5961</v>
      </c>
      <c r="E2625" s="35" t="s">
        <v>5961</v>
      </c>
      <c r="F2625" s="36">
        <v>0.15</v>
      </c>
      <c r="G2625" s="31"/>
      <c r="H2625" s="31"/>
      <c r="I2625" s="31"/>
      <c r="J2625" s="31"/>
      <c r="K2625" s="31"/>
    </row>
    <row r="2626" spans="1:11" ht="14.4" x14ac:dyDescent="0.3">
      <c r="A2626" s="28" t="str">
        <f>B2626&amp;C2626&amp;D2626&amp;E2626</f>
        <v>Oziq-ovqat mahsulotlariMakaronlar, yormalar va quruq nonushtalarQuruq nonushtaTayyor nonushtalar</v>
      </c>
      <c r="B2626" s="35" t="s">
        <v>3180</v>
      </c>
      <c r="C2626" s="35" t="s">
        <v>5897</v>
      </c>
      <c r="D2626" s="35" t="s">
        <v>5898</v>
      </c>
      <c r="E2626" s="35" t="s">
        <v>5962</v>
      </c>
      <c r="F2626" s="36">
        <v>0.15</v>
      </c>
      <c r="G2626" s="31"/>
      <c r="H2626" s="31"/>
      <c r="I2626" s="31"/>
      <c r="J2626" s="31"/>
      <c r="K2626" s="31"/>
    </row>
    <row r="2627" spans="1:11" ht="14.4" x14ac:dyDescent="0.3">
      <c r="A2627" s="28" t="str">
        <f>B2627&amp;C2627&amp;D2627&amp;E2627</f>
        <v>Oziq-ovqat mahsulotlariChoy, qahva, issiq ichimliklarChoy to'plamlariChoy to'plamlari</v>
      </c>
      <c r="B2627" s="35" t="s">
        <v>3180</v>
      </c>
      <c r="C2627" s="35" t="s">
        <v>5776</v>
      </c>
      <c r="D2627" s="35" t="s">
        <v>5963</v>
      </c>
      <c r="E2627" s="35" t="s">
        <v>5963</v>
      </c>
      <c r="F2627" s="36">
        <v>0.15</v>
      </c>
      <c r="G2627" s="31"/>
      <c r="H2627" s="31"/>
      <c r="I2627" s="31"/>
      <c r="J2627" s="31"/>
      <c r="K2627" s="31"/>
    </row>
    <row r="2628" spans="1:11" ht="14.4" x14ac:dyDescent="0.3">
      <c r="A2628" s="28" t="str">
        <f>B2628&amp;C2628&amp;D2628&amp;E2628</f>
        <v>Oziq-ovqat mahsulotlariYog'lar va souslarSouslarPishloq sousi</v>
      </c>
      <c r="B2628" s="35" t="s">
        <v>3180</v>
      </c>
      <c r="C2628" s="35" t="s">
        <v>5884</v>
      </c>
      <c r="D2628" s="35" t="s">
        <v>5885</v>
      </c>
      <c r="E2628" s="35" t="s">
        <v>5964</v>
      </c>
      <c r="F2628" s="36">
        <v>0.15</v>
      </c>
      <c r="G2628" s="31"/>
      <c r="H2628" s="31"/>
      <c r="I2628" s="31"/>
      <c r="J2628" s="31"/>
      <c r="K2628" s="31"/>
    </row>
    <row r="2629" spans="1:11" ht="14.4" x14ac:dyDescent="0.3">
      <c r="A2629" s="28" t="str">
        <f>B2629&amp;C2629&amp;D2629&amp;E2629</f>
        <v>Oziq-ovqat mahsulotlariSogʻlom ovqatlanishSuperfudlarSuperfudlar</v>
      </c>
      <c r="B2629" s="35" t="s">
        <v>3180</v>
      </c>
      <c r="C2629" s="35" t="s">
        <v>5889</v>
      </c>
      <c r="D2629" s="35" t="s">
        <v>5965</v>
      </c>
      <c r="E2629" s="35" t="s">
        <v>5965</v>
      </c>
      <c r="F2629" s="36">
        <v>0.15</v>
      </c>
      <c r="G2629" s="31"/>
      <c r="H2629" s="31"/>
      <c r="I2629" s="31"/>
      <c r="J2629" s="31"/>
      <c r="K2629" s="31"/>
    </row>
    <row r="2630" spans="1:11" ht="14.4" x14ac:dyDescent="0.3">
      <c r="A2630" s="28" t="str">
        <f>B2630&amp;C2630&amp;D2630&amp;E2630</f>
        <v>Oziq-ovqat mahsulotlariSuv, sharbatlar, ichimliklarEnergetik ichimliklarEnergetik ichimliklar</v>
      </c>
      <c r="B2630" s="35" t="s">
        <v>3180</v>
      </c>
      <c r="C2630" s="35" t="s">
        <v>5893</v>
      </c>
      <c r="D2630" s="35" t="s">
        <v>5966</v>
      </c>
      <c r="E2630" s="35" t="s">
        <v>5966</v>
      </c>
      <c r="F2630" s="36">
        <v>0.15</v>
      </c>
      <c r="G2630" s="31"/>
      <c r="H2630" s="31"/>
      <c r="I2630" s="31"/>
      <c r="J2630" s="31"/>
      <c r="K2630" s="31"/>
    </row>
    <row r="2631" spans="1:11" ht="14.4" x14ac:dyDescent="0.3">
      <c r="A2631" s="28" t="str">
        <f>B2631&amp;C2631&amp;D2631&amp;E2631</f>
        <v>Oziq-ovqat mahsulotlariYog'lar va souslarYog’larKungaboqar yog'i</v>
      </c>
      <c r="B2631" s="35" t="s">
        <v>3180</v>
      </c>
      <c r="C2631" s="35" t="s">
        <v>5884</v>
      </c>
      <c r="D2631" s="35" t="s">
        <v>5891</v>
      </c>
      <c r="E2631" s="35" t="s">
        <v>5967</v>
      </c>
      <c r="F2631" s="36">
        <v>0.15</v>
      </c>
      <c r="G2631" s="31"/>
      <c r="H2631" s="31"/>
      <c r="I2631" s="31"/>
      <c r="J2631" s="31"/>
      <c r="K2631" s="31"/>
    </row>
    <row r="2632" spans="1:11" ht="14.4" x14ac:dyDescent="0.3">
      <c r="A2632" s="28" t="str">
        <f>B2632&amp;C2632&amp;D2632&amp;E2632</f>
        <v>Oziq-ovqat mahsulotlariAsal, murabbo, shirin konservalarAsal va asalarichilik mahsulotlariAsal</v>
      </c>
      <c r="B2632" s="35" t="s">
        <v>3180</v>
      </c>
      <c r="C2632" s="35" t="s">
        <v>5904</v>
      </c>
      <c r="D2632" s="35" t="s">
        <v>5921</v>
      </c>
      <c r="E2632" s="35" t="s">
        <v>5968</v>
      </c>
      <c r="F2632" s="36">
        <v>0.15</v>
      </c>
      <c r="G2632" s="31"/>
      <c r="H2632" s="31"/>
      <c r="I2632" s="31"/>
      <c r="J2632" s="31"/>
      <c r="K2632" s="31"/>
    </row>
    <row r="2633" spans="1:11" ht="14.4" x14ac:dyDescent="0.3">
      <c r="A2633" s="28" t="str">
        <f>B2633&amp;C2633&amp;D2633&amp;E2633</f>
        <v>Oziq-ovqat mahsulotlariYog'lar va souslarYog’larKenevir yog'i</v>
      </c>
      <c r="B2633" s="35" t="s">
        <v>3180</v>
      </c>
      <c r="C2633" s="35" t="s">
        <v>5884</v>
      </c>
      <c r="D2633" s="35" t="s">
        <v>5891</v>
      </c>
      <c r="E2633" s="35" t="s">
        <v>5969</v>
      </c>
      <c r="F2633" s="36">
        <v>0.15</v>
      </c>
      <c r="G2633" s="31"/>
      <c r="H2633" s="31"/>
      <c r="I2633" s="31"/>
      <c r="J2633" s="31"/>
      <c r="K2633" s="31"/>
    </row>
    <row r="2634" spans="1:11" ht="14.4" x14ac:dyDescent="0.3">
      <c r="A2634" s="28" t="str">
        <f>B2634&amp;C2634&amp;D2634&amp;E2634</f>
        <v>Qurilish va taʼmirlashAsboblarElektr asboblarElektr asboblar to'plami</v>
      </c>
      <c r="B2634" s="35" t="s">
        <v>3184</v>
      </c>
      <c r="C2634" s="35" t="s">
        <v>4048</v>
      </c>
      <c r="D2634" s="35" t="s">
        <v>5970</v>
      </c>
      <c r="E2634" s="35" t="s">
        <v>5971</v>
      </c>
      <c r="F2634" s="36">
        <v>0.15</v>
      </c>
      <c r="G2634" s="31"/>
      <c r="H2634" s="31"/>
      <c r="I2634" s="31"/>
      <c r="J2634" s="31"/>
      <c r="K2634" s="31"/>
    </row>
    <row r="2635" spans="1:11" ht="14.4" x14ac:dyDescent="0.3">
      <c r="A2635" s="28" t="str">
        <f>B2635&amp;C2635&amp;D2635&amp;E2635</f>
        <v>Qurilish va taʼmirlashAsboblarAkkumulyatorlar va zaryadlovchi qurilmalarAkkumulyatorlar</v>
      </c>
      <c r="B2635" s="35" t="s">
        <v>3184</v>
      </c>
      <c r="C2635" s="35" t="s">
        <v>4048</v>
      </c>
      <c r="D2635" s="35" t="s">
        <v>5972</v>
      </c>
      <c r="E2635" s="35" t="s">
        <v>3363</v>
      </c>
      <c r="F2635" s="36">
        <v>0.15</v>
      </c>
      <c r="G2635" s="31"/>
      <c r="H2635" s="31"/>
      <c r="I2635" s="31"/>
      <c r="J2635" s="31"/>
      <c r="K2635" s="31"/>
    </row>
    <row r="2636" spans="1:11" ht="14.4" x14ac:dyDescent="0.3">
      <c r="A2636" s="28" t="str">
        <f>B2636&amp;C2636&amp;D2636&amp;E2636</f>
        <v>Qurilish va taʼmirlashAsboblarElektr asboblarGayka burgichlar</v>
      </c>
      <c r="B2636" s="35" t="s">
        <v>3184</v>
      </c>
      <c r="C2636" s="35" t="s">
        <v>4048</v>
      </c>
      <c r="D2636" s="35" t="s">
        <v>5970</v>
      </c>
      <c r="E2636" s="35" t="s">
        <v>5973</v>
      </c>
      <c r="F2636" s="36">
        <v>0.15</v>
      </c>
      <c r="G2636" s="31"/>
      <c r="H2636" s="31"/>
      <c r="I2636" s="31"/>
      <c r="J2636" s="31"/>
      <c r="K2636" s="31"/>
    </row>
    <row r="2637" spans="1:11" ht="14.4" x14ac:dyDescent="0.3">
      <c r="A2637" s="28" t="str">
        <f>B2637&amp;C2637&amp;D2637&amp;E2637</f>
        <v>Qurilish va taʼmirlashAsboblarPayvandlash uskunalariQuvurlarni payvandlash mashinalari</v>
      </c>
      <c r="B2637" s="35" t="s">
        <v>3184</v>
      </c>
      <c r="C2637" s="35" t="s">
        <v>4048</v>
      </c>
      <c r="D2637" s="35" t="s">
        <v>4074</v>
      </c>
      <c r="E2637" s="35" t="s">
        <v>5974</v>
      </c>
      <c r="F2637" s="36">
        <v>0.15</v>
      </c>
      <c r="G2637" s="31"/>
      <c r="H2637" s="31"/>
      <c r="I2637" s="31"/>
      <c r="J2637" s="31"/>
      <c r="K2637" s="31"/>
    </row>
    <row r="2638" spans="1:11" ht="14.4" x14ac:dyDescent="0.3">
      <c r="A2638" s="28" t="str">
        <f>B2638&amp;C2638&amp;D2638&amp;E2638</f>
        <v>Qurilish va taʼmirlashElektrikaBatareyalarBatareyalar</v>
      </c>
      <c r="B2638" s="35" t="s">
        <v>3184</v>
      </c>
      <c r="C2638" s="35" t="s">
        <v>3461</v>
      </c>
      <c r="D2638" s="35" t="s">
        <v>5975</v>
      </c>
      <c r="E2638" s="35" t="s">
        <v>5975</v>
      </c>
      <c r="F2638" s="36">
        <v>0.15</v>
      </c>
      <c r="G2638" s="31"/>
      <c r="H2638" s="31"/>
      <c r="I2638" s="31"/>
      <c r="J2638" s="31"/>
      <c r="K2638" s="31"/>
    </row>
    <row r="2639" spans="1:11" ht="14.4" x14ac:dyDescent="0.3">
      <c r="A2639" s="28" t="str">
        <f>B2639&amp;C2639&amp;D2639&amp;E2639</f>
        <v>Qurilish va taʼmirlashAsboblarElektr asboblarShurup buragichlar</v>
      </c>
      <c r="B2639" s="35" t="s">
        <v>3184</v>
      </c>
      <c r="C2639" s="35" t="s">
        <v>4048</v>
      </c>
      <c r="D2639" s="35" t="s">
        <v>5970</v>
      </c>
      <c r="E2639" s="35" t="s">
        <v>5976</v>
      </c>
      <c r="F2639" s="36">
        <v>0.15</v>
      </c>
      <c r="G2639" s="31"/>
      <c r="H2639" s="31"/>
      <c r="I2639" s="31"/>
      <c r="J2639" s="31"/>
      <c r="K2639" s="31"/>
    </row>
    <row r="2640" spans="1:11" ht="14.4" x14ac:dyDescent="0.3">
      <c r="A2640" s="28" t="str">
        <f>B2640&amp;C2640&amp;D2640&amp;E2640</f>
        <v>Qurilish va taʼmirlashUy va bogʻ uchun suv taʼminotiBosimni oshirish uchunBosimni oshirish uchun</v>
      </c>
      <c r="B2640" s="35" t="s">
        <v>3184</v>
      </c>
      <c r="C2640" s="35" t="s">
        <v>3463</v>
      </c>
      <c r="D2640" s="35" t="s">
        <v>5977</v>
      </c>
      <c r="E2640" s="35" t="s">
        <v>5977</v>
      </c>
      <c r="F2640" s="36">
        <v>0.15</v>
      </c>
      <c r="G2640" s="31"/>
      <c r="H2640" s="31"/>
      <c r="I2640" s="31"/>
      <c r="J2640" s="31"/>
      <c r="K2640" s="31"/>
    </row>
    <row r="2641" spans="1:11" ht="14.4" x14ac:dyDescent="0.3">
      <c r="A2641" s="28" t="str">
        <f>B2641&amp;C2641&amp;D2641&amp;E2641</f>
        <v>Qurilish va taʼmirlashAsboblarElektr asboblarAkkumulyatorli otvyortkalar</v>
      </c>
      <c r="B2641" s="35" t="s">
        <v>3184</v>
      </c>
      <c r="C2641" s="35" t="s">
        <v>4048</v>
      </c>
      <c r="D2641" s="35" t="s">
        <v>5970</v>
      </c>
      <c r="E2641" s="35" t="s">
        <v>5978</v>
      </c>
      <c r="F2641" s="36">
        <v>0.15</v>
      </c>
      <c r="G2641" s="31"/>
      <c r="H2641" s="31"/>
      <c r="I2641" s="31"/>
      <c r="J2641" s="31"/>
      <c r="K2641" s="31"/>
    </row>
    <row r="2642" spans="1:11" ht="14.4" x14ac:dyDescent="0.3">
      <c r="A2642" s="28" t="str">
        <f>B2642&amp;C2642&amp;D2642&amp;E2642</f>
        <v>Qurilish va taʼmirlashElektrikaRozetkalar va viklyuchatellarRozetkalar va viklyuchatellar</v>
      </c>
      <c r="B2642" s="35" t="s">
        <v>3184</v>
      </c>
      <c r="C2642" s="35" t="s">
        <v>3461</v>
      </c>
      <c r="D2642" s="35" t="s">
        <v>5979</v>
      </c>
      <c r="E2642" s="35" t="s">
        <v>5979</v>
      </c>
      <c r="F2642" s="36">
        <v>0.15</v>
      </c>
      <c r="G2642" s="31"/>
      <c r="H2642" s="31"/>
      <c r="I2642" s="31"/>
      <c r="J2642" s="31"/>
      <c r="K2642" s="31"/>
    </row>
    <row r="2643" spans="1:11" ht="14.4" x14ac:dyDescent="0.3">
      <c r="A2643" s="28" t="str">
        <f>B2643&amp;C2643&amp;D2643&amp;E2643</f>
        <v>Qurilish va taʼmirlashElektrikaElektrmontaj uchun tovarlarElektrmontaj uchun tovarlar</v>
      </c>
      <c r="B2643" s="35" t="s">
        <v>3184</v>
      </c>
      <c r="C2643" s="35" t="s">
        <v>3461</v>
      </c>
      <c r="D2643" s="35" t="s">
        <v>5980</v>
      </c>
      <c r="E2643" s="35" t="s">
        <v>5980</v>
      </c>
      <c r="F2643" s="36">
        <v>0.15</v>
      </c>
      <c r="G2643" s="31"/>
      <c r="H2643" s="31"/>
      <c r="I2643" s="31"/>
      <c r="J2643" s="31"/>
      <c r="K2643" s="31"/>
    </row>
    <row r="2644" spans="1:11" ht="14.4" x14ac:dyDescent="0.3">
      <c r="A2644" s="28" t="str">
        <f>B2644&amp;C2644&amp;D2644&amp;E2644</f>
        <v>Qurilish va taʼmirlashAsboblarKesish va arralash asboblariElektr- va benzinli zanjirli arralar</v>
      </c>
      <c r="B2644" s="35" t="s">
        <v>3184</v>
      </c>
      <c r="C2644" s="35" t="s">
        <v>4048</v>
      </c>
      <c r="D2644" s="35" t="s">
        <v>4049</v>
      </c>
      <c r="E2644" s="35" t="s">
        <v>5981</v>
      </c>
      <c r="F2644" s="36">
        <v>0.15</v>
      </c>
      <c r="G2644" s="31"/>
      <c r="H2644" s="31"/>
      <c r="I2644" s="31"/>
      <c r="J2644" s="31"/>
      <c r="K2644" s="31"/>
    </row>
    <row r="2645" spans="1:11" ht="14.4" x14ac:dyDescent="0.3">
      <c r="A2645" s="28" t="str">
        <f>B2645&amp;C2645&amp;D2645&amp;E2645</f>
        <v>Qurilish va taʼmirlashAsboblarAkkumulyatorlar va zaryadlovchi qurilmalarZaryadlash qurilmalari</v>
      </c>
      <c r="B2645" s="35" t="s">
        <v>3184</v>
      </c>
      <c r="C2645" s="35" t="s">
        <v>4048</v>
      </c>
      <c r="D2645" s="35" t="s">
        <v>5972</v>
      </c>
      <c r="E2645" s="35" t="s">
        <v>3530</v>
      </c>
      <c r="F2645" s="36">
        <v>0.15</v>
      </c>
      <c r="G2645" s="31"/>
      <c r="H2645" s="31"/>
      <c r="I2645" s="31"/>
      <c r="J2645" s="31"/>
      <c r="K2645" s="31"/>
    </row>
    <row r="2646" spans="1:11" ht="14.4" x14ac:dyDescent="0.3">
      <c r="A2646" s="28" t="str">
        <f>B2646&amp;C2646&amp;D2646&amp;E2646</f>
        <v>Qurilish va taʼmirlashAsboblarElektr asboblarFrezalash mashinalari</v>
      </c>
      <c r="B2646" s="35" t="s">
        <v>3184</v>
      </c>
      <c r="C2646" s="35" t="s">
        <v>4048</v>
      </c>
      <c r="D2646" s="35" t="s">
        <v>5970</v>
      </c>
      <c r="E2646" s="35" t="s">
        <v>5982</v>
      </c>
      <c r="F2646" s="36">
        <v>0.15</v>
      </c>
      <c r="G2646" s="31"/>
      <c r="H2646" s="31"/>
      <c r="I2646" s="31"/>
      <c r="J2646" s="31"/>
      <c r="K2646" s="31"/>
    </row>
    <row r="2647" spans="1:11" ht="14.4" x14ac:dyDescent="0.3">
      <c r="A2647" s="28" t="str">
        <f>B2647&amp;C2647&amp;D2647&amp;E2647</f>
        <v>Qurilish va taʼmirlashUy va bogʻ uchun suv taʼminotiHududni sugʻorish uchunHududni sugʻorish uchun</v>
      </c>
      <c r="B2647" s="35" t="s">
        <v>3184</v>
      </c>
      <c r="C2647" s="35" t="s">
        <v>3463</v>
      </c>
      <c r="D2647" s="35" t="s">
        <v>5983</v>
      </c>
      <c r="E2647" s="35" t="s">
        <v>5983</v>
      </c>
      <c r="F2647" s="36">
        <v>0.15</v>
      </c>
      <c r="G2647" s="31"/>
      <c r="H2647" s="31"/>
      <c r="I2647" s="31"/>
      <c r="J2647" s="31"/>
      <c r="K2647" s="31"/>
    </row>
    <row r="2648" spans="1:11" ht="14.4" x14ac:dyDescent="0.3">
      <c r="A2648" s="28" t="str">
        <f>B2648&amp;C2648&amp;D2648&amp;E2648</f>
        <v>Qurilish va taʼmirlashAsboblarElektr asboblarDumaloq arralar</v>
      </c>
      <c r="B2648" s="35" t="s">
        <v>3184</v>
      </c>
      <c r="C2648" s="35" t="s">
        <v>4048</v>
      </c>
      <c r="D2648" s="35" t="s">
        <v>5970</v>
      </c>
      <c r="E2648" s="35" t="s">
        <v>5984</v>
      </c>
      <c r="F2648" s="36">
        <v>0.15</v>
      </c>
      <c r="G2648" s="31"/>
      <c r="H2648" s="31"/>
      <c r="I2648" s="31"/>
      <c r="J2648" s="31"/>
      <c r="K2648" s="31"/>
    </row>
    <row r="2649" spans="1:11" ht="14.4" x14ac:dyDescent="0.3">
      <c r="A2649" s="28" t="str">
        <f>B2649&amp;C2649&amp;D2649&amp;E2649</f>
        <v>Qurilish va taʼmirlashIsitishRadiatorlarRadiatorlar</v>
      </c>
      <c r="B2649" s="35" t="s">
        <v>3184</v>
      </c>
      <c r="C2649" s="35" t="s">
        <v>4134</v>
      </c>
      <c r="D2649" s="35" t="s">
        <v>5985</v>
      </c>
      <c r="E2649" s="35" t="s">
        <v>5985</v>
      </c>
      <c r="F2649" s="36">
        <v>0.15</v>
      </c>
      <c r="G2649" s="31"/>
      <c r="H2649" s="31"/>
      <c r="I2649" s="31"/>
      <c r="J2649" s="31"/>
      <c r="K2649" s="31"/>
    </row>
    <row r="2650" spans="1:11" ht="14.4" x14ac:dyDescent="0.3">
      <c r="A2650" s="28" t="str">
        <f>B2650&amp;C2650&amp;D2650&amp;E2650</f>
        <v>Qurilish va taʼmirlashAsboblarElektr asboblarOʻymakorlik asbobi</v>
      </c>
      <c r="B2650" s="35" t="s">
        <v>3184</v>
      </c>
      <c r="C2650" s="35" t="s">
        <v>4048</v>
      </c>
      <c r="D2650" s="35" t="s">
        <v>5970</v>
      </c>
      <c r="E2650" s="35" t="s">
        <v>5986</v>
      </c>
      <c r="F2650" s="36">
        <v>0.15</v>
      </c>
      <c r="G2650" s="31"/>
      <c r="H2650" s="31"/>
      <c r="I2650" s="31"/>
      <c r="J2650" s="31"/>
      <c r="K2650" s="31"/>
    </row>
    <row r="2651" spans="1:11" ht="14.4" x14ac:dyDescent="0.3">
      <c r="A2651" s="28" t="str">
        <f>B2651&amp;C2651&amp;D2651&amp;E2651</f>
        <v>Qurilish va taʼmirlashAsboblarElektr asboblarElektrlobziklar</v>
      </c>
      <c r="B2651" s="35" t="s">
        <v>3184</v>
      </c>
      <c r="C2651" s="35" t="s">
        <v>4048</v>
      </c>
      <c r="D2651" s="35" t="s">
        <v>5970</v>
      </c>
      <c r="E2651" s="35" t="s">
        <v>5987</v>
      </c>
      <c r="F2651" s="36">
        <v>0.15</v>
      </c>
      <c r="G2651" s="31"/>
      <c r="H2651" s="31"/>
      <c r="I2651" s="31"/>
      <c r="J2651" s="31"/>
      <c r="K2651" s="31"/>
    </row>
    <row r="2652" spans="1:11" ht="14.4" x14ac:dyDescent="0.3">
      <c r="A2652" s="28" t="str">
        <f>B2652&amp;C2652&amp;D2652&amp;E2652</f>
        <v>Qurilish va taʼmirlashUy va bogʻ uchun suv taʼminotiAvtomatika va butlovchi qismlarAvtomatika va butlovchi qismlar</v>
      </c>
      <c r="B2652" s="35" t="s">
        <v>3184</v>
      </c>
      <c r="C2652" s="35" t="s">
        <v>3463</v>
      </c>
      <c r="D2652" s="35" t="s">
        <v>5988</v>
      </c>
      <c r="E2652" s="35" t="s">
        <v>5988</v>
      </c>
      <c r="F2652" s="36">
        <v>0.15</v>
      </c>
      <c r="G2652" s="31"/>
      <c r="H2652" s="31"/>
      <c r="I2652" s="31"/>
      <c r="J2652" s="31"/>
      <c r="K2652" s="31"/>
    </row>
    <row r="2653" spans="1:11" ht="14.4" x14ac:dyDescent="0.3">
      <c r="A2653" s="28" t="str">
        <f>B2653&amp;C2653&amp;D2653&amp;E2653</f>
        <v>Qurilish va taʼmirlashAsboblarElektr asboblarPerforatorlar</v>
      </c>
      <c r="B2653" s="35" t="s">
        <v>3184</v>
      </c>
      <c r="C2653" s="35" t="s">
        <v>4048</v>
      </c>
      <c r="D2653" s="35" t="s">
        <v>5970</v>
      </c>
      <c r="E2653" s="35" t="s">
        <v>5989</v>
      </c>
      <c r="F2653" s="36">
        <v>0.15</v>
      </c>
      <c r="G2653" s="31"/>
      <c r="H2653" s="31"/>
      <c r="I2653" s="31"/>
      <c r="J2653" s="31"/>
      <c r="K2653" s="31"/>
    </row>
    <row r="2654" spans="1:11" ht="14.4" x14ac:dyDescent="0.3">
      <c r="A2654" s="28" t="str">
        <f>B2654&amp;C2654&amp;D2654&amp;E2654</f>
        <v>Qurilish va taʼmirlashElektrikaButlovchi qismlar va sarflov materiallariButlovchi qismlar va sarflov materiallari</v>
      </c>
      <c r="B2654" s="35" t="s">
        <v>3184</v>
      </c>
      <c r="C2654" s="35" t="s">
        <v>3461</v>
      </c>
      <c r="D2654" s="35" t="s">
        <v>5990</v>
      </c>
      <c r="E2654" s="35" t="s">
        <v>5990</v>
      </c>
      <c r="F2654" s="36">
        <v>0.15</v>
      </c>
      <c r="G2654" s="31"/>
      <c r="H2654" s="31"/>
      <c r="I2654" s="31"/>
      <c r="J2654" s="31"/>
      <c r="K2654" s="31"/>
    </row>
    <row r="2655" spans="1:11" ht="14.4" x14ac:dyDescent="0.3">
      <c r="A2655" s="28" t="str">
        <f>B2655&amp;C2655&amp;D2655&amp;E2655</f>
        <v>Qurilish va taʼmirlashUy va bogʻ uchun suv taʼminotiKanalizatsiya uchunKanalizatsiya uchun</v>
      </c>
      <c r="B2655" s="35" t="s">
        <v>3184</v>
      </c>
      <c r="C2655" s="35" t="s">
        <v>3463</v>
      </c>
      <c r="D2655" s="35" t="s">
        <v>5991</v>
      </c>
      <c r="E2655" s="35" t="s">
        <v>5991</v>
      </c>
      <c r="F2655" s="36">
        <v>0.15</v>
      </c>
      <c r="G2655" s="31"/>
      <c r="H2655" s="31"/>
      <c r="I2655" s="31"/>
      <c r="J2655" s="31"/>
      <c r="K2655" s="31"/>
    </row>
    <row r="2656" spans="1:11" ht="14.4" x14ac:dyDescent="0.3">
      <c r="A2656" s="28" t="str">
        <f>B2656&amp;C2656&amp;D2656&amp;E2656</f>
        <v>Qurilish va taʼmirlashAsboblarElektr asboblarElektr planerlar</v>
      </c>
      <c r="B2656" s="35" t="s">
        <v>3184</v>
      </c>
      <c r="C2656" s="35" t="s">
        <v>4048</v>
      </c>
      <c r="D2656" s="35" t="s">
        <v>5970</v>
      </c>
      <c r="E2656" s="35" t="s">
        <v>5992</v>
      </c>
      <c r="F2656" s="36">
        <v>0.15</v>
      </c>
      <c r="G2656" s="31"/>
      <c r="H2656" s="31"/>
      <c r="I2656" s="31"/>
      <c r="J2656" s="31"/>
      <c r="K2656" s="31"/>
    </row>
    <row r="2657" spans="1:11" ht="14.4" x14ac:dyDescent="0.3">
      <c r="A2657" s="28" t="str">
        <f>B2657&amp;C2657&amp;D2657&amp;E2657</f>
        <v>Qurilish va taʼmirlashAsboblarElektr asboblarElektr oʻtkirlagich</v>
      </c>
      <c r="B2657" s="35" t="s">
        <v>3184</v>
      </c>
      <c r="C2657" s="35" t="s">
        <v>4048</v>
      </c>
      <c r="D2657" s="35" t="s">
        <v>5970</v>
      </c>
      <c r="E2657" s="35" t="s">
        <v>5993</v>
      </c>
      <c r="F2657" s="36">
        <v>0.15</v>
      </c>
      <c r="G2657" s="31"/>
      <c r="H2657" s="31"/>
      <c r="I2657" s="31"/>
      <c r="J2657" s="31"/>
      <c r="K2657" s="31"/>
    </row>
    <row r="2658" spans="1:11" ht="14.4" x14ac:dyDescent="0.3">
      <c r="A2658" s="28" t="str">
        <f>B2658&amp;C2658&amp;D2658&amp;E2658</f>
        <v>Qurilish va taʼmirlashElektrikaElektr issiq pollar va regulyatorlarElektr issiq pollar va regulyatorlar</v>
      </c>
      <c r="B2658" s="35" t="s">
        <v>3184</v>
      </c>
      <c r="C2658" s="35" t="s">
        <v>3461</v>
      </c>
      <c r="D2658" s="35" t="s">
        <v>5994</v>
      </c>
      <c r="E2658" s="35" t="s">
        <v>5994</v>
      </c>
      <c r="F2658" s="36">
        <v>0.15</v>
      </c>
      <c r="G2658" s="31"/>
      <c r="H2658" s="31"/>
      <c r="I2658" s="31"/>
      <c r="J2658" s="31"/>
      <c r="K2658" s="31"/>
    </row>
    <row r="2659" spans="1:11" ht="14.4" x14ac:dyDescent="0.3">
      <c r="A2659" s="28" t="str">
        <f>B2659&amp;C2659&amp;D2659&amp;E2659</f>
        <v>Qurilish va taʼmirlashAsboblarElektr asboblarQilich arralar</v>
      </c>
      <c r="B2659" s="35" t="s">
        <v>3184</v>
      </c>
      <c r="C2659" s="35" t="s">
        <v>4048</v>
      </c>
      <c r="D2659" s="35" t="s">
        <v>5970</v>
      </c>
      <c r="E2659" s="35" t="s">
        <v>5995</v>
      </c>
      <c r="F2659" s="36">
        <v>0.15</v>
      </c>
      <c r="G2659" s="31"/>
      <c r="H2659" s="31"/>
      <c r="I2659" s="31"/>
      <c r="J2659" s="31"/>
      <c r="K2659" s="31"/>
    </row>
    <row r="2660" spans="1:11" ht="14.4" x14ac:dyDescent="0.3">
      <c r="A2660" s="28" t="str">
        <f>B2660&amp;C2660&amp;D2660&amp;E2660</f>
        <v>Qurilish va taʼmirlashAsboblarElektr asboblarSilliqlash mashinalari</v>
      </c>
      <c r="B2660" s="35" t="s">
        <v>3184</v>
      </c>
      <c r="C2660" s="35" t="s">
        <v>4048</v>
      </c>
      <c r="D2660" s="35" t="s">
        <v>5970</v>
      </c>
      <c r="E2660" s="35" t="s">
        <v>5996</v>
      </c>
      <c r="F2660" s="36">
        <v>0.15</v>
      </c>
      <c r="G2660" s="31"/>
      <c r="H2660" s="31"/>
      <c r="I2660" s="31"/>
      <c r="J2660" s="31"/>
      <c r="K2660" s="31"/>
    </row>
    <row r="2661" spans="1:11" ht="14.4" x14ac:dyDescent="0.3">
      <c r="A2661" s="28" t="str">
        <f>B2661&amp;C2661&amp;D2661&amp;E2661</f>
        <v>Qurilish va taʼmirlashAsboblarElektr asboblarBoshqa elektr asboblari</v>
      </c>
      <c r="B2661" s="35" t="s">
        <v>3184</v>
      </c>
      <c r="C2661" s="35" t="s">
        <v>4048</v>
      </c>
      <c r="D2661" s="35" t="s">
        <v>5970</v>
      </c>
      <c r="E2661" s="35" t="s">
        <v>5997</v>
      </c>
      <c r="F2661" s="36">
        <v>0.15</v>
      </c>
      <c r="G2661" s="31"/>
      <c r="H2661" s="31"/>
      <c r="I2661" s="31"/>
      <c r="J2661" s="31"/>
      <c r="K2661" s="31"/>
    </row>
    <row r="2662" spans="1:11" ht="14.4" x14ac:dyDescent="0.3">
      <c r="A2662" s="28" t="str">
        <f>B2662&amp;C2662&amp;D2662&amp;E2662</f>
        <v>Qurilish va taʼmirlashAsboblarElektr asboblarElektrodrellar</v>
      </c>
      <c r="B2662" s="35" t="s">
        <v>3184</v>
      </c>
      <c r="C2662" s="35" t="s">
        <v>4048</v>
      </c>
      <c r="D2662" s="35" t="s">
        <v>5970</v>
      </c>
      <c r="E2662" s="35" t="s">
        <v>5998</v>
      </c>
      <c r="F2662" s="36">
        <v>0.15</v>
      </c>
      <c r="G2662" s="31"/>
      <c r="H2662" s="31"/>
      <c r="I2662" s="31"/>
      <c r="J2662" s="31"/>
      <c r="K2662" s="31"/>
    </row>
    <row r="2663" spans="1:11" ht="14.4" x14ac:dyDescent="0.3">
      <c r="A2663" s="28" t="str">
        <f>B2663&amp;C2663&amp;D2663&amp;E2663</f>
        <v>Qurilish va taʼmirlashAsboblarElektr asboblarQurilish mikserlari va venchiklar</v>
      </c>
      <c r="B2663" s="35" t="s">
        <v>3184</v>
      </c>
      <c r="C2663" s="35" t="s">
        <v>4048</v>
      </c>
      <c r="D2663" s="35" t="s">
        <v>5970</v>
      </c>
      <c r="E2663" s="35" t="s">
        <v>5999</v>
      </c>
      <c r="F2663" s="36">
        <v>0.15</v>
      </c>
      <c r="G2663" s="31"/>
      <c r="H2663" s="31"/>
      <c r="I2663" s="31"/>
      <c r="J2663" s="31"/>
      <c r="K2663" s="31"/>
    </row>
    <row r="2664" spans="1:11" ht="14.4" x14ac:dyDescent="0.3">
      <c r="A2664" s="28" t="str">
        <f>B2664&amp;C2664&amp;D2664&amp;E2664</f>
        <v>Qurilish va taʼmirlashUy va bogʻ uchun suv taʼminotiRezervuardan tortib chiqarish uchunRezervuardan tortib chiqarish uchun</v>
      </c>
      <c r="B2664" s="35" t="s">
        <v>3184</v>
      </c>
      <c r="C2664" s="35" t="s">
        <v>3463</v>
      </c>
      <c r="D2664" s="35" t="s">
        <v>6000</v>
      </c>
      <c r="E2664" s="35" t="s">
        <v>6000</v>
      </c>
      <c r="F2664" s="36">
        <v>0.15</v>
      </c>
      <c r="G2664" s="31"/>
      <c r="H2664" s="31"/>
      <c r="I2664" s="31"/>
      <c r="J2664" s="31"/>
      <c r="K2664" s="31"/>
    </row>
    <row r="2665" spans="1:11" ht="14.4" x14ac:dyDescent="0.3">
      <c r="A2665" s="28" t="str">
        <f>B2665&amp;C2665&amp;D2665&amp;E2665</f>
        <v>Qurilish va taʼmirlashAsboblarElektr asboblarBSU (bolgarkalar)</v>
      </c>
      <c r="B2665" s="35" t="s">
        <v>3184</v>
      </c>
      <c r="C2665" s="35" t="s">
        <v>4048</v>
      </c>
      <c r="D2665" s="35" t="s">
        <v>5970</v>
      </c>
      <c r="E2665" s="35" t="s">
        <v>6001</v>
      </c>
      <c r="F2665" s="36">
        <v>0.15</v>
      </c>
      <c r="G2665" s="31"/>
      <c r="H2665" s="31"/>
      <c r="I2665" s="31"/>
      <c r="J2665" s="31"/>
      <c r="K2665" s="31"/>
    </row>
    <row r="2666" spans="1:11" ht="14.4" x14ac:dyDescent="0.3">
      <c r="A2666" s="28" t="str">
        <f>B2666&amp;C2666&amp;D2666&amp;E2666</f>
        <v>Qurilish va taʼmirlashAsboblarElektr asboblarQurilish fenlar</v>
      </c>
      <c r="B2666" s="35" t="s">
        <v>3184</v>
      </c>
      <c r="C2666" s="35" t="s">
        <v>4048</v>
      </c>
      <c r="D2666" s="35" t="s">
        <v>5970</v>
      </c>
      <c r="E2666" s="35" t="s">
        <v>6002</v>
      </c>
      <c r="F2666" s="36">
        <v>0.15</v>
      </c>
      <c r="G2666" s="31"/>
      <c r="H2666" s="31"/>
      <c r="I2666" s="31"/>
      <c r="J2666" s="31"/>
      <c r="K2666" s="31"/>
    </row>
    <row r="2667" spans="1:11" ht="14.4" x14ac:dyDescent="0.3">
      <c r="A2667" s="28" t="str">
        <f>B2667&amp;C2667&amp;D2667&amp;E2667</f>
        <v>SalomatlikTibbiy jihozlarGlyukometrlar va aksessuarlarGlyukometrlar va aksessuarlar</v>
      </c>
      <c r="B2667" s="35" t="s">
        <v>3147</v>
      </c>
      <c r="C2667" s="35" t="s">
        <v>4167</v>
      </c>
      <c r="D2667" s="35" t="s">
        <v>5631</v>
      </c>
      <c r="E2667" s="35" t="s">
        <v>5631</v>
      </c>
      <c r="F2667" s="36">
        <v>0.15</v>
      </c>
      <c r="G2667" s="31"/>
      <c r="H2667" s="31"/>
      <c r="I2667" s="31"/>
      <c r="J2667" s="31"/>
      <c r="K2667" s="31"/>
    </row>
    <row r="2668" spans="1:11" ht="14.4" x14ac:dyDescent="0.3">
      <c r="A2668" s="28" t="str">
        <f>B2668&amp;C2668&amp;D2668&amp;E2668</f>
        <v>SalomatlikTibbiy jihozlarTonometrlar va aksessuarlarTonometrlar</v>
      </c>
      <c r="B2668" s="35" t="s">
        <v>3147</v>
      </c>
      <c r="C2668" s="35" t="s">
        <v>4167</v>
      </c>
      <c r="D2668" s="35" t="s">
        <v>6003</v>
      </c>
      <c r="E2668" s="35" t="s">
        <v>6004</v>
      </c>
      <c r="F2668" s="36">
        <v>0.15</v>
      </c>
      <c r="G2668" s="31"/>
      <c r="H2668" s="31"/>
      <c r="I2668" s="31"/>
      <c r="J2668" s="31"/>
      <c r="K2668" s="31"/>
    </row>
    <row r="2669" spans="1:11" ht="14.4" x14ac:dyDescent="0.3">
      <c r="A2669" s="28" t="str">
        <f>B2669&amp;C2669&amp;D2669&amp;E2669</f>
        <v>SalomatlikTibbiy jihozlarGlyukometrlar va aksessuarlarGlyukometrlar</v>
      </c>
      <c r="B2669" s="35" t="s">
        <v>3147</v>
      </c>
      <c r="C2669" s="35" t="s">
        <v>4167</v>
      </c>
      <c r="D2669" s="35" t="s">
        <v>5631</v>
      </c>
      <c r="E2669" s="35" t="s">
        <v>6005</v>
      </c>
      <c r="F2669" s="36">
        <v>0.15</v>
      </c>
      <c r="G2669" s="31"/>
      <c r="H2669" s="31"/>
      <c r="I2669" s="31"/>
      <c r="J2669" s="31"/>
      <c r="K2669" s="31"/>
    </row>
    <row r="2670" spans="1:11" ht="14.4" x14ac:dyDescent="0.3">
      <c r="A2670" s="28" t="str">
        <f>B2670&amp;C2670&amp;D2670&amp;E2670</f>
        <v>SalomatlikTibbiy jihozlarTonometrlar va aksessuarlarTonometrlar va aksessuarlar</v>
      </c>
      <c r="B2670" s="35" t="s">
        <v>3147</v>
      </c>
      <c r="C2670" s="35" t="s">
        <v>4167</v>
      </c>
      <c r="D2670" s="35" t="s">
        <v>6003</v>
      </c>
      <c r="E2670" s="35" t="s">
        <v>6003</v>
      </c>
      <c r="F2670" s="36">
        <v>0.15</v>
      </c>
      <c r="G2670" s="31"/>
      <c r="H2670" s="31"/>
      <c r="I2670" s="31"/>
      <c r="J2670" s="31"/>
      <c r="K2670" s="31"/>
    </row>
    <row r="2671" spans="1:11" ht="14.4" x14ac:dyDescent="0.3">
      <c r="A2671" s="28" t="str">
        <f>B2671&amp;C2671&amp;D2671&amp;E2671</f>
        <v>Sport va hordiqSportchilar uchun ozuqalarBCAA va aminokislotalarGABA</v>
      </c>
      <c r="B2671" s="35" t="s">
        <v>43</v>
      </c>
      <c r="C2671" s="35" t="s">
        <v>6006</v>
      </c>
      <c r="D2671" s="35" t="s">
        <v>6007</v>
      </c>
      <c r="E2671" s="35" t="s">
        <v>668</v>
      </c>
      <c r="F2671" s="36">
        <v>0.15</v>
      </c>
      <c r="G2671" s="31"/>
      <c r="H2671" s="31"/>
      <c r="I2671" s="31"/>
      <c r="J2671" s="31"/>
      <c r="K2671" s="31"/>
    </row>
    <row r="2672" spans="1:11" ht="14.4" x14ac:dyDescent="0.3">
      <c r="A2672" s="28" t="str">
        <f>B2672&amp;C2672&amp;D2672&amp;E2672</f>
        <v>Sport va hordiqSportchilar uchun ozuqalarBCAA va aminokislotalarBCAA</v>
      </c>
      <c r="B2672" s="35" t="s">
        <v>43</v>
      </c>
      <c r="C2672" s="35" t="s">
        <v>6006</v>
      </c>
      <c r="D2672" s="35" t="s">
        <v>6007</v>
      </c>
      <c r="E2672" s="35" t="s">
        <v>2062</v>
      </c>
      <c r="F2672" s="36">
        <v>0.15</v>
      </c>
      <c r="G2672" s="31"/>
      <c r="H2672" s="31"/>
      <c r="I2672" s="31"/>
      <c r="J2672" s="31"/>
      <c r="K2672" s="31"/>
    </row>
    <row r="2673" spans="1:11" ht="14.4" x14ac:dyDescent="0.3">
      <c r="A2673" s="28" t="str">
        <f>B2673&amp;C2673&amp;D2673&amp;E2673</f>
        <v>Sport va hordiqSportchilar uchun ozuqalarBatonchalarBatonchalar</v>
      </c>
      <c r="B2673" s="35" t="s">
        <v>43</v>
      </c>
      <c r="C2673" s="35" t="s">
        <v>6006</v>
      </c>
      <c r="D2673" s="35" t="s">
        <v>5514</v>
      </c>
      <c r="E2673" s="35" t="s">
        <v>5514</v>
      </c>
      <c r="F2673" s="36">
        <v>0.15</v>
      </c>
      <c r="G2673" s="31"/>
      <c r="H2673" s="31"/>
      <c r="I2673" s="31"/>
      <c r="J2673" s="31"/>
      <c r="K2673" s="31"/>
    </row>
    <row r="2674" spans="1:11" ht="14.4" x14ac:dyDescent="0.3">
      <c r="A2674" s="28" t="str">
        <f>B2674&amp;C2674&amp;D2674&amp;E2674</f>
        <v>Sport va hordiqBasseynlar va aksessuarlarBasseynlarKarkaslik hovuzlar</v>
      </c>
      <c r="B2674" s="35" t="s">
        <v>43</v>
      </c>
      <c r="C2674" s="35" t="s">
        <v>3486</v>
      </c>
      <c r="D2674" s="35" t="s">
        <v>6008</v>
      </c>
      <c r="E2674" s="35" t="s">
        <v>6009</v>
      </c>
      <c r="F2674" s="36">
        <v>0.15</v>
      </c>
      <c r="G2674" s="31"/>
      <c r="H2674" s="31"/>
      <c r="I2674" s="31"/>
      <c r="J2674" s="31"/>
      <c r="K2674" s="31"/>
    </row>
    <row r="2675" spans="1:11" ht="14.4" x14ac:dyDescent="0.3">
      <c r="A2675" s="28" t="str">
        <f>B2675&amp;C2675&amp;D2675&amp;E2675</f>
        <v>Sport va hordiqSportchilar uchun ozuqalarVitaminlar va mineral komplekslarTreningdan oldingi qo'shimchalar</v>
      </c>
      <c r="B2675" s="35" t="s">
        <v>43</v>
      </c>
      <c r="C2675" s="35" t="s">
        <v>6006</v>
      </c>
      <c r="D2675" s="35" t="s">
        <v>6010</v>
      </c>
      <c r="E2675" s="35" t="s">
        <v>6011</v>
      </c>
      <c r="F2675" s="36">
        <v>0.15</v>
      </c>
      <c r="G2675" s="31"/>
      <c r="H2675" s="31"/>
      <c r="I2675" s="31"/>
      <c r="J2675" s="31"/>
      <c r="K2675" s="31"/>
    </row>
    <row r="2676" spans="1:11" ht="14.4" x14ac:dyDescent="0.3">
      <c r="A2676" s="28" t="str">
        <f>B2676&amp;C2676&amp;D2676&amp;E2676</f>
        <v>Sport va hordiqSportchilar uchun ozuqalarAnabolik moddalar, testosteronlar, kuchaytirgichlarKuchaytirgichlar</v>
      </c>
      <c r="B2676" s="35" t="s">
        <v>43</v>
      </c>
      <c r="C2676" s="35" t="s">
        <v>6006</v>
      </c>
      <c r="D2676" s="35" t="s">
        <v>6012</v>
      </c>
      <c r="E2676" s="35" t="s">
        <v>6013</v>
      </c>
      <c r="F2676" s="36">
        <v>0.15</v>
      </c>
      <c r="G2676" s="31"/>
      <c r="H2676" s="31"/>
      <c r="I2676" s="31"/>
      <c r="J2676" s="31"/>
      <c r="K2676" s="31"/>
    </row>
    <row r="2677" spans="1:11" ht="14.4" x14ac:dyDescent="0.3">
      <c r="A2677" s="28" t="str">
        <f>B2677&amp;C2677&amp;D2677&amp;E2677</f>
        <v>Sport va hordiqBasseynlar va aksessuarlarBasseynlarSuv o'yin markazlari</v>
      </c>
      <c r="B2677" s="35" t="s">
        <v>43</v>
      </c>
      <c r="C2677" s="35" t="s">
        <v>3486</v>
      </c>
      <c r="D2677" s="35" t="s">
        <v>6008</v>
      </c>
      <c r="E2677" s="35" t="s">
        <v>6014</v>
      </c>
      <c r="F2677" s="36">
        <v>0.15</v>
      </c>
      <c r="G2677" s="31"/>
      <c r="H2677" s="31"/>
      <c r="I2677" s="31"/>
      <c r="J2677" s="31"/>
      <c r="K2677" s="31"/>
    </row>
    <row r="2678" spans="1:11" ht="14.4" x14ac:dyDescent="0.3">
      <c r="A2678" s="28" t="str">
        <f>B2678&amp;C2678&amp;D2678&amp;E2678</f>
        <v>Sport va hordiqSportchilar uchun ozuqalarVitaminlar va mineral komplekslarVitaminlar va mineral komplekslar</v>
      </c>
      <c r="B2678" s="35" t="s">
        <v>43</v>
      </c>
      <c r="C2678" s="35" t="s">
        <v>6006</v>
      </c>
      <c r="D2678" s="35" t="s">
        <v>6010</v>
      </c>
      <c r="E2678" s="35" t="s">
        <v>6010</v>
      </c>
      <c r="F2678" s="36">
        <v>0.15</v>
      </c>
      <c r="G2678" s="31"/>
      <c r="H2678" s="31"/>
      <c r="I2678" s="31"/>
      <c r="J2678" s="31"/>
      <c r="K2678" s="31"/>
    </row>
    <row r="2679" spans="1:11" ht="14.4" x14ac:dyDescent="0.3">
      <c r="A2679" s="28" t="str">
        <f>B2679&amp;C2679&amp;D2679&amp;E2679</f>
        <v>Sport va hordiqSportchilar uchun ozuqalarVitaminlar va mineral komplekslarMashqdan keyingi komplekslar</v>
      </c>
      <c r="B2679" s="35" t="s">
        <v>43</v>
      </c>
      <c r="C2679" s="35" t="s">
        <v>6006</v>
      </c>
      <c r="D2679" s="35" t="s">
        <v>6010</v>
      </c>
      <c r="E2679" s="35" t="s">
        <v>6015</v>
      </c>
      <c r="F2679" s="36">
        <v>0.15</v>
      </c>
      <c r="G2679" s="31"/>
      <c r="H2679" s="31"/>
      <c r="I2679" s="31"/>
      <c r="J2679" s="31"/>
      <c r="K2679" s="31"/>
    </row>
    <row r="2680" spans="1:11" ht="14.4" x14ac:dyDescent="0.3">
      <c r="A2680" s="28" t="str">
        <f>B2680&amp;C2680&amp;D2680&amp;E2680</f>
        <v>Sport va hordiqSportchilar uchun ozuqalarFitnes-ovqatlanishFitnes-ovqatlanish</v>
      </c>
      <c r="B2680" s="35" t="s">
        <v>43</v>
      </c>
      <c r="C2680" s="35" t="s">
        <v>6006</v>
      </c>
      <c r="D2680" s="35" t="s">
        <v>6016</v>
      </c>
      <c r="E2680" s="35" t="s">
        <v>6016</v>
      </c>
      <c r="F2680" s="36">
        <v>0.15</v>
      </c>
      <c r="G2680" s="31"/>
      <c r="H2680" s="31"/>
      <c r="I2680" s="31"/>
      <c r="J2680" s="31"/>
      <c r="K2680" s="31"/>
    </row>
    <row r="2681" spans="1:11" ht="14.4" x14ac:dyDescent="0.3">
      <c r="A2681" s="28" t="str">
        <f>B2681&amp;C2681&amp;D2681&amp;E2681</f>
        <v>Sport va hordiqSportchilar uchun ozuqalarVaznni kamaytirish vositalariYog' yo'qotuvchi</v>
      </c>
      <c r="B2681" s="35" t="s">
        <v>43</v>
      </c>
      <c r="C2681" s="35" t="s">
        <v>6006</v>
      </c>
      <c r="D2681" s="35" t="s">
        <v>6017</v>
      </c>
      <c r="E2681" s="35" t="s">
        <v>6018</v>
      </c>
      <c r="F2681" s="36">
        <v>0.15</v>
      </c>
      <c r="G2681" s="31"/>
      <c r="H2681" s="31"/>
      <c r="I2681" s="31"/>
      <c r="J2681" s="31"/>
      <c r="K2681" s="31"/>
    </row>
    <row r="2682" spans="1:11" ht="14.4" x14ac:dyDescent="0.3">
      <c r="A2682" s="28" t="str">
        <f>B2682&amp;C2682&amp;D2682&amp;E2682</f>
        <v>Sport va hordiqSportchilar uchun ozuqalarVaznni kamaytirish vositalariLinoleik kislota CLA</v>
      </c>
      <c r="B2682" s="35" t="s">
        <v>43</v>
      </c>
      <c r="C2682" s="35" t="s">
        <v>6006</v>
      </c>
      <c r="D2682" s="35" t="s">
        <v>6017</v>
      </c>
      <c r="E2682" s="35" t="s">
        <v>6019</v>
      </c>
      <c r="F2682" s="36">
        <v>0.15</v>
      </c>
      <c r="G2682" s="31"/>
      <c r="H2682" s="31"/>
      <c r="I2682" s="31"/>
      <c r="J2682" s="31"/>
      <c r="K2682" s="31"/>
    </row>
    <row r="2683" spans="1:11" ht="14.4" x14ac:dyDescent="0.3">
      <c r="A2683" s="28" t="str">
        <f>B2683&amp;C2683&amp;D2683&amp;E2683</f>
        <v>Sport va hordiqSportchilar uchun ozuqalarMaxsus preparatlarAzot oksidi, uglevodlar, kislotalar</v>
      </c>
      <c r="B2683" s="35" t="s">
        <v>43</v>
      </c>
      <c r="C2683" s="35" t="s">
        <v>6006</v>
      </c>
      <c r="D2683" s="35" t="s">
        <v>6020</v>
      </c>
      <c r="E2683" s="35" t="s">
        <v>6021</v>
      </c>
      <c r="F2683" s="36">
        <v>0.15</v>
      </c>
      <c r="G2683" s="31"/>
      <c r="H2683" s="31"/>
      <c r="I2683" s="31"/>
      <c r="J2683" s="31"/>
      <c r="K2683" s="31"/>
    </row>
    <row r="2684" spans="1:11" ht="14.4" x14ac:dyDescent="0.3">
      <c r="A2684" s="28" t="str">
        <f>B2684&amp;C2684&amp;D2684&amp;E2684</f>
        <v>Sport va hordiqSportchilar uchun ozuqalarAnabolik moddalar, testosteronlar, kuchaytirgichlarTestosteronlar</v>
      </c>
      <c r="B2684" s="35" t="s">
        <v>43</v>
      </c>
      <c r="C2684" s="35" t="s">
        <v>6006</v>
      </c>
      <c r="D2684" s="35" t="s">
        <v>6012</v>
      </c>
      <c r="E2684" s="35" t="s">
        <v>6022</v>
      </c>
      <c r="F2684" s="36">
        <v>0.15</v>
      </c>
      <c r="G2684" s="31"/>
      <c r="H2684" s="31"/>
      <c r="I2684" s="31"/>
      <c r="J2684" s="31"/>
      <c r="K2684" s="31"/>
    </row>
    <row r="2685" spans="1:11" ht="14.4" x14ac:dyDescent="0.3">
      <c r="A2685" s="28" t="str">
        <f>B2685&amp;C2685&amp;D2685&amp;E2685</f>
        <v>Sport va hordiqSportchilar uchun ozuqalarBCAA va aminokislotalarGlyutaminlar</v>
      </c>
      <c r="B2685" s="35" t="s">
        <v>43</v>
      </c>
      <c r="C2685" s="35" t="s">
        <v>6006</v>
      </c>
      <c r="D2685" s="35" t="s">
        <v>6007</v>
      </c>
      <c r="E2685" s="35" t="s">
        <v>6023</v>
      </c>
      <c r="F2685" s="36">
        <v>0.15</v>
      </c>
      <c r="G2685" s="31"/>
      <c r="H2685" s="31"/>
      <c r="I2685" s="31"/>
      <c r="J2685" s="31"/>
      <c r="K2685" s="31"/>
    </row>
    <row r="2686" spans="1:11" ht="14.4" x14ac:dyDescent="0.3">
      <c r="A2686" s="28" t="str">
        <f>B2686&amp;C2686&amp;D2686&amp;E2686</f>
        <v>Sport va hordiqSportchilar uchun ozuqalarBCAA va aminokislotalarL-karnitinlar</v>
      </c>
      <c r="B2686" s="35" t="s">
        <v>43</v>
      </c>
      <c r="C2686" s="35" t="s">
        <v>6006</v>
      </c>
      <c r="D2686" s="35" t="s">
        <v>6007</v>
      </c>
      <c r="E2686" s="35" t="s">
        <v>6024</v>
      </c>
      <c r="F2686" s="36">
        <v>0.15</v>
      </c>
      <c r="G2686" s="31"/>
      <c r="H2686" s="31"/>
      <c r="I2686" s="31"/>
      <c r="J2686" s="31"/>
      <c r="K2686" s="31"/>
    </row>
    <row r="2687" spans="1:11" ht="14.4" x14ac:dyDescent="0.3">
      <c r="A2687" s="28" t="str">
        <f>B2687&amp;C2687&amp;D2687&amp;E2687</f>
        <v>Sport va hordiqSportchilar uchun ozuqalarMaxsus preparatlarFermentlar, relaksantlar, antioksidantlar</v>
      </c>
      <c r="B2687" s="35" t="s">
        <v>43</v>
      </c>
      <c r="C2687" s="35" t="s">
        <v>6006</v>
      </c>
      <c r="D2687" s="35" t="s">
        <v>6020</v>
      </c>
      <c r="E2687" s="35" t="s">
        <v>6025</v>
      </c>
      <c r="F2687" s="36">
        <v>0.15</v>
      </c>
      <c r="G2687" s="31"/>
      <c r="H2687" s="31"/>
      <c r="I2687" s="31"/>
      <c r="J2687" s="31"/>
      <c r="K2687" s="31"/>
    </row>
    <row r="2688" spans="1:11" ht="14.4" x14ac:dyDescent="0.3">
      <c r="A2688" s="28" t="str">
        <f>B2688&amp;C2688&amp;D2688&amp;E2688</f>
        <v>Sport va hordiqSportchilar uchun ozuqalarGaynerlar va oqsillarOqsillar</v>
      </c>
      <c r="B2688" s="35" t="s">
        <v>43</v>
      </c>
      <c r="C2688" s="35" t="s">
        <v>6006</v>
      </c>
      <c r="D2688" s="35" t="s">
        <v>6026</v>
      </c>
      <c r="E2688" s="35" t="s">
        <v>6027</v>
      </c>
      <c r="F2688" s="36">
        <v>0.15</v>
      </c>
      <c r="G2688" s="31"/>
      <c r="H2688" s="31"/>
      <c r="I2688" s="31"/>
      <c r="J2688" s="31"/>
      <c r="K2688" s="31"/>
    </row>
    <row r="2689" spans="1:11" ht="14.4" x14ac:dyDescent="0.3">
      <c r="A2689" s="28" t="str">
        <f>B2689&amp;C2689&amp;D2689&amp;E2689</f>
        <v>Sport va hordiqSportchilar uchun ozuqalarAnabolik moddalar, testosteronlar, kuchaytirgichlarAnabolik kompleks</v>
      </c>
      <c r="B2689" s="35" t="s">
        <v>43</v>
      </c>
      <c r="C2689" s="35" t="s">
        <v>6006</v>
      </c>
      <c r="D2689" s="35" t="s">
        <v>6012</v>
      </c>
      <c r="E2689" s="35" t="s">
        <v>6028</v>
      </c>
      <c r="F2689" s="36">
        <v>0.15</v>
      </c>
      <c r="G2689" s="31"/>
      <c r="H2689" s="31"/>
      <c r="I2689" s="31"/>
      <c r="J2689" s="31"/>
      <c r="K2689" s="31"/>
    </row>
    <row r="2690" spans="1:11" ht="14.4" x14ac:dyDescent="0.3">
      <c r="A2690" s="28" t="str">
        <f>B2690&amp;C2690&amp;D2690&amp;E2690</f>
        <v>Sport va hordiqSportchilar uchun ozuqalarVitaminlar va mineral komplekslarVitaminlar</v>
      </c>
      <c r="B2690" s="35" t="s">
        <v>43</v>
      </c>
      <c r="C2690" s="35" t="s">
        <v>6006</v>
      </c>
      <c r="D2690" s="35" t="s">
        <v>6010</v>
      </c>
      <c r="E2690" s="35" t="s">
        <v>6029</v>
      </c>
      <c r="F2690" s="36">
        <v>0.15</v>
      </c>
      <c r="G2690" s="31"/>
      <c r="H2690" s="31"/>
      <c r="I2690" s="31"/>
      <c r="J2690" s="31"/>
      <c r="K2690" s="31"/>
    </row>
    <row r="2691" spans="1:11" ht="14.4" x14ac:dyDescent="0.3">
      <c r="A2691" s="28" t="str">
        <f>B2691&amp;C2691&amp;D2691&amp;E2691</f>
        <v>Sport va hordiqFaol hordiq turlariBilyardBilyard to'plari</v>
      </c>
      <c r="B2691" s="35" t="s">
        <v>43</v>
      </c>
      <c r="C2691" s="35" t="s">
        <v>4181</v>
      </c>
      <c r="D2691" s="35" t="s">
        <v>4182</v>
      </c>
      <c r="E2691" s="35" t="s">
        <v>6030</v>
      </c>
      <c r="F2691" s="36">
        <v>0.15</v>
      </c>
      <c r="G2691" s="31"/>
      <c r="H2691" s="31"/>
      <c r="I2691" s="31"/>
      <c r="J2691" s="31"/>
      <c r="K2691" s="31"/>
    </row>
    <row r="2692" spans="1:11" ht="14.4" x14ac:dyDescent="0.3">
      <c r="A2692" s="28" t="str">
        <f>B2692&amp;C2692&amp;D2692&amp;E2692</f>
        <v>Sport va hordiqSportchilar uchun ozuqalarKreatinlarKreatinlar</v>
      </c>
      <c r="B2692" s="35" t="s">
        <v>43</v>
      </c>
      <c r="C2692" s="35" t="s">
        <v>6006</v>
      </c>
      <c r="D2692" s="35" t="s">
        <v>6031</v>
      </c>
      <c r="E2692" s="35" t="s">
        <v>6031</v>
      </c>
      <c r="F2692" s="36">
        <v>0.15</v>
      </c>
      <c r="G2692" s="31"/>
      <c r="H2692" s="31"/>
      <c r="I2692" s="31"/>
      <c r="J2692" s="31"/>
      <c r="K2692" s="31"/>
    </row>
    <row r="2693" spans="1:11" ht="14.4" x14ac:dyDescent="0.3">
      <c r="A2693" s="28" t="str">
        <f>B2693&amp;C2693&amp;D2693&amp;E2693</f>
        <v>Sport va hordiqSportchilar uchun ozuqalarMaxsus preparatlarOmega 3, yog 'kislotalari, koenzimlar</v>
      </c>
      <c r="B2693" s="35" t="s">
        <v>43</v>
      </c>
      <c r="C2693" s="35" t="s">
        <v>6006</v>
      </c>
      <c r="D2693" s="35" t="s">
        <v>6020</v>
      </c>
      <c r="E2693" s="35" t="s">
        <v>6032</v>
      </c>
      <c r="F2693" s="36">
        <v>0.15</v>
      </c>
      <c r="G2693" s="31"/>
      <c r="H2693" s="31"/>
      <c r="I2693" s="31"/>
      <c r="J2693" s="31"/>
      <c r="K2693" s="31"/>
    </row>
    <row r="2694" spans="1:11" ht="14.4" x14ac:dyDescent="0.3">
      <c r="A2694" s="28" t="str">
        <f>B2694&amp;C2694&amp;D2694&amp;E2694</f>
        <v>Sport va hordiqSportchilar uchun ozuqalarVaznni kamaytirish vositalariFito-kokteyllar</v>
      </c>
      <c r="B2694" s="35" t="s">
        <v>43</v>
      </c>
      <c r="C2694" s="35" t="s">
        <v>6006</v>
      </c>
      <c r="D2694" s="35" t="s">
        <v>6017</v>
      </c>
      <c r="E2694" s="35" t="s">
        <v>6033</v>
      </c>
      <c r="F2694" s="36">
        <v>0.15</v>
      </c>
      <c r="G2694" s="31"/>
      <c r="H2694" s="31"/>
      <c r="I2694" s="31"/>
      <c r="J2694" s="31"/>
      <c r="K2694" s="31"/>
    </row>
    <row r="2695" spans="1:11" ht="14.4" x14ac:dyDescent="0.3">
      <c r="A2695" s="28" t="str">
        <f>B2695&amp;C2695&amp;D2695&amp;E2695</f>
        <v>Sport va hordiqSportchilar uchun ozuqalarBCAA va aminokislotalar5-HTP</v>
      </c>
      <c r="B2695" s="35" t="s">
        <v>43</v>
      </c>
      <c r="C2695" s="35" t="s">
        <v>6006</v>
      </c>
      <c r="D2695" s="35" t="s">
        <v>6007</v>
      </c>
      <c r="E2695" s="35" t="s">
        <v>1773</v>
      </c>
      <c r="F2695" s="36">
        <v>0.15</v>
      </c>
      <c r="G2695" s="31"/>
      <c r="H2695" s="31"/>
      <c r="I2695" s="31"/>
      <c r="J2695" s="31"/>
      <c r="K2695" s="31"/>
    </row>
    <row r="2696" spans="1:11" ht="14.4" x14ac:dyDescent="0.3">
      <c r="A2696" s="28" t="str">
        <f>B2696&amp;C2696&amp;D2696&amp;E2696</f>
        <v>Sport va hordiqSportchilar uchun ozuqalarVaznni kamaytirish vositalariVaznni kamaytirish vositalari</v>
      </c>
      <c r="B2696" s="35" t="s">
        <v>43</v>
      </c>
      <c r="C2696" s="35" t="s">
        <v>6006</v>
      </c>
      <c r="D2696" s="35" t="s">
        <v>6017</v>
      </c>
      <c r="E2696" s="35" t="s">
        <v>6017</v>
      </c>
      <c r="F2696" s="36">
        <v>0.15</v>
      </c>
      <c r="G2696" s="31"/>
      <c r="H2696" s="31"/>
      <c r="I2696" s="31"/>
      <c r="J2696" s="31"/>
      <c r="K2696" s="31"/>
    </row>
    <row r="2697" spans="1:11" ht="14.4" x14ac:dyDescent="0.3">
      <c r="A2697" s="28" t="str">
        <f>B2697&amp;C2697&amp;D2697&amp;E2697</f>
        <v>Sport va hordiqSportchilar uchun ozuqalarMaxsus preparatlarMaxsus preparatlar</v>
      </c>
      <c r="B2697" s="35" t="s">
        <v>43</v>
      </c>
      <c r="C2697" s="35" t="s">
        <v>6006</v>
      </c>
      <c r="D2697" s="35" t="s">
        <v>6020</v>
      </c>
      <c r="E2697" s="35" t="s">
        <v>6020</v>
      </c>
      <c r="F2697" s="36">
        <v>0.15</v>
      </c>
      <c r="G2697" s="31"/>
      <c r="H2697" s="31"/>
      <c r="I2697" s="31"/>
      <c r="J2697" s="31"/>
      <c r="K2697" s="31"/>
    </row>
    <row r="2698" spans="1:11" ht="14.4" x14ac:dyDescent="0.3">
      <c r="A2698" s="28" t="str">
        <f>B2698&amp;C2698&amp;D2698&amp;E2698</f>
        <v>Sport va hordiqSportchilar uchun ozuqalarMaxsus preparatlarBo'g'in va ligamentlar uchun dorilar</v>
      </c>
      <c r="B2698" s="35" t="s">
        <v>43</v>
      </c>
      <c r="C2698" s="35" t="s">
        <v>6006</v>
      </c>
      <c r="D2698" s="35" t="s">
        <v>6020</v>
      </c>
      <c r="E2698" s="35" t="s">
        <v>6034</v>
      </c>
      <c r="F2698" s="36">
        <v>0.15</v>
      </c>
      <c r="G2698" s="31"/>
      <c r="H2698" s="31"/>
      <c r="I2698" s="31"/>
      <c r="J2698" s="31"/>
      <c r="K2698" s="31"/>
    </row>
    <row r="2699" spans="1:11" ht="14.4" x14ac:dyDescent="0.3">
      <c r="A2699" s="28" t="str">
        <f>B2699&amp;C2699&amp;D2699&amp;E2699</f>
        <v>Sport va hordiqVelosportVelosipedlarVelosipedlar</v>
      </c>
      <c r="B2699" s="35" t="s">
        <v>43</v>
      </c>
      <c r="C2699" s="35" t="s">
        <v>4193</v>
      </c>
      <c r="D2699" s="35" t="s">
        <v>6035</v>
      </c>
      <c r="E2699" s="35" t="s">
        <v>6035</v>
      </c>
      <c r="F2699" s="36">
        <v>0.15</v>
      </c>
      <c r="G2699" s="31"/>
      <c r="H2699" s="31"/>
      <c r="I2699" s="31"/>
      <c r="J2699" s="31"/>
      <c r="K2699" s="31"/>
    </row>
    <row r="2700" spans="1:11" ht="14.4" x14ac:dyDescent="0.3">
      <c r="A2700" s="28" t="str">
        <f>B2700&amp;C2700&amp;D2700&amp;E2700</f>
        <v>Sport va hordiqBasseynlar va aksessuarlarBasseynlarPuflama basseynlar</v>
      </c>
      <c r="B2700" s="35" t="s">
        <v>43</v>
      </c>
      <c r="C2700" s="35" t="s">
        <v>3486</v>
      </c>
      <c r="D2700" s="35" t="s">
        <v>6008</v>
      </c>
      <c r="E2700" s="35" t="s">
        <v>6036</v>
      </c>
      <c r="F2700" s="36">
        <v>0.15</v>
      </c>
      <c r="G2700" s="31"/>
      <c r="H2700" s="31"/>
      <c r="I2700" s="31"/>
      <c r="J2700" s="31"/>
      <c r="K2700" s="31"/>
    </row>
    <row r="2701" spans="1:11" ht="14.4" x14ac:dyDescent="0.3">
      <c r="A2701" s="28" t="str">
        <f>B2701&amp;C2701&amp;D2701&amp;E2701</f>
        <v>Sport va hordiqSportchilar uchun ozuqalarBCAA va aminokislotalarTriptofan</v>
      </c>
      <c r="B2701" s="35" t="s">
        <v>43</v>
      </c>
      <c r="C2701" s="35" t="s">
        <v>6006</v>
      </c>
      <c r="D2701" s="35" t="s">
        <v>6007</v>
      </c>
      <c r="E2701" s="35" t="s">
        <v>6037</v>
      </c>
      <c r="F2701" s="36">
        <v>0.15</v>
      </c>
      <c r="G2701" s="31"/>
      <c r="H2701" s="31"/>
      <c r="I2701" s="31"/>
      <c r="J2701" s="31"/>
      <c r="K2701" s="31"/>
    </row>
    <row r="2702" spans="1:11" ht="14.4" x14ac:dyDescent="0.3">
      <c r="A2702" s="28" t="str">
        <f>B2702&amp;C2702&amp;D2702&amp;E2702</f>
        <v>Sport va hordiqSportchilar uchun ozuqalarVaznni kamaytirish vositalariDiuretiklar</v>
      </c>
      <c r="B2702" s="35" t="s">
        <v>43</v>
      </c>
      <c r="C2702" s="35" t="s">
        <v>6006</v>
      </c>
      <c r="D2702" s="35" t="s">
        <v>6017</v>
      </c>
      <c r="E2702" s="35" t="s">
        <v>6038</v>
      </c>
      <c r="F2702" s="36">
        <v>0.15</v>
      </c>
      <c r="G2702" s="31"/>
      <c r="H2702" s="31"/>
      <c r="I2702" s="31"/>
      <c r="J2702" s="31"/>
      <c r="K2702" s="31"/>
    </row>
    <row r="2703" spans="1:11" ht="14.4" x14ac:dyDescent="0.3">
      <c r="A2703" s="28" t="str">
        <f>B2703&amp;C2703&amp;D2703&amp;E2703</f>
        <v>Sport va hordiqSportchilar uchun ozuqalarEnergetiklar va izotoniklarEnergetiklar va izotoniklar</v>
      </c>
      <c r="B2703" s="35" t="s">
        <v>43</v>
      </c>
      <c r="C2703" s="35" t="s">
        <v>6006</v>
      </c>
      <c r="D2703" s="35" t="s">
        <v>6039</v>
      </c>
      <c r="E2703" s="35" t="s">
        <v>6039</v>
      </c>
      <c r="F2703" s="36">
        <v>0.15</v>
      </c>
      <c r="G2703" s="31"/>
      <c r="H2703" s="31"/>
      <c r="I2703" s="31"/>
      <c r="J2703" s="31"/>
      <c r="K2703" s="31"/>
    </row>
    <row r="2704" spans="1:11" ht="14.4" x14ac:dyDescent="0.3">
      <c r="A2704" s="28" t="str">
        <f>B2704&amp;C2704&amp;D2704&amp;E2704</f>
        <v>Sport va hordiqSportchilar uchun ozuqalarBCAA va aminokislotalarBeta-alanin</v>
      </c>
      <c r="B2704" s="35" t="s">
        <v>43</v>
      </c>
      <c r="C2704" s="35" t="s">
        <v>6006</v>
      </c>
      <c r="D2704" s="35" t="s">
        <v>6007</v>
      </c>
      <c r="E2704" s="35" t="s">
        <v>6040</v>
      </c>
      <c r="F2704" s="36">
        <v>0.15</v>
      </c>
      <c r="G2704" s="31"/>
      <c r="H2704" s="31"/>
      <c r="I2704" s="31"/>
      <c r="J2704" s="31"/>
      <c r="K2704" s="31"/>
    </row>
    <row r="2705" spans="1:11" ht="14.4" x14ac:dyDescent="0.3">
      <c r="A2705" s="28" t="str">
        <f>B2705&amp;C2705&amp;D2705&amp;E2705</f>
        <v>Sport va hordiqSportchilar uchun ozuqalarSport mashgʻulotlari uchun toʻplamlarSport mashgʻulotlari uchun toʻplamlar</v>
      </c>
      <c r="B2705" s="35" t="s">
        <v>43</v>
      </c>
      <c r="C2705" s="35" t="s">
        <v>6006</v>
      </c>
      <c r="D2705" s="35" t="s">
        <v>6041</v>
      </c>
      <c r="E2705" s="35" t="s">
        <v>6041</v>
      </c>
      <c r="F2705" s="36">
        <v>0.15</v>
      </c>
      <c r="G2705" s="31"/>
      <c r="H2705" s="31"/>
      <c r="I2705" s="31"/>
      <c r="J2705" s="31"/>
      <c r="K2705" s="31"/>
    </row>
    <row r="2706" spans="1:11" ht="14.4" x14ac:dyDescent="0.3">
      <c r="A2706" s="28" t="str">
        <f>B2706&amp;C2706&amp;D2706&amp;E2706</f>
        <v>Sport va hordiqBasseynlar va aksessuarlarBasseynlarBasseynlar</v>
      </c>
      <c r="B2706" s="35" t="s">
        <v>43</v>
      </c>
      <c r="C2706" s="35" t="s">
        <v>3486</v>
      </c>
      <c r="D2706" s="35" t="s">
        <v>6008</v>
      </c>
      <c r="E2706" s="35" t="s">
        <v>6008</v>
      </c>
      <c r="F2706" s="36">
        <v>0.15</v>
      </c>
      <c r="G2706" s="31"/>
      <c r="H2706" s="31"/>
      <c r="I2706" s="31"/>
      <c r="J2706" s="31"/>
      <c r="K2706" s="31"/>
    </row>
    <row r="2707" spans="1:11" ht="14.4" x14ac:dyDescent="0.3">
      <c r="A2707" s="28" t="str">
        <f>B2707&amp;C2707&amp;D2707&amp;E2707</f>
        <v>Sport va hordiqSportchilar uchun ozuqalarGaynerlar va oqsillarGeynerlar</v>
      </c>
      <c r="B2707" s="35" t="s">
        <v>43</v>
      </c>
      <c r="C2707" s="35" t="s">
        <v>6006</v>
      </c>
      <c r="D2707" s="35" t="s">
        <v>6026</v>
      </c>
      <c r="E2707" s="35" t="s">
        <v>6042</v>
      </c>
      <c r="F2707" s="36">
        <v>0.15</v>
      </c>
      <c r="G2707" s="31"/>
      <c r="H2707" s="31"/>
      <c r="I2707" s="31"/>
      <c r="J2707" s="31"/>
      <c r="K2707" s="31"/>
    </row>
    <row r="2708" spans="1:11" ht="14.4" x14ac:dyDescent="0.3">
      <c r="A2708" s="28" t="str">
        <f>B2708&amp;C2708&amp;D2708&amp;E2708</f>
        <v>Sport va hordiqSportchilar uchun ozuqalarBCAA va aminokislotalarArgininlar</v>
      </c>
      <c r="B2708" s="35" t="s">
        <v>43</v>
      </c>
      <c r="C2708" s="35" t="s">
        <v>6006</v>
      </c>
      <c r="D2708" s="35" t="s">
        <v>6007</v>
      </c>
      <c r="E2708" s="35" t="s">
        <v>6043</v>
      </c>
      <c r="F2708" s="36">
        <v>0.15</v>
      </c>
      <c r="G2708" s="31"/>
      <c r="H2708" s="31"/>
      <c r="I2708" s="31"/>
      <c r="J2708" s="31"/>
      <c r="K2708" s="31"/>
    </row>
    <row r="2709" spans="1:11" ht="14.4" x14ac:dyDescent="0.3">
      <c r="A2709" s="28" t="str">
        <f>B2709&amp;C2709&amp;D2709&amp;E2709</f>
        <v>Sport va hordiqSportchilar uchun ozuqalarBCAA va aminokislotalarAminokislotalar komplekslari</v>
      </c>
      <c r="B2709" s="35" t="s">
        <v>43</v>
      </c>
      <c r="C2709" s="35" t="s">
        <v>6006</v>
      </c>
      <c r="D2709" s="35" t="s">
        <v>6007</v>
      </c>
      <c r="E2709" s="35" t="s">
        <v>6044</v>
      </c>
      <c r="F2709" s="36">
        <v>0.15</v>
      </c>
      <c r="G2709" s="31"/>
      <c r="H2709" s="31"/>
      <c r="I2709" s="31"/>
      <c r="J2709" s="31"/>
      <c r="K2709" s="31"/>
    </row>
    <row r="2710" spans="1:11" ht="14.4" x14ac:dyDescent="0.3">
      <c r="A2710" s="28" t="str">
        <f>B2710&amp;C2710&amp;D2710&amp;E2710</f>
        <v>Uy-roʻzgʻor buyumlariBayramlar uchun tovarlarYangi yil tovarlariSunʼiy archalar</v>
      </c>
      <c r="B2710" s="35" t="s">
        <v>3193</v>
      </c>
      <c r="C2710" s="35" t="s">
        <v>3489</v>
      </c>
      <c r="D2710" s="35" t="s">
        <v>3545</v>
      </c>
      <c r="E2710" s="35" t="s">
        <v>6045</v>
      </c>
      <c r="F2710" s="36">
        <v>0.15</v>
      </c>
      <c r="G2710" s="31"/>
      <c r="H2710" s="31"/>
      <c r="I2710" s="31"/>
      <c r="J2710" s="31"/>
      <c r="K2710" s="31"/>
    </row>
    <row r="2711" spans="1:11" ht="14.4" x14ac:dyDescent="0.3">
      <c r="A2711" s="28" t="str">
        <f>B2711&amp;C2711&amp;D2711&amp;E2711</f>
        <v>AvtotovarlarAvtomobil ehtiyot qismlariPodshipniklarPodshipniklar</v>
      </c>
      <c r="B2711" s="35" t="s">
        <v>39</v>
      </c>
      <c r="C2711" s="35" t="s">
        <v>4697</v>
      </c>
      <c r="D2711" s="35" t="s">
        <v>6046</v>
      </c>
      <c r="E2711" s="35" t="s">
        <v>6046</v>
      </c>
      <c r="F2711" s="36">
        <v>0.12</v>
      </c>
      <c r="G2711" s="31"/>
      <c r="H2711" s="31"/>
      <c r="I2711" s="31"/>
      <c r="J2711" s="31"/>
      <c r="K2711" s="31"/>
    </row>
    <row r="2712" spans="1:11" ht="14.4" x14ac:dyDescent="0.3">
      <c r="A2712" s="28" t="str">
        <f>B2712&amp;C2712&amp;D2712&amp;E2712</f>
        <v>AvtotovarlarAvtomobil ehtiyot qismlariIsitgich va konditsionerIsitgich va konditsioner</v>
      </c>
      <c r="B2712" s="35" t="s">
        <v>39</v>
      </c>
      <c r="C2712" s="35" t="s">
        <v>4697</v>
      </c>
      <c r="D2712" s="35" t="s">
        <v>6047</v>
      </c>
      <c r="E2712" s="35" t="s">
        <v>6047</v>
      </c>
      <c r="F2712" s="36">
        <v>0.12</v>
      </c>
      <c r="G2712" s="31"/>
      <c r="H2712" s="31"/>
      <c r="I2712" s="31"/>
      <c r="J2712" s="31"/>
      <c r="K2712" s="31"/>
    </row>
    <row r="2713" spans="1:11" ht="14.4" x14ac:dyDescent="0.3">
      <c r="A2713" s="28" t="str">
        <f>B2713&amp;C2713&amp;D2713&amp;E2713</f>
        <v>AvtotovarlarAvtomobil ehtiyot qismlariKuzov ehtiyot qismlariKuzov ehtiyot qismlari</v>
      </c>
      <c r="B2713" s="35" t="s">
        <v>39</v>
      </c>
      <c r="C2713" s="35" t="s">
        <v>4697</v>
      </c>
      <c r="D2713" s="35" t="s">
        <v>6048</v>
      </c>
      <c r="E2713" s="35" t="s">
        <v>6048</v>
      </c>
      <c r="F2713" s="36">
        <v>0.12</v>
      </c>
      <c r="G2713" s="31"/>
      <c r="H2713" s="31"/>
      <c r="I2713" s="31"/>
      <c r="J2713" s="31"/>
      <c r="K2713" s="31"/>
    </row>
    <row r="2714" spans="1:11" ht="14.4" x14ac:dyDescent="0.3">
      <c r="A2714" s="28" t="str">
        <f>B2714&amp;C2714&amp;D2714&amp;E2714</f>
        <v>AvtotovarlarAvtomobil ehtiyot qismlariTXK uchun ehtiyot qismlarTXK uchun ehtiyot qismlar</v>
      </c>
      <c r="B2714" s="35" t="s">
        <v>39</v>
      </c>
      <c r="C2714" s="35" t="s">
        <v>4697</v>
      </c>
      <c r="D2714" s="35" t="s">
        <v>6049</v>
      </c>
      <c r="E2714" s="35" t="s">
        <v>6049</v>
      </c>
      <c r="F2714" s="36">
        <v>0.12</v>
      </c>
      <c r="G2714" s="31"/>
      <c r="H2714" s="31"/>
      <c r="I2714" s="31"/>
      <c r="J2714" s="31"/>
      <c r="K2714" s="31"/>
    </row>
    <row r="2715" spans="1:11" ht="14.4" x14ac:dyDescent="0.3">
      <c r="A2715" s="28" t="str">
        <f>B2715&amp;C2715&amp;D2715&amp;E2715</f>
        <v>AvtotovarlarAvtomobil ehtiyot qismlariQuvvat tizimiQuvvat tizimi</v>
      </c>
      <c r="B2715" s="35" t="s">
        <v>39</v>
      </c>
      <c r="C2715" s="35" t="s">
        <v>4697</v>
      </c>
      <c r="D2715" s="35" t="s">
        <v>6050</v>
      </c>
      <c r="E2715" s="35" t="s">
        <v>6050</v>
      </c>
      <c r="F2715" s="36">
        <v>0.12</v>
      </c>
      <c r="G2715" s="31"/>
      <c r="H2715" s="31"/>
      <c r="I2715" s="31"/>
      <c r="J2715" s="31"/>
      <c r="K2715" s="31"/>
    </row>
    <row r="2716" spans="1:11" ht="14.4" x14ac:dyDescent="0.3">
      <c r="A2716" s="28" t="str">
        <f>B2716&amp;C2716&amp;D2716&amp;E2716</f>
        <v>Bolalar tovarlariBolalar sporti va faol hordiqBolalar transportiElektromobillar</v>
      </c>
      <c r="B2716" s="35" t="s">
        <v>3153</v>
      </c>
      <c r="C2716" s="35" t="s">
        <v>3680</v>
      </c>
      <c r="D2716" s="35" t="s">
        <v>4792</v>
      </c>
      <c r="E2716" s="35" t="s">
        <v>6051</v>
      </c>
      <c r="F2716" s="36">
        <v>0.12</v>
      </c>
      <c r="G2716" s="31"/>
      <c r="H2716" s="31"/>
      <c r="I2716" s="31"/>
      <c r="J2716" s="31"/>
      <c r="K2716" s="31"/>
    </row>
    <row r="2717" spans="1:11" ht="14.4" x14ac:dyDescent="0.3">
      <c r="A2717" s="28" t="str">
        <f>B2717&amp;C2717&amp;D2717&amp;E2717</f>
        <v>Bolalar tovarlariBolalar xonasiHimoya va xavfsizlikRadioenaga</v>
      </c>
      <c r="B2717" s="35" t="s">
        <v>3153</v>
      </c>
      <c r="C2717" s="35" t="s">
        <v>3287</v>
      </c>
      <c r="D2717" s="35" t="s">
        <v>3288</v>
      </c>
      <c r="E2717" s="35" t="s">
        <v>6052</v>
      </c>
      <c r="F2717" s="36">
        <v>0.12</v>
      </c>
      <c r="G2717" s="31"/>
      <c r="H2717" s="31"/>
      <c r="I2717" s="31"/>
      <c r="J2717" s="31"/>
      <c r="K2717" s="31"/>
    </row>
    <row r="2718" spans="1:11" ht="14.4" x14ac:dyDescent="0.3">
      <c r="A2718" s="28" t="str">
        <f>B2718&amp;C2718&amp;D2718&amp;E2718</f>
        <v>ElektronikaTelevizorlar va videotexnikalarProyektorlar va aksessuarlarProyektorlar</v>
      </c>
      <c r="B2718" s="35" t="s">
        <v>3161</v>
      </c>
      <c r="C2718" s="35" t="s">
        <v>3328</v>
      </c>
      <c r="D2718" s="35" t="s">
        <v>3329</v>
      </c>
      <c r="E2718" s="35" t="s">
        <v>6053</v>
      </c>
      <c r="F2718" s="36">
        <v>0.12</v>
      </c>
      <c r="G2718" s="31"/>
      <c r="H2718" s="31"/>
      <c r="I2718" s="31"/>
      <c r="J2718" s="31"/>
      <c r="K2718" s="31"/>
    </row>
    <row r="2719" spans="1:11" ht="14.4" x14ac:dyDescent="0.3">
      <c r="A2719" s="28" t="str">
        <f>B2719&amp;C2719&amp;D2719&amp;E2719</f>
        <v>ElektronikaKompyuter texnikasiKompyuter texnikalari uchun butlovchi qismlarQattiq disklar, SSD va tarmoq jamlagichlar</v>
      </c>
      <c r="B2719" s="35" t="s">
        <v>3161</v>
      </c>
      <c r="C2719" s="35" t="s">
        <v>3311</v>
      </c>
      <c r="D2719" s="35" t="s">
        <v>3399</v>
      </c>
      <c r="E2719" s="35" t="s">
        <v>6054</v>
      </c>
      <c r="F2719" s="36">
        <v>0.12</v>
      </c>
      <c r="G2719" s="31"/>
      <c r="H2719" s="31"/>
      <c r="I2719" s="31"/>
      <c r="J2719" s="31"/>
      <c r="K2719" s="31"/>
    </row>
    <row r="2720" spans="1:11" ht="14.4" x14ac:dyDescent="0.3">
      <c r="A2720" s="28" t="str">
        <f>B2720&amp;C2720&amp;D2720&amp;E2720</f>
        <v>Hayvonlar uchun tovarlarVetaptekaHayvonlar uchun tabletkalarHayvonlar uchun tabletkalar</v>
      </c>
      <c r="B2720" s="35" t="s">
        <v>3168</v>
      </c>
      <c r="C2720" s="35" t="s">
        <v>6055</v>
      </c>
      <c r="D2720" s="35" t="s">
        <v>6056</v>
      </c>
      <c r="E2720" s="35" t="s">
        <v>6056</v>
      </c>
      <c r="F2720" s="36">
        <v>0.12</v>
      </c>
      <c r="G2720" s="31"/>
      <c r="H2720" s="31"/>
      <c r="I2720" s="31"/>
      <c r="J2720" s="31"/>
      <c r="K2720" s="31"/>
    </row>
    <row r="2721" spans="1:11" ht="14.4" x14ac:dyDescent="0.3">
      <c r="A2721" s="28" t="str">
        <f>B2721&amp;C2721&amp;D2721&amp;E2721</f>
        <v>Hayvonlar uchun tovarlarKemiruvchilar uchunTualet va toʻldiruvchilarTualet va toʻldiruvchilar</v>
      </c>
      <c r="B2721" s="35" t="s">
        <v>3168</v>
      </c>
      <c r="C2721" s="35" t="s">
        <v>3806</v>
      </c>
      <c r="D2721" s="35" t="s">
        <v>6057</v>
      </c>
      <c r="E2721" s="35" t="s">
        <v>6057</v>
      </c>
      <c r="F2721" s="36">
        <v>0.12</v>
      </c>
      <c r="G2721" s="31"/>
      <c r="H2721" s="31"/>
      <c r="I2721" s="31"/>
      <c r="J2721" s="31"/>
      <c r="K2721" s="31"/>
    </row>
    <row r="2722" spans="1:11" ht="14.4" x14ac:dyDescent="0.3">
      <c r="A2722" s="28" t="str">
        <f>B2722&amp;C2722&amp;D2722&amp;E2722</f>
        <v>Hayvonlar uchun tovarlarBaliqlar va repitiliylar uchunTerrariumlar va aksessuarlarTerrariumlar va aksessuarlar</v>
      </c>
      <c r="B2722" s="35" t="s">
        <v>3168</v>
      </c>
      <c r="C2722" s="35" t="s">
        <v>6058</v>
      </c>
      <c r="D2722" s="35" t="s">
        <v>6059</v>
      </c>
      <c r="E2722" s="35" t="s">
        <v>6059</v>
      </c>
      <c r="F2722" s="36">
        <v>0.12</v>
      </c>
      <c r="G2722" s="31"/>
      <c r="H2722" s="31"/>
      <c r="I2722" s="31"/>
      <c r="J2722" s="31"/>
      <c r="K2722" s="31"/>
    </row>
    <row r="2723" spans="1:11" ht="14.4" x14ac:dyDescent="0.3">
      <c r="A2723" s="28" t="str">
        <f>B2723&amp;C2723&amp;D2723&amp;E2723</f>
        <v>Hayvonlar uchun tovarlarItlar uchunOzuqa va ShirinliklarQuruq ovqatlar</v>
      </c>
      <c r="B2723" s="35" t="s">
        <v>3168</v>
      </c>
      <c r="C2723" s="35" t="s">
        <v>3419</v>
      </c>
      <c r="D2723" s="35" t="s">
        <v>3803</v>
      </c>
      <c r="E2723" s="35" t="s">
        <v>6060</v>
      </c>
      <c r="F2723" s="36">
        <v>0.12</v>
      </c>
      <c r="G2723" s="31"/>
      <c r="H2723" s="31"/>
      <c r="I2723" s="31"/>
      <c r="J2723" s="31"/>
      <c r="K2723" s="31"/>
    </row>
    <row r="2724" spans="1:11" ht="14.4" x14ac:dyDescent="0.3">
      <c r="A2724" s="28" t="str">
        <f>B2724&amp;C2724&amp;D2724&amp;E2724</f>
        <v>Hayvonlar uchun tovarlarKemiruvchilar uchunKemiruvchilar uchun tovoqchalar, suv idishlari va ovqatlantirish idishlariTovoqchalar, suv idishlari</v>
      </c>
      <c r="B2724" s="35" t="s">
        <v>3168</v>
      </c>
      <c r="C2724" s="35" t="s">
        <v>3806</v>
      </c>
      <c r="D2724" s="35" t="s">
        <v>3817</v>
      </c>
      <c r="E2724" s="35" t="s">
        <v>6061</v>
      </c>
      <c r="F2724" s="36">
        <v>0.12</v>
      </c>
      <c r="G2724" s="31"/>
      <c r="H2724" s="31"/>
      <c r="I2724" s="31"/>
      <c r="J2724" s="31"/>
      <c r="K2724" s="31"/>
    </row>
    <row r="2725" spans="1:11" ht="14.4" x14ac:dyDescent="0.3">
      <c r="A2725" s="28" t="str">
        <f>B2725&amp;C2725&amp;D2725&amp;E2725</f>
        <v>Hayvonlar uchun tovarlarVetaptekaBurga va kanalarga qarshi vositalarBurga va kanalarga qarshi vositalar</v>
      </c>
      <c r="B2725" s="35" t="s">
        <v>3168</v>
      </c>
      <c r="C2725" s="35" t="s">
        <v>6055</v>
      </c>
      <c r="D2725" s="35" t="s">
        <v>6062</v>
      </c>
      <c r="E2725" s="35" t="s">
        <v>6062</v>
      </c>
      <c r="F2725" s="36">
        <v>0.12</v>
      </c>
      <c r="G2725" s="31"/>
      <c r="H2725" s="31"/>
      <c r="I2725" s="31"/>
      <c r="J2725" s="31"/>
      <c r="K2725" s="31"/>
    </row>
    <row r="2726" spans="1:11" ht="14.4" x14ac:dyDescent="0.3">
      <c r="A2726" s="28" t="str">
        <f>B2726&amp;C2726&amp;D2726&amp;E2726</f>
        <v>Hayvonlar uchun tovarlarQishloq xoʻjaligi hayvonlari uchunTuxum uchun inkubatorlarTuxum uchun inkubatorlar</v>
      </c>
      <c r="B2726" s="35" t="s">
        <v>3168</v>
      </c>
      <c r="C2726" s="35" t="s">
        <v>3811</v>
      </c>
      <c r="D2726" s="35" t="s">
        <v>6063</v>
      </c>
      <c r="E2726" s="35" t="s">
        <v>6063</v>
      </c>
      <c r="F2726" s="36">
        <v>0.12</v>
      </c>
      <c r="G2726" s="31"/>
      <c r="H2726" s="31"/>
      <c r="I2726" s="31"/>
      <c r="J2726" s="31"/>
      <c r="K2726" s="31"/>
    </row>
    <row r="2727" spans="1:11" ht="14.4" x14ac:dyDescent="0.3">
      <c r="A2727" s="28" t="str">
        <f>B2727&amp;C2727&amp;D2727&amp;E2727</f>
        <v>Hayvonlar uchun tovarlarMushuklar uchunOzuqalar va shirinliklarOziqatlantirish uchun aksessuarlar</v>
      </c>
      <c r="B2727" s="35" t="s">
        <v>3168</v>
      </c>
      <c r="C2727" s="35" t="s">
        <v>5178</v>
      </c>
      <c r="D2727" s="35" t="s">
        <v>5183</v>
      </c>
      <c r="E2727" s="35" t="s">
        <v>3804</v>
      </c>
      <c r="F2727" s="36">
        <v>0.12</v>
      </c>
      <c r="G2727" s="31"/>
      <c r="H2727" s="31"/>
      <c r="I2727" s="31"/>
      <c r="J2727" s="31"/>
      <c r="K2727" s="31"/>
    </row>
    <row r="2728" spans="1:11" ht="14.4" x14ac:dyDescent="0.3">
      <c r="A2728" s="28" t="str">
        <f>B2728&amp;C2728&amp;D2728&amp;E2728</f>
        <v>Hayvonlar uchun tovarlarVetaptekaPasta va gellarPasta va gellar</v>
      </c>
      <c r="B2728" s="35" t="s">
        <v>3168</v>
      </c>
      <c r="C2728" s="35" t="s">
        <v>6055</v>
      </c>
      <c r="D2728" s="35" t="s">
        <v>6064</v>
      </c>
      <c r="E2728" s="35" t="s">
        <v>6064</v>
      </c>
      <c r="F2728" s="36">
        <v>0.12</v>
      </c>
      <c r="G2728" s="31"/>
      <c r="H2728" s="31"/>
      <c r="I2728" s="31"/>
      <c r="J2728" s="31"/>
      <c r="K2728" s="31"/>
    </row>
    <row r="2729" spans="1:11" ht="14.4" x14ac:dyDescent="0.3">
      <c r="A2729" s="28" t="str">
        <f>B2729&amp;C2729&amp;D2729&amp;E2729</f>
        <v>Hayvonlar uchun tovarlarVetaptekaHayvonlar uchun vitaminlar va qoʻshimchalarVitaminlar</v>
      </c>
      <c r="B2729" s="35" t="s">
        <v>3168</v>
      </c>
      <c r="C2729" s="35" t="s">
        <v>6055</v>
      </c>
      <c r="D2729" s="35" t="s">
        <v>6065</v>
      </c>
      <c r="E2729" s="35" t="s">
        <v>6029</v>
      </c>
      <c r="F2729" s="36">
        <v>0.12</v>
      </c>
      <c r="G2729" s="31"/>
      <c r="H2729" s="31"/>
      <c r="I2729" s="31"/>
      <c r="J2729" s="31"/>
      <c r="K2729" s="31"/>
    </row>
    <row r="2730" spans="1:11" ht="14.4" x14ac:dyDescent="0.3">
      <c r="A2730" s="28" t="str">
        <f>B2730&amp;C2730&amp;D2730&amp;E2730</f>
        <v>Hayvonlar uchun tovarlarVetaptekaSpreylarSpreylar</v>
      </c>
      <c r="B2730" s="35" t="s">
        <v>3168</v>
      </c>
      <c r="C2730" s="35" t="s">
        <v>6055</v>
      </c>
      <c r="D2730" s="35" t="s">
        <v>5012</v>
      </c>
      <c r="E2730" s="35" t="s">
        <v>5012</v>
      </c>
      <c r="F2730" s="36">
        <v>0.12</v>
      </c>
      <c r="G2730" s="31"/>
      <c r="H2730" s="31"/>
      <c r="I2730" s="31"/>
      <c r="J2730" s="31"/>
      <c r="K2730" s="31"/>
    </row>
    <row r="2731" spans="1:11" ht="14.4" x14ac:dyDescent="0.3">
      <c r="A2731" s="28" t="str">
        <f>B2731&amp;C2731&amp;D2731&amp;E2731</f>
        <v>Hayvonlar uchun tovarlarQishloq xoʻjaligi hayvonlari uchunQishloq xoʻjaligi qushlari uchunQishloq xoʻjaligi qushlari uchun</v>
      </c>
      <c r="B2731" s="35" t="s">
        <v>3168</v>
      </c>
      <c r="C2731" s="35" t="s">
        <v>3811</v>
      </c>
      <c r="D2731" s="35" t="s">
        <v>6066</v>
      </c>
      <c r="E2731" s="35" t="s">
        <v>6066</v>
      </c>
      <c r="F2731" s="36">
        <v>0.12</v>
      </c>
      <c r="G2731" s="31"/>
      <c r="H2731" s="31"/>
      <c r="I2731" s="31"/>
      <c r="J2731" s="31"/>
      <c r="K2731" s="31"/>
    </row>
    <row r="2732" spans="1:11" ht="14.4" x14ac:dyDescent="0.3">
      <c r="A2732" s="28" t="str">
        <f>B2732&amp;C2732&amp;D2732&amp;E2732</f>
        <v>Hayvonlar uchun tovarlarKemiruvchilar uchunQafaslar va uylarUychalar</v>
      </c>
      <c r="B2732" s="35" t="s">
        <v>3168</v>
      </c>
      <c r="C2732" s="35" t="s">
        <v>3806</v>
      </c>
      <c r="D2732" s="35" t="s">
        <v>3813</v>
      </c>
      <c r="E2732" s="35" t="s">
        <v>5180</v>
      </c>
      <c r="F2732" s="36">
        <v>0.12</v>
      </c>
      <c r="G2732" s="31"/>
      <c r="H2732" s="31"/>
      <c r="I2732" s="31"/>
      <c r="J2732" s="31"/>
      <c r="K2732" s="31"/>
    </row>
    <row r="2733" spans="1:11" ht="14.4" x14ac:dyDescent="0.3">
      <c r="A2733" s="28" t="str">
        <f>B2733&amp;C2733&amp;D2733&amp;E2733</f>
        <v>Hayvonlar uchun tovarlarKemiruvchilar uchunKemiruvchilar uchun ozuqa va shirinliklarShirinliklar</v>
      </c>
      <c r="B2733" s="35" t="s">
        <v>3168</v>
      </c>
      <c r="C2733" s="35" t="s">
        <v>3806</v>
      </c>
      <c r="D2733" s="35" t="s">
        <v>5175</v>
      </c>
      <c r="E2733" s="35" t="s">
        <v>5177</v>
      </c>
      <c r="F2733" s="36">
        <v>0.12</v>
      </c>
      <c r="G2733" s="31"/>
      <c r="H2733" s="31"/>
      <c r="I2733" s="31"/>
      <c r="J2733" s="31"/>
      <c r="K2733" s="31"/>
    </row>
    <row r="2734" spans="1:11" ht="14.4" x14ac:dyDescent="0.3">
      <c r="A2734" s="28" t="str">
        <f>B2734&amp;C2734&amp;D2734&amp;E2734</f>
        <v>Hayvonlar uchun tovarlarQishloq xoʻjaligi hayvonlari uchunEchkilar va qoʻylar uchunEchkilar va qoʻylar uchun</v>
      </c>
      <c r="B2734" s="35" t="s">
        <v>3168</v>
      </c>
      <c r="C2734" s="35" t="s">
        <v>3811</v>
      </c>
      <c r="D2734" s="35" t="s">
        <v>6067</v>
      </c>
      <c r="E2734" s="35" t="s">
        <v>6067</v>
      </c>
      <c r="F2734" s="36">
        <v>0.12</v>
      </c>
      <c r="G2734" s="31"/>
      <c r="H2734" s="31"/>
      <c r="I2734" s="31"/>
      <c r="J2734" s="31"/>
      <c r="K2734" s="31"/>
    </row>
    <row r="2735" spans="1:11" ht="14.4" x14ac:dyDescent="0.3">
      <c r="A2735" s="28" t="str">
        <f>B2735&amp;C2735&amp;D2735&amp;E2735</f>
        <v>Hayvonlar uchun tovarlarBaliqlar va repitiliylar uchunOzuqaOzuqa</v>
      </c>
      <c r="B2735" s="35" t="s">
        <v>3168</v>
      </c>
      <c r="C2735" s="35" t="s">
        <v>6058</v>
      </c>
      <c r="D2735" s="35" t="s">
        <v>6068</v>
      </c>
      <c r="E2735" s="35" t="s">
        <v>6068</v>
      </c>
      <c r="F2735" s="36">
        <v>0.12</v>
      </c>
      <c r="G2735" s="31"/>
      <c r="H2735" s="31"/>
      <c r="I2735" s="31"/>
      <c r="J2735" s="31"/>
      <c r="K2735" s="31"/>
    </row>
    <row r="2736" spans="1:11" ht="14.4" x14ac:dyDescent="0.3">
      <c r="A2736" s="28" t="str">
        <f>B2736&amp;C2736&amp;D2736&amp;E2736</f>
        <v>Hayvonlar uchun tovarlarVetaptekaYoqalar va davolovchi boʻyinbogʻlarYoqalar</v>
      </c>
      <c r="B2736" s="35" t="s">
        <v>3168</v>
      </c>
      <c r="C2736" s="35" t="s">
        <v>6055</v>
      </c>
      <c r="D2736" s="35" t="s">
        <v>6069</v>
      </c>
      <c r="E2736" s="35" t="s">
        <v>6070</v>
      </c>
      <c r="F2736" s="36">
        <v>0.12</v>
      </c>
      <c r="G2736" s="31"/>
      <c r="H2736" s="31"/>
      <c r="I2736" s="31"/>
      <c r="J2736" s="31"/>
      <c r="K2736" s="31"/>
    </row>
    <row r="2737" spans="1:11" ht="14.4" x14ac:dyDescent="0.3">
      <c r="A2737" s="28" t="str">
        <f>B2737&amp;C2737&amp;D2737&amp;E2737</f>
        <v>Hayvonlar uchun tovarlarVetaptekaYoqalar va davolovchi boʻyinbogʻlarTibbiy boʻyinbogʻlar</v>
      </c>
      <c r="B2737" s="35" t="s">
        <v>3168</v>
      </c>
      <c r="C2737" s="35" t="s">
        <v>6055</v>
      </c>
      <c r="D2737" s="35" t="s">
        <v>6069</v>
      </c>
      <c r="E2737" s="35" t="s">
        <v>6071</v>
      </c>
      <c r="F2737" s="36">
        <v>0.12</v>
      </c>
      <c r="G2737" s="31"/>
      <c r="H2737" s="31"/>
      <c r="I2737" s="31"/>
      <c r="J2737" s="31"/>
      <c r="K2737" s="31"/>
    </row>
    <row r="2738" spans="1:11" ht="14.4" x14ac:dyDescent="0.3">
      <c r="A2738" s="28" t="str">
        <f>B2738&amp;C2738&amp;D2738&amp;E2738</f>
        <v>Hayvonlar uchun tovarlarItlar uchunOzuqa va ShirinliklarNam ovqatlar</v>
      </c>
      <c r="B2738" s="35" t="s">
        <v>3168</v>
      </c>
      <c r="C2738" s="35" t="s">
        <v>3419</v>
      </c>
      <c r="D2738" s="35" t="s">
        <v>3803</v>
      </c>
      <c r="E2738" s="35" t="s">
        <v>5184</v>
      </c>
      <c r="F2738" s="36">
        <v>0.12</v>
      </c>
      <c r="G2738" s="31"/>
      <c r="H2738" s="31"/>
      <c r="I2738" s="31"/>
      <c r="J2738" s="31"/>
      <c r="K2738" s="31"/>
    </row>
    <row r="2739" spans="1:11" ht="14.4" x14ac:dyDescent="0.3">
      <c r="A2739" s="28" t="str">
        <f>B2739&amp;C2739&amp;D2739&amp;E2739</f>
        <v>Hayvonlar uchun tovarlarVetaptekaBintlar va bandajlarBintlar va bandajlar</v>
      </c>
      <c r="B2739" s="35" t="s">
        <v>3168</v>
      </c>
      <c r="C2739" s="35" t="s">
        <v>6055</v>
      </c>
      <c r="D2739" s="35" t="s">
        <v>6072</v>
      </c>
      <c r="E2739" s="35" t="s">
        <v>6072</v>
      </c>
      <c r="F2739" s="36">
        <v>0.12</v>
      </c>
      <c r="G2739" s="31"/>
      <c r="H2739" s="31"/>
      <c r="I2739" s="31"/>
      <c r="J2739" s="31"/>
      <c r="K2739" s="31"/>
    </row>
    <row r="2740" spans="1:11" ht="14.4" x14ac:dyDescent="0.3">
      <c r="A2740" s="28" t="str">
        <f>B2740&amp;C2740&amp;D2740&amp;E2740</f>
        <v>Hayvonlar uchun tovarlarBaliqlar va repitiliylar uchunAkvariumlar va aksessuarlarAkvariumlar va aksessuarlar</v>
      </c>
      <c r="B2740" s="35" t="s">
        <v>3168</v>
      </c>
      <c r="C2740" s="35" t="s">
        <v>6058</v>
      </c>
      <c r="D2740" s="35" t="s">
        <v>6073</v>
      </c>
      <c r="E2740" s="35" t="s">
        <v>6073</v>
      </c>
      <c r="F2740" s="36">
        <v>0.12</v>
      </c>
      <c r="G2740" s="31"/>
      <c r="H2740" s="31"/>
      <c r="I2740" s="31"/>
      <c r="J2740" s="31"/>
      <c r="K2740" s="31"/>
    </row>
    <row r="2741" spans="1:11" ht="14.4" x14ac:dyDescent="0.3">
      <c r="A2741" s="28" t="str">
        <f>B2741&amp;C2741&amp;D2741&amp;E2741</f>
        <v>Hayvonlar uchun tovarlarQushlar uchunQushlar uylari va inlariQushlar uylari va inlari</v>
      </c>
      <c r="B2741" s="35" t="s">
        <v>3168</v>
      </c>
      <c r="C2741" s="35" t="s">
        <v>3800</v>
      </c>
      <c r="D2741" s="35" t="s">
        <v>6074</v>
      </c>
      <c r="E2741" s="35" t="s">
        <v>6074</v>
      </c>
      <c r="F2741" s="36">
        <v>0.12</v>
      </c>
      <c r="G2741" s="31"/>
      <c r="H2741" s="31"/>
      <c r="I2741" s="31"/>
      <c r="J2741" s="31"/>
      <c r="K2741" s="31"/>
    </row>
    <row r="2742" spans="1:11" ht="14.4" x14ac:dyDescent="0.3">
      <c r="A2742" s="28" t="str">
        <f>B2742&amp;C2742&amp;D2742&amp;E2742</f>
        <v>Hayvonlar uchun tovarlarBaliqlar va repitiliylar uchunOvqat beradigan idishlarOvqat beradigan idishlar</v>
      </c>
      <c r="B2742" s="35" t="s">
        <v>3168</v>
      </c>
      <c r="C2742" s="35" t="s">
        <v>6058</v>
      </c>
      <c r="D2742" s="35" t="s">
        <v>3818</v>
      </c>
      <c r="E2742" s="35" t="s">
        <v>3818</v>
      </c>
      <c r="F2742" s="36">
        <v>0.12</v>
      </c>
      <c r="G2742" s="31"/>
      <c r="H2742" s="31"/>
      <c r="I2742" s="31"/>
      <c r="J2742" s="31"/>
      <c r="K2742" s="31"/>
    </row>
    <row r="2743" spans="1:11" ht="14.4" x14ac:dyDescent="0.3">
      <c r="A2743" s="28" t="str">
        <f>B2743&amp;C2743&amp;D2743&amp;E2743</f>
        <v>Hayvonlar uchun tovarlarVetaptekaHayvonlar uchun tomchilarHayvonlar uchun tomchilar</v>
      </c>
      <c r="B2743" s="35" t="s">
        <v>3168</v>
      </c>
      <c r="C2743" s="35" t="s">
        <v>6055</v>
      </c>
      <c r="D2743" s="35" t="s">
        <v>6075</v>
      </c>
      <c r="E2743" s="35" t="s">
        <v>6075</v>
      </c>
      <c r="F2743" s="36">
        <v>0.12</v>
      </c>
      <c r="G2743" s="31"/>
      <c r="H2743" s="31"/>
      <c r="I2743" s="31"/>
      <c r="J2743" s="31"/>
      <c r="K2743" s="31"/>
    </row>
    <row r="2744" spans="1:11" ht="14.4" x14ac:dyDescent="0.3">
      <c r="A2744" s="28" t="str">
        <f>B2744&amp;C2744&amp;D2744&amp;E2744</f>
        <v>Hayvonlar uchun tovarlarQushlar uchunQushlar uchun ozuqalar va shirinliklarMineral toshlar</v>
      </c>
      <c r="B2744" s="35" t="s">
        <v>3168</v>
      </c>
      <c r="C2744" s="35" t="s">
        <v>3800</v>
      </c>
      <c r="D2744" s="35" t="s">
        <v>6076</v>
      </c>
      <c r="E2744" s="35" t="s">
        <v>5176</v>
      </c>
      <c r="F2744" s="36">
        <v>0.12</v>
      </c>
      <c r="G2744" s="31"/>
      <c r="H2744" s="31"/>
      <c r="I2744" s="31"/>
      <c r="J2744" s="31"/>
      <c r="K2744" s="31"/>
    </row>
    <row r="2745" spans="1:11" ht="14.4" x14ac:dyDescent="0.3">
      <c r="A2745" s="28" t="str">
        <f>B2745&amp;C2745&amp;D2745&amp;E2745</f>
        <v>Hayvonlar uchun tovarlarQushlar uchunQushlar uchun ozuqalar va shirinliklarOzuqa</v>
      </c>
      <c r="B2745" s="35" t="s">
        <v>3168</v>
      </c>
      <c r="C2745" s="35" t="s">
        <v>3800</v>
      </c>
      <c r="D2745" s="35" t="s">
        <v>6076</v>
      </c>
      <c r="E2745" s="35" t="s">
        <v>6068</v>
      </c>
      <c r="F2745" s="36">
        <v>0.12</v>
      </c>
      <c r="G2745" s="31"/>
      <c r="H2745" s="31"/>
      <c r="I2745" s="31"/>
      <c r="J2745" s="31"/>
      <c r="K2745" s="31"/>
    </row>
    <row r="2746" spans="1:11" ht="14.4" x14ac:dyDescent="0.3">
      <c r="A2746" s="28" t="str">
        <f>B2746&amp;C2746&amp;D2746&amp;E2746</f>
        <v>Hayvonlar uchun tovarlarVetaptekaSuspenziyalarSuspenziyalar</v>
      </c>
      <c r="B2746" s="35" t="s">
        <v>3168</v>
      </c>
      <c r="C2746" s="35" t="s">
        <v>6055</v>
      </c>
      <c r="D2746" s="35" t="s">
        <v>6077</v>
      </c>
      <c r="E2746" s="35" t="s">
        <v>6077</v>
      </c>
      <c r="F2746" s="36">
        <v>0.12</v>
      </c>
      <c r="G2746" s="31"/>
      <c r="H2746" s="31"/>
      <c r="I2746" s="31"/>
      <c r="J2746" s="31"/>
      <c r="K2746" s="31"/>
    </row>
    <row r="2747" spans="1:11" ht="14.4" x14ac:dyDescent="0.3">
      <c r="A2747" s="28" t="str">
        <f>B2747&amp;C2747&amp;D2747&amp;E2747</f>
        <v>Hayvonlar uchun tovarlarKemiruvchilar uchunOʻyinchoqlarOʻyinchoqlar</v>
      </c>
      <c r="B2747" s="35" t="s">
        <v>3168</v>
      </c>
      <c r="C2747" s="35" t="s">
        <v>3806</v>
      </c>
      <c r="D2747" s="35" t="s">
        <v>3432</v>
      </c>
      <c r="E2747" s="35" t="s">
        <v>3432</v>
      </c>
      <c r="F2747" s="36">
        <v>0.12</v>
      </c>
      <c r="G2747" s="31"/>
      <c r="H2747" s="31"/>
      <c r="I2747" s="31"/>
      <c r="J2747" s="31"/>
      <c r="K2747" s="31"/>
    </row>
    <row r="2748" spans="1:11" ht="14.4" x14ac:dyDescent="0.3">
      <c r="A2748" s="28" t="str">
        <f>B2748&amp;C2748&amp;D2748&amp;E2748</f>
        <v>Hayvonlar uchun tovarlarKemiruvchilar uchunKemiruvchilar uchun ozuqa va shirinliklarOzuqa</v>
      </c>
      <c r="B2748" s="35" t="s">
        <v>3168</v>
      </c>
      <c r="C2748" s="35" t="s">
        <v>3806</v>
      </c>
      <c r="D2748" s="35" t="s">
        <v>5175</v>
      </c>
      <c r="E2748" s="35" t="s">
        <v>6068</v>
      </c>
      <c r="F2748" s="36">
        <v>0.12</v>
      </c>
      <c r="G2748" s="31"/>
      <c r="H2748" s="31"/>
      <c r="I2748" s="31"/>
      <c r="J2748" s="31"/>
      <c r="K2748" s="31"/>
    </row>
    <row r="2749" spans="1:11" ht="14.4" x14ac:dyDescent="0.3">
      <c r="A2749" s="28" t="str">
        <f>B2749&amp;C2749&amp;D2749&amp;E2749</f>
        <v>Hayvonlar uchun tovarlarQushlar uchunQushlar uchun ozuqalar va shirinliklarShirinliklar</v>
      </c>
      <c r="B2749" s="35" t="s">
        <v>3168</v>
      </c>
      <c r="C2749" s="35" t="s">
        <v>3800</v>
      </c>
      <c r="D2749" s="35" t="s">
        <v>6076</v>
      </c>
      <c r="E2749" s="35" t="s">
        <v>5177</v>
      </c>
      <c r="F2749" s="36">
        <v>0.12</v>
      </c>
      <c r="G2749" s="31"/>
      <c r="H2749" s="31"/>
      <c r="I2749" s="31"/>
      <c r="J2749" s="31"/>
      <c r="K2749" s="31"/>
    </row>
    <row r="2750" spans="1:11" ht="14.4" x14ac:dyDescent="0.3">
      <c r="A2750" s="28" t="str">
        <f>B2750&amp;C2750&amp;D2750&amp;E2750</f>
        <v>Hayvonlar uchun tovarlarQushlar uchunIchirgichlar, oziqlantirgichlarIchirgichlar, oziqlantirgichlar</v>
      </c>
      <c r="B2750" s="35" t="s">
        <v>3168</v>
      </c>
      <c r="C2750" s="35" t="s">
        <v>3800</v>
      </c>
      <c r="D2750" s="35" t="s">
        <v>6078</v>
      </c>
      <c r="E2750" s="35" t="s">
        <v>6078</v>
      </c>
      <c r="F2750" s="36">
        <v>0.12</v>
      </c>
      <c r="G2750" s="31"/>
      <c r="H2750" s="31"/>
      <c r="I2750" s="31"/>
      <c r="J2750" s="31"/>
      <c r="K2750" s="31"/>
    </row>
    <row r="2751" spans="1:11" ht="14.4" x14ac:dyDescent="0.3">
      <c r="A2751" s="28" t="str">
        <f>B2751&amp;C2751&amp;D2751&amp;E2751</f>
        <v>Maishiy texnikaOshxona buyumlariKofe tayyorlashKapsulali qahva mashinalari</v>
      </c>
      <c r="B2751" s="35" t="s">
        <v>48</v>
      </c>
      <c r="C2751" s="35" t="s">
        <v>3443</v>
      </c>
      <c r="D2751" s="35" t="s">
        <v>4036</v>
      </c>
      <c r="E2751" s="35" t="s">
        <v>6079</v>
      </c>
      <c r="F2751" s="36">
        <v>0.12</v>
      </c>
      <c r="G2751" s="31"/>
      <c r="H2751" s="31"/>
      <c r="I2751" s="31"/>
      <c r="J2751" s="31"/>
      <c r="K2751" s="31"/>
    </row>
    <row r="2752" spans="1:11" ht="14.4" x14ac:dyDescent="0.3">
      <c r="A2752" s="28" t="str">
        <f>B2752&amp;C2752&amp;D2752&amp;E2752</f>
        <v>Maishiy texnikaUy uchun texnikaChangyutgichlar va aksessuarlarChangyutgichlar</v>
      </c>
      <c r="B2752" s="35" t="s">
        <v>48</v>
      </c>
      <c r="C2752" s="35" t="s">
        <v>3435</v>
      </c>
      <c r="D2752" s="35" t="s">
        <v>5720</v>
      </c>
      <c r="E2752" s="35" t="s">
        <v>6080</v>
      </c>
      <c r="F2752" s="36">
        <v>0.12</v>
      </c>
      <c r="G2752" s="31"/>
      <c r="H2752" s="31"/>
      <c r="I2752" s="31"/>
      <c r="J2752" s="31"/>
      <c r="K2752" s="31"/>
    </row>
    <row r="2753" spans="1:11" ht="14.4" x14ac:dyDescent="0.3">
      <c r="A2753" s="28" t="str">
        <f>B2753&amp;C2753&amp;D2753&amp;E2753</f>
        <v>Maishiy texnikaUy uchun texnikaChangyutgichlar va aksessuarlarYuvuvchi chang yutgichlar</v>
      </c>
      <c r="B2753" s="35" t="s">
        <v>48</v>
      </c>
      <c r="C2753" s="35" t="s">
        <v>3435</v>
      </c>
      <c r="D2753" s="35" t="s">
        <v>5720</v>
      </c>
      <c r="E2753" s="35" t="s">
        <v>6081</v>
      </c>
      <c r="F2753" s="36">
        <v>0.12</v>
      </c>
      <c r="G2753" s="31"/>
      <c r="H2753" s="31"/>
      <c r="I2753" s="31"/>
      <c r="J2753" s="31"/>
      <c r="K2753" s="31"/>
    </row>
    <row r="2754" spans="1:11" ht="14.4" x14ac:dyDescent="0.3">
      <c r="A2754" s="28" t="str">
        <f>B2754&amp;C2754&amp;D2754&amp;E2754</f>
        <v>Maishiy texnikaUy uchun texnikaChangyutgichlar va aksessuarlarElektr supurgilari</v>
      </c>
      <c r="B2754" s="35" t="s">
        <v>48</v>
      </c>
      <c r="C2754" s="35" t="s">
        <v>3435</v>
      </c>
      <c r="D2754" s="35" t="s">
        <v>5720</v>
      </c>
      <c r="E2754" s="35" t="s">
        <v>6082</v>
      </c>
      <c r="F2754" s="36">
        <v>0.12</v>
      </c>
      <c r="G2754" s="31"/>
      <c r="H2754" s="31"/>
      <c r="I2754" s="31"/>
      <c r="J2754" s="31"/>
      <c r="K2754" s="31"/>
    </row>
    <row r="2755" spans="1:11" ht="14.4" x14ac:dyDescent="0.3">
      <c r="A2755" s="28" t="str">
        <f>B2755&amp;C2755&amp;D2755&amp;E2755</f>
        <v>Maishiy texnikaUy uchun texnikaChangyutgichlar va aksessuarlarVertikal changyutgichlar</v>
      </c>
      <c r="B2755" s="35" t="s">
        <v>48</v>
      </c>
      <c r="C2755" s="35" t="s">
        <v>3435</v>
      </c>
      <c r="D2755" s="35" t="s">
        <v>5720</v>
      </c>
      <c r="E2755" s="35" t="s">
        <v>6083</v>
      </c>
      <c r="F2755" s="36">
        <v>0.12</v>
      </c>
      <c r="G2755" s="31"/>
      <c r="H2755" s="31"/>
      <c r="I2755" s="31"/>
      <c r="J2755" s="31"/>
      <c r="K2755" s="31"/>
    </row>
    <row r="2756" spans="1:11" ht="14.4" x14ac:dyDescent="0.3">
      <c r="A2756" s="28" t="str">
        <f>B2756&amp;C2756&amp;D2756&amp;E2756</f>
        <v>Maishiy texnikaOshxona buyumlariKofe tayyorlashAvtomatik qahva mashinalar</v>
      </c>
      <c r="B2756" s="35" t="s">
        <v>48</v>
      </c>
      <c r="C2756" s="35" t="s">
        <v>3443</v>
      </c>
      <c r="D2756" s="35" t="s">
        <v>4036</v>
      </c>
      <c r="E2756" s="35" t="s">
        <v>6084</v>
      </c>
      <c r="F2756" s="36">
        <v>0.12</v>
      </c>
      <c r="G2756" s="31"/>
      <c r="H2756" s="31"/>
      <c r="I2756" s="31"/>
      <c r="J2756" s="31"/>
      <c r="K2756" s="31"/>
    </row>
    <row r="2757" spans="1:11" ht="14.4" x14ac:dyDescent="0.3">
      <c r="A2757" s="28" t="str">
        <f>B2757&amp;C2757&amp;D2757&amp;E2757</f>
        <v>Maishiy texnikaUy uchun texnikaChangyutgichlar va aksessuarlarQoʻl changyutgichlari</v>
      </c>
      <c r="B2757" s="35" t="s">
        <v>48</v>
      </c>
      <c r="C2757" s="35" t="s">
        <v>3435</v>
      </c>
      <c r="D2757" s="35" t="s">
        <v>5720</v>
      </c>
      <c r="E2757" s="35" t="s">
        <v>6085</v>
      </c>
      <c r="F2757" s="36">
        <v>0.12</v>
      </c>
      <c r="G2757" s="31"/>
      <c r="H2757" s="31"/>
      <c r="I2757" s="31"/>
      <c r="J2757" s="31"/>
      <c r="K2757" s="31"/>
    </row>
    <row r="2758" spans="1:11" ht="14.4" x14ac:dyDescent="0.3">
      <c r="A2758" s="28" t="str">
        <f>B2758&amp;C2758&amp;D2758&amp;E2758</f>
        <v>Oziq-ovqat mahsulotlariMakaronlar, yormalar va quruq nonushtalarYormalar va dukkaklilarManka yormasi</v>
      </c>
      <c r="B2758" s="35" t="s">
        <v>3180</v>
      </c>
      <c r="C2758" s="35" t="s">
        <v>5897</v>
      </c>
      <c r="D2758" s="35" t="s">
        <v>6086</v>
      </c>
      <c r="E2758" s="35" t="s">
        <v>6087</v>
      </c>
      <c r="F2758" s="36">
        <v>0.12</v>
      </c>
      <c r="G2758" s="31"/>
      <c r="H2758" s="31"/>
      <c r="I2758" s="31"/>
      <c r="J2758" s="31"/>
      <c r="K2758" s="31"/>
    </row>
    <row r="2759" spans="1:11" ht="14.4" x14ac:dyDescent="0.3">
      <c r="A2759" s="28" t="str">
        <f>B2759&amp;C2759&amp;D2759&amp;E2759</f>
        <v>Oziq-ovqat mahsulotlariMakaronlar, yormalar va quruq nonushtalarYormalar va dukkaklilarBulg'ur, kinoa, kuskus</v>
      </c>
      <c r="B2759" s="35" t="s">
        <v>3180</v>
      </c>
      <c r="C2759" s="35" t="s">
        <v>5897</v>
      </c>
      <c r="D2759" s="35" t="s">
        <v>6086</v>
      </c>
      <c r="E2759" s="35" t="s">
        <v>6088</v>
      </c>
      <c r="F2759" s="36">
        <v>0.12</v>
      </c>
      <c r="G2759" s="31"/>
      <c r="H2759" s="31"/>
      <c r="I2759" s="31"/>
      <c r="J2759" s="31"/>
      <c r="K2759" s="31"/>
    </row>
    <row r="2760" spans="1:11" ht="14.4" x14ac:dyDescent="0.3">
      <c r="A2760" s="28" t="str">
        <f>B2760&amp;C2760&amp;D2760&amp;E2760</f>
        <v>Oziq-ovqat mahsulotlariMakaronlar, yormalar va quruq nonushtalarYormalar va dukkaklilarSuli</v>
      </c>
      <c r="B2760" s="35" t="s">
        <v>3180</v>
      </c>
      <c r="C2760" s="35" t="s">
        <v>5897</v>
      </c>
      <c r="D2760" s="35" t="s">
        <v>6086</v>
      </c>
      <c r="E2760" s="35" t="s">
        <v>6089</v>
      </c>
      <c r="F2760" s="36">
        <v>0.12</v>
      </c>
      <c r="G2760" s="31"/>
      <c r="H2760" s="31"/>
      <c r="I2760" s="31"/>
      <c r="J2760" s="31"/>
      <c r="K2760" s="31"/>
    </row>
    <row r="2761" spans="1:11" ht="14.4" x14ac:dyDescent="0.3">
      <c r="A2761" s="28" t="str">
        <f>B2761&amp;C2761&amp;D2761&amp;E2761</f>
        <v>Oziq-ovqat mahsulotlariMakaronlar, yormalar va quruq nonushtalarYormalar va dukkaklilarOqlangan tariq</v>
      </c>
      <c r="B2761" s="35" t="s">
        <v>3180</v>
      </c>
      <c r="C2761" s="35" t="s">
        <v>5897</v>
      </c>
      <c r="D2761" s="35" t="s">
        <v>6086</v>
      </c>
      <c r="E2761" s="35" t="s">
        <v>6090</v>
      </c>
      <c r="F2761" s="36">
        <v>0.12</v>
      </c>
      <c r="G2761" s="31"/>
      <c r="H2761" s="31"/>
      <c r="I2761" s="31"/>
      <c r="J2761" s="31"/>
      <c r="K2761" s="31"/>
    </row>
    <row r="2762" spans="1:11" ht="14.4" x14ac:dyDescent="0.3">
      <c r="A2762" s="28" t="str">
        <f>B2762&amp;C2762&amp;D2762&amp;E2762</f>
        <v>Oziq-ovqat mahsulotlariMakaronlar, yormalar va quruq nonushtalarYormalar va dukkaklilarPerlovka</v>
      </c>
      <c r="B2762" s="35" t="s">
        <v>3180</v>
      </c>
      <c r="C2762" s="35" t="s">
        <v>5897</v>
      </c>
      <c r="D2762" s="35" t="s">
        <v>6086</v>
      </c>
      <c r="E2762" s="35" t="s">
        <v>6091</v>
      </c>
      <c r="F2762" s="36">
        <v>0.12</v>
      </c>
      <c r="G2762" s="31"/>
      <c r="H2762" s="31"/>
      <c r="I2762" s="31"/>
      <c r="J2762" s="31"/>
      <c r="K2762" s="31"/>
    </row>
    <row r="2763" spans="1:11" ht="14.4" x14ac:dyDescent="0.3">
      <c r="A2763" s="28" t="str">
        <f>B2763&amp;C2763&amp;D2763&amp;E2763</f>
        <v>Oziq-ovqat mahsulotlariMakaronlar, yormalar va quruq nonushtalarMakaronlarMakaronlar</v>
      </c>
      <c r="B2763" s="35" t="s">
        <v>3180</v>
      </c>
      <c r="C2763" s="35" t="s">
        <v>5897</v>
      </c>
      <c r="D2763" s="35" t="s">
        <v>6092</v>
      </c>
      <c r="E2763" s="35" t="s">
        <v>6092</v>
      </c>
      <c r="F2763" s="36">
        <v>0.12</v>
      </c>
      <c r="G2763" s="31"/>
      <c r="H2763" s="31"/>
      <c r="I2763" s="31"/>
      <c r="J2763" s="31"/>
      <c r="K2763" s="31"/>
    </row>
    <row r="2764" spans="1:11" ht="14.4" x14ac:dyDescent="0.3">
      <c r="A2764" s="28" t="str">
        <f>B2764&amp;C2764&amp;D2764&amp;E2764</f>
        <v>Oziq-ovqat mahsulotlariMakaronlar, yormalar va quruq nonushtalarYormalar va dukkaklilarGrechka</v>
      </c>
      <c r="B2764" s="35" t="s">
        <v>3180</v>
      </c>
      <c r="C2764" s="35" t="s">
        <v>5897</v>
      </c>
      <c r="D2764" s="35" t="s">
        <v>6086</v>
      </c>
      <c r="E2764" s="35" t="s">
        <v>6093</v>
      </c>
      <c r="F2764" s="36">
        <v>0.12</v>
      </c>
      <c r="G2764" s="31"/>
      <c r="H2764" s="31"/>
      <c r="I2764" s="31"/>
      <c r="J2764" s="31"/>
      <c r="K2764" s="31"/>
    </row>
    <row r="2765" spans="1:11" ht="14.4" x14ac:dyDescent="0.3">
      <c r="A2765" s="28" t="str">
        <f>B2765&amp;C2765&amp;D2765&amp;E2765</f>
        <v>Oziq-ovqat mahsulotlariMakaronlar, yormalar va quruq nonushtalarYormalar va dukkaklilarDukkaklilar</v>
      </c>
      <c r="B2765" s="35" t="s">
        <v>3180</v>
      </c>
      <c r="C2765" s="35" t="s">
        <v>5897</v>
      </c>
      <c r="D2765" s="35" t="s">
        <v>6086</v>
      </c>
      <c r="E2765" s="35" t="s">
        <v>6094</v>
      </c>
      <c r="F2765" s="36">
        <v>0.12</v>
      </c>
      <c r="G2765" s="31"/>
      <c r="H2765" s="31"/>
      <c r="I2765" s="31"/>
      <c r="J2765" s="31"/>
      <c r="K2765" s="31"/>
    </row>
    <row r="2766" spans="1:11" ht="14.4" x14ac:dyDescent="0.3">
      <c r="A2766" s="28" t="str">
        <f>B2766&amp;C2766&amp;D2766&amp;E2766</f>
        <v>Oziq-ovqat mahsulotlariMakaronlar, yormalar va quruq nonushtalarYormalar va dukkaklilarGuruch</v>
      </c>
      <c r="B2766" s="35" t="s">
        <v>3180</v>
      </c>
      <c r="C2766" s="35" t="s">
        <v>5897</v>
      </c>
      <c r="D2766" s="35" t="s">
        <v>6086</v>
      </c>
      <c r="E2766" s="35" t="s">
        <v>6095</v>
      </c>
      <c r="F2766" s="36">
        <v>0.12</v>
      </c>
      <c r="G2766" s="31"/>
      <c r="H2766" s="31"/>
      <c r="I2766" s="31"/>
      <c r="J2766" s="31"/>
      <c r="K2766" s="31"/>
    </row>
    <row r="2767" spans="1:11" ht="14.4" x14ac:dyDescent="0.3">
      <c r="A2767" s="28" t="str">
        <f>B2767&amp;C2767&amp;D2767&amp;E2767</f>
        <v>Qurilish va taʼmirlashAsboblarPayvandlash uskunalariPayvandlash apparatlar</v>
      </c>
      <c r="B2767" s="35" t="s">
        <v>3184</v>
      </c>
      <c r="C2767" s="35" t="s">
        <v>4048</v>
      </c>
      <c r="D2767" s="35" t="s">
        <v>4074</v>
      </c>
      <c r="E2767" s="35" t="s">
        <v>6096</v>
      </c>
      <c r="F2767" s="36">
        <v>0.12</v>
      </c>
      <c r="G2767" s="31"/>
      <c r="H2767" s="31"/>
      <c r="I2767" s="31"/>
      <c r="J2767" s="31"/>
      <c r="K2767" s="31"/>
    </row>
    <row r="2768" spans="1:11" ht="14.4" x14ac:dyDescent="0.3">
      <c r="A2768" s="28" t="str">
        <f>B2768&amp;C2768&amp;D2768&amp;E2768</f>
        <v>AvtotovarlarAvtotovushAvtomobillar uchun kuchaytirgichlarAvtomobillar uchun kuchaytirgichlar</v>
      </c>
      <c r="B2768" s="35" t="s">
        <v>39</v>
      </c>
      <c r="C2768" s="35" t="s">
        <v>4693</v>
      </c>
      <c r="D2768" s="35" t="s">
        <v>6097</v>
      </c>
      <c r="E2768" s="35" t="s">
        <v>6097</v>
      </c>
      <c r="F2768" s="36">
        <v>0.1</v>
      </c>
      <c r="G2768" s="31"/>
      <c r="H2768" s="31"/>
      <c r="I2768" s="31"/>
      <c r="J2768" s="31"/>
      <c r="K2768" s="31"/>
    </row>
    <row r="2769" spans="1:11" ht="14.4" x14ac:dyDescent="0.3">
      <c r="A2769" s="28" t="str">
        <f>B2769&amp;C2769&amp;D2769&amp;E2769</f>
        <v>AvtotovarlarAvtomobil ehtiyot qismlariRul boshqaruviRul boshqaruvi</v>
      </c>
      <c r="B2769" s="35" t="s">
        <v>39</v>
      </c>
      <c r="C2769" s="35" t="s">
        <v>4697</v>
      </c>
      <c r="D2769" s="35" t="s">
        <v>6098</v>
      </c>
      <c r="E2769" s="35" t="s">
        <v>6098</v>
      </c>
      <c r="F2769" s="36">
        <v>0.1</v>
      </c>
      <c r="G2769" s="31"/>
      <c r="H2769" s="31"/>
      <c r="I2769" s="31"/>
      <c r="J2769" s="31"/>
      <c r="K2769" s="31"/>
    </row>
    <row r="2770" spans="1:11" ht="14.4" x14ac:dyDescent="0.3">
      <c r="A2770" s="28" t="str">
        <f>B2770&amp;C2770&amp;D2770&amp;E2770</f>
        <v>AvtotovarlarAvtomobil ehtiyot qismlariPodveskaPodveska</v>
      </c>
      <c r="B2770" s="35" t="s">
        <v>39</v>
      </c>
      <c r="C2770" s="35" t="s">
        <v>4697</v>
      </c>
      <c r="D2770" s="35" t="s">
        <v>6099</v>
      </c>
      <c r="E2770" s="35" t="s">
        <v>6099</v>
      </c>
      <c r="F2770" s="36">
        <v>0.1</v>
      </c>
      <c r="G2770" s="31"/>
      <c r="H2770" s="31"/>
      <c r="I2770" s="31"/>
      <c r="J2770" s="31"/>
      <c r="K2770" s="31"/>
    </row>
    <row r="2771" spans="1:11" ht="14.4" x14ac:dyDescent="0.3">
      <c r="A2771" s="28" t="str">
        <f>B2771&amp;C2771&amp;D2771&amp;E2771</f>
        <v>AvtotovarlarAvtomobil uchun elektronikaGPS-navigatorlarGPS-navigatorlar</v>
      </c>
      <c r="B2771" s="35" t="s">
        <v>39</v>
      </c>
      <c r="C2771" s="35" t="s">
        <v>4681</v>
      </c>
      <c r="D2771" s="35" t="s">
        <v>6100</v>
      </c>
      <c r="E2771" s="35" t="s">
        <v>6100</v>
      </c>
      <c r="F2771" s="36">
        <v>0.1</v>
      </c>
      <c r="G2771" s="31"/>
      <c r="H2771" s="31"/>
      <c r="I2771" s="31"/>
      <c r="J2771" s="31"/>
      <c r="K2771" s="31"/>
    </row>
    <row r="2772" spans="1:11" ht="14.4" x14ac:dyDescent="0.3">
      <c r="A2772" s="28" t="str">
        <f>B2772&amp;C2772&amp;D2772&amp;E2772</f>
        <v>AvtotovarlarAvtomobil ehtiyot qismlariDvigatelDvigatel</v>
      </c>
      <c r="B2772" s="35" t="s">
        <v>39</v>
      </c>
      <c r="C2772" s="35" t="s">
        <v>4697</v>
      </c>
      <c r="D2772" s="35" t="s">
        <v>6101</v>
      </c>
      <c r="E2772" s="35" t="s">
        <v>6101</v>
      </c>
      <c r="F2772" s="36">
        <v>0.1</v>
      </c>
      <c r="G2772" s="31"/>
      <c r="H2772" s="31"/>
      <c r="I2772" s="31"/>
      <c r="J2772" s="31"/>
      <c r="K2772" s="31"/>
    </row>
    <row r="2773" spans="1:11" ht="14.4" x14ac:dyDescent="0.3">
      <c r="A2773" s="28" t="str">
        <f>B2773&amp;C2773&amp;D2773&amp;E2773</f>
        <v>AvtotovarlarAvtomobil ehtiyot qismlariElektr uskunaElektr uskuna</v>
      </c>
      <c r="B2773" s="35" t="s">
        <v>39</v>
      </c>
      <c r="C2773" s="35" t="s">
        <v>4697</v>
      </c>
      <c r="D2773" s="35" t="s">
        <v>6102</v>
      </c>
      <c r="E2773" s="35" t="s">
        <v>6102</v>
      </c>
      <c r="F2773" s="36">
        <v>0.1</v>
      </c>
      <c r="G2773" s="31"/>
      <c r="H2773" s="31"/>
      <c r="I2773" s="31"/>
      <c r="J2773" s="31"/>
      <c r="K2773" s="31"/>
    </row>
    <row r="2774" spans="1:11" ht="14.4" x14ac:dyDescent="0.3">
      <c r="A2774" s="28" t="str">
        <f>B2774&amp;C2774&amp;D2774&amp;E2774</f>
        <v>AvtotovarlarAvtotovushBosh qurilmaBosh qurilma</v>
      </c>
      <c r="B2774" s="35" t="s">
        <v>39</v>
      </c>
      <c r="C2774" s="35" t="s">
        <v>4693</v>
      </c>
      <c r="D2774" s="35" t="s">
        <v>6103</v>
      </c>
      <c r="E2774" s="35" t="s">
        <v>6103</v>
      </c>
      <c r="F2774" s="36">
        <v>0.1</v>
      </c>
      <c r="G2774" s="31"/>
      <c r="H2774" s="31"/>
      <c r="I2774" s="31"/>
      <c r="J2774" s="31"/>
      <c r="K2774" s="31"/>
    </row>
    <row r="2775" spans="1:11" ht="14.4" x14ac:dyDescent="0.3">
      <c r="A2775" s="28" t="str">
        <f>B2775&amp;C2775&amp;D2775&amp;E2775</f>
        <v>AvtotovarlarAvtotovushAvtomobillar uchun kolonkalarAvtomobillar uchun kolonkalar</v>
      </c>
      <c r="B2775" s="35" t="s">
        <v>39</v>
      </c>
      <c r="C2775" s="35" t="s">
        <v>4693</v>
      </c>
      <c r="D2775" s="35" t="s">
        <v>6104</v>
      </c>
      <c r="E2775" s="35" t="s">
        <v>6104</v>
      </c>
      <c r="F2775" s="36">
        <v>0.1</v>
      </c>
      <c r="G2775" s="31"/>
      <c r="H2775" s="31"/>
      <c r="I2775" s="31"/>
      <c r="J2775" s="31"/>
      <c r="K2775" s="31"/>
    </row>
    <row r="2776" spans="1:11" ht="14.4" x14ac:dyDescent="0.3">
      <c r="A2776" s="28" t="str">
        <f>B2776&amp;C2776&amp;D2776&amp;E2776</f>
        <v>AvtotovarlarAvtotovushAvtomagnitolalarAvtomagnitolalar</v>
      </c>
      <c r="B2776" s="35" t="s">
        <v>39</v>
      </c>
      <c r="C2776" s="35" t="s">
        <v>4693</v>
      </c>
      <c r="D2776" s="35" t="s">
        <v>6105</v>
      </c>
      <c r="E2776" s="35" t="s">
        <v>6105</v>
      </c>
      <c r="F2776" s="36">
        <v>0.1</v>
      </c>
      <c r="G2776" s="31"/>
      <c r="H2776" s="31"/>
      <c r="I2776" s="31"/>
      <c r="J2776" s="31"/>
      <c r="K2776" s="31"/>
    </row>
    <row r="2777" spans="1:11" ht="14.4" x14ac:dyDescent="0.3">
      <c r="A2777" s="28" t="str">
        <f>B2777&amp;C2777&amp;D2777&amp;E2777</f>
        <v>AvtotovarlarAvtotovushAvtomobillar uchun sabvuferlarAvtomobillar uchun sabvuferlar</v>
      </c>
      <c r="B2777" s="35" t="s">
        <v>39</v>
      </c>
      <c r="C2777" s="35" t="s">
        <v>4693</v>
      </c>
      <c r="D2777" s="35" t="s">
        <v>6106</v>
      </c>
      <c r="E2777" s="35" t="s">
        <v>6106</v>
      </c>
      <c r="F2777" s="36">
        <v>0.1</v>
      </c>
      <c r="G2777" s="31"/>
      <c r="H2777" s="31"/>
      <c r="I2777" s="31"/>
      <c r="J2777" s="31"/>
      <c r="K2777" s="31"/>
    </row>
    <row r="2778" spans="1:11" ht="14.4" x14ac:dyDescent="0.3">
      <c r="A2778" s="28" t="str">
        <f>B2778&amp;C2778&amp;D2778&amp;E2778</f>
        <v>AvtotovarlarAvtomobil ehtiyot qismlariTormoz tizimiTormoz tizimi</v>
      </c>
      <c r="B2778" s="35" t="s">
        <v>39</v>
      </c>
      <c r="C2778" s="35" t="s">
        <v>4697</v>
      </c>
      <c r="D2778" s="35" t="s">
        <v>6107</v>
      </c>
      <c r="E2778" s="35" t="s">
        <v>6107</v>
      </c>
      <c r="F2778" s="36">
        <v>0.1</v>
      </c>
      <c r="G2778" s="31"/>
      <c r="H2778" s="31"/>
      <c r="I2778" s="31"/>
      <c r="J2778" s="31"/>
      <c r="K2778" s="31"/>
    </row>
    <row r="2779" spans="1:11" ht="14.4" x14ac:dyDescent="0.3">
      <c r="A2779" s="28" t="str">
        <f>B2779&amp;C2779&amp;D2779&amp;E2779</f>
        <v>AvtotovarlarAvtomobil ehtiyot qismlariShisha va faralarni tozalash tizimlariShisha va faralarni tozalash tizimlari</v>
      </c>
      <c r="B2779" s="35" t="s">
        <v>39</v>
      </c>
      <c r="C2779" s="35" t="s">
        <v>4697</v>
      </c>
      <c r="D2779" s="35" t="s">
        <v>6108</v>
      </c>
      <c r="E2779" s="35" t="s">
        <v>6108</v>
      </c>
      <c r="F2779" s="36">
        <v>0.1</v>
      </c>
      <c r="G2779" s="31"/>
      <c r="H2779" s="31"/>
      <c r="I2779" s="31"/>
      <c r="J2779" s="31"/>
      <c r="K2779" s="31"/>
    </row>
    <row r="2780" spans="1:11" ht="14.4" x14ac:dyDescent="0.3">
      <c r="A2780" s="28" t="str">
        <f>B2780&amp;C2780&amp;D2780&amp;E2780</f>
        <v>AvtotovarlarAvtomobil ehtiyot qismlariAvtomobil ehtiyot qismlariAvtomobil ehtiyot qismlari</v>
      </c>
      <c r="B2780" s="35" t="s">
        <v>39</v>
      </c>
      <c r="C2780" s="35" t="s">
        <v>4697</v>
      </c>
      <c r="D2780" s="35" t="s">
        <v>4697</v>
      </c>
      <c r="E2780" s="35" t="s">
        <v>4697</v>
      </c>
      <c r="F2780" s="36">
        <v>0.1</v>
      </c>
      <c r="G2780" s="31"/>
      <c r="H2780" s="31"/>
      <c r="I2780" s="31"/>
      <c r="J2780" s="31"/>
      <c r="K2780" s="31"/>
    </row>
    <row r="2781" spans="1:11" ht="14.4" x14ac:dyDescent="0.3">
      <c r="A2781" s="28" t="str">
        <f>B2781&amp;C2781&amp;D2781&amp;E2781</f>
        <v>AvtotovarlarAvtomobil ehtiyot qismlariYoqilgʻi tizimiYoqilgʻi tizimi</v>
      </c>
      <c r="B2781" s="35" t="s">
        <v>39</v>
      </c>
      <c r="C2781" s="35" t="s">
        <v>4697</v>
      </c>
      <c r="D2781" s="35" t="s">
        <v>6109</v>
      </c>
      <c r="E2781" s="35" t="s">
        <v>6109</v>
      </c>
      <c r="F2781" s="36">
        <v>0.1</v>
      </c>
      <c r="G2781" s="31"/>
      <c r="H2781" s="31"/>
      <c r="I2781" s="31"/>
      <c r="J2781" s="31"/>
      <c r="K2781" s="31"/>
    </row>
    <row r="2782" spans="1:11" ht="14.4" x14ac:dyDescent="0.3">
      <c r="A2782" s="28" t="str">
        <f>B2782&amp;C2782&amp;D2782&amp;E2782</f>
        <v>AvtotovarlarAvtomobil ehtiyot qismlariTransmissiyaTransmissiya</v>
      </c>
      <c r="B2782" s="35" t="s">
        <v>39</v>
      </c>
      <c r="C2782" s="35" t="s">
        <v>4697</v>
      </c>
      <c r="D2782" s="35" t="s">
        <v>6110</v>
      </c>
      <c r="E2782" s="35" t="s">
        <v>6110</v>
      </c>
      <c r="F2782" s="36">
        <v>0.1</v>
      </c>
      <c r="G2782" s="31"/>
      <c r="H2782" s="31"/>
      <c r="I2782" s="31"/>
      <c r="J2782" s="31"/>
      <c r="K2782" s="31"/>
    </row>
    <row r="2783" spans="1:11" ht="14.4" x14ac:dyDescent="0.3">
      <c r="A2783" s="28" t="str">
        <f>B2783&amp;C2783&amp;D2783&amp;E2783</f>
        <v>AvtotovarlarAvtomobil uchun elektronikaRadar detektorlarRadar detektorlar</v>
      </c>
      <c r="B2783" s="35" t="s">
        <v>39</v>
      </c>
      <c r="C2783" s="35" t="s">
        <v>4681</v>
      </c>
      <c r="D2783" s="35" t="s">
        <v>6111</v>
      </c>
      <c r="E2783" s="35" t="s">
        <v>6111</v>
      </c>
      <c r="F2783" s="36">
        <v>0.1</v>
      </c>
      <c r="G2783" s="31"/>
      <c r="H2783" s="31"/>
      <c r="I2783" s="31"/>
      <c r="J2783" s="31"/>
      <c r="K2783" s="31"/>
    </row>
    <row r="2784" spans="1:11" ht="14.4" x14ac:dyDescent="0.3">
      <c r="A2784" s="28" t="str">
        <f>B2784&amp;C2784&amp;D2784&amp;E2784</f>
        <v>AvtotovarlarAvtotovushAvtotovush oʻrnatishAvtotovush oʻrnatish</v>
      </c>
      <c r="B2784" s="35" t="s">
        <v>39</v>
      </c>
      <c r="C2784" s="35" t="s">
        <v>4693</v>
      </c>
      <c r="D2784" s="35" t="s">
        <v>6112</v>
      </c>
      <c r="E2784" s="35" t="s">
        <v>6112</v>
      </c>
      <c r="F2784" s="36">
        <v>0.1</v>
      </c>
      <c r="G2784" s="31"/>
      <c r="H2784" s="31"/>
      <c r="I2784" s="31"/>
      <c r="J2784" s="31"/>
      <c r="K2784" s="31"/>
    </row>
    <row r="2785" spans="1:11" ht="14.4" x14ac:dyDescent="0.3">
      <c r="A2785" s="28" t="str">
        <f>B2785&amp;C2785&amp;D2785&amp;E2785</f>
        <v>Bolalar tovarlariGigiyena va tagliklarTagliklar va trusiklarBir martalik tagliklar va trusiklar</v>
      </c>
      <c r="B2785" s="35" t="s">
        <v>3153</v>
      </c>
      <c r="C2785" s="35" t="s">
        <v>3290</v>
      </c>
      <c r="D2785" s="35" t="s">
        <v>6113</v>
      </c>
      <c r="E2785" s="35" t="s">
        <v>6114</v>
      </c>
      <c r="F2785" s="36">
        <v>0.1</v>
      </c>
      <c r="G2785" s="31"/>
      <c r="H2785" s="31"/>
      <c r="I2785" s="31"/>
      <c r="J2785" s="31"/>
      <c r="K2785" s="31"/>
    </row>
    <row r="2786" spans="1:11" ht="14.4" x14ac:dyDescent="0.3">
      <c r="A2786" s="28" t="str">
        <f>B2786&amp;C2786&amp;D2786&amp;E2786</f>
        <v>Bolalar tovarlariGigiyena va tagliklarTagliklar va trusiklarKoʻp martalik tagliklar va qistirmalar</v>
      </c>
      <c r="B2786" s="35" t="s">
        <v>3153</v>
      </c>
      <c r="C2786" s="35" t="s">
        <v>3290</v>
      </c>
      <c r="D2786" s="35" t="s">
        <v>6113</v>
      </c>
      <c r="E2786" s="35" t="s">
        <v>6115</v>
      </c>
      <c r="F2786" s="36">
        <v>0.1</v>
      </c>
      <c r="G2786" s="31"/>
      <c r="H2786" s="31"/>
      <c r="I2786" s="31"/>
      <c r="J2786" s="31"/>
      <c r="K2786" s="31"/>
    </row>
    <row r="2787" spans="1:11" ht="14.4" x14ac:dyDescent="0.3">
      <c r="A2787" s="28" t="str">
        <f>B2787&amp;C2787&amp;D2787&amp;E2787</f>
        <v>Dacha, bogʻ va tomorqaBogʻ texnikasiKultivatorlar va motobloklarMotobloklar</v>
      </c>
      <c r="B2787" s="35" t="s">
        <v>3157</v>
      </c>
      <c r="C2787" s="35" t="s">
        <v>4831</v>
      </c>
      <c r="D2787" s="35" t="s">
        <v>6116</v>
      </c>
      <c r="E2787" s="37" t="s">
        <v>6117</v>
      </c>
      <c r="F2787" s="36">
        <v>0.1</v>
      </c>
      <c r="G2787" s="31"/>
      <c r="H2787" s="31"/>
      <c r="I2787" s="31"/>
      <c r="J2787" s="31"/>
      <c r="K2787" s="31"/>
    </row>
    <row r="2788" spans="1:11" ht="14.4" x14ac:dyDescent="0.3">
      <c r="A2788" s="28" t="str">
        <f>B2788&amp;C2788&amp;D2788&amp;E2788</f>
        <v>ElektronikaKompyuter texnikasiKompyuter texnikalari uchun butlovchi qismlarOvoz kartalari</v>
      </c>
      <c r="B2788" s="35" t="s">
        <v>3161</v>
      </c>
      <c r="C2788" s="35" t="s">
        <v>3311</v>
      </c>
      <c r="D2788" s="35" t="s">
        <v>3399</v>
      </c>
      <c r="E2788" s="35" t="s">
        <v>6118</v>
      </c>
      <c r="F2788" s="36">
        <v>0.1</v>
      </c>
      <c r="G2788" s="31"/>
      <c r="H2788" s="31"/>
      <c r="I2788" s="31"/>
      <c r="J2788" s="31"/>
      <c r="K2788" s="31"/>
    </row>
    <row r="2789" spans="1:11" ht="14.4" x14ac:dyDescent="0.3">
      <c r="A2789" s="28" t="str">
        <f>B2789&amp;C2789&amp;D2789&amp;E2789</f>
        <v>ElektronikaKompyuter texnikasiKompyuter texnikalari uchun butlovchi qismlarVideo kartalar va video qamrov kartalari</v>
      </c>
      <c r="B2789" s="35" t="s">
        <v>3161</v>
      </c>
      <c r="C2789" s="35" t="s">
        <v>3311</v>
      </c>
      <c r="D2789" s="35" t="s">
        <v>3399</v>
      </c>
      <c r="E2789" s="35" t="s">
        <v>6119</v>
      </c>
      <c r="F2789" s="36">
        <v>0.1</v>
      </c>
      <c r="G2789" s="31"/>
      <c r="H2789" s="31"/>
      <c r="I2789" s="31"/>
      <c r="J2789" s="31"/>
      <c r="K2789" s="31"/>
    </row>
    <row r="2790" spans="1:11" ht="14.4" x14ac:dyDescent="0.3">
      <c r="A2790" s="28" t="str">
        <f>B2790&amp;C2790&amp;D2790&amp;E2790</f>
        <v>ElektronikaKompyuter texnikasiKompyuter texnikalari uchun butlovchi qismlarInterfeys kontrollerlari</v>
      </c>
      <c r="B2790" s="35" t="s">
        <v>3161</v>
      </c>
      <c r="C2790" s="35" t="s">
        <v>3311</v>
      </c>
      <c r="D2790" s="35" t="s">
        <v>3399</v>
      </c>
      <c r="E2790" s="35" t="s">
        <v>6120</v>
      </c>
      <c r="F2790" s="36">
        <v>0.1</v>
      </c>
      <c r="G2790" s="31"/>
      <c r="H2790" s="31"/>
      <c r="I2790" s="31"/>
      <c r="J2790" s="31"/>
      <c r="K2790" s="31"/>
    </row>
    <row r="2791" spans="1:11" ht="14.4" x14ac:dyDescent="0.3">
      <c r="A2791" s="28" t="str">
        <f>B2791&amp;C2791&amp;D2791&amp;E2791</f>
        <v>ElektronikaOʻyin pristavkalariPristavkalarXbox</v>
      </c>
      <c r="B2791" s="35" t="s">
        <v>3161</v>
      </c>
      <c r="C2791" s="35" t="s">
        <v>3360</v>
      </c>
      <c r="D2791" s="35" t="s">
        <v>5839</v>
      </c>
      <c r="E2791" s="35" t="s">
        <v>22</v>
      </c>
      <c r="F2791" s="36">
        <v>0.1</v>
      </c>
      <c r="G2791" s="31"/>
      <c r="H2791" s="31"/>
      <c r="I2791" s="31"/>
      <c r="J2791" s="31"/>
      <c r="K2791" s="31"/>
    </row>
    <row r="2792" spans="1:11" ht="14.4" x14ac:dyDescent="0.3">
      <c r="A2792" s="28" t="str">
        <f>B2792&amp;C2792&amp;D2792&amp;E2792</f>
        <v>ElektronikaKompyuter texnikasiKompyuter texnikalari uchun butlovchi qismlarProtsessorlar</v>
      </c>
      <c r="B2792" s="35" t="s">
        <v>3161</v>
      </c>
      <c r="C2792" s="35" t="s">
        <v>3311</v>
      </c>
      <c r="D2792" s="35" t="s">
        <v>3399</v>
      </c>
      <c r="E2792" s="35" t="s">
        <v>6121</v>
      </c>
      <c r="F2792" s="36">
        <v>0.1</v>
      </c>
      <c r="G2792" s="31"/>
      <c r="H2792" s="31"/>
      <c r="I2792" s="31"/>
      <c r="J2792" s="31"/>
      <c r="K2792" s="31"/>
    </row>
    <row r="2793" spans="1:11" ht="14.4" x14ac:dyDescent="0.3">
      <c r="A2793" s="28" t="str">
        <f>B2793&amp;C2793&amp;D2793&amp;E2793</f>
        <v>ElektronikaQuloqchinlar va audio texnikalarAudiotexnikaSabvufer uchun kuchaytirgichlar</v>
      </c>
      <c r="B2793" s="35" t="s">
        <v>3161</v>
      </c>
      <c r="C2793" s="35" t="s">
        <v>3306</v>
      </c>
      <c r="D2793" s="35" t="s">
        <v>4850</v>
      </c>
      <c r="E2793" s="35" t="s">
        <v>6122</v>
      </c>
      <c r="F2793" s="36">
        <v>0.1</v>
      </c>
      <c r="G2793" s="31"/>
      <c r="H2793" s="31"/>
      <c r="I2793" s="31"/>
      <c r="J2793" s="31"/>
      <c r="K2793" s="31"/>
    </row>
    <row r="2794" spans="1:11" ht="14.4" x14ac:dyDescent="0.3">
      <c r="A2794" s="28" t="str">
        <f>B2794&amp;C2794&amp;D2794&amp;E2794</f>
        <v>ElektronikaOfis texnikasiOfis jihozlariOnlayn kassalar</v>
      </c>
      <c r="B2794" s="35" t="s">
        <v>3161</v>
      </c>
      <c r="C2794" s="35" t="s">
        <v>3300</v>
      </c>
      <c r="D2794" s="35" t="s">
        <v>3301</v>
      </c>
      <c r="E2794" s="35" t="s">
        <v>6123</v>
      </c>
      <c r="F2794" s="36">
        <v>0.1</v>
      </c>
      <c r="G2794" s="31"/>
      <c r="H2794" s="31"/>
      <c r="I2794" s="31"/>
      <c r="J2794" s="31"/>
      <c r="K2794" s="31"/>
    </row>
    <row r="2795" spans="1:11" ht="14.4" x14ac:dyDescent="0.3">
      <c r="A2795" s="28" t="str">
        <f>B2795&amp;C2795&amp;D2795&amp;E2795</f>
        <v>ElektronikaKompyuter texnikasiKompyuter texnikalari uchun butlovchi qismlarOna platalar</v>
      </c>
      <c r="B2795" s="35" t="s">
        <v>3161</v>
      </c>
      <c r="C2795" s="35" t="s">
        <v>3311</v>
      </c>
      <c r="D2795" s="35" t="s">
        <v>3399</v>
      </c>
      <c r="E2795" s="35" t="s">
        <v>6124</v>
      </c>
      <c r="F2795" s="36">
        <v>0.1</v>
      </c>
      <c r="G2795" s="31"/>
      <c r="H2795" s="31"/>
      <c r="I2795" s="31"/>
      <c r="J2795" s="31"/>
      <c r="K2795" s="31"/>
    </row>
    <row r="2796" spans="1:11" ht="14.4" x14ac:dyDescent="0.3">
      <c r="A2796" s="28" t="str">
        <f>B2796&amp;C2796&amp;D2796&amp;E2796</f>
        <v>ElektronikaKompyuter texnikasiKompyuterning tashqi qurilmalariModemlar va koʻpriklar</v>
      </c>
      <c r="B2796" s="35" t="s">
        <v>3161</v>
      </c>
      <c r="C2796" s="35" t="s">
        <v>3311</v>
      </c>
      <c r="D2796" s="35" t="s">
        <v>3388</v>
      </c>
      <c r="E2796" s="35" t="s">
        <v>6125</v>
      </c>
      <c r="F2796" s="36">
        <v>0.1</v>
      </c>
      <c r="G2796" s="31"/>
      <c r="H2796" s="31"/>
      <c r="I2796" s="31"/>
      <c r="J2796" s="31"/>
      <c r="K2796" s="31"/>
    </row>
    <row r="2797" spans="1:11" ht="14.4" x14ac:dyDescent="0.3">
      <c r="A2797" s="28" t="str">
        <f>B2797&amp;C2797&amp;D2797&amp;E2797</f>
        <v>ElektronikaQuloqchinlar va audio texnikalarAudiotexnikaMusiqa markazlari</v>
      </c>
      <c r="B2797" s="35" t="s">
        <v>3161</v>
      </c>
      <c r="C2797" s="35" t="s">
        <v>3306</v>
      </c>
      <c r="D2797" s="35" t="s">
        <v>4850</v>
      </c>
      <c r="E2797" s="35" t="s">
        <v>6126</v>
      </c>
      <c r="F2797" s="36">
        <v>0.1</v>
      </c>
      <c r="G2797" s="31"/>
      <c r="H2797" s="31"/>
      <c r="I2797" s="31"/>
      <c r="J2797" s="31"/>
      <c r="K2797" s="31"/>
    </row>
    <row r="2798" spans="1:11" ht="14.4" x14ac:dyDescent="0.3">
      <c r="A2798" s="28" t="str">
        <f>B2798&amp;C2798&amp;D2798&amp;E2798</f>
        <v>ElektronikaOfis texnikasiOfis jihozlari3D-printerlar</v>
      </c>
      <c r="B2798" s="35" t="s">
        <v>3161</v>
      </c>
      <c r="C2798" s="35" t="s">
        <v>3300</v>
      </c>
      <c r="D2798" s="35" t="s">
        <v>3301</v>
      </c>
      <c r="E2798" s="35" t="s">
        <v>6127</v>
      </c>
      <c r="F2798" s="36">
        <v>0.1</v>
      </c>
      <c r="G2798" s="31"/>
      <c r="H2798" s="31"/>
      <c r="I2798" s="31"/>
      <c r="J2798" s="31"/>
      <c r="K2798" s="31"/>
    </row>
    <row r="2799" spans="1:11" ht="14.4" x14ac:dyDescent="0.3">
      <c r="A2799" s="28" t="str">
        <f>B2799&amp;C2799&amp;D2799&amp;E2799</f>
        <v>ElektronikaKompyuter texnikasiKompyuter texnikalari uchun butlovchi qismlarOperativ xotira</v>
      </c>
      <c r="B2799" s="35" t="s">
        <v>3161</v>
      </c>
      <c r="C2799" s="35" t="s">
        <v>3311</v>
      </c>
      <c r="D2799" s="35" t="s">
        <v>3399</v>
      </c>
      <c r="E2799" s="35" t="s">
        <v>6128</v>
      </c>
      <c r="F2799" s="36">
        <v>0.1</v>
      </c>
      <c r="G2799" s="31"/>
      <c r="H2799" s="31"/>
      <c r="I2799" s="31"/>
      <c r="J2799" s="31"/>
      <c r="K2799" s="31"/>
    </row>
    <row r="2800" spans="1:11" ht="14.4" x14ac:dyDescent="0.3">
      <c r="A2800" s="28" t="str">
        <f>B2800&amp;C2800&amp;D2800&amp;E2800</f>
        <v>ElektronikaOfis texnikasiOfis jihozlariShrederlar</v>
      </c>
      <c r="B2800" s="35" t="s">
        <v>3161</v>
      </c>
      <c r="C2800" s="35" t="s">
        <v>3300</v>
      </c>
      <c r="D2800" s="35" t="s">
        <v>3301</v>
      </c>
      <c r="E2800" s="35" t="s">
        <v>6129</v>
      </c>
      <c r="F2800" s="36">
        <v>0.1</v>
      </c>
      <c r="G2800" s="31"/>
      <c r="H2800" s="31"/>
      <c r="I2800" s="31"/>
      <c r="J2800" s="31"/>
      <c r="K2800" s="31"/>
    </row>
    <row r="2801" spans="1:11" ht="14.4" x14ac:dyDescent="0.3">
      <c r="A2801" s="28" t="str">
        <f>B2801&amp;C2801&amp;D2801&amp;E2801</f>
        <v>ElektronikaNoutbuklar, planshetlar va elektron kitoblarPlanshetlar va elektron kitoblarPlanshetlar</v>
      </c>
      <c r="B2801" s="35" t="s">
        <v>3161</v>
      </c>
      <c r="C2801" s="35" t="s">
        <v>3308</v>
      </c>
      <c r="D2801" s="35" t="s">
        <v>3402</v>
      </c>
      <c r="E2801" s="35" t="s">
        <v>6130</v>
      </c>
      <c r="F2801" s="36">
        <v>0.1</v>
      </c>
      <c r="G2801" s="31"/>
      <c r="H2801" s="31"/>
      <c r="I2801" s="31"/>
      <c r="J2801" s="31"/>
      <c r="K2801" s="31"/>
    </row>
    <row r="2802" spans="1:11" ht="14.4" x14ac:dyDescent="0.3">
      <c r="A2802" s="28" t="str">
        <f>B2802&amp;C2802&amp;D2802&amp;E2802</f>
        <v>ElektronikaOfis texnikasiOfis jihozlariPrinterlar</v>
      </c>
      <c r="B2802" s="35" t="s">
        <v>3161</v>
      </c>
      <c r="C2802" s="35" t="s">
        <v>3300</v>
      </c>
      <c r="D2802" s="35" t="s">
        <v>3301</v>
      </c>
      <c r="E2802" s="35" t="s">
        <v>6131</v>
      </c>
      <c r="F2802" s="36">
        <v>0.1</v>
      </c>
      <c r="G2802" s="31"/>
      <c r="H2802" s="31"/>
      <c r="I2802" s="31"/>
      <c r="J2802" s="31"/>
      <c r="K2802" s="31"/>
    </row>
    <row r="2803" spans="1:11" ht="14.4" x14ac:dyDescent="0.3">
      <c r="A2803" s="28" t="str">
        <f>B2803&amp;C2803&amp;D2803&amp;E2803</f>
        <v>ElektronikaOʻyin pristavkalariPristavkalarNintendo</v>
      </c>
      <c r="B2803" s="35" t="s">
        <v>3161</v>
      </c>
      <c r="C2803" s="35" t="s">
        <v>3360</v>
      </c>
      <c r="D2803" s="35" t="s">
        <v>5839</v>
      </c>
      <c r="E2803" s="35" t="s">
        <v>1387</v>
      </c>
      <c r="F2803" s="36">
        <v>0.1</v>
      </c>
      <c r="G2803" s="31"/>
      <c r="H2803" s="31"/>
      <c r="I2803" s="31"/>
      <c r="J2803" s="31"/>
      <c r="K2803" s="31"/>
    </row>
    <row r="2804" spans="1:11" ht="14.4" x14ac:dyDescent="0.3">
      <c r="A2804" s="28" t="str">
        <f>B2804&amp;C2804&amp;D2804&amp;E2804</f>
        <v>ElektronikaNoutbuklar, planshetlar va elektron kitoblarPlanshetlar va elektron kitoblarGrafik planshetlar</v>
      </c>
      <c r="B2804" s="35" t="s">
        <v>3161</v>
      </c>
      <c r="C2804" s="35" t="s">
        <v>3308</v>
      </c>
      <c r="D2804" s="35" t="s">
        <v>3402</v>
      </c>
      <c r="E2804" s="35" t="s">
        <v>6132</v>
      </c>
      <c r="F2804" s="36">
        <v>0.1</v>
      </c>
      <c r="G2804" s="31"/>
      <c r="H2804" s="31"/>
      <c r="I2804" s="31"/>
      <c r="J2804" s="31"/>
      <c r="K2804" s="31"/>
    </row>
    <row r="2805" spans="1:11" ht="14.4" x14ac:dyDescent="0.3">
      <c r="A2805" s="28" t="str">
        <f>B2805&amp;C2805&amp;D2805&amp;E2805</f>
        <v>Kanselyariya tovarlariQogʻoz mahsulotlariChop etish uchun qogʻozChop etish uchun qogʻoz</v>
      </c>
      <c r="B2805" s="35" t="s">
        <v>3170</v>
      </c>
      <c r="C2805" s="35" t="s">
        <v>3821</v>
      </c>
      <c r="D2805" s="35" t="s">
        <v>6133</v>
      </c>
      <c r="E2805" s="35" t="s">
        <v>6133</v>
      </c>
      <c r="F2805" s="36">
        <v>0.1</v>
      </c>
      <c r="G2805" s="31"/>
      <c r="H2805" s="31"/>
      <c r="I2805" s="31"/>
      <c r="J2805" s="31"/>
      <c r="K2805" s="31"/>
    </row>
    <row r="2806" spans="1:11" ht="14.4" x14ac:dyDescent="0.3">
      <c r="A2806" s="28" t="str">
        <f>B2806&amp;C2806&amp;D2806&amp;E2806</f>
        <v>Maishiy texnikaUy uchun texnikaChangyutgichlar va aksessuarlarRobot changyutgichlar</v>
      </c>
      <c r="B2806" s="35" t="s">
        <v>48</v>
      </c>
      <c r="C2806" s="35" t="s">
        <v>3435</v>
      </c>
      <c r="D2806" s="35" t="s">
        <v>5720</v>
      </c>
      <c r="E2806" s="35" t="s">
        <v>49</v>
      </c>
      <c r="F2806" s="36">
        <v>0.1</v>
      </c>
      <c r="G2806" s="31"/>
      <c r="H2806" s="31"/>
      <c r="I2806" s="31"/>
      <c r="J2806" s="31"/>
      <c r="K2806" s="31"/>
    </row>
    <row r="2807" spans="1:11" ht="14.4" x14ac:dyDescent="0.3">
      <c r="A2807" s="28" t="str">
        <f>B2807&amp;C2807&amp;D2807&amp;E2807</f>
        <v>Maishiy texnikaKatta maishiy texnikaKir yuvish mashinalariAvtomatik kir yuvish mashinalari</v>
      </c>
      <c r="B2807" s="35" t="s">
        <v>48</v>
      </c>
      <c r="C2807" s="35" t="s">
        <v>3438</v>
      </c>
      <c r="D2807" s="35" t="s">
        <v>6134</v>
      </c>
      <c r="E2807" s="35" t="s">
        <v>6135</v>
      </c>
      <c r="F2807" s="36">
        <v>0.1</v>
      </c>
      <c r="G2807" s="31"/>
      <c r="H2807" s="31"/>
      <c r="I2807" s="31"/>
      <c r="J2807" s="31"/>
      <c r="K2807" s="31"/>
    </row>
    <row r="2808" spans="1:11" ht="14.4" x14ac:dyDescent="0.3">
      <c r="A2808" s="28" t="str">
        <f>B2808&amp;C2808&amp;D2808&amp;E2808</f>
        <v>Maishiy texnikaUy uchun texnikaNamlab tozalash apparatlariBugʻli shvabralar</v>
      </c>
      <c r="B2808" s="35" t="s">
        <v>48</v>
      </c>
      <c r="C2808" s="35" t="s">
        <v>3435</v>
      </c>
      <c r="D2808" s="35" t="s">
        <v>6136</v>
      </c>
      <c r="E2808" s="35" t="s">
        <v>6137</v>
      </c>
      <c r="F2808" s="36">
        <v>0.1</v>
      </c>
      <c r="G2808" s="31"/>
      <c r="H2808" s="31"/>
      <c r="I2808" s="31"/>
      <c r="J2808" s="31"/>
      <c r="K2808" s="31"/>
    </row>
    <row r="2809" spans="1:11" ht="14.4" x14ac:dyDescent="0.3">
      <c r="A2809" s="28" t="str">
        <f>B2809&amp;C2809&amp;D2809&amp;E2809</f>
        <v>Maishiy texnikaIqlim texnikasiSuv isitgichlari va isitish qozonlariSuv isitgichlari</v>
      </c>
      <c r="B2809" s="35" t="s">
        <v>48</v>
      </c>
      <c r="C2809" s="35" t="s">
        <v>3447</v>
      </c>
      <c r="D2809" s="35" t="s">
        <v>6138</v>
      </c>
      <c r="E2809" s="35" t="s">
        <v>6139</v>
      </c>
      <c r="F2809" s="36">
        <v>0.1</v>
      </c>
      <c r="G2809" s="31"/>
      <c r="H2809" s="31"/>
      <c r="I2809" s="31"/>
      <c r="J2809" s="31"/>
      <c r="K2809" s="31"/>
    </row>
    <row r="2810" spans="1:11" ht="14.4" x14ac:dyDescent="0.3">
      <c r="A2810" s="28" t="str">
        <f>B2810&amp;C2810&amp;D2810&amp;E2810</f>
        <v>Maishiy texnikaKatta maishiy texnikaPechkalarKombinatsiyalangan pechkalar</v>
      </c>
      <c r="B2810" s="35" t="s">
        <v>48</v>
      </c>
      <c r="C2810" s="35" t="s">
        <v>3438</v>
      </c>
      <c r="D2810" s="35" t="s">
        <v>6140</v>
      </c>
      <c r="E2810" s="35" t="s">
        <v>6141</v>
      </c>
      <c r="F2810" s="36">
        <v>0.1</v>
      </c>
      <c r="G2810" s="31"/>
      <c r="H2810" s="31"/>
      <c r="I2810" s="31"/>
      <c r="J2810" s="31"/>
      <c r="K2810" s="31"/>
    </row>
    <row r="2811" spans="1:11" ht="14.4" x14ac:dyDescent="0.3">
      <c r="A2811" s="28" t="str">
        <f>B2811&amp;C2811&amp;D2811&amp;E2811</f>
        <v>Maishiy texnikaIqlim texnikasiSuv isitgichlari va isitish qozonlariIsitish qozonlari</v>
      </c>
      <c r="B2811" s="35" t="s">
        <v>48</v>
      </c>
      <c r="C2811" s="35" t="s">
        <v>3447</v>
      </c>
      <c r="D2811" s="35" t="s">
        <v>6138</v>
      </c>
      <c r="E2811" s="35" t="s">
        <v>6142</v>
      </c>
      <c r="F2811" s="36">
        <v>0.1</v>
      </c>
      <c r="G2811" s="31"/>
      <c r="H2811" s="31"/>
      <c r="I2811" s="31"/>
      <c r="J2811" s="31"/>
      <c r="K2811" s="31"/>
    </row>
    <row r="2812" spans="1:11" ht="14.4" x14ac:dyDescent="0.3">
      <c r="A2812" s="28" t="str">
        <f>B2812&amp;C2812&amp;D2812&amp;E2812</f>
        <v>Maishiy texnikaKatta maishiy texnikaKir yuvish mashinalariYarim avtomatik kir yuvish mashinalari</v>
      </c>
      <c r="B2812" s="35" t="s">
        <v>48</v>
      </c>
      <c r="C2812" s="35" t="s">
        <v>3438</v>
      </c>
      <c r="D2812" s="35" t="s">
        <v>6134</v>
      </c>
      <c r="E2812" s="35" t="s">
        <v>6143</v>
      </c>
      <c r="F2812" s="36">
        <v>0.1</v>
      </c>
      <c r="G2812" s="31"/>
      <c r="H2812" s="31"/>
      <c r="I2812" s="31"/>
      <c r="J2812" s="31"/>
      <c r="K2812" s="31"/>
    </row>
    <row r="2813" spans="1:11" ht="14.4" x14ac:dyDescent="0.3">
      <c r="A2813" s="28" t="str">
        <f>B2813&amp;C2813&amp;D2813&amp;E2813</f>
        <v>Maishiy texnikaUy uchun texnikaDazmollar va bugʻlagichlarBugʻ generatorlari</v>
      </c>
      <c r="B2813" s="35" t="s">
        <v>48</v>
      </c>
      <c r="C2813" s="35" t="s">
        <v>3435</v>
      </c>
      <c r="D2813" s="35" t="s">
        <v>5722</v>
      </c>
      <c r="E2813" s="35" t="s">
        <v>6144</v>
      </c>
      <c r="F2813" s="36">
        <v>0.1</v>
      </c>
      <c r="G2813" s="31"/>
      <c r="H2813" s="31"/>
      <c r="I2813" s="31"/>
      <c r="J2813" s="31"/>
      <c r="K2813" s="31"/>
    </row>
    <row r="2814" spans="1:11" ht="14.4" x14ac:dyDescent="0.3">
      <c r="A2814" s="28" t="str">
        <f>B2814&amp;C2814&amp;D2814&amp;E2814</f>
        <v>Maishiy texnikaUy uchun texnikaNamlab tozalash apparatlariBugʻli tozalagichlar</v>
      </c>
      <c r="B2814" s="35" t="s">
        <v>48</v>
      </c>
      <c r="C2814" s="35" t="s">
        <v>3435</v>
      </c>
      <c r="D2814" s="35" t="s">
        <v>6136</v>
      </c>
      <c r="E2814" s="35" t="s">
        <v>6145</v>
      </c>
      <c r="F2814" s="36">
        <v>0.1</v>
      </c>
      <c r="G2814" s="31"/>
      <c r="H2814" s="31"/>
      <c r="I2814" s="31"/>
      <c r="J2814" s="31"/>
      <c r="K2814" s="31"/>
    </row>
    <row r="2815" spans="1:11" ht="14.4" x14ac:dyDescent="0.3">
      <c r="A2815" s="28" t="str">
        <f>B2815&amp;C2815&amp;D2815&amp;E2815</f>
        <v>Maishiy texnikaGoʻzallik uchun texnikaApparatli kosmetologiyaManikyur va pedikyur uchun asboblar</v>
      </c>
      <c r="B2815" s="35" t="s">
        <v>48</v>
      </c>
      <c r="C2815" s="35" t="s">
        <v>5489</v>
      </c>
      <c r="D2815" s="35" t="s">
        <v>5499</v>
      </c>
      <c r="E2815" s="35" t="s">
        <v>6146</v>
      </c>
      <c r="F2815" s="36">
        <v>0.1</v>
      </c>
      <c r="G2815" s="31"/>
      <c r="H2815" s="31"/>
      <c r="I2815" s="31"/>
      <c r="J2815" s="31"/>
      <c r="K2815" s="31"/>
    </row>
    <row r="2816" spans="1:11" ht="14.4" x14ac:dyDescent="0.3">
      <c r="A2816" s="28" t="str">
        <f>B2816&amp;C2816&amp;D2816&amp;E2816</f>
        <v>Maishiy texnikaUy uchun texnikaSterilizatorlarSterilizatorlar</v>
      </c>
      <c r="B2816" s="35" t="s">
        <v>48</v>
      </c>
      <c r="C2816" s="35" t="s">
        <v>3435</v>
      </c>
      <c r="D2816" s="35" t="s">
        <v>6147</v>
      </c>
      <c r="E2816" s="35" t="s">
        <v>6147</v>
      </c>
      <c r="F2816" s="36">
        <v>0.1</v>
      </c>
      <c r="G2816" s="31"/>
      <c r="H2816" s="31"/>
      <c r="I2816" s="31"/>
      <c r="J2816" s="31"/>
      <c r="K2816" s="31"/>
    </row>
    <row r="2817" spans="1:11" ht="14.4" x14ac:dyDescent="0.3">
      <c r="A2817" s="28" t="str">
        <f>B2817&amp;C2817&amp;D2817&amp;E2817</f>
        <v>Maishiy texnikaUy uchun texnikaNamlab tozalash apparatlariOld oyna tozalagichlar</v>
      </c>
      <c r="B2817" s="35" t="s">
        <v>48</v>
      </c>
      <c r="C2817" s="35" t="s">
        <v>3435</v>
      </c>
      <c r="D2817" s="35" t="s">
        <v>6136</v>
      </c>
      <c r="E2817" s="35" t="s">
        <v>4698</v>
      </c>
      <c r="F2817" s="36">
        <v>0.1</v>
      </c>
      <c r="G2817" s="31"/>
      <c r="H2817" s="31"/>
      <c r="I2817" s="31"/>
      <c r="J2817" s="31"/>
      <c r="K2817" s="31"/>
    </row>
    <row r="2818" spans="1:11" ht="14.4" x14ac:dyDescent="0.3">
      <c r="A2818" s="28" t="str">
        <f>B2818&amp;C2818&amp;D2818&amp;E2818</f>
        <v>Maishiy texnikaIqlim texnikasiHavoni tozalash va namlantirishHavo tozalagichlar</v>
      </c>
      <c r="B2818" s="35" t="s">
        <v>48</v>
      </c>
      <c r="C2818" s="35" t="s">
        <v>3447</v>
      </c>
      <c r="D2818" s="35" t="s">
        <v>5741</v>
      </c>
      <c r="E2818" s="35" t="s">
        <v>5465</v>
      </c>
      <c r="F2818" s="36">
        <v>0.1</v>
      </c>
      <c r="G2818" s="31"/>
      <c r="H2818" s="31"/>
      <c r="I2818" s="31"/>
      <c r="J2818" s="31"/>
      <c r="K2818" s="31"/>
    </row>
    <row r="2819" spans="1:11" ht="14.4" x14ac:dyDescent="0.3">
      <c r="A2819" s="28" t="str">
        <f>B2819&amp;C2819&amp;D2819&amp;E2819</f>
        <v>Maishiy texnikaUy uchun texnikaTikuv mashinalari va aksessuarlariKashta tikish mashinalari</v>
      </c>
      <c r="B2819" s="35" t="s">
        <v>48</v>
      </c>
      <c r="C2819" s="35" t="s">
        <v>3435</v>
      </c>
      <c r="D2819" s="35" t="s">
        <v>3436</v>
      </c>
      <c r="E2819" s="35" t="s">
        <v>6148</v>
      </c>
      <c r="F2819" s="36">
        <v>0.1</v>
      </c>
      <c r="G2819" s="31"/>
      <c r="H2819" s="31"/>
      <c r="I2819" s="31"/>
      <c r="J2819" s="31"/>
      <c r="K2819" s="31"/>
    </row>
    <row r="2820" spans="1:11" ht="14.4" x14ac:dyDescent="0.3">
      <c r="A2820" s="28" t="str">
        <f>B2820&amp;C2820&amp;D2820&amp;E2820</f>
        <v>Maishiy texnikaKatta maishiy texnikaOshxona dudburonlariOshxona dudburonlari</v>
      </c>
      <c r="B2820" s="35" t="s">
        <v>48</v>
      </c>
      <c r="C2820" s="35" t="s">
        <v>3438</v>
      </c>
      <c r="D2820" s="35" t="s">
        <v>6149</v>
      </c>
      <c r="E2820" s="35" t="s">
        <v>6149</v>
      </c>
      <c r="F2820" s="36">
        <v>0.1</v>
      </c>
      <c r="G2820" s="31"/>
      <c r="H2820" s="31"/>
      <c r="I2820" s="31"/>
      <c r="J2820" s="31"/>
      <c r="K2820" s="31"/>
    </row>
    <row r="2821" spans="1:11" ht="14.4" x14ac:dyDescent="0.3">
      <c r="A2821" s="28" t="str">
        <f>B2821&amp;C2821&amp;D2821&amp;E2821</f>
        <v>Maishiy texnikaKatta maishiy texnikaSovutgichlar va muzlatgichlarSovutgichlar</v>
      </c>
      <c r="B2821" s="35" t="s">
        <v>48</v>
      </c>
      <c r="C2821" s="35" t="s">
        <v>3438</v>
      </c>
      <c r="D2821" s="35" t="s">
        <v>6150</v>
      </c>
      <c r="E2821" s="35" t="s">
        <v>6151</v>
      </c>
      <c r="F2821" s="36">
        <v>0.1</v>
      </c>
      <c r="G2821" s="31"/>
      <c r="H2821" s="31"/>
      <c r="I2821" s="31"/>
      <c r="J2821" s="31"/>
      <c r="K2821" s="31"/>
    </row>
    <row r="2822" spans="1:11" ht="14.4" x14ac:dyDescent="0.3">
      <c r="A2822" s="28" t="str">
        <f>B2822&amp;C2822&amp;D2822&amp;E2822</f>
        <v>Maishiy texnikaGoʻzallik uchun texnikaApparatli kosmetologiyaKosmetologiya asboblar</v>
      </c>
      <c r="B2822" s="35" t="s">
        <v>48</v>
      </c>
      <c r="C2822" s="35" t="s">
        <v>5489</v>
      </c>
      <c r="D2822" s="35" t="s">
        <v>5499</v>
      </c>
      <c r="E2822" s="35" t="s">
        <v>6152</v>
      </c>
      <c r="F2822" s="36">
        <v>0.1</v>
      </c>
      <c r="G2822" s="31"/>
      <c r="H2822" s="31"/>
      <c r="I2822" s="31"/>
      <c r="J2822" s="31"/>
      <c r="K2822" s="31"/>
    </row>
    <row r="2823" spans="1:11" ht="14.4" x14ac:dyDescent="0.3">
      <c r="A2823" s="28" t="str">
        <f>B2823&amp;C2823&amp;D2823&amp;E2823</f>
        <v>Maishiy texnikaKatta maishiy texnikaKir yuvish mashinalariKir yuvish mashinalari</v>
      </c>
      <c r="B2823" s="35" t="s">
        <v>48</v>
      </c>
      <c r="C2823" s="35" t="s">
        <v>3438</v>
      </c>
      <c r="D2823" s="35" t="s">
        <v>6134</v>
      </c>
      <c r="E2823" s="35" t="s">
        <v>6134</v>
      </c>
      <c r="F2823" s="36">
        <v>0.1</v>
      </c>
      <c r="G2823" s="31"/>
      <c r="H2823" s="31"/>
      <c r="I2823" s="31"/>
      <c r="J2823" s="31"/>
      <c r="K2823" s="31"/>
    </row>
    <row r="2824" spans="1:11" ht="14.4" x14ac:dyDescent="0.3">
      <c r="A2824" s="28" t="str">
        <f>B2824&amp;C2824&amp;D2824&amp;E2824</f>
        <v>Maishiy texnikaKatta maishiy texnikaIdish yuvish mashinalarIdish yuvish mashinalar</v>
      </c>
      <c r="B2824" s="35" t="s">
        <v>48</v>
      </c>
      <c r="C2824" s="35" t="s">
        <v>3438</v>
      </c>
      <c r="D2824" s="35" t="s">
        <v>6153</v>
      </c>
      <c r="E2824" s="35" t="s">
        <v>6153</v>
      </c>
      <c r="F2824" s="36">
        <v>0.1</v>
      </c>
      <c r="G2824" s="31"/>
      <c r="H2824" s="31"/>
      <c r="I2824" s="31"/>
      <c r="J2824" s="31"/>
      <c r="K2824" s="31"/>
    </row>
    <row r="2825" spans="1:11" ht="14.4" x14ac:dyDescent="0.3">
      <c r="A2825" s="28" t="str">
        <f>B2825&amp;C2825&amp;D2825&amp;E2825</f>
        <v>Maishiy texnikaIqlim texnikasiHavoni tozalash va namlantirishHavo moykalari</v>
      </c>
      <c r="B2825" s="35" t="s">
        <v>48</v>
      </c>
      <c r="C2825" s="35" t="s">
        <v>3447</v>
      </c>
      <c r="D2825" s="35" t="s">
        <v>5741</v>
      </c>
      <c r="E2825" s="35" t="s">
        <v>6154</v>
      </c>
      <c r="F2825" s="36">
        <v>0.1</v>
      </c>
      <c r="G2825" s="31"/>
      <c r="H2825" s="31"/>
      <c r="I2825" s="31"/>
      <c r="J2825" s="31"/>
      <c r="K2825" s="31"/>
    </row>
    <row r="2826" spans="1:11" ht="14.4" x14ac:dyDescent="0.3">
      <c r="A2826" s="28" t="str">
        <f>B2826&amp;C2826&amp;D2826&amp;E2826</f>
        <v>Maishiy texnikaKatta maishiy texnikaQaynatish panellariQaynatish panellari</v>
      </c>
      <c r="B2826" s="35" t="s">
        <v>48</v>
      </c>
      <c r="C2826" s="35" t="s">
        <v>3438</v>
      </c>
      <c r="D2826" s="35" t="s">
        <v>6155</v>
      </c>
      <c r="E2826" s="35" t="s">
        <v>6155</v>
      </c>
      <c r="F2826" s="36">
        <v>0.1</v>
      </c>
      <c r="G2826" s="31"/>
      <c r="H2826" s="31"/>
      <c r="I2826" s="31"/>
      <c r="J2826" s="31"/>
      <c r="K2826" s="31"/>
    </row>
    <row r="2827" spans="1:11" ht="14.4" x14ac:dyDescent="0.3">
      <c r="A2827" s="28" t="str">
        <f>B2827&amp;C2827&amp;D2827&amp;E2827</f>
        <v>Maishiy texnikaKatta maishiy texnikaSovutgichlar va muzlatgichlarSovutish shkaflari</v>
      </c>
      <c r="B2827" s="35" t="s">
        <v>48</v>
      </c>
      <c r="C2827" s="35" t="s">
        <v>3438</v>
      </c>
      <c r="D2827" s="35" t="s">
        <v>6150</v>
      </c>
      <c r="E2827" s="35" t="s">
        <v>6156</v>
      </c>
      <c r="F2827" s="36">
        <v>0.1</v>
      </c>
      <c r="G2827" s="31"/>
      <c r="H2827" s="31"/>
      <c r="I2827" s="31"/>
      <c r="J2827" s="31"/>
      <c r="K2827" s="31"/>
    </row>
    <row r="2828" spans="1:11" ht="14.4" x14ac:dyDescent="0.3">
      <c r="A2828" s="28" t="str">
        <f>B2828&amp;C2828&amp;D2828&amp;E2828</f>
        <v>Maishiy texnikaKatta maishiy texnikaSovutgichlar va muzlatgichlarMuzlatgichlar</v>
      </c>
      <c r="B2828" s="35" t="s">
        <v>48</v>
      </c>
      <c r="C2828" s="35" t="s">
        <v>3438</v>
      </c>
      <c r="D2828" s="35" t="s">
        <v>6150</v>
      </c>
      <c r="E2828" s="35" t="s">
        <v>6157</v>
      </c>
      <c r="F2828" s="36">
        <v>0.1</v>
      </c>
      <c r="G2828" s="31"/>
      <c r="H2828" s="31"/>
      <c r="I2828" s="31"/>
      <c r="J2828" s="31"/>
      <c r="K2828" s="31"/>
    </row>
    <row r="2829" spans="1:11" ht="14.4" x14ac:dyDescent="0.3">
      <c r="A2829" s="28" t="str">
        <f>B2829&amp;C2829&amp;D2829&amp;E2829</f>
        <v>Maishiy texnikaKatta maishiy texnikaPechlarPechlar</v>
      </c>
      <c r="B2829" s="35" t="s">
        <v>48</v>
      </c>
      <c r="C2829" s="35" t="s">
        <v>3438</v>
      </c>
      <c r="D2829" s="35" t="s">
        <v>6158</v>
      </c>
      <c r="E2829" s="35" t="s">
        <v>6158</v>
      </c>
      <c r="F2829" s="36">
        <v>0.1</v>
      </c>
      <c r="G2829" s="31"/>
      <c r="H2829" s="31"/>
      <c r="I2829" s="31"/>
      <c r="J2829" s="31"/>
      <c r="K2829" s="31"/>
    </row>
    <row r="2830" spans="1:11" ht="14.4" x14ac:dyDescent="0.3">
      <c r="A2830" s="28" t="str">
        <f>B2830&amp;C2830&amp;D2830&amp;E2830</f>
        <v>Maishiy texnikaUy uchun texnikaTikuv mashinalari va aksessuarlariTikuv mashinalari</v>
      </c>
      <c r="B2830" s="35" t="s">
        <v>48</v>
      </c>
      <c r="C2830" s="35" t="s">
        <v>3435</v>
      </c>
      <c r="D2830" s="35" t="s">
        <v>3436</v>
      </c>
      <c r="E2830" s="35" t="s">
        <v>6159</v>
      </c>
      <c r="F2830" s="36">
        <v>0.1</v>
      </c>
      <c r="G2830" s="31"/>
      <c r="H2830" s="31"/>
      <c r="I2830" s="31"/>
      <c r="J2830" s="31"/>
      <c r="K2830" s="31"/>
    </row>
    <row r="2831" spans="1:11" ht="14.4" x14ac:dyDescent="0.3">
      <c r="A2831" s="28" t="str">
        <f>B2831&amp;C2831&amp;D2831&amp;E2831</f>
        <v>Maishiy texnikaIqlim texnikasiKonditsionerlar va split tizimlarSplit tizimlar</v>
      </c>
      <c r="B2831" s="35" t="s">
        <v>48</v>
      </c>
      <c r="C2831" s="35" t="s">
        <v>3447</v>
      </c>
      <c r="D2831" s="35" t="s">
        <v>3450</v>
      </c>
      <c r="E2831" s="35" t="s">
        <v>6160</v>
      </c>
      <c r="F2831" s="36">
        <v>0.1</v>
      </c>
      <c r="G2831" s="31"/>
      <c r="H2831" s="31"/>
      <c r="I2831" s="31"/>
      <c r="J2831" s="31"/>
      <c r="K2831" s="31"/>
    </row>
    <row r="2832" spans="1:11" ht="14.4" x14ac:dyDescent="0.3">
      <c r="A2832" s="28" t="str">
        <f>B2832&amp;C2832&amp;D2832&amp;E2832</f>
        <v>Maishiy texnikaUy uchun texnikaTikuv mashinalari va aksessuarlariQop tikadigan mashinalar</v>
      </c>
      <c r="B2832" s="35" t="s">
        <v>48</v>
      </c>
      <c r="C2832" s="35" t="s">
        <v>3435</v>
      </c>
      <c r="D2832" s="35" t="s">
        <v>3436</v>
      </c>
      <c r="E2832" s="35" t="s">
        <v>6161</v>
      </c>
      <c r="F2832" s="36">
        <v>0.1</v>
      </c>
      <c r="G2832" s="31"/>
      <c r="H2832" s="31"/>
      <c r="I2832" s="31"/>
      <c r="J2832" s="31"/>
      <c r="K2832" s="31"/>
    </row>
    <row r="2833" spans="1:11" ht="17.25" customHeight="1" x14ac:dyDescent="0.3">
      <c r="A2833" s="28" t="str">
        <f>B2833&amp;C2833&amp;D2833&amp;E2833</f>
        <v>Maishiy texnikaIqlim texnikasiKonditsionerlar va split tizimlarKoʻchma konditsionerlar</v>
      </c>
      <c r="B2833" s="35" t="s">
        <v>48</v>
      </c>
      <c r="C2833" s="35" t="s">
        <v>3447</v>
      </c>
      <c r="D2833" s="35" t="s">
        <v>3450</v>
      </c>
      <c r="E2833" s="35" t="s">
        <v>6162</v>
      </c>
      <c r="F2833" s="36">
        <v>0.1</v>
      </c>
      <c r="G2833" s="31"/>
      <c r="H2833" s="31"/>
      <c r="I2833" s="31"/>
      <c r="J2833" s="31"/>
      <c r="K2833" s="31"/>
    </row>
    <row r="2834" spans="1:11" ht="14.4" x14ac:dyDescent="0.3">
      <c r="A2834" s="28" t="str">
        <f>B2834&amp;C2834&amp;D2834&amp;E2834</f>
        <v>Maishiy texnikaKatta maishiy texnikaSovutgichlar va muzlatgichlarSovutgichlar va muzlatgichlar</v>
      </c>
      <c r="B2834" s="35" t="s">
        <v>48</v>
      </c>
      <c r="C2834" s="35" t="s">
        <v>3438</v>
      </c>
      <c r="D2834" s="35" t="s">
        <v>6150</v>
      </c>
      <c r="E2834" s="35" t="s">
        <v>6150</v>
      </c>
      <c r="F2834" s="36">
        <v>0.1</v>
      </c>
      <c r="G2834" s="31"/>
      <c r="H2834" s="31"/>
      <c r="I2834" s="31"/>
      <c r="J2834" s="31"/>
      <c r="K2834" s="31"/>
    </row>
    <row r="2835" spans="1:11" ht="14.4" x14ac:dyDescent="0.3">
      <c r="A2835" s="28" t="str">
        <f>B2835&amp;C2835&amp;D2835&amp;E2835</f>
        <v>Maishiy texnikaKatta maishiy texnikaPechkalarGaz pechkalar</v>
      </c>
      <c r="B2835" s="35" t="s">
        <v>48</v>
      </c>
      <c r="C2835" s="35" t="s">
        <v>3438</v>
      </c>
      <c r="D2835" s="35" t="s">
        <v>6140</v>
      </c>
      <c r="E2835" s="35" t="s">
        <v>6163</v>
      </c>
      <c r="F2835" s="36">
        <v>0.1</v>
      </c>
      <c r="G2835" s="31"/>
      <c r="H2835" s="31"/>
      <c r="I2835" s="31"/>
      <c r="J2835" s="31"/>
      <c r="K2835" s="31"/>
    </row>
    <row r="2836" spans="1:11" ht="14.4" x14ac:dyDescent="0.3">
      <c r="A2836" s="28" t="str">
        <f>B2836&amp;C2836&amp;D2836&amp;E2836</f>
        <v>Maishiy texnikaUy uchun texnikaTikuv mashinalari va aksessuarlariOverloklar</v>
      </c>
      <c r="B2836" s="35" t="s">
        <v>48</v>
      </c>
      <c r="C2836" s="35" t="s">
        <v>3435</v>
      </c>
      <c r="D2836" s="35" t="s">
        <v>3436</v>
      </c>
      <c r="E2836" s="35" t="s">
        <v>6164</v>
      </c>
      <c r="F2836" s="36">
        <v>0.1</v>
      </c>
      <c r="G2836" s="31"/>
      <c r="H2836" s="31"/>
      <c r="I2836" s="31"/>
      <c r="J2836" s="31"/>
      <c r="K2836" s="31"/>
    </row>
    <row r="2837" spans="1:11" ht="14.4" x14ac:dyDescent="0.3">
      <c r="A2837" s="28" t="str">
        <f>B2837&amp;C2837&amp;D2837&amp;E2837</f>
        <v>Maishiy texnikaKatta maishiy texnikaPechkalarElektr pechkalar</v>
      </c>
      <c r="B2837" s="35" t="s">
        <v>48</v>
      </c>
      <c r="C2837" s="35" t="s">
        <v>3438</v>
      </c>
      <c r="D2837" s="35" t="s">
        <v>6140</v>
      </c>
      <c r="E2837" s="35" t="s">
        <v>6165</v>
      </c>
      <c r="F2837" s="36">
        <v>0.1</v>
      </c>
      <c r="G2837" s="31"/>
      <c r="H2837" s="31"/>
      <c r="I2837" s="31"/>
      <c r="J2837" s="31"/>
      <c r="K2837" s="31"/>
    </row>
    <row r="2838" spans="1:11" ht="14.4" x14ac:dyDescent="0.3">
      <c r="A2838" s="28" t="str">
        <f>B2838&amp;C2838&amp;D2838&amp;E2838</f>
        <v>Qurilish va taʼmirlashQurilish uskunalariKompressor stantsiyasiKompressor stantsiyasi</v>
      </c>
      <c r="B2838" s="35" t="s">
        <v>3184</v>
      </c>
      <c r="C2838" s="35" t="s">
        <v>4129</v>
      </c>
      <c r="D2838" s="35" t="s">
        <v>6166</v>
      </c>
      <c r="E2838" s="35" t="s">
        <v>6166</v>
      </c>
      <c r="F2838" s="36">
        <v>0.1</v>
      </c>
      <c r="G2838" s="31"/>
      <c r="H2838" s="31"/>
      <c r="I2838" s="31"/>
      <c r="J2838" s="31"/>
      <c r="K2838" s="31"/>
    </row>
    <row r="2839" spans="1:11" ht="14.4" x14ac:dyDescent="0.3">
      <c r="A2839" s="28" t="str">
        <f>B2839&amp;C2839&amp;D2839&amp;E2839</f>
        <v>Qurilish va taʼmirlashQurilish uskunalariSanoat va qurilish changyutgichlariSanoat va qurilish changyutgichlari</v>
      </c>
      <c r="B2839" s="35" t="s">
        <v>3184</v>
      </c>
      <c r="C2839" s="35" t="s">
        <v>4129</v>
      </c>
      <c r="D2839" s="35" t="s">
        <v>6167</v>
      </c>
      <c r="E2839" s="35" t="s">
        <v>6167</v>
      </c>
      <c r="F2839" s="36">
        <v>0.1</v>
      </c>
      <c r="G2839" s="31"/>
      <c r="H2839" s="31"/>
      <c r="I2839" s="31"/>
      <c r="J2839" s="31"/>
      <c r="K2839" s="31"/>
    </row>
    <row r="2840" spans="1:11" ht="14.4" x14ac:dyDescent="0.3">
      <c r="A2840" s="28" t="str">
        <f>B2840&amp;C2840&amp;D2840&amp;E2840</f>
        <v>Qurilish va taʼmirlashElektrikaTo'lqinli kuchlanish himoyachilariTo'lqinli kuchlanish himoyachilari</v>
      </c>
      <c r="B2840" s="35" t="s">
        <v>3184</v>
      </c>
      <c r="C2840" s="35" t="s">
        <v>3461</v>
      </c>
      <c r="D2840" s="35" t="s">
        <v>6168</v>
      </c>
      <c r="E2840" s="35" t="s">
        <v>6168</v>
      </c>
      <c r="F2840" s="36">
        <v>0.1</v>
      </c>
      <c r="G2840" s="31"/>
      <c r="H2840" s="31"/>
      <c r="I2840" s="31"/>
      <c r="J2840" s="31"/>
      <c r="K2840" s="31"/>
    </row>
    <row r="2841" spans="1:11" ht="14.4" x14ac:dyDescent="0.3">
      <c r="A2841" s="28" t="str">
        <f>B2841&amp;C2841&amp;D2841&amp;E2841</f>
        <v>Sport va hordiqTrenajorlarMini trenajorlarMini trenajorlar</v>
      </c>
      <c r="B2841" s="35" t="s">
        <v>43</v>
      </c>
      <c r="C2841" s="35" t="s">
        <v>5651</v>
      </c>
      <c r="D2841" s="35" t="s">
        <v>44</v>
      </c>
      <c r="E2841" s="35" t="s">
        <v>44</v>
      </c>
      <c r="F2841" s="36">
        <v>0.1</v>
      </c>
      <c r="G2841" s="31"/>
      <c r="H2841" s="31"/>
      <c r="I2841" s="31"/>
      <c r="J2841" s="31"/>
      <c r="K2841" s="31"/>
    </row>
    <row r="2842" spans="1:11" ht="14.4" x14ac:dyDescent="0.3">
      <c r="A2842" s="28" t="str">
        <f>B2842&amp;C2842&amp;D2842&amp;E2842</f>
        <v>Sport va hordiqElektr transportiElektr velosipedlarElektr velosipedlar</v>
      </c>
      <c r="B2842" s="35" t="s">
        <v>43</v>
      </c>
      <c r="C2842" s="35" t="s">
        <v>5649</v>
      </c>
      <c r="D2842" s="35" t="s">
        <v>6169</v>
      </c>
      <c r="E2842" s="35" t="s">
        <v>6169</v>
      </c>
      <c r="F2842" s="36">
        <v>0.1</v>
      </c>
      <c r="G2842" s="31"/>
      <c r="H2842" s="31"/>
      <c r="I2842" s="31"/>
      <c r="J2842" s="31"/>
      <c r="K2842" s="31"/>
    </row>
    <row r="2843" spans="1:11" ht="17.25" customHeight="1" x14ac:dyDescent="0.3">
      <c r="A2843" s="28" t="str">
        <f>B2843&amp;C2843&amp;D2843&amp;E2843</f>
        <v>Sport va hordiqTrenajorlarKardio trenajorlarEshkak eshish mashinalari</v>
      </c>
      <c r="B2843" s="35" t="s">
        <v>43</v>
      </c>
      <c r="C2843" s="35" t="s">
        <v>5651</v>
      </c>
      <c r="D2843" s="35" t="s">
        <v>6170</v>
      </c>
      <c r="E2843" s="35" t="s">
        <v>6171</v>
      </c>
      <c r="F2843" s="36">
        <v>0.1</v>
      </c>
      <c r="G2843" s="31"/>
      <c r="H2843" s="31"/>
      <c r="I2843" s="31"/>
      <c r="J2843" s="31"/>
      <c r="K2843" s="31"/>
    </row>
    <row r="2844" spans="1:11" ht="17.25" customHeight="1" x14ac:dyDescent="0.3">
      <c r="A2844" s="28" t="str">
        <f>B2844&amp;C2844&amp;D2844&amp;E2844</f>
        <v>Sport va hordiqTrenajorlarSkameykalar va tokchalarSkameykalar va tokchalar</v>
      </c>
      <c r="B2844" s="35" t="s">
        <v>43</v>
      </c>
      <c r="C2844" s="35" t="s">
        <v>5651</v>
      </c>
      <c r="D2844" s="35" t="s">
        <v>6172</v>
      </c>
      <c r="E2844" s="35" t="s">
        <v>6172</v>
      </c>
      <c r="F2844" s="36">
        <v>0.1</v>
      </c>
      <c r="G2844" s="31"/>
      <c r="H2844" s="31"/>
      <c r="I2844" s="31"/>
      <c r="J2844" s="31"/>
      <c r="K2844" s="31"/>
    </row>
    <row r="2845" spans="1:11" ht="17.25" customHeight="1" x14ac:dyDescent="0.3">
      <c r="A2845" s="28" t="str">
        <f>B2845&amp;C2845&amp;D2845&amp;E2845</f>
        <v>Sport va hordiqTrenajorlarKardio trenajorlarVelotrenajorlar</v>
      </c>
      <c r="B2845" s="35" t="s">
        <v>43</v>
      </c>
      <c r="C2845" s="35" t="s">
        <v>5651</v>
      </c>
      <c r="D2845" s="35" t="s">
        <v>6170</v>
      </c>
      <c r="E2845" s="35" t="s">
        <v>6173</v>
      </c>
      <c r="F2845" s="36">
        <v>0.1</v>
      </c>
      <c r="G2845" s="31"/>
      <c r="H2845" s="31"/>
      <c r="I2845" s="31"/>
      <c r="J2845" s="31"/>
      <c r="K2845" s="31"/>
    </row>
    <row r="2846" spans="1:11" ht="17.25" customHeight="1" x14ac:dyDescent="0.3">
      <c r="A2846" s="28" t="str">
        <f>B2846&amp;C2846&amp;D2846&amp;E2846</f>
        <v>Sport va hordiqTrenajorlarKardio trenajorlarYugurish yo'lakсhlari</v>
      </c>
      <c r="B2846" s="35" t="s">
        <v>43</v>
      </c>
      <c r="C2846" s="35" t="s">
        <v>5651</v>
      </c>
      <c r="D2846" s="35" t="s">
        <v>6170</v>
      </c>
      <c r="E2846" s="35" t="s">
        <v>6174</v>
      </c>
      <c r="F2846" s="36">
        <v>0.1</v>
      </c>
      <c r="G2846" s="31"/>
      <c r="H2846" s="31"/>
      <c r="I2846" s="31"/>
      <c r="J2846" s="31"/>
      <c r="K2846" s="31"/>
    </row>
    <row r="2847" spans="1:11" ht="17.25" customHeight="1" x14ac:dyDescent="0.3">
      <c r="A2847" s="28" t="str">
        <f>B2847&amp;C2847&amp;D2847&amp;E2847</f>
        <v>Sport va hordiqElektr transportiGiroskuterlar va giroroleklarGiroskuterlar va giroroleklar</v>
      </c>
      <c r="B2847" s="35" t="s">
        <v>43</v>
      </c>
      <c r="C2847" s="35" t="s">
        <v>5649</v>
      </c>
      <c r="D2847" s="35" t="s">
        <v>6175</v>
      </c>
      <c r="E2847" s="35" t="s">
        <v>6175</v>
      </c>
      <c r="F2847" s="36">
        <v>0.1</v>
      </c>
      <c r="G2847" s="31"/>
      <c r="H2847" s="31"/>
      <c r="I2847" s="31"/>
      <c r="J2847" s="31"/>
      <c r="K2847" s="31"/>
    </row>
    <row r="2848" spans="1:11" ht="17.25" customHeight="1" x14ac:dyDescent="0.3">
      <c r="A2848" s="28" t="str">
        <f>B2848&amp;C2848&amp;D2848&amp;E2848</f>
        <v>Sport va hordiqElektr transportiElektr samokatlarElektr samokatlar</v>
      </c>
      <c r="B2848" s="35" t="s">
        <v>43</v>
      </c>
      <c r="C2848" s="35" t="s">
        <v>5649</v>
      </c>
      <c r="D2848" s="35" t="s">
        <v>6176</v>
      </c>
      <c r="E2848" s="35" t="s">
        <v>6176</v>
      </c>
      <c r="F2848" s="36">
        <v>0.1</v>
      </c>
      <c r="G2848" s="31"/>
      <c r="H2848" s="31"/>
      <c r="I2848" s="31"/>
      <c r="J2848" s="31"/>
      <c r="K2848" s="31"/>
    </row>
    <row r="2849" spans="1:11" ht="17.25" customHeight="1" x14ac:dyDescent="0.3">
      <c r="A2849" s="28" t="str">
        <f>B2849&amp;C2849&amp;D2849&amp;E2849</f>
        <v>Sport va hordiqTrenajorlarKardio trenajorlarElliptik trenajorlar</v>
      </c>
      <c r="B2849" s="35" t="s">
        <v>43</v>
      </c>
      <c r="C2849" s="35" t="s">
        <v>5651</v>
      </c>
      <c r="D2849" s="35" t="s">
        <v>6170</v>
      </c>
      <c r="E2849" s="35" t="s">
        <v>6177</v>
      </c>
      <c r="F2849" s="36">
        <v>0.1</v>
      </c>
      <c r="G2849" s="31"/>
      <c r="H2849" s="31"/>
      <c r="I2849" s="31"/>
      <c r="J2849" s="31"/>
      <c r="K2849" s="31"/>
    </row>
    <row r="2850" spans="1:11" ht="17.25" customHeight="1" x14ac:dyDescent="0.3">
      <c r="A2850" s="28" t="str">
        <f>B2850&amp;C2850&amp;D2850&amp;E2850</f>
        <v>Sport va hordiqTrenajorlarStepperlarStepperlar</v>
      </c>
      <c r="B2850" s="35" t="s">
        <v>43</v>
      </c>
      <c r="C2850" s="35" t="s">
        <v>5651</v>
      </c>
      <c r="D2850" s="35" t="s">
        <v>6178</v>
      </c>
      <c r="E2850" s="35" t="s">
        <v>6178</v>
      </c>
      <c r="F2850" s="36">
        <v>0.1</v>
      </c>
      <c r="G2850" s="31"/>
      <c r="H2850" s="31"/>
      <c r="I2850" s="31"/>
      <c r="J2850" s="31"/>
      <c r="K2850" s="31"/>
    </row>
    <row r="2851" spans="1:11" ht="17.25" customHeight="1" x14ac:dyDescent="0.3">
      <c r="A2851" s="28" t="str">
        <f>B2851&amp;C2851&amp;D2851&amp;E2851</f>
        <v>Sport va hordiqFaol hordiq turlariBatutlarBatutlar</v>
      </c>
      <c r="B2851" s="35" t="s">
        <v>43</v>
      </c>
      <c r="C2851" s="35" t="s">
        <v>4181</v>
      </c>
      <c r="D2851" s="35" t="s">
        <v>6179</v>
      </c>
      <c r="E2851" s="35" t="s">
        <v>6179</v>
      </c>
      <c r="F2851" s="36">
        <v>0.1</v>
      </c>
      <c r="G2851" s="31"/>
      <c r="H2851" s="31"/>
      <c r="I2851" s="31"/>
      <c r="J2851" s="31"/>
      <c r="K2851" s="31"/>
    </row>
    <row r="2852" spans="1:11" ht="17.25" customHeight="1" x14ac:dyDescent="0.3">
      <c r="A2852" s="28" t="str">
        <f>B2852&amp;C2852&amp;D2852&amp;E2852</f>
        <v>AvtotovarlarAvtomobil uchun elektronikaAvtomobil monitorlariAvtomobil monitorlari</v>
      </c>
      <c r="B2852" s="35" t="s">
        <v>39</v>
      </c>
      <c r="C2852" s="35" t="s">
        <v>4681</v>
      </c>
      <c r="D2852" s="35" t="s">
        <v>6180</v>
      </c>
      <c r="E2852" s="35" t="s">
        <v>6180</v>
      </c>
      <c r="F2852" s="36">
        <v>0.08</v>
      </c>
      <c r="G2852" s="31"/>
      <c r="H2852" s="31"/>
      <c r="I2852" s="31"/>
      <c r="J2852" s="31"/>
      <c r="K2852" s="31"/>
    </row>
    <row r="2853" spans="1:11" ht="17.25" customHeight="1" x14ac:dyDescent="0.3">
      <c r="A2853" s="28" t="str">
        <f>B2853&amp;C2853&amp;D2853&amp;E2853</f>
        <v>AvtotovarlarAvtomobil uchun elektronikaAvtosignalizatsiyalarAvtosignalizatsiyalar</v>
      </c>
      <c r="B2853" s="35" t="s">
        <v>39</v>
      </c>
      <c r="C2853" s="35" t="s">
        <v>4681</v>
      </c>
      <c r="D2853" s="35" t="s">
        <v>6181</v>
      </c>
      <c r="E2853" s="35" t="s">
        <v>6181</v>
      </c>
      <c r="F2853" s="36">
        <v>0.08</v>
      </c>
      <c r="G2853" s="31"/>
      <c r="H2853" s="31"/>
      <c r="I2853" s="31"/>
      <c r="J2853" s="31"/>
      <c r="K2853" s="31"/>
    </row>
    <row r="2854" spans="1:11" ht="17.25" customHeight="1" x14ac:dyDescent="0.3">
      <c r="A2854" s="28" t="str">
        <f>B2854&amp;C2854&amp;D2854&amp;E2854</f>
        <v>ElektronikaTelevizorlar va videotexnikalarTelevizorlarTelevizorlar</v>
      </c>
      <c r="B2854" s="35" t="s">
        <v>3161</v>
      </c>
      <c r="C2854" s="35" t="s">
        <v>3328</v>
      </c>
      <c r="D2854" s="35" t="s">
        <v>6182</v>
      </c>
      <c r="E2854" s="35" t="s">
        <v>6182</v>
      </c>
      <c r="F2854" s="36">
        <v>0.08</v>
      </c>
      <c r="G2854" s="31"/>
      <c r="H2854" s="31"/>
      <c r="I2854" s="31"/>
      <c r="J2854" s="31"/>
      <c r="K2854" s="31"/>
    </row>
    <row r="2855" spans="1:11" ht="17.25" customHeight="1" x14ac:dyDescent="0.3">
      <c r="A2855" s="28" t="str">
        <f>B2855&amp;C2855&amp;D2855&amp;E2855</f>
        <v>ElektronikaSmartfonlar va telefonlarSmartfonlarSmartfonlar Android</v>
      </c>
      <c r="B2855" s="35" t="s">
        <v>3161</v>
      </c>
      <c r="C2855" s="35" t="s">
        <v>3303</v>
      </c>
      <c r="D2855" s="35" t="s">
        <v>6183</v>
      </c>
      <c r="E2855" s="35" t="s">
        <v>6184</v>
      </c>
      <c r="F2855" s="36">
        <v>0.08</v>
      </c>
      <c r="G2855" s="31"/>
      <c r="H2855" s="31"/>
      <c r="I2855" s="31"/>
      <c r="J2855" s="31"/>
      <c r="K2855" s="31"/>
    </row>
    <row r="2856" spans="1:11" ht="17.25" customHeight="1" x14ac:dyDescent="0.3">
      <c r="A2856" s="28" t="str">
        <f>B2856&amp;C2856&amp;D2856&amp;E2856</f>
        <v>ElektronikaSmartfonlar va telefonlarSmartfonlarBoshqa operatsion tizimdagi smartfonlar</v>
      </c>
      <c r="B2856" s="35" t="s">
        <v>3161</v>
      </c>
      <c r="C2856" s="35" t="s">
        <v>3303</v>
      </c>
      <c r="D2856" s="35" t="s">
        <v>6183</v>
      </c>
      <c r="E2856" s="35" t="s">
        <v>6185</v>
      </c>
      <c r="F2856" s="36">
        <v>0.06</v>
      </c>
      <c r="G2856" s="31"/>
      <c r="H2856" s="31"/>
      <c r="I2856" s="31"/>
      <c r="J2856" s="31"/>
      <c r="K2856" s="31"/>
    </row>
    <row r="2857" spans="1:11" ht="17.25" customHeight="1" x14ac:dyDescent="0.3">
      <c r="A2857" s="28" t="str">
        <f>B2857&amp;C2857&amp;D2857&amp;E2857</f>
        <v>ElektronikaKompyuter texnikasiKompyuterlarMonobloklar</v>
      </c>
      <c r="B2857" s="35" t="s">
        <v>3161</v>
      </c>
      <c r="C2857" s="35" t="s">
        <v>3311</v>
      </c>
      <c r="D2857" s="35" t="s">
        <v>6186</v>
      </c>
      <c r="E2857" s="35" t="s">
        <v>6187</v>
      </c>
      <c r="F2857" s="36">
        <v>0.05</v>
      </c>
      <c r="G2857" s="31"/>
      <c r="H2857" s="31"/>
      <c r="I2857" s="31"/>
      <c r="J2857" s="31"/>
      <c r="K2857" s="31"/>
    </row>
    <row r="2858" spans="1:11" ht="17.25" customHeight="1" x14ac:dyDescent="0.3">
      <c r="A2858" s="28" t="str">
        <f>B2858&amp;C2858&amp;D2858&amp;E2858</f>
        <v>ElektronikaKompyuter texnikasiKompyuterlarTizimli bloklar</v>
      </c>
      <c r="B2858" s="35" t="s">
        <v>3161</v>
      </c>
      <c r="C2858" s="35" t="s">
        <v>3311</v>
      </c>
      <c r="D2858" s="35" t="s">
        <v>6186</v>
      </c>
      <c r="E2858" s="35" t="s">
        <v>6188</v>
      </c>
      <c r="F2858" s="36">
        <v>0.05</v>
      </c>
      <c r="G2858" s="31"/>
      <c r="H2858" s="31"/>
      <c r="I2858" s="31"/>
      <c r="J2858" s="31"/>
      <c r="K2858" s="31"/>
    </row>
    <row r="2859" spans="1:11" ht="17.25" customHeight="1" x14ac:dyDescent="0.3">
      <c r="A2859" s="28" t="str">
        <f>B2859&amp;C2859&amp;D2859&amp;E2859</f>
        <v>ElektronikaKompyuter texnikasiKompyuterlarMonitorlar</v>
      </c>
      <c r="B2859" s="35" t="s">
        <v>3161</v>
      </c>
      <c r="C2859" s="35" t="s">
        <v>3311</v>
      </c>
      <c r="D2859" s="35" t="s">
        <v>6186</v>
      </c>
      <c r="E2859" s="35" t="s">
        <v>6189</v>
      </c>
      <c r="F2859" s="36">
        <v>0.05</v>
      </c>
      <c r="G2859" s="31"/>
      <c r="H2859" s="31"/>
      <c r="I2859" s="31"/>
      <c r="J2859" s="31"/>
      <c r="K2859" s="31"/>
    </row>
    <row r="2860" spans="1:11" ht="17.25" customHeight="1" x14ac:dyDescent="0.3">
      <c r="A2860" s="28" t="str">
        <f>B2860&amp;C2860&amp;D2860&amp;E2860</f>
        <v>ElektronikaNoutbuklar, planshetlar va elektron kitoblarPlanshetlar va elektron kitoblarElektron kitoblar</v>
      </c>
      <c r="B2860" s="35" t="s">
        <v>3161</v>
      </c>
      <c r="C2860" s="35" t="s">
        <v>3308</v>
      </c>
      <c r="D2860" s="35" t="s">
        <v>3402</v>
      </c>
      <c r="E2860" s="35" t="s">
        <v>4445</v>
      </c>
      <c r="F2860" s="36">
        <v>0.05</v>
      </c>
      <c r="G2860" s="31"/>
      <c r="H2860" s="31"/>
      <c r="I2860" s="31"/>
      <c r="J2860" s="31"/>
      <c r="K2860" s="31"/>
    </row>
    <row r="2861" spans="1:11" ht="17.25" customHeight="1" x14ac:dyDescent="0.3">
      <c r="A2861" s="28" t="str">
        <f>B2861&amp;C2861&amp;D2861&amp;E2861</f>
        <v>ElektronikaNoutbuklar, planshetlar va elektron kitoblarNoutbuklarNoutbuklar</v>
      </c>
      <c r="B2861" s="35" t="s">
        <v>3161</v>
      </c>
      <c r="C2861" s="35" t="s">
        <v>3308</v>
      </c>
      <c r="D2861" s="35" t="s">
        <v>6190</v>
      </c>
      <c r="E2861" s="35" t="s">
        <v>6190</v>
      </c>
      <c r="F2861" s="36">
        <v>0.05</v>
      </c>
      <c r="G2861" s="31"/>
      <c r="H2861" s="31"/>
      <c r="I2861" s="31"/>
      <c r="J2861" s="31"/>
      <c r="K2861" s="31"/>
    </row>
    <row r="2862" spans="1:11" ht="17.25" customHeight="1" x14ac:dyDescent="0.3">
      <c r="A2862" s="28" t="str">
        <f>B2862&amp;C2862&amp;D2862&amp;E2862</f>
        <v>ElektronikaKompyuter texnikasiKompyuterlarNettoplar va Mini PK</v>
      </c>
      <c r="B2862" s="35" t="s">
        <v>3161</v>
      </c>
      <c r="C2862" s="35" t="s">
        <v>3311</v>
      </c>
      <c r="D2862" s="35" t="s">
        <v>6186</v>
      </c>
      <c r="E2862" s="35" t="s">
        <v>6191</v>
      </c>
      <c r="F2862" s="36">
        <v>0.05</v>
      </c>
      <c r="G2862" s="31"/>
      <c r="H2862" s="31"/>
      <c r="I2862" s="31"/>
      <c r="J2862" s="31"/>
      <c r="K2862" s="31"/>
    </row>
    <row r="2863" spans="1:11" ht="17.25" customHeight="1" x14ac:dyDescent="0.3">
      <c r="A2863" s="28" t="str">
        <f>B2863&amp;C2863&amp;D2863&amp;E2863</f>
        <v>Oziq-ovqat mahsulotlariUn, shakar va tuzShakarShakar</v>
      </c>
      <c r="B2863" s="35" t="s">
        <v>3180</v>
      </c>
      <c r="C2863" s="35" t="s">
        <v>5936</v>
      </c>
      <c r="D2863" s="35" t="s">
        <v>6192</v>
      </c>
      <c r="E2863" s="35" t="s">
        <v>6192</v>
      </c>
      <c r="F2863" s="36">
        <v>0.05</v>
      </c>
      <c r="G2863" s="31"/>
      <c r="H2863" s="31"/>
      <c r="I2863" s="31"/>
      <c r="J2863" s="31"/>
      <c r="K2863" s="31"/>
    </row>
    <row r="2864" spans="1:11" ht="17.25" customHeight="1" x14ac:dyDescent="0.3">
      <c r="A2864" s="28" t="str">
        <f>B2864&amp;C2864&amp;D2864&amp;E2864</f>
        <v>ElektronikaAqlli soatlar va fitnes bilaguzuklarAqlli soatlarAqlli soatlar Apple Watch</v>
      </c>
      <c r="B2864" s="35" t="s">
        <v>3161</v>
      </c>
      <c r="C2864" s="35" t="s">
        <v>3336</v>
      </c>
      <c r="D2864" s="35" t="s">
        <v>5735</v>
      </c>
      <c r="E2864" s="35" t="s">
        <v>6193</v>
      </c>
      <c r="F2864" s="36">
        <v>0.03</v>
      </c>
      <c r="G2864" s="31"/>
      <c r="H2864" s="31"/>
      <c r="I2864" s="31"/>
      <c r="J2864" s="31"/>
      <c r="K2864" s="31"/>
    </row>
    <row r="2865" spans="1:11" ht="17.25" customHeight="1" x14ac:dyDescent="0.3">
      <c r="A2865" s="28" t="str">
        <f>B2865&amp;C2865&amp;D2865&amp;E2865</f>
        <v>ElektronikaNoutbuklar, planshetlar va elektron kitoblarPlanshetlar va elektron kitoblarPlanshetlar Apple iPad</v>
      </c>
      <c r="B2865" s="35" t="s">
        <v>3161</v>
      </c>
      <c r="C2865" s="35" t="s">
        <v>3308</v>
      </c>
      <c r="D2865" s="35" t="s">
        <v>3402</v>
      </c>
      <c r="E2865" s="35" t="s">
        <v>6194</v>
      </c>
      <c r="F2865" s="36">
        <v>0.03</v>
      </c>
      <c r="G2865" s="31"/>
      <c r="H2865" s="31"/>
      <c r="I2865" s="31"/>
      <c r="J2865" s="31"/>
      <c r="K2865" s="31"/>
    </row>
    <row r="2866" spans="1:11" ht="17.25" customHeight="1" x14ac:dyDescent="0.3">
      <c r="A2866" s="28" t="str">
        <f>B2866&amp;C2866&amp;D2866&amp;E2866</f>
        <v>ElektronikaSmartfonlar va telefonlarSmartfonlarSmartfonlar Apple iPhone(iOS)</v>
      </c>
      <c r="B2866" s="35" t="s">
        <v>3161</v>
      </c>
      <c r="C2866" s="35" t="s">
        <v>3303</v>
      </c>
      <c r="D2866" s="35" t="s">
        <v>6183</v>
      </c>
      <c r="E2866" s="35" t="s">
        <v>6195</v>
      </c>
      <c r="F2866" s="36">
        <v>0.03</v>
      </c>
      <c r="G2866" s="31"/>
      <c r="H2866" s="31"/>
      <c r="I2866" s="31"/>
      <c r="J2866" s="31"/>
      <c r="K2866" s="31"/>
    </row>
    <row r="2867" spans="1:11" ht="17.25" customHeight="1" x14ac:dyDescent="0.3">
      <c r="A2867" s="28" t="str">
        <f>B2867&amp;C2867&amp;D2867&amp;E2867</f>
        <v>ElektronikaQuloqchinlar va audio texnikalarQuloqchinlarQuloqchinlar Apple AirPods</v>
      </c>
      <c r="B2867" s="35" t="s">
        <v>3161</v>
      </c>
      <c r="C2867" s="35" t="s">
        <v>3306</v>
      </c>
      <c r="D2867" s="35" t="s">
        <v>3259</v>
      </c>
      <c r="E2867" s="35" t="s">
        <v>6196</v>
      </c>
      <c r="F2867" s="36">
        <v>0.03</v>
      </c>
      <c r="G2867" s="31"/>
      <c r="H2867" s="31"/>
      <c r="I2867" s="31"/>
      <c r="J2867" s="31"/>
      <c r="K2867" s="31"/>
    </row>
    <row r="2868" spans="1:11" ht="17.25" customHeight="1" x14ac:dyDescent="0.3">
      <c r="A2868" s="28" t="str">
        <f>B2868&amp;C2868&amp;D2868&amp;E2868</f>
        <v>ElektronikaOʻyin pristavkalariPristavkalarPlaystation</v>
      </c>
      <c r="B2868" s="35" t="s">
        <v>3161</v>
      </c>
      <c r="C2868" s="35" t="s">
        <v>3360</v>
      </c>
      <c r="D2868" s="35" t="s">
        <v>5839</v>
      </c>
      <c r="E2868" s="35" t="s">
        <v>83</v>
      </c>
      <c r="F2868" s="36">
        <v>0.03</v>
      </c>
      <c r="G2868" s="31"/>
      <c r="H2868" s="31"/>
      <c r="I2868" s="31"/>
      <c r="J2868" s="31"/>
      <c r="K2868" s="31"/>
    </row>
    <row r="2869" spans="1:11" ht="17.25" customHeight="1" x14ac:dyDescent="0.3">
      <c r="A2869" s="28" t="str">
        <f>B2869&amp;C2869&amp;D2869&amp;E2869</f>
        <v>ElektronikaNoutbuklar, planshetlar va elektron kitoblarNoutbuklarNoutbuklar Apple MacBook</v>
      </c>
      <c r="B2869" s="35" t="s">
        <v>3161</v>
      </c>
      <c r="C2869" s="35" t="s">
        <v>3308</v>
      </c>
      <c r="D2869" s="35" t="s">
        <v>6190</v>
      </c>
      <c r="E2869" s="35" t="s">
        <v>6197</v>
      </c>
      <c r="F2869" s="36">
        <v>0.03</v>
      </c>
      <c r="G2869" s="31"/>
      <c r="H2869" s="31"/>
      <c r="I2869" s="31"/>
      <c r="J2869" s="31"/>
      <c r="K2869" s="31"/>
    </row>
    <row r="2870" spans="1:11" ht="17.25" customHeight="1" x14ac:dyDescent="0.3">
      <c r="A2870" s="28" t="str">
        <f>B2870&amp;C2870&amp;D2870&amp;E2870</f>
        <v>SalomatlikReabilitatsiya uchun mahsulotlarPeshob olish uchun idishlarPeshob olish uchun idishlar</v>
      </c>
      <c r="B2870" s="35" t="s">
        <v>3147</v>
      </c>
      <c r="C2870" s="35" t="s">
        <v>6198</v>
      </c>
      <c r="D2870" s="35" t="s">
        <v>6199</v>
      </c>
      <c r="E2870" s="35" t="s">
        <v>6199</v>
      </c>
      <c r="F2870" s="36">
        <v>0.01</v>
      </c>
      <c r="G2870" s="31"/>
      <c r="H2870" s="31"/>
      <c r="I2870" s="31"/>
      <c r="J2870" s="31"/>
      <c r="K2870" s="31"/>
    </row>
    <row r="2871" spans="1:11" ht="17.25" customHeight="1" x14ac:dyDescent="0.3">
      <c r="A2871" s="28" t="str">
        <f>B2871&amp;C2871&amp;D2871&amp;E2871</f>
        <v>SalomatlikReabilitatsiya uchun mahsulotlarNogironlar aravachalariNogironlar aravachalari</v>
      </c>
      <c r="B2871" s="35" t="s">
        <v>3147</v>
      </c>
      <c r="C2871" s="35" t="s">
        <v>6198</v>
      </c>
      <c r="D2871" s="35" t="s">
        <v>6200</v>
      </c>
      <c r="E2871" s="35" t="s">
        <v>6200</v>
      </c>
      <c r="F2871" s="36">
        <v>0.01</v>
      </c>
      <c r="G2871" s="31"/>
      <c r="H2871" s="31"/>
      <c r="I2871" s="31"/>
      <c r="J2871" s="31"/>
      <c r="K2871" s="31"/>
    </row>
    <row r="2872" spans="1:11" ht="17.25" customHeight="1" x14ac:dyDescent="0.3">
      <c r="A2872" s="28" t="str">
        <f>B2872&amp;C2872&amp;D2872&amp;E2872</f>
        <v>SalomatlikReabilitatsiya uchun mahsulotlarYotgan bemorlar uchun parvarishlash vositalariYotgan bemorlar uchun hojat tuvaklari</v>
      </c>
      <c r="B2872" s="35" t="s">
        <v>3147</v>
      </c>
      <c r="C2872" s="35" t="s">
        <v>6198</v>
      </c>
      <c r="D2872" s="35" t="s">
        <v>6201</v>
      </c>
      <c r="E2872" s="35" t="s">
        <v>6202</v>
      </c>
      <c r="F2872" s="36">
        <v>0.01</v>
      </c>
      <c r="G2872" s="31"/>
      <c r="H2872" s="31"/>
      <c r="I2872" s="31"/>
      <c r="J2872" s="31"/>
      <c r="K2872" s="31"/>
    </row>
    <row r="2873" spans="1:11" ht="17.25" customHeight="1" x14ac:dyDescent="0.3">
      <c r="A2873" s="28" t="str">
        <f>B2873&amp;C2873&amp;D2873&amp;E2873</f>
        <v>SalomatlikReabilitatsiya uchun mahsulotlarEshitish apparatlari va ovoz kuchaytirgichlarEshitish apparatlari va ovoz kuchaytirgichlar</v>
      </c>
      <c r="B2873" s="35" t="s">
        <v>3147</v>
      </c>
      <c r="C2873" s="35" t="s">
        <v>6198</v>
      </c>
      <c r="D2873" s="35" t="s">
        <v>6203</v>
      </c>
      <c r="E2873" s="35" t="s">
        <v>6203</v>
      </c>
      <c r="F2873" s="36">
        <v>0.01</v>
      </c>
      <c r="G2873" s="31"/>
      <c r="H2873" s="31"/>
      <c r="I2873" s="31"/>
      <c r="J2873" s="31"/>
      <c r="K2873" s="31"/>
    </row>
    <row r="2874" spans="1:11" ht="17.25" customHeight="1" x14ac:dyDescent="0.3">
      <c r="A2874" s="28" t="str">
        <f>B2874&amp;C2874&amp;D2874&amp;E2874</f>
        <v>SalomatlikReabilitatsiya uchun mahsulotlarYurishi uchun yordamchilarYurishi uchun yordamchilar</v>
      </c>
      <c r="B2874" s="35" t="s">
        <v>3147</v>
      </c>
      <c r="C2874" s="35" t="s">
        <v>6198</v>
      </c>
      <c r="D2874" s="35" t="s">
        <v>6204</v>
      </c>
      <c r="E2874" s="35" t="s">
        <v>6204</v>
      </c>
      <c r="F2874" s="36">
        <v>0.01</v>
      </c>
      <c r="G2874" s="31"/>
      <c r="H2874" s="31"/>
      <c r="I2874" s="31"/>
      <c r="J2874" s="31"/>
      <c r="K2874" s="31"/>
    </row>
    <row r="2875" spans="1:11" ht="17.25" customHeight="1" x14ac:dyDescent="0.3">
      <c r="A2875" s="28" t="str">
        <f>B2875&amp;C2875&amp;D2875&amp;E2875</f>
        <v>SalomatlikReabilitatsiya uchun mahsulotlarHassalar va qoʻltiq tayoqlarHassalar va qoʻltiq tayoqlar</v>
      </c>
      <c r="B2875" s="35" t="s">
        <v>3147</v>
      </c>
      <c r="C2875" s="35" t="s">
        <v>6198</v>
      </c>
      <c r="D2875" s="35" t="s">
        <v>6205</v>
      </c>
      <c r="E2875" s="35" t="s">
        <v>6205</v>
      </c>
      <c r="F2875" s="36">
        <v>0.01</v>
      </c>
      <c r="G2875" s="31"/>
      <c r="H2875" s="31"/>
      <c r="I2875" s="31"/>
      <c r="J2875" s="31"/>
      <c r="K2875" s="31"/>
    </row>
    <row r="2876" spans="1:11" ht="14.4" x14ac:dyDescent="0.3">
      <c r="A2876" s="20"/>
      <c r="B2876" s="20"/>
      <c r="C2876" s="20"/>
      <c r="D2876" s="20"/>
      <c r="E2876" s="20"/>
      <c r="F2876" s="20"/>
      <c r="G2876" s="20"/>
      <c r="H2876" s="20"/>
      <c r="I2876" s="20"/>
      <c r="J2876" s="20"/>
      <c r="K2876" s="20"/>
    </row>
    <row r="2877" spans="1:11" ht="14.4" x14ac:dyDescent="0.3">
      <c r="A2877" s="20"/>
      <c r="B2877" s="20"/>
      <c r="C2877" s="20"/>
      <c r="D2877" s="20"/>
      <c r="E2877" s="20"/>
      <c r="F2877" s="20"/>
      <c r="G2877" s="20"/>
      <c r="H2877" s="20"/>
      <c r="I2877" s="20"/>
      <c r="J2877" s="20"/>
      <c r="K2877" s="20"/>
    </row>
    <row r="2878" spans="1:11" ht="14.4" x14ac:dyDescent="0.3">
      <c r="A2878" s="20"/>
      <c r="B2878" s="20"/>
      <c r="C2878" s="20"/>
      <c r="D2878" s="20"/>
      <c r="E2878" s="20"/>
      <c r="F2878" s="20"/>
      <c r="G2878" s="20"/>
      <c r="H2878" s="20"/>
      <c r="I2878" s="20"/>
      <c r="J2878" s="20"/>
      <c r="K2878" s="20"/>
    </row>
    <row r="2879" spans="1:11" ht="14.4" x14ac:dyDescent="0.3">
      <c r="A2879" s="20"/>
      <c r="B2879" s="20"/>
      <c r="C2879" s="20"/>
      <c r="D2879" s="20"/>
      <c r="E2879" s="20"/>
      <c r="F2879" s="20"/>
      <c r="G2879" s="20"/>
      <c r="H2879" s="20"/>
      <c r="I2879" s="20"/>
      <c r="J2879" s="20"/>
      <c r="K2879" s="20"/>
    </row>
    <row r="2880" spans="1:11" ht="14.4" x14ac:dyDescent="0.3">
      <c r="A2880" s="20"/>
      <c r="B2880" s="20"/>
      <c r="C2880" s="20"/>
      <c r="D2880" s="20"/>
      <c r="E2880" s="20"/>
      <c r="F2880" s="20"/>
      <c r="G2880" s="20"/>
      <c r="H2880" s="20"/>
      <c r="I2880" s="20"/>
      <c r="J2880" s="20"/>
      <c r="K2880" s="20"/>
    </row>
    <row r="2881" spans="1:11" ht="14.4" x14ac:dyDescent="0.3">
      <c r="A2881" s="20"/>
      <c r="B2881" s="20"/>
      <c r="C2881" s="20"/>
      <c r="D2881" s="20"/>
      <c r="E2881" s="20"/>
      <c r="F2881" s="20"/>
      <c r="G2881" s="20"/>
      <c r="H2881" s="20"/>
      <c r="I2881" s="20"/>
      <c r="J2881" s="20"/>
      <c r="K2881" s="20"/>
    </row>
    <row r="2882" spans="1:11" ht="14.4" x14ac:dyDescent="0.3">
      <c r="A2882" s="20"/>
      <c r="B2882" s="20"/>
      <c r="C2882" s="20"/>
      <c r="D2882" s="20"/>
      <c r="E2882" s="20"/>
      <c r="F2882" s="20"/>
      <c r="G2882" s="20"/>
      <c r="H2882" s="20"/>
      <c r="I2882" s="20"/>
      <c r="J2882" s="20"/>
      <c r="K2882" s="20"/>
    </row>
    <row r="2883" spans="1:11" ht="14.4" x14ac:dyDescent="0.3">
      <c r="A2883" s="20"/>
      <c r="B2883" s="20"/>
      <c r="C2883" s="20"/>
      <c r="D2883" s="20"/>
      <c r="E2883" s="20"/>
      <c r="F2883" s="20"/>
      <c r="G2883" s="20"/>
      <c r="H2883" s="20"/>
      <c r="I2883" s="20"/>
      <c r="J2883" s="20"/>
      <c r="K2883" s="20"/>
    </row>
    <row r="2884" spans="1:11" ht="14.4" x14ac:dyDescent="0.3">
      <c r="A2884" s="20"/>
      <c r="B2884" s="20"/>
      <c r="C2884" s="20"/>
      <c r="D2884" s="20"/>
      <c r="E2884" s="20"/>
      <c r="F2884" s="20"/>
      <c r="G2884" s="20"/>
      <c r="H2884" s="20"/>
      <c r="I2884" s="20"/>
      <c r="J2884" s="20"/>
      <c r="K2884" s="20"/>
    </row>
    <row r="2885" spans="1:11" ht="14.4" x14ac:dyDescent="0.3">
      <c r="A2885" s="20"/>
      <c r="B2885" s="20"/>
      <c r="C2885" s="20"/>
      <c r="D2885" s="20"/>
      <c r="E2885" s="20"/>
      <c r="F2885" s="20"/>
      <c r="G2885" s="20"/>
      <c r="H2885" s="20"/>
      <c r="I2885" s="20"/>
      <c r="J2885" s="20"/>
      <c r="K2885" s="20"/>
    </row>
    <row r="2886" spans="1:11" ht="14.4" x14ac:dyDescent="0.3">
      <c r="A2886" s="20"/>
      <c r="B2886" s="20"/>
      <c r="C2886" s="20"/>
      <c r="D2886" s="20"/>
      <c r="E2886" s="20"/>
      <c r="F2886" s="20"/>
      <c r="G2886" s="20"/>
      <c r="H2886" s="20"/>
      <c r="I2886" s="20"/>
      <c r="J2886" s="20"/>
      <c r="K2886" s="20"/>
    </row>
    <row r="2887" spans="1:11" ht="14.4" x14ac:dyDescent="0.3">
      <c r="A2887" s="20"/>
      <c r="B2887" s="20"/>
      <c r="C2887" s="20"/>
      <c r="D2887" s="20"/>
      <c r="E2887" s="20"/>
      <c r="F2887" s="20"/>
      <c r="G2887" s="20"/>
      <c r="H2887" s="20"/>
      <c r="I2887" s="20"/>
      <c r="J2887" s="20"/>
      <c r="K2887" s="20"/>
    </row>
    <row r="2888" spans="1:11" ht="14.4" x14ac:dyDescent="0.3">
      <c r="A2888" s="20"/>
      <c r="B2888" s="20"/>
      <c r="C2888" s="20"/>
      <c r="D2888" s="20"/>
      <c r="E2888" s="20"/>
      <c r="F2888" s="20"/>
      <c r="G2888" s="20"/>
      <c r="H2888" s="20"/>
      <c r="I2888" s="20"/>
      <c r="J2888" s="20"/>
      <c r="K2888" s="20"/>
    </row>
    <row r="2889" spans="1:11" ht="14.4" x14ac:dyDescent="0.3">
      <c r="A2889" s="20"/>
      <c r="B2889" s="20"/>
      <c r="C2889" s="20"/>
      <c r="D2889" s="20"/>
      <c r="E2889" s="20"/>
      <c r="F2889" s="20"/>
      <c r="G2889" s="20"/>
      <c r="H2889" s="20"/>
      <c r="I2889" s="20"/>
      <c r="J2889" s="20"/>
      <c r="K2889" s="20"/>
    </row>
    <row r="2890" spans="1:11" ht="14.4" x14ac:dyDescent="0.3">
      <c r="A2890" s="20"/>
      <c r="B2890" s="20"/>
      <c r="C2890" s="20"/>
      <c r="D2890" s="20"/>
      <c r="E2890" s="20"/>
      <c r="F2890" s="20"/>
      <c r="G2890" s="20"/>
      <c r="H2890" s="20"/>
      <c r="I2890" s="20"/>
      <c r="J2890" s="20"/>
      <c r="K2890" s="20"/>
    </row>
    <row r="2891" spans="1:11" ht="14.4" x14ac:dyDescent="0.3">
      <c r="A2891" s="20"/>
      <c r="B2891" s="20"/>
      <c r="C2891" s="20"/>
      <c r="D2891" s="20"/>
      <c r="E2891" s="20"/>
      <c r="F2891" s="20"/>
      <c r="G2891" s="20"/>
      <c r="H2891" s="20"/>
      <c r="I2891" s="20"/>
      <c r="J2891" s="20"/>
      <c r="K2891" s="20"/>
    </row>
    <row r="2892" spans="1:11" ht="14.4" x14ac:dyDescent="0.3">
      <c r="A2892" s="20"/>
      <c r="B2892" s="20"/>
      <c r="C2892" s="20"/>
      <c r="D2892" s="20"/>
      <c r="E2892" s="20"/>
      <c r="F2892" s="20"/>
      <c r="G2892" s="20"/>
      <c r="H2892" s="20"/>
      <c r="I2892" s="20"/>
      <c r="J2892" s="20"/>
      <c r="K2892" s="20"/>
    </row>
    <row r="2893" spans="1:11" ht="14.4" x14ac:dyDescent="0.3">
      <c r="A2893" s="20"/>
      <c r="B2893" s="20"/>
      <c r="C2893" s="20"/>
      <c r="D2893" s="20"/>
      <c r="E2893" s="20"/>
      <c r="F2893" s="20"/>
      <c r="G2893" s="20"/>
      <c r="H2893" s="20"/>
      <c r="I2893" s="20"/>
      <c r="J2893" s="20"/>
      <c r="K2893" s="20"/>
    </row>
    <row r="2894" spans="1:11" ht="14.4" x14ac:dyDescent="0.3">
      <c r="A2894" s="20"/>
      <c r="B2894" s="20"/>
      <c r="C2894" s="20"/>
      <c r="D2894" s="20"/>
      <c r="E2894" s="20"/>
      <c r="F2894" s="20"/>
      <c r="G2894" s="20"/>
      <c r="H2894" s="20"/>
      <c r="I2894" s="20"/>
      <c r="J2894" s="20"/>
      <c r="K2894" s="20"/>
    </row>
    <row r="2895" spans="1:11" ht="14.4" x14ac:dyDescent="0.3">
      <c r="A2895" s="20"/>
      <c r="B2895" s="20"/>
      <c r="C2895" s="20"/>
      <c r="D2895" s="20"/>
      <c r="E2895" s="20"/>
      <c r="F2895" s="20"/>
      <c r="G2895" s="20"/>
      <c r="H2895" s="20"/>
      <c r="I2895" s="20"/>
      <c r="J2895" s="20"/>
      <c r="K2895" s="20"/>
    </row>
    <row r="2896" spans="1:11" ht="14.4" x14ac:dyDescent="0.3">
      <c r="A2896" s="20"/>
      <c r="B2896" s="20"/>
      <c r="C2896" s="20"/>
      <c r="D2896" s="20"/>
      <c r="E2896" s="20"/>
      <c r="F2896" s="20"/>
      <c r="G2896" s="20"/>
      <c r="H2896" s="20"/>
      <c r="I2896" s="20"/>
      <c r="J2896" s="20"/>
      <c r="K2896" s="20"/>
    </row>
    <row r="2897" spans="1:11" ht="14.4" x14ac:dyDescent="0.3">
      <c r="A2897" s="20"/>
      <c r="B2897" s="20"/>
      <c r="C2897" s="20"/>
      <c r="D2897" s="20"/>
      <c r="E2897" s="20"/>
      <c r="F2897" s="20"/>
      <c r="G2897" s="20"/>
      <c r="H2897" s="20"/>
      <c r="I2897" s="20"/>
      <c r="J2897" s="20"/>
      <c r="K2897" s="20"/>
    </row>
    <row r="2898" spans="1:11" ht="14.4" x14ac:dyDescent="0.3">
      <c r="A2898" s="20"/>
      <c r="B2898" s="20"/>
      <c r="C2898" s="20"/>
      <c r="D2898" s="20"/>
      <c r="E2898" s="20"/>
      <c r="F2898" s="20"/>
      <c r="G2898" s="20"/>
      <c r="H2898" s="20"/>
      <c r="I2898" s="20"/>
      <c r="J2898" s="20"/>
      <c r="K2898" s="20"/>
    </row>
    <row r="2899" spans="1:11" ht="14.4" x14ac:dyDescent="0.3">
      <c r="A2899" s="20"/>
      <c r="B2899" s="20"/>
      <c r="C2899" s="20"/>
      <c r="D2899" s="20"/>
      <c r="E2899" s="20"/>
      <c r="F2899" s="20"/>
      <c r="G2899" s="20"/>
      <c r="H2899" s="20"/>
      <c r="I2899" s="20"/>
      <c r="J2899" s="20"/>
      <c r="K2899" s="20"/>
    </row>
    <row r="2900" spans="1:11" ht="14.4" x14ac:dyDescent="0.3">
      <c r="A2900" s="20"/>
      <c r="B2900" s="20"/>
      <c r="C2900" s="20"/>
      <c r="D2900" s="20"/>
      <c r="E2900" s="20"/>
      <c r="F2900" s="20"/>
      <c r="G2900" s="20"/>
      <c r="H2900" s="20"/>
      <c r="I2900" s="20"/>
      <c r="J2900" s="20"/>
      <c r="K2900" s="20"/>
    </row>
    <row r="2901" spans="1:11" ht="14.4" x14ac:dyDescent="0.3">
      <c r="A2901" s="20"/>
      <c r="B2901" s="20"/>
      <c r="C2901" s="20"/>
      <c r="D2901" s="20"/>
      <c r="E2901" s="20"/>
      <c r="F2901" s="20"/>
      <c r="G2901" s="20"/>
      <c r="H2901" s="20"/>
      <c r="I2901" s="20"/>
      <c r="J2901" s="20"/>
      <c r="K2901" s="20"/>
    </row>
    <row r="2902" spans="1:11" ht="14.4" x14ac:dyDescent="0.3">
      <c r="A2902" s="20"/>
      <c r="B2902" s="20"/>
      <c r="C2902" s="20"/>
      <c r="D2902" s="20"/>
      <c r="E2902" s="20"/>
      <c r="F2902" s="20"/>
      <c r="G2902" s="20"/>
      <c r="H2902" s="20"/>
      <c r="I2902" s="20"/>
      <c r="J2902" s="20"/>
      <c r="K2902" s="20"/>
    </row>
    <row r="2903" spans="1:11" ht="14.4" x14ac:dyDescent="0.3">
      <c r="A2903" s="20"/>
      <c r="B2903" s="20"/>
      <c r="C2903" s="20"/>
      <c r="D2903" s="20"/>
      <c r="E2903" s="20"/>
      <c r="F2903" s="20"/>
      <c r="G2903" s="20"/>
      <c r="H2903" s="20"/>
      <c r="I2903" s="20"/>
      <c r="J2903" s="20"/>
      <c r="K2903" s="20"/>
    </row>
    <row r="2904" spans="1:11" ht="14.4" x14ac:dyDescent="0.3">
      <c r="A2904" s="20"/>
      <c r="B2904" s="20"/>
      <c r="C2904" s="20"/>
      <c r="D2904" s="20"/>
      <c r="E2904" s="20"/>
      <c r="F2904" s="20"/>
      <c r="G2904" s="20"/>
      <c r="H2904" s="20"/>
      <c r="I2904" s="20"/>
      <c r="J2904" s="20"/>
      <c r="K2904" s="20"/>
    </row>
    <row r="2905" spans="1:11" ht="14.4" x14ac:dyDescent="0.3">
      <c r="A2905" s="20"/>
      <c r="B2905" s="20"/>
      <c r="C2905" s="20"/>
      <c r="D2905" s="20"/>
      <c r="E2905" s="20"/>
      <c r="F2905" s="20"/>
      <c r="G2905" s="20"/>
      <c r="H2905" s="20"/>
      <c r="I2905" s="20"/>
      <c r="J2905" s="20"/>
      <c r="K2905" s="20"/>
    </row>
    <row r="2906" spans="1:11" ht="14.4" x14ac:dyDescent="0.3">
      <c r="A2906" s="20"/>
      <c r="B2906" s="20"/>
      <c r="C2906" s="20"/>
      <c r="D2906" s="20"/>
      <c r="E2906" s="20"/>
      <c r="F2906" s="20"/>
      <c r="G2906" s="20"/>
      <c r="H2906" s="20"/>
      <c r="I2906" s="20"/>
      <c r="J2906" s="20"/>
      <c r="K2906" s="20"/>
    </row>
    <row r="2907" spans="1:11" ht="14.4" x14ac:dyDescent="0.3">
      <c r="A2907" s="20"/>
      <c r="B2907" s="20"/>
      <c r="C2907" s="20"/>
      <c r="D2907" s="20"/>
      <c r="E2907" s="20"/>
      <c r="F2907" s="20"/>
      <c r="G2907" s="20"/>
      <c r="H2907" s="20"/>
      <c r="I2907" s="20"/>
      <c r="J2907" s="20"/>
      <c r="K2907" s="20"/>
    </row>
    <row r="2908" spans="1:11" ht="14.4" x14ac:dyDescent="0.3">
      <c r="A2908" s="20"/>
      <c r="B2908" s="20"/>
      <c r="C2908" s="20"/>
      <c r="D2908" s="20"/>
      <c r="E2908" s="20"/>
      <c r="F2908" s="20"/>
      <c r="G2908" s="20"/>
      <c r="H2908" s="20"/>
      <c r="I2908" s="20"/>
      <c r="J2908" s="20"/>
      <c r="K2908" s="20"/>
    </row>
    <row r="2909" spans="1:11" ht="14.4" x14ac:dyDescent="0.3">
      <c r="A2909" s="20"/>
      <c r="B2909" s="20"/>
      <c r="C2909" s="20"/>
      <c r="D2909" s="20"/>
      <c r="E2909" s="20"/>
      <c r="F2909" s="20"/>
      <c r="G2909" s="20"/>
      <c r="H2909" s="20"/>
      <c r="I2909" s="20"/>
      <c r="J2909" s="20"/>
      <c r="K2909" s="20"/>
    </row>
    <row r="2910" spans="1:11" ht="14.4" x14ac:dyDescent="0.3">
      <c r="A2910" s="20"/>
      <c r="B2910" s="20"/>
      <c r="C2910" s="20"/>
      <c r="D2910" s="20"/>
      <c r="E2910" s="20"/>
      <c r="F2910" s="20"/>
      <c r="G2910" s="20"/>
      <c r="H2910" s="20"/>
      <c r="I2910" s="20"/>
      <c r="J2910" s="20"/>
      <c r="K2910" s="20"/>
    </row>
    <row r="2911" spans="1:11" ht="14.4" x14ac:dyDescent="0.3">
      <c r="A2911" s="20"/>
      <c r="B2911" s="20"/>
      <c r="C2911" s="20"/>
      <c r="D2911" s="20"/>
      <c r="E2911" s="20"/>
      <c r="F2911" s="20"/>
      <c r="G2911" s="20"/>
      <c r="H2911" s="20"/>
      <c r="I2911" s="20"/>
      <c r="J2911" s="20"/>
      <c r="K2911" s="20"/>
    </row>
    <row r="2912" spans="1:11" ht="14.4" x14ac:dyDescent="0.3">
      <c r="A2912" s="20"/>
      <c r="B2912" s="20"/>
      <c r="C2912" s="20"/>
      <c r="D2912" s="20"/>
      <c r="E2912" s="20"/>
      <c r="F2912" s="20"/>
      <c r="G2912" s="20"/>
      <c r="H2912" s="20"/>
      <c r="I2912" s="20"/>
      <c r="J2912" s="20"/>
      <c r="K2912" s="20"/>
    </row>
    <row r="2913" spans="1:11" ht="14.4" x14ac:dyDescent="0.3">
      <c r="A2913" s="20"/>
      <c r="B2913" s="20"/>
      <c r="C2913" s="20"/>
      <c r="D2913" s="20"/>
      <c r="E2913" s="20"/>
      <c r="F2913" s="20"/>
      <c r="G2913" s="20"/>
      <c r="H2913" s="20"/>
      <c r="I2913" s="20"/>
      <c r="J2913" s="20"/>
      <c r="K2913" s="20"/>
    </row>
    <row r="2914" spans="1:11" ht="14.4" x14ac:dyDescent="0.3">
      <c r="A2914" s="20"/>
      <c r="B2914" s="20"/>
      <c r="C2914" s="20"/>
      <c r="D2914" s="20"/>
      <c r="E2914" s="20"/>
      <c r="F2914" s="20"/>
      <c r="G2914" s="20"/>
      <c r="H2914" s="20"/>
      <c r="I2914" s="20"/>
      <c r="J2914" s="20"/>
      <c r="K2914" s="20"/>
    </row>
    <row r="2915" spans="1:11" ht="14.4" x14ac:dyDescent="0.3">
      <c r="A2915" s="20"/>
      <c r="B2915" s="20"/>
      <c r="C2915" s="20"/>
      <c r="D2915" s="20"/>
      <c r="E2915" s="20"/>
      <c r="F2915" s="20"/>
      <c r="G2915" s="20"/>
      <c r="H2915" s="20"/>
      <c r="I2915" s="20"/>
      <c r="J2915" s="20"/>
      <c r="K2915" s="20"/>
    </row>
    <row r="2916" spans="1:11" ht="14.4" x14ac:dyDescent="0.3">
      <c r="A2916" s="20"/>
      <c r="B2916" s="20"/>
      <c r="C2916" s="20"/>
      <c r="D2916" s="20"/>
      <c r="E2916" s="20"/>
      <c r="F2916" s="20"/>
      <c r="G2916" s="20"/>
      <c r="H2916" s="20"/>
      <c r="I2916" s="20"/>
      <c r="J2916" s="20"/>
      <c r="K2916" s="20"/>
    </row>
    <row r="2917" spans="1:11" ht="14.4" x14ac:dyDescent="0.3">
      <c r="A2917" s="20"/>
      <c r="B2917" s="20"/>
      <c r="C2917" s="20"/>
      <c r="D2917" s="20"/>
      <c r="E2917" s="20"/>
      <c r="F2917" s="20"/>
      <c r="G2917" s="20"/>
      <c r="H2917" s="20"/>
      <c r="I2917" s="20"/>
      <c r="J2917" s="20"/>
      <c r="K2917" s="20"/>
    </row>
    <row r="2918" spans="1:11" ht="14.4" x14ac:dyDescent="0.3">
      <c r="A2918" s="20"/>
      <c r="B2918" s="20"/>
      <c r="C2918" s="20"/>
      <c r="D2918" s="20"/>
      <c r="E2918" s="20"/>
      <c r="F2918" s="20"/>
      <c r="G2918" s="20"/>
      <c r="H2918" s="20"/>
      <c r="I2918" s="20"/>
      <c r="J2918" s="20"/>
      <c r="K2918" s="20"/>
    </row>
    <row r="2919" spans="1:11" ht="14.4" x14ac:dyDescent="0.3">
      <c r="A2919" s="20"/>
      <c r="B2919" s="20"/>
      <c r="C2919" s="20"/>
      <c r="D2919" s="20"/>
      <c r="E2919" s="20"/>
      <c r="F2919" s="20"/>
      <c r="G2919" s="20"/>
      <c r="H2919" s="20"/>
      <c r="I2919" s="20"/>
      <c r="J2919" s="20"/>
      <c r="K2919" s="20"/>
    </row>
    <row r="2920" spans="1:11" ht="14.4" x14ac:dyDescent="0.3">
      <c r="A2920" s="20"/>
      <c r="B2920" s="20"/>
      <c r="C2920" s="20"/>
      <c r="D2920" s="20"/>
      <c r="E2920" s="20"/>
      <c r="F2920" s="20"/>
      <c r="G2920" s="20"/>
      <c r="H2920" s="20"/>
      <c r="I2920" s="20"/>
      <c r="J2920" s="20"/>
      <c r="K2920" s="20"/>
    </row>
    <row r="2921" spans="1:11" ht="14.4" x14ac:dyDescent="0.3">
      <c r="A2921" s="20"/>
      <c r="B2921" s="20"/>
      <c r="C2921" s="20"/>
      <c r="D2921" s="20"/>
      <c r="E2921" s="20"/>
      <c r="F2921" s="20"/>
      <c r="G2921" s="20"/>
      <c r="H2921" s="20"/>
      <c r="I2921" s="20"/>
      <c r="J2921" s="20"/>
      <c r="K2921" s="20"/>
    </row>
    <row r="2922" spans="1:11" ht="14.4" x14ac:dyDescent="0.3">
      <c r="A2922" s="20"/>
      <c r="B2922" s="20"/>
      <c r="C2922" s="20"/>
      <c r="D2922" s="20"/>
      <c r="E2922" s="20"/>
      <c r="F2922" s="20"/>
      <c r="G2922" s="20"/>
      <c r="H2922" s="20"/>
      <c r="I2922" s="20"/>
      <c r="J2922" s="20"/>
      <c r="K2922" s="20"/>
    </row>
    <row r="2923" spans="1:11" ht="14.4" x14ac:dyDescent="0.3">
      <c r="A2923" s="20"/>
      <c r="B2923" s="20"/>
      <c r="C2923" s="20"/>
      <c r="D2923" s="20"/>
      <c r="E2923" s="20"/>
      <c r="F2923" s="20"/>
      <c r="G2923" s="20"/>
      <c r="H2923" s="20"/>
      <c r="I2923" s="20"/>
      <c r="J2923" s="20"/>
      <c r="K2923" s="20"/>
    </row>
    <row r="2924" spans="1:11" ht="14.4" x14ac:dyDescent="0.3">
      <c r="A2924" s="20"/>
      <c r="B2924" s="20"/>
      <c r="C2924" s="20"/>
      <c r="D2924" s="20"/>
      <c r="E2924" s="20"/>
      <c r="F2924" s="20"/>
      <c r="G2924" s="20"/>
      <c r="H2924" s="20"/>
      <c r="I2924" s="20"/>
      <c r="J2924" s="20"/>
      <c r="K2924" s="20"/>
    </row>
    <row r="2925" spans="1:11" ht="14.4" x14ac:dyDescent="0.3">
      <c r="A2925" s="20"/>
      <c r="B2925" s="20"/>
      <c r="C2925" s="20"/>
      <c r="D2925" s="20"/>
      <c r="E2925" s="20"/>
      <c r="F2925" s="20"/>
      <c r="G2925" s="20"/>
      <c r="H2925" s="20"/>
      <c r="I2925" s="20"/>
      <c r="J2925" s="20"/>
      <c r="K2925" s="20"/>
    </row>
    <row r="2926" spans="1:11" ht="14.4" x14ac:dyDescent="0.3">
      <c r="A2926" s="20"/>
      <c r="B2926" s="20"/>
      <c r="C2926" s="20"/>
      <c r="D2926" s="20"/>
      <c r="E2926" s="20"/>
      <c r="F2926" s="20"/>
      <c r="G2926" s="20"/>
      <c r="H2926" s="20"/>
      <c r="I2926" s="20"/>
      <c r="J2926" s="20"/>
      <c r="K2926" s="20"/>
    </row>
    <row r="2927" spans="1:11" ht="14.4" x14ac:dyDescent="0.3">
      <c r="A2927" s="20"/>
      <c r="B2927" s="20"/>
      <c r="C2927" s="20"/>
      <c r="D2927" s="20"/>
      <c r="E2927" s="20"/>
      <c r="F2927" s="20"/>
      <c r="G2927" s="20"/>
      <c r="H2927" s="20"/>
      <c r="I2927" s="20"/>
      <c r="J2927" s="20"/>
      <c r="K2927" s="20"/>
    </row>
    <row r="2928" spans="1:11" ht="14.4" x14ac:dyDescent="0.3">
      <c r="A2928" s="20"/>
      <c r="B2928" s="20"/>
      <c r="C2928" s="20"/>
      <c r="D2928" s="20"/>
      <c r="E2928" s="20"/>
      <c r="F2928" s="20"/>
      <c r="G2928" s="20"/>
      <c r="H2928" s="20"/>
      <c r="I2928" s="20"/>
      <c r="J2928" s="20"/>
      <c r="K2928" s="20"/>
    </row>
    <row r="2929" spans="1:11" ht="14.4" x14ac:dyDescent="0.3">
      <c r="A2929" s="20"/>
      <c r="B2929" s="20"/>
      <c r="C2929" s="20"/>
      <c r="D2929" s="20"/>
      <c r="E2929" s="20"/>
      <c r="F2929" s="20"/>
      <c r="G2929" s="20"/>
      <c r="H2929" s="20"/>
      <c r="I2929" s="20"/>
      <c r="J2929" s="20"/>
      <c r="K2929" s="20"/>
    </row>
    <row r="2930" spans="1:11" ht="14.4" x14ac:dyDescent="0.3">
      <c r="A2930" s="20"/>
      <c r="B2930" s="20"/>
      <c r="C2930" s="20"/>
      <c r="D2930" s="20"/>
      <c r="E2930" s="20"/>
      <c r="F2930" s="20"/>
      <c r="G2930" s="20"/>
      <c r="H2930" s="20"/>
      <c r="I2930" s="20"/>
      <c r="J2930" s="20"/>
      <c r="K2930" s="20"/>
    </row>
    <row r="2931" spans="1:11" ht="14.4" x14ac:dyDescent="0.3">
      <c r="A2931" s="20"/>
      <c r="B2931" s="20"/>
      <c r="C2931" s="20"/>
      <c r="D2931" s="20"/>
      <c r="E2931" s="20"/>
      <c r="F2931" s="20"/>
      <c r="G2931" s="20"/>
      <c r="H2931" s="20"/>
      <c r="I2931" s="20"/>
      <c r="J2931" s="20"/>
      <c r="K2931" s="20"/>
    </row>
    <row r="2932" spans="1:11" ht="14.4" x14ac:dyDescent="0.3">
      <c r="A2932" s="20"/>
      <c r="B2932" s="20"/>
      <c r="C2932" s="20"/>
      <c r="D2932" s="20"/>
      <c r="E2932" s="20"/>
      <c r="F2932" s="20"/>
      <c r="G2932" s="20"/>
      <c r="H2932" s="20"/>
      <c r="I2932" s="20"/>
      <c r="J2932" s="20"/>
      <c r="K2932" s="20"/>
    </row>
    <row r="2933" spans="1:11" ht="14.4" x14ac:dyDescent="0.3">
      <c r="A2933" s="20"/>
      <c r="B2933" s="20"/>
      <c r="C2933" s="20"/>
      <c r="D2933" s="20"/>
      <c r="E2933" s="20"/>
      <c r="F2933" s="20"/>
      <c r="G2933" s="20"/>
      <c r="H2933" s="20"/>
      <c r="I2933" s="20"/>
      <c r="J2933" s="20"/>
      <c r="K2933" s="20"/>
    </row>
    <row r="2934" spans="1:11" ht="14.4" x14ac:dyDescent="0.3">
      <c r="A2934" s="20"/>
      <c r="B2934" s="20"/>
      <c r="C2934" s="20"/>
      <c r="D2934" s="20"/>
      <c r="E2934" s="20"/>
      <c r="F2934" s="20"/>
      <c r="G2934" s="20"/>
      <c r="H2934" s="20"/>
      <c r="I2934" s="20"/>
      <c r="J2934" s="20"/>
      <c r="K2934" s="20"/>
    </row>
    <row r="2935" spans="1:11" ht="14.4" x14ac:dyDescent="0.3">
      <c r="A2935" s="20"/>
      <c r="B2935" s="20"/>
      <c r="C2935" s="20"/>
      <c r="D2935" s="20"/>
      <c r="E2935" s="20"/>
      <c r="F2935" s="20"/>
      <c r="G2935" s="20"/>
      <c r="H2935" s="20"/>
      <c r="I2935" s="20"/>
      <c r="J2935" s="20"/>
      <c r="K2935" s="20"/>
    </row>
    <row r="2936" spans="1:11" ht="14.4" x14ac:dyDescent="0.3">
      <c r="A2936" s="20"/>
      <c r="B2936" s="20"/>
      <c r="C2936" s="20"/>
      <c r="D2936" s="20"/>
      <c r="E2936" s="20"/>
      <c r="F2936" s="20"/>
      <c r="G2936" s="20"/>
      <c r="H2936" s="20"/>
      <c r="I2936" s="20"/>
      <c r="J2936" s="20"/>
      <c r="K2936" s="20"/>
    </row>
    <row r="2937" spans="1:11" ht="14.4" x14ac:dyDescent="0.3">
      <c r="A2937" s="20"/>
      <c r="B2937" s="20"/>
      <c r="C2937" s="20"/>
      <c r="D2937" s="20"/>
      <c r="E2937" s="20"/>
      <c r="F2937" s="20"/>
      <c r="G2937" s="20"/>
      <c r="H2937" s="20"/>
      <c r="I2937" s="20"/>
      <c r="J2937" s="20"/>
      <c r="K2937" s="20"/>
    </row>
    <row r="2938" spans="1:11" ht="14.4" x14ac:dyDescent="0.3">
      <c r="A2938" s="20"/>
      <c r="B2938" s="20"/>
      <c r="C2938" s="20"/>
      <c r="D2938" s="20"/>
      <c r="E2938" s="20"/>
      <c r="F2938" s="20"/>
      <c r="G2938" s="20"/>
      <c r="H2938" s="20"/>
      <c r="I2938" s="20"/>
      <c r="J2938" s="20"/>
      <c r="K2938" s="20"/>
    </row>
    <row r="2939" spans="1:11" ht="14.4" x14ac:dyDescent="0.3">
      <c r="A2939" s="20"/>
      <c r="B2939" s="20"/>
      <c r="C2939" s="20"/>
      <c r="D2939" s="20"/>
      <c r="E2939" s="20"/>
      <c r="F2939" s="20"/>
      <c r="G2939" s="20"/>
      <c r="H2939" s="20"/>
      <c r="I2939" s="20"/>
      <c r="J2939" s="20"/>
      <c r="K2939" s="20"/>
    </row>
    <row r="2940" spans="1:11" ht="14.4" x14ac:dyDescent="0.3">
      <c r="A2940" s="20"/>
      <c r="B2940" s="20"/>
      <c r="C2940" s="20"/>
      <c r="D2940" s="20"/>
      <c r="E2940" s="20"/>
      <c r="F2940" s="20"/>
      <c r="G2940" s="20"/>
      <c r="H2940" s="20"/>
      <c r="I2940" s="20"/>
      <c r="J2940" s="20"/>
      <c r="K2940" s="20"/>
    </row>
    <row r="2941" spans="1:11" ht="14.4" x14ac:dyDescent="0.3">
      <c r="A2941" s="20"/>
      <c r="B2941" s="20"/>
      <c r="C2941" s="20"/>
      <c r="D2941" s="20"/>
      <c r="E2941" s="20"/>
      <c r="F2941" s="20"/>
      <c r="G2941" s="20"/>
      <c r="H2941" s="20"/>
      <c r="I2941" s="20"/>
      <c r="J2941" s="20"/>
      <c r="K2941" s="20"/>
    </row>
    <row r="2942" spans="1:11" ht="14.4" x14ac:dyDescent="0.3">
      <c r="A2942" s="20"/>
      <c r="B2942" s="20"/>
      <c r="C2942" s="20"/>
      <c r="D2942" s="20"/>
      <c r="E2942" s="20"/>
      <c r="F2942" s="20"/>
      <c r="G2942" s="20"/>
      <c r="H2942" s="20"/>
      <c r="I2942" s="20"/>
      <c r="J2942" s="20"/>
      <c r="K2942" s="20"/>
    </row>
    <row r="2943" spans="1:11" ht="14.4" x14ac:dyDescent="0.3">
      <c r="A2943" s="20"/>
      <c r="B2943" s="20"/>
      <c r="C2943" s="20"/>
      <c r="D2943" s="20"/>
      <c r="E2943" s="20"/>
      <c r="F2943" s="20"/>
      <c r="G2943" s="20"/>
      <c r="H2943" s="20"/>
      <c r="I2943" s="20"/>
      <c r="J2943" s="20"/>
      <c r="K2943" s="20"/>
    </row>
    <row r="2944" spans="1:11" ht="14.4" x14ac:dyDescent="0.3">
      <c r="A2944" s="20"/>
      <c r="B2944" s="20"/>
      <c r="C2944" s="20"/>
      <c r="D2944" s="20"/>
      <c r="E2944" s="20"/>
      <c r="F2944" s="20"/>
      <c r="G2944" s="20"/>
      <c r="H2944" s="20"/>
      <c r="I2944" s="20"/>
      <c r="J2944" s="20"/>
      <c r="K2944" s="20"/>
    </row>
    <row r="2945" spans="1:11" ht="14.4" x14ac:dyDescent="0.3">
      <c r="A2945" s="20"/>
      <c r="B2945" s="20"/>
      <c r="C2945" s="20"/>
      <c r="D2945" s="20"/>
      <c r="E2945" s="20"/>
      <c r="F2945" s="20"/>
      <c r="G2945" s="20"/>
      <c r="H2945" s="20"/>
      <c r="I2945" s="20"/>
      <c r="J2945" s="20"/>
      <c r="K2945" s="20"/>
    </row>
    <row r="2946" spans="1:11" ht="14.4" x14ac:dyDescent="0.3">
      <c r="A2946" s="20"/>
      <c r="B2946" s="20"/>
      <c r="C2946" s="20"/>
      <c r="D2946" s="20"/>
      <c r="E2946" s="20"/>
      <c r="F2946" s="20"/>
      <c r="G2946" s="20"/>
      <c r="H2946" s="20"/>
      <c r="I2946" s="20"/>
      <c r="J2946" s="20"/>
      <c r="K2946" s="20"/>
    </row>
    <row r="2947" spans="1:11" ht="14.4" x14ac:dyDescent="0.3">
      <c r="A2947" s="20"/>
      <c r="B2947" s="20"/>
      <c r="C2947" s="20"/>
      <c r="D2947" s="20"/>
      <c r="E2947" s="20"/>
      <c r="F2947" s="20"/>
      <c r="G2947" s="20"/>
      <c r="H2947" s="20"/>
      <c r="I2947" s="20"/>
      <c r="J2947" s="20"/>
      <c r="K2947" s="20"/>
    </row>
    <row r="2948" spans="1:11" ht="14.4" x14ac:dyDescent="0.3">
      <c r="A2948" s="20"/>
      <c r="B2948" s="20"/>
      <c r="C2948" s="20"/>
      <c r="D2948" s="20"/>
      <c r="E2948" s="20"/>
      <c r="F2948" s="20"/>
      <c r="G2948" s="20"/>
      <c r="H2948" s="20"/>
      <c r="I2948" s="20"/>
      <c r="J2948" s="20"/>
      <c r="K2948" s="20"/>
    </row>
    <row r="2949" spans="1:11" ht="14.4" x14ac:dyDescent="0.3">
      <c r="A2949" s="20"/>
      <c r="B2949" s="20"/>
      <c r="C2949" s="20"/>
      <c r="D2949" s="20"/>
      <c r="E2949" s="20"/>
      <c r="F2949" s="20"/>
      <c r="G2949" s="20"/>
      <c r="H2949" s="20"/>
      <c r="I2949" s="20"/>
      <c r="J2949" s="20"/>
      <c r="K2949" s="20"/>
    </row>
    <row r="2950" spans="1:11" ht="14.4" x14ac:dyDescent="0.3">
      <c r="A2950" s="20"/>
      <c r="B2950" s="20"/>
      <c r="C2950" s="20"/>
      <c r="D2950" s="20"/>
      <c r="E2950" s="20"/>
      <c r="F2950" s="20"/>
      <c r="G2950" s="20"/>
      <c r="H2950" s="20"/>
      <c r="I2950" s="20"/>
      <c r="J2950" s="20"/>
      <c r="K2950" s="20"/>
    </row>
    <row r="2951" spans="1:11" ht="14.4" x14ac:dyDescent="0.3">
      <c r="A2951" s="20"/>
      <c r="B2951" s="20"/>
      <c r="C2951" s="20"/>
      <c r="D2951" s="20"/>
      <c r="E2951" s="20"/>
      <c r="F2951" s="20"/>
      <c r="G2951" s="20"/>
      <c r="H2951" s="20"/>
      <c r="I2951" s="20"/>
      <c r="J2951" s="20"/>
      <c r="K2951" s="20"/>
    </row>
    <row r="2952" spans="1:11" ht="14.4" x14ac:dyDescent="0.3">
      <c r="A2952" s="20"/>
      <c r="B2952" s="20"/>
      <c r="C2952" s="20"/>
      <c r="D2952" s="20"/>
      <c r="E2952" s="20"/>
      <c r="F2952" s="20"/>
      <c r="G2952" s="20"/>
      <c r="H2952" s="20"/>
      <c r="I2952" s="20"/>
      <c r="J2952" s="20"/>
      <c r="K2952" s="20"/>
    </row>
    <row r="2953" spans="1:11" ht="14.4" x14ac:dyDescent="0.3">
      <c r="A2953" s="20"/>
      <c r="B2953" s="20"/>
      <c r="C2953" s="20"/>
      <c r="D2953" s="20"/>
      <c r="E2953" s="20"/>
      <c r="F2953" s="20"/>
      <c r="G2953" s="20"/>
      <c r="H2953" s="20"/>
      <c r="I2953" s="20"/>
      <c r="J2953" s="20"/>
      <c r="K2953" s="20"/>
    </row>
    <row r="2954" spans="1:11" ht="14.4" x14ac:dyDescent="0.3">
      <c r="A2954" s="20"/>
      <c r="B2954" s="20"/>
      <c r="C2954" s="20"/>
      <c r="D2954" s="20"/>
      <c r="E2954" s="20"/>
      <c r="F2954" s="20"/>
      <c r="G2954" s="20"/>
      <c r="H2954" s="20"/>
      <c r="I2954" s="20"/>
      <c r="J2954" s="20"/>
      <c r="K2954" s="20"/>
    </row>
    <row r="2955" spans="1:11" ht="14.4" x14ac:dyDescent="0.3">
      <c r="A2955" s="20"/>
      <c r="B2955" s="20"/>
      <c r="C2955" s="20"/>
      <c r="D2955" s="20"/>
      <c r="E2955" s="20"/>
      <c r="F2955" s="20"/>
      <c r="G2955" s="20"/>
      <c r="H2955" s="20"/>
      <c r="I2955" s="20"/>
      <c r="J2955" s="20"/>
      <c r="K2955" s="20"/>
    </row>
    <row r="2956" spans="1:11" ht="14.4" x14ac:dyDescent="0.3">
      <c r="A2956" s="20"/>
      <c r="B2956" s="20"/>
      <c r="C2956" s="20"/>
      <c r="D2956" s="20"/>
      <c r="E2956" s="20"/>
      <c r="F2956" s="20"/>
      <c r="G2956" s="20"/>
      <c r="H2956" s="20"/>
      <c r="I2956" s="20"/>
      <c r="J2956" s="20"/>
      <c r="K2956" s="20"/>
    </row>
    <row r="2957" spans="1:11" ht="14.4" x14ac:dyDescent="0.3">
      <c r="A2957" s="20"/>
      <c r="B2957" s="20"/>
      <c r="C2957" s="20"/>
      <c r="D2957" s="20"/>
      <c r="E2957" s="20"/>
      <c r="F2957" s="20"/>
      <c r="G2957" s="20"/>
      <c r="H2957" s="20"/>
      <c r="I2957" s="20"/>
      <c r="J2957" s="20"/>
      <c r="K2957" s="20"/>
    </row>
    <row r="2958" spans="1:11" ht="14.4" x14ac:dyDescent="0.3">
      <c r="A2958" s="20"/>
      <c r="B2958" s="20"/>
      <c r="C2958" s="20"/>
      <c r="D2958" s="20"/>
      <c r="E2958" s="20"/>
      <c r="F2958" s="20"/>
      <c r="G2958" s="20"/>
      <c r="H2958" s="20"/>
      <c r="I2958" s="20"/>
      <c r="J2958" s="20"/>
      <c r="K2958" s="20"/>
    </row>
    <row r="2959" spans="1:11" ht="14.4" x14ac:dyDescent="0.3">
      <c r="A2959" s="20"/>
      <c r="B2959" s="20"/>
      <c r="C2959" s="20"/>
      <c r="D2959" s="20"/>
      <c r="E2959" s="20"/>
      <c r="F2959" s="20"/>
      <c r="G2959" s="20"/>
      <c r="H2959" s="20"/>
      <c r="I2959" s="20"/>
      <c r="J2959" s="20"/>
      <c r="K2959" s="20"/>
    </row>
    <row r="2960" spans="1:11" ht="14.4" x14ac:dyDescent="0.3">
      <c r="A2960" s="20"/>
      <c r="B2960" s="20"/>
      <c r="C2960" s="20"/>
      <c r="D2960" s="20"/>
      <c r="E2960" s="20"/>
      <c r="F2960" s="20"/>
      <c r="G2960" s="20"/>
      <c r="H2960" s="20"/>
      <c r="I2960" s="20"/>
      <c r="J2960" s="20"/>
      <c r="K2960" s="20"/>
    </row>
    <row r="2961" spans="1:11" ht="14.4" x14ac:dyDescent="0.3">
      <c r="A2961" s="20"/>
      <c r="B2961" s="20"/>
      <c r="C2961" s="20"/>
      <c r="D2961" s="20"/>
      <c r="E2961" s="20"/>
      <c r="F2961" s="20"/>
      <c r="G2961" s="20"/>
      <c r="H2961" s="20"/>
      <c r="I2961" s="20"/>
      <c r="J2961" s="20"/>
      <c r="K2961" s="20"/>
    </row>
    <row r="2962" spans="1:11" ht="14.4" x14ac:dyDescent="0.3">
      <c r="A2962" s="20"/>
      <c r="B2962" s="20"/>
      <c r="C2962" s="20"/>
      <c r="D2962" s="20"/>
      <c r="E2962" s="20"/>
      <c r="F2962" s="20"/>
      <c r="G2962" s="20"/>
      <c r="H2962" s="20"/>
      <c r="I2962" s="20"/>
      <c r="J2962" s="20"/>
      <c r="K2962" s="20"/>
    </row>
    <row r="2963" spans="1:11" ht="14.4" x14ac:dyDescent="0.3">
      <c r="A2963" s="20"/>
      <c r="B2963" s="20"/>
      <c r="C2963" s="20"/>
      <c r="D2963" s="20"/>
      <c r="E2963" s="20"/>
      <c r="F2963" s="20"/>
      <c r="G2963" s="20"/>
      <c r="H2963" s="20"/>
      <c r="I2963" s="20"/>
      <c r="J2963" s="20"/>
      <c r="K2963" s="20"/>
    </row>
    <row r="2964" spans="1:11" ht="14.4" x14ac:dyDescent="0.3">
      <c r="A2964" s="20"/>
      <c r="B2964" s="20"/>
      <c r="C2964" s="20"/>
      <c r="D2964" s="20"/>
      <c r="E2964" s="20"/>
      <c r="F2964" s="20"/>
      <c r="G2964" s="20"/>
      <c r="H2964" s="20"/>
      <c r="I2964" s="20"/>
      <c r="J2964" s="20"/>
      <c r="K2964" s="20"/>
    </row>
    <row r="2965" spans="1:11" ht="14.4" x14ac:dyDescent="0.3">
      <c r="A2965" s="20"/>
      <c r="B2965" s="20"/>
      <c r="C2965" s="20"/>
      <c r="D2965" s="20"/>
      <c r="E2965" s="20"/>
      <c r="F2965" s="20"/>
      <c r="G2965" s="20"/>
      <c r="H2965" s="20"/>
      <c r="I2965" s="20"/>
      <c r="J2965" s="20"/>
      <c r="K2965" s="20"/>
    </row>
    <row r="2966" spans="1:11" ht="14.4" x14ac:dyDescent="0.3">
      <c r="A2966" s="20"/>
      <c r="B2966" s="20"/>
      <c r="C2966" s="20"/>
      <c r="D2966" s="20"/>
      <c r="E2966" s="20"/>
      <c r="F2966" s="20"/>
      <c r="G2966" s="20"/>
      <c r="H2966" s="20"/>
      <c r="I2966" s="20"/>
      <c r="J2966" s="20"/>
      <c r="K2966" s="20"/>
    </row>
    <row r="2967" spans="1:11" ht="14.4" x14ac:dyDescent="0.3">
      <c r="A2967" s="20"/>
      <c r="B2967" s="20"/>
      <c r="C2967" s="20"/>
      <c r="D2967" s="20"/>
      <c r="E2967" s="20"/>
      <c r="F2967" s="20"/>
      <c r="G2967" s="20"/>
      <c r="H2967" s="20"/>
      <c r="I2967" s="20"/>
      <c r="J2967" s="20"/>
      <c r="K2967" s="20"/>
    </row>
    <row r="2968" spans="1:11" ht="14.4" x14ac:dyDescent="0.3">
      <c r="A2968" s="20"/>
      <c r="B2968" s="20"/>
      <c r="C2968" s="20"/>
      <c r="D2968" s="20"/>
      <c r="E2968" s="20"/>
      <c r="F2968" s="20"/>
      <c r="G2968" s="20"/>
      <c r="H2968" s="20"/>
      <c r="I2968" s="20"/>
      <c r="J2968" s="20"/>
      <c r="K2968" s="20"/>
    </row>
    <row r="2969" spans="1:11" ht="14.4" x14ac:dyDescent="0.3">
      <c r="A2969" s="20"/>
      <c r="B2969" s="20"/>
      <c r="C2969" s="20"/>
      <c r="D2969" s="20"/>
      <c r="E2969" s="20"/>
      <c r="F2969" s="20"/>
      <c r="G2969" s="20"/>
      <c r="H2969" s="20"/>
      <c r="I2969" s="20"/>
      <c r="J2969" s="20"/>
      <c r="K2969" s="20"/>
    </row>
    <row r="2970" spans="1:11" ht="14.4" x14ac:dyDescent="0.3">
      <c r="A2970" s="20"/>
      <c r="B2970" s="20"/>
      <c r="C2970" s="20"/>
      <c r="D2970" s="20"/>
      <c r="E2970" s="20"/>
      <c r="F2970" s="20"/>
      <c r="G2970" s="20"/>
      <c r="H2970" s="20"/>
      <c r="I2970" s="20"/>
      <c r="J2970" s="20"/>
      <c r="K2970" s="20"/>
    </row>
    <row r="2971" spans="1:11" ht="14.4" x14ac:dyDescent="0.3">
      <c r="A2971" s="20"/>
      <c r="B2971" s="20"/>
      <c r="C2971" s="20"/>
      <c r="D2971" s="20"/>
      <c r="E2971" s="20"/>
      <c r="F2971" s="20"/>
      <c r="G2971" s="20"/>
      <c r="H2971" s="20"/>
      <c r="I2971" s="20"/>
      <c r="J2971" s="20"/>
      <c r="K2971" s="20"/>
    </row>
    <row r="2972" spans="1:11" ht="14.4" x14ac:dyDescent="0.3">
      <c r="A2972" s="20"/>
      <c r="B2972" s="20"/>
      <c r="C2972" s="20"/>
      <c r="D2972" s="20"/>
      <c r="E2972" s="20"/>
      <c r="F2972" s="20"/>
      <c r="G2972" s="20"/>
      <c r="H2972" s="20"/>
      <c r="I2972" s="20"/>
      <c r="J2972" s="20"/>
      <c r="K2972" s="20"/>
    </row>
    <row r="2973" spans="1:11" ht="14.4" x14ac:dyDescent="0.3">
      <c r="A2973" s="20"/>
      <c r="B2973" s="20"/>
      <c r="C2973" s="20"/>
      <c r="D2973" s="20"/>
      <c r="E2973" s="20"/>
      <c r="F2973" s="20"/>
      <c r="G2973" s="20"/>
      <c r="H2973" s="20"/>
      <c r="I2973" s="20"/>
      <c r="J2973" s="20"/>
      <c r="K2973" s="20"/>
    </row>
    <row r="2974" spans="1:11" ht="14.4" x14ac:dyDescent="0.3">
      <c r="A2974" s="20"/>
      <c r="B2974" s="20"/>
      <c r="C2974" s="20"/>
      <c r="D2974" s="20"/>
      <c r="E2974" s="20"/>
      <c r="F2974" s="20"/>
      <c r="G2974" s="20"/>
      <c r="H2974" s="20"/>
      <c r="I2974" s="20"/>
      <c r="J2974" s="20"/>
      <c r="K2974" s="20"/>
    </row>
    <row r="2975" spans="1:11" ht="14.4" x14ac:dyDescent="0.3">
      <c r="A2975" s="20"/>
      <c r="B2975" s="20"/>
      <c r="C2975" s="20"/>
      <c r="D2975" s="20"/>
      <c r="E2975" s="20"/>
      <c r="F2975" s="20"/>
      <c r="G2975" s="20"/>
      <c r="H2975" s="20"/>
      <c r="I2975" s="20"/>
      <c r="J2975" s="20"/>
      <c r="K2975" s="20"/>
    </row>
    <row r="2976" spans="1:11" ht="14.4" x14ac:dyDescent="0.3">
      <c r="A2976" s="20"/>
      <c r="B2976" s="20"/>
      <c r="C2976" s="20"/>
      <c r="D2976" s="20"/>
      <c r="E2976" s="20"/>
      <c r="F2976" s="20"/>
      <c r="G2976" s="20"/>
      <c r="H2976" s="20"/>
      <c r="I2976" s="20"/>
      <c r="J2976" s="20"/>
      <c r="K2976" s="20"/>
    </row>
    <row r="2977" spans="1:11" ht="14.4" x14ac:dyDescent="0.3">
      <c r="A2977" s="20"/>
      <c r="B2977" s="20"/>
      <c r="C2977" s="20"/>
      <c r="D2977" s="20"/>
      <c r="E2977" s="20"/>
      <c r="F2977" s="20"/>
      <c r="G2977" s="20"/>
      <c r="H2977" s="20"/>
      <c r="I2977" s="20"/>
      <c r="J2977" s="20"/>
      <c r="K2977" s="20"/>
    </row>
    <row r="2978" spans="1:11" ht="14.4" x14ac:dyDescent="0.3">
      <c r="A2978" s="20"/>
      <c r="B2978" s="20"/>
      <c r="C2978" s="20"/>
      <c r="D2978" s="20"/>
      <c r="E2978" s="20"/>
      <c r="F2978" s="20"/>
      <c r="G2978" s="20"/>
      <c r="H2978" s="20"/>
      <c r="I2978" s="20"/>
      <c r="J2978" s="20"/>
      <c r="K2978" s="20"/>
    </row>
    <row r="2979" spans="1:11" ht="14.4" x14ac:dyDescent="0.3">
      <c r="A2979" s="20"/>
      <c r="B2979" s="20"/>
      <c r="C2979" s="20"/>
      <c r="D2979" s="20"/>
      <c r="E2979" s="20"/>
      <c r="F2979" s="20"/>
      <c r="G2979" s="20"/>
      <c r="H2979" s="20"/>
      <c r="I2979" s="20"/>
      <c r="J2979" s="20"/>
      <c r="K2979" s="20"/>
    </row>
    <row r="2980" spans="1:11" ht="14.4" x14ac:dyDescent="0.3">
      <c r="A2980" s="20"/>
      <c r="B2980" s="20"/>
      <c r="C2980" s="20"/>
      <c r="D2980" s="20"/>
      <c r="E2980" s="20"/>
      <c r="F2980" s="20"/>
      <c r="G2980" s="20"/>
      <c r="H2980" s="20"/>
      <c r="I2980" s="20"/>
      <c r="J2980" s="20"/>
      <c r="K2980" s="20"/>
    </row>
    <row r="2981" spans="1:11" ht="14.4" x14ac:dyDescent="0.3">
      <c r="A2981" s="20"/>
      <c r="B2981" s="20"/>
      <c r="C2981" s="20"/>
      <c r="D2981" s="20"/>
      <c r="E2981" s="20"/>
      <c r="F2981" s="20"/>
      <c r="G2981" s="20"/>
      <c r="H2981" s="20"/>
      <c r="I2981" s="20"/>
      <c r="J2981" s="20"/>
      <c r="K2981" s="20"/>
    </row>
    <row r="2982" spans="1:11" ht="14.4" x14ac:dyDescent="0.3">
      <c r="A2982" s="20"/>
      <c r="B2982" s="20"/>
      <c r="C2982" s="20"/>
      <c r="D2982" s="20"/>
      <c r="E2982" s="20"/>
      <c r="F2982" s="20"/>
      <c r="G2982" s="20"/>
      <c r="H2982" s="20"/>
      <c r="I2982" s="20"/>
      <c r="J2982" s="20"/>
      <c r="K2982" s="20"/>
    </row>
    <row r="2983" spans="1:11" ht="14.4" x14ac:dyDescent="0.3">
      <c r="A2983" s="20"/>
      <c r="B2983" s="20"/>
      <c r="C2983" s="20"/>
      <c r="D2983" s="20"/>
      <c r="E2983" s="20"/>
      <c r="F2983" s="20"/>
      <c r="G2983" s="20"/>
      <c r="H2983" s="20"/>
      <c r="I2983" s="20"/>
      <c r="J2983" s="20"/>
      <c r="K2983" s="20"/>
    </row>
    <row r="2984" spans="1:11" ht="14.4" x14ac:dyDescent="0.3">
      <c r="A2984" s="20"/>
      <c r="B2984" s="20"/>
      <c r="C2984" s="20"/>
      <c r="D2984" s="20"/>
      <c r="E2984" s="20"/>
      <c r="F2984" s="20"/>
      <c r="G2984" s="20"/>
      <c r="H2984" s="20"/>
      <c r="I2984" s="20"/>
      <c r="J2984" s="20"/>
      <c r="K2984" s="20"/>
    </row>
    <row r="2985" spans="1:11" ht="14.4" x14ac:dyDescent="0.3">
      <c r="A2985" s="20"/>
      <c r="B2985" s="20"/>
      <c r="C2985" s="20"/>
      <c r="D2985" s="20"/>
      <c r="E2985" s="20"/>
      <c r="F2985" s="20"/>
      <c r="G2985" s="20"/>
      <c r="H2985" s="20"/>
      <c r="I2985" s="20"/>
      <c r="J2985" s="20"/>
      <c r="K2985" s="20"/>
    </row>
    <row r="2986" spans="1:11" ht="14.4" x14ac:dyDescent="0.3">
      <c r="A2986" s="20"/>
      <c r="B2986" s="20"/>
      <c r="C2986" s="20"/>
      <c r="D2986" s="20"/>
      <c r="E2986" s="20"/>
      <c r="F2986" s="20"/>
      <c r="G2986" s="20"/>
      <c r="H2986" s="20"/>
      <c r="I2986" s="20"/>
      <c r="J2986" s="20"/>
      <c r="K2986" s="20"/>
    </row>
    <row r="2987" spans="1:11" ht="14.4" x14ac:dyDescent="0.3">
      <c r="A2987" s="20"/>
      <c r="B2987" s="20"/>
      <c r="C2987" s="20"/>
      <c r="D2987" s="20"/>
      <c r="E2987" s="20"/>
      <c r="F2987" s="20"/>
      <c r="G2987" s="20"/>
      <c r="H2987" s="20"/>
      <c r="I2987" s="20"/>
      <c r="J2987" s="20"/>
      <c r="K2987" s="20"/>
    </row>
    <row r="2988" spans="1:11" ht="14.4" x14ac:dyDescent="0.3">
      <c r="A2988" s="20"/>
      <c r="B2988" s="20"/>
      <c r="C2988" s="20"/>
      <c r="D2988" s="20"/>
      <c r="E2988" s="20"/>
      <c r="F2988" s="20"/>
      <c r="G2988" s="20"/>
      <c r="H2988" s="20"/>
      <c r="I2988" s="20"/>
      <c r="J2988" s="20"/>
      <c r="K2988" s="20"/>
    </row>
    <row r="2989" spans="1:11" ht="14.4" x14ac:dyDescent="0.3">
      <c r="A2989" s="20"/>
      <c r="B2989" s="20"/>
      <c r="C2989" s="20"/>
      <c r="D2989" s="20"/>
      <c r="E2989" s="20"/>
      <c r="F2989" s="20"/>
      <c r="G2989" s="20"/>
      <c r="H2989" s="20"/>
      <c r="I2989" s="20"/>
      <c r="J2989" s="20"/>
      <c r="K2989" s="20"/>
    </row>
    <row r="2990" spans="1:11" ht="14.4" x14ac:dyDescent="0.3">
      <c r="A2990" s="20"/>
      <c r="B2990" s="20"/>
      <c r="C2990" s="20"/>
      <c r="D2990" s="20"/>
      <c r="E2990" s="20"/>
      <c r="F2990" s="20"/>
      <c r="G2990" s="20"/>
      <c r="H2990" s="20"/>
      <c r="I2990" s="20"/>
      <c r="J2990" s="20"/>
      <c r="K2990" s="20"/>
    </row>
    <row r="2991" spans="1:11" ht="14.4" x14ac:dyDescent="0.3">
      <c r="A2991" s="20"/>
      <c r="B2991" s="20"/>
      <c r="C2991" s="20"/>
      <c r="D2991" s="20"/>
      <c r="E2991" s="20"/>
      <c r="F2991" s="20"/>
      <c r="G2991" s="20"/>
      <c r="H2991" s="20"/>
      <c r="I2991" s="20"/>
      <c r="J2991" s="20"/>
      <c r="K2991" s="20"/>
    </row>
    <row r="2992" spans="1:11" ht="14.4" x14ac:dyDescent="0.3">
      <c r="A2992" s="20"/>
      <c r="B2992" s="20"/>
      <c r="C2992" s="20"/>
      <c r="D2992" s="20"/>
      <c r="E2992" s="20"/>
      <c r="F2992" s="20"/>
      <c r="G2992" s="20"/>
      <c r="H2992" s="20"/>
      <c r="I2992" s="20"/>
      <c r="J2992" s="20"/>
      <c r="K2992" s="20"/>
    </row>
    <row r="2993" spans="1:11" ht="14.4" x14ac:dyDescent="0.3">
      <c r="A2993" s="20"/>
      <c r="B2993" s="20"/>
      <c r="C2993" s="20"/>
      <c r="D2993" s="20"/>
      <c r="E2993" s="20"/>
      <c r="F2993" s="20"/>
      <c r="G2993" s="20"/>
      <c r="H2993" s="20"/>
      <c r="I2993" s="20"/>
      <c r="J2993" s="20"/>
      <c r="K2993" s="20"/>
    </row>
    <row r="2994" spans="1:11" ht="14.4" x14ac:dyDescent="0.3">
      <c r="A2994" s="20"/>
      <c r="B2994" s="20"/>
      <c r="C2994" s="20"/>
      <c r="D2994" s="20"/>
      <c r="E2994" s="20"/>
      <c r="F2994" s="20"/>
      <c r="G2994" s="20"/>
      <c r="H2994" s="20"/>
      <c r="I2994" s="20"/>
      <c r="J2994" s="20"/>
      <c r="K2994" s="20"/>
    </row>
    <row r="2995" spans="1:11" ht="14.4" x14ac:dyDescent="0.3">
      <c r="A2995" s="20"/>
      <c r="B2995" s="20"/>
      <c r="C2995" s="20"/>
      <c r="D2995" s="20"/>
      <c r="E2995" s="20"/>
      <c r="F2995" s="20"/>
      <c r="G2995" s="20"/>
      <c r="H2995" s="20"/>
      <c r="I2995" s="20"/>
      <c r="J2995" s="20"/>
      <c r="K2995" s="20"/>
    </row>
    <row r="2996" spans="1:11" ht="14.4" x14ac:dyDescent="0.3">
      <c r="A2996" s="20"/>
      <c r="B2996" s="20"/>
      <c r="C2996" s="20"/>
      <c r="D2996" s="20"/>
      <c r="E2996" s="20"/>
      <c r="F2996" s="20"/>
      <c r="G2996" s="20"/>
      <c r="H2996" s="20"/>
      <c r="I2996" s="20"/>
      <c r="J2996" s="20"/>
      <c r="K2996" s="20"/>
    </row>
    <row r="2997" spans="1:11" ht="14.4" x14ac:dyDescent="0.3">
      <c r="A2997" s="20"/>
      <c r="B2997" s="20"/>
      <c r="C2997" s="20"/>
      <c r="D2997" s="20"/>
      <c r="E2997" s="20"/>
      <c r="F2997" s="20"/>
      <c r="G2997" s="20"/>
      <c r="H2997" s="20"/>
      <c r="I2997" s="20"/>
      <c r="J2997" s="20"/>
      <c r="K2997" s="20"/>
    </row>
    <row r="2998" spans="1:11" ht="14.4" x14ac:dyDescent="0.3">
      <c r="A2998" s="20"/>
      <c r="B2998" s="20"/>
      <c r="C2998" s="20"/>
      <c r="D2998" s="20"/>
      <c r="E2998" s="20"/>
      <c r="F2998" s="20"/>
      <c r="G2998" s="20"/>
      <c r="H2998" s="20"/>
      <c r="I2998" s="20"/>
      <c r="J2998" s="20"/>
      <c r="K2998" s="20"/>
    </row>
    <row r="2999" spans="1:11" ht="14.4" x14ac:dyDescent="0.3">
      <c r="A2999" s="20"/>
      <c r="B2999" s="20"/>
      <c r="C2999" s="20"/>
      <c r="D2999" s="20"/>
      <c r="E2999" s="20"/>
      <c r="F2999" s="20"/>
      <c r="G2999" s="20"/>
      <c r="H2999" s="20"/>
      <c r="I2999" s="20"/>
      <c r="J2999" s="20"/>
      <c r="K2999" s="20"/>
    </row>
    <row r="3000" spans="1:11" ht="14.4" x14ac:dyDescent="0.3">
      <c r="A3000" s="20"/>
      <c r="B3000" s="20"/>
      <c r="C3000" s="20"/>
      <c r="D3000" s="20"/>
      <c r="E3000" s="20"/>
      <c r="F3000" s="20"/>
      <c r="G3000" s="20"/>
      <c r="H3000" s="20"/>
      <c r="I3000" s="20"/>
      <c r="J3000" s="20"/>
      <c r="K3000" s="20"/>
    </row>
    <row r="3001" spans="1:11" ht="14.4" x14ac:dyDescent="0.3">
      <c r="A3001" s="20"/>
      <c r="B3001" s="20"/>
      <c r="C3001" s="20"/>
      <c r="D3001" s="20"/>
      <c r="E3001" s="20"/>
      <c r="F3001" s="20"/>
      <c r="G3001" s="20"/>
      <c r="H3001" s="20"/>
      <c r="I3001" s="20"/>
      <c r="J3001" s="20"/>
      <c r="K3001" s="20"/>
    </row>
    <row r="3002" spans="1:11" ht="14.4" x14ac:dyDescent="0.3">
      <c r="A3002" s="20"/>
      <c r="B3002" s="20"/>
      <c r="C3002" s="20"/>
      <c r="D3002" s="20"/>
      <c r="E3002" s="20"/>
      <c r="F3002" s="20"/>
      <c r="G3002" s="20"/>
      <c r="H3002" s="20"/>
      <c r="I3002" s="20"/>
      <c r="J3002" s="20"/>
      <c r="K3002" s="20"/>
    </row>
    <row r="3003" spans="1:11" ht="14.4" x14ac:dyDescent="0.3">
      <c r="A3003" s="20"/>
      <c r="B3003" s="20"/>
      <c r="C3003" s="20"/>
      <c r="D3003" s="20"/>
      <c r="E3003" s="20"/>
      <c r="F3003" s="20"/>
      <c r="G3003" s="20"/>
      <c r="H3003" s="20"/>
      <c r="I3003" s="20"/>
      <c r="J3003" s="20"/>
      <c r="K3003" s="20"/>
    </row>
    <row r="3004" spans="1:11" ht="14.4" x14ac:dyDescent="0.3">
      <c r="A3004" s="20"/>
      <c r="B3004" s="20"/>
      <c r="C3004" s="20"/>
      <c r="D3004" s="20"/>
      <c r="E3004" s="20"/>
      <c r="F3004" s="20"/>
      <c r="G3004" s="20"/>
      <c r="H3004" s="20"/>
      <c r="I3004" s="20"/>
      <c r="J3004" s="20"/>
      <c r="K3004" s="20"/>
    </row>
    <row r="3005" spans="1:11" ht="14.4" x14ac:dyDescent="0.3">
      <c r="A3005" s="20"/>
      <c r="B3005" s="20"/>
      <c r="C3005" s="20"/>
      <c r="D3005" s="20"/>
      <c r="E3005" s="20"/>
      <c r="F3005" s="20"/>
      <c r="G3005" s="20"/>
      <c r="H3005" s="20"/>
      <c r="I3005" s="20"/>
      <c r="J3005" s="20"/>
      <c r="K3005" s="20"/>
    </row>
    <row r="3006" spans="1:11" ht="14.4" x14ac:dyDescent="0.3">
      <c r="A3006" s="20"/>
      <c r="B3006" s="20"/>
      <c r="C3006" s="20"/>
      <c r="D3006" s="20"/>
      <c r="E3006" s="20"/>
      <c r="F3006" s="20"/>
      <c r="G3006" s="20"/>
      <c r="H3006" s="20"/>
      <c r="I3006" s="20"/>
      <c r="J3006" s="20"/>
      <c r="K3006" s="20"/>
    </row>
    <row r="3007" spans="1:11" ht="14.4" x14ac:dyDescent="0.3">
      <c r="A3007" s="20"/>
      <c r="B3007" s="20"/>
      <c r="C3007" s="20"/>
      <c r="D3007" s="20"/>
      <c r="E3007" s="20"/>
      <c r="F3007" s="20"/>
      <c r="G3007" s="20"/>
      <c r="H3007" s="20"/>
      <c r="I3007" s="20"/>
      <c r="J3007" s="20"/>
      <c r="K3007" s="20"/>
    </row>
    <row r="3008" spans="1:11" ht="14.4" x14ac:dyDescent="0.3">
      <c r="A3008" s="20"/>
      <c r="B3008" s="20"/>
      <c r="C3008" s="20"/>
      <c r="D3008" s="20"/>
      <c r="E3008" s="20"/>
      <c r="F3008" s="20"/>
      <c r="G3008" s="20"/>
      <c r="H3008" s="20"/>
      <c r="I3008" s="20"/>
      <c r="J3008" s="20"/>
      <c r="K3008" s="20"/>
    </row>
    <row r="3009" spans="1:11" ht="14.4" x14ac:dyDescent="0.3">
      <c r="A3009" s="20"/>
      <c r="B3009" s="20"/>
      <c r="C3009" s="20"/>
      <c r="D3009" s="20"/>
      <c r="E3009" s="20"/>
      <c r="F3009" s="20"/>
      <c r="G3009" s="20"/>
      <c r="H3009" s="20"/>
      <c r="I3009" s="20"/>
      <c r="J3009" s="20"/>
      <c r="K3009" s="20"/>
    </row>
    <row r="3010" spans="1:11" ht="14.4" x14ac:dyDescent="0.3">
      <c r="A3010" s="20"/>
      <c r="B3010" s="20"/>
      <c r="C3010" s="20"/>
      <c r="D3010" s="20"/>
      <c r="E3010" s="20"/>
      <c r="F3010" s="20"/>
      <c r="G3010" s="20"/>
      <c r="H3010" s="20"/>
      <c r="I3010" s="20"/>
      <c r="J3010" s="20"/>
      <c r="K3010" s="20"/>
    </row>
    <row r="3011" spans="1:11" ht="14.4" x14ac:dyDescent="0.3">
      <c r="A3011" s="20"/>
      <c r="B3011" s="20"/>
      <c r="C3011" s="20"/>
      <c r="D3011" s="20"/>
      <c r="E3011" s="20"/>
      <c r="F3011" s="20"/>
      <c r="G3011" s="20"/>
      <c r="H3011" s="20"/>
      <c r="I3011" s="20"/>
      <c r="J3011" s="20"/>
      <c r="K3011" s="20"/>
    </row>
    <row r="3012" spans="1:11" ht="14.4" x14ac:dyDescent="0.3">
      <c r="A3012" s="20"/>
      <c r="B3012" s="20"/>
      <c r="C3012" s="20"/>
      <c r="D3012" s="20"/>
      <c r="E3012" s="20"/>
      <c r="F3012" s="20"/>
      <c r="G3012" s="20"/>
      <c r="H3012" s="20"/>
      <c r="I3012" s="20"/>
      <c r="J3012" s="20"/>
      <c r="K3012" s="20"/>
    </row>
    <row r="3013" spans="1:11" ht="14.4" x14ac:dyDescent="0.3">
      <c r="A3013" s="20"/>
      <c r="B3013" s="20"/>
      <c r="C3013" s="20"/>
      <c r="D3013" s="20"/>
      <c r="E3013" s="20"/>
      <c r="F3013" s="20"/>
      <c r="G3013" s="20"/>
      <c r="H3013" s="20"/>
      <c r="I3013" s="20"/>
      <c r="J3013" s="20"/>
      <c r="K3013" s="20"/>
    </row>
    <row r="3014" spans="1:11" ht="14.4" x14ac:dyDescent="0.3">
      <c r="A3014" s="20"/>
      <c r="B3014" s="20"/>
      <c r="C3014" s="20"/>
      <c r="D3014" s="20"/>
      <c r="E3014" s="20"/>
      <c r="F3014" s="20"/>
      <c r="G3014" s="20"/>
      <c r="H3014" s="20"/>
      <c r="I3014" s="20"/>
      <c r="J3014" s="20"/>
      <c r="K3014" s="20"/>
    </row>
    <row r="3015" spans="1:11" ht="14.4" x14ac:dyDescent="0.3">
      <c r="A3015" s="20"/>
      <c r="B3015" s="20"/>
      <c r="C3015" s="20"/>
      <c r="D3015" s="20"/>
      <c r="E3015" s="20"/>
      <c r="F3015" s="20"/>
      <c r="G3015" s="20"/>
      <c r="H3015" s="20"/>
      <c r="I3015" s="20"/>
      <c r="J3015" s="20"/>
      <c r="K3015" s="20"/>
    </row>
    <row r="3016" spans="1:11" ht="14.4" x14ac:dyDescent="0.3">
      <c r="A3016" s="20"/>
      <c r="B3016" s="20"/>
      <c r="C3016" s="20"/>
      <c r="D3016" s="20"/>
      <c r="E3016" s="20"/>
      <c r="F3016" s="20"/>
      <c r="G3016" s="20"/>
      <c r="H3016" s="20"/>
      <c r="I3016" s="20"/>
      <c r="J3016" s="20"/>
      <c r="K3016" s="20"/>
    </row>
    <row r="3017" spans="1:11" ht="14.4" x14ac:dyDescent="0.3">
      <c r="A3017" s="20"/>
      <c r="B3017" s="20"/>
      <c r="C3017" s="20"/>
      <c r="D3017" s="20"/>
      <c r="E3017" s="20"/>
      <c r="F3017" s="20"/>
      <c r="G3017" s="20"/>
      <c r="H3017" s="20"/>
      <c r="I3017" s="20"/>
      <c r="J3017" s="20"/>
      <c r="K3017" s="20"/>
    </row>
    <row r="3018" spans="1:11" ht="14.4" x14ac:dyDescent="0.3">
      <c r="A3018" s="20"/>
      <c r="B3018" s="20"/>
      <c r="C3018" s="20"/>
      <c r="D3018" s="20"/>
      <c r="E3018" s="20"/>
      <c r="F3018" s="20"/>
      <c r="G3018" s="20"/>
      <c r="H3018" s="20"/>
      <c r="I3018" s="20"/>
      <c r="J3018" s="20"/>
      <c r="K3018" s="20"/>
    </row>
    <row r="3019" spans="1:11" ht="14.4" x14ac:dyDescent="0.3">
      <c r="A3019" s="20"/>
      <c r="B3019" s="20"/>
      <c r="C3019" s="20"/>
      <c r="D3019" s="20"/>
      <c r="E3019" s="20"/>
      <c r="F3019" s="20"/>
      <c r="G3019" s="20"/>
      <c r="H3019" s="20"/>
      <c r="I3019" s="20"/>
      <c r="J3019" s="20"/>
      <c r="K3019" s="20"/>
    </row>
    <row r="3020" spans="1:11" ht="14.4" x14ac:dyDescent="0.3">
      <c r="A3020" s="20"/>
      <c r="B3020" s="20"/>
      <c r="C3020" s="20"/>
      <c r="D3020" s="20"/>
      <c r="E3020" s="20"/>
      <c r="F3020" s="20"/>
      <c r="G3020" s="20"/>
      <c r="H3020" s="20"/>
      <c r="I3020" s="20"/>
      <c r="J3020" s="20"/>
      <c r="K3020" s="20"/>
    </row>
    <row r="3021" spans="1:11" ht="14.4" x14ac:dyDescent="0.3">
      <c r="A3021" s="20"/>
      <c r="B3021" s="20"/>
      <c r="C3021" s="20"/>
      <c r="D3021" s="20"/>
      <c r="E3021" s="20"/>
      <c r="F3021" s="20"/>
      <c r="G3021" s="20"/>
      <c r="H3021" s="20"/>
      <c r="I3021" s="20"/>
      <c r="J3021" s="20"/>
      <c r="K3021" s="20"/>
    </row>
    <row r="3022" spans="1:11" ht="14.4" x14ac:dyDescent="0.3">
      <c r="A3022" s="20"/>
      <c r="B3022" s="20"/>
      <c r="C3022" s="20"/>
      <c r="D3022" s="20"/>
      <c r="E3022" s="20"/>
      <c r="F3022" s="20"/>
      <c r="G3022" s="20"/>
      <c r="H3022" s="20"/>
      <c r="I3022" s="20"/>
      <c r="J3022" s="20"/>
      <c r="K3022" s="20"/>
    </row>
    <row r="3023" spans="1:11" ht="14.4" x14ac:dyDescent="0.3">
      <c r="A3023" s="20"/>
      <c r="B3023" s="20"/>
      <c r="C3023" s="20"/>
      <c r="D3023" s="20"/>
      <c r="E3023" s="20"/>
      <c r="F3023" s="20"/>
      <c r="G3023" s="20"/>
      <c r="H3023" s="20"/>
      <c r="I3023" s="20"/>
      <c r="J3023" s="20"/>
      <c r="K3023" s="20"/>
    </row>
    <row r="3024" spans="1:11" ht="14.4" x14ac:dyDescent="0.3">
      <c r="A3024" s="20"/>
      <c r="B3024" s="20"/>
      <c r="C3024" s="20"/>
      <c r="D3024" s="20"/>
      <c r="E3024" s="20"/>
      <c r="F3024" s="20"/>
      <c r="G3024" s="20"/>
      <c r="H3024" s="20"/>
      <c r="I3024" s="20"/>
      <c r="J3024" s="20"/>
      <c r="K3024" s="20"/>
    </row>
    <row r="3025" spans="1:11" ht="14.4" x14ac:dyDescent="0.3">
      <c r="A3025" s="20"/>
      <c r="B3025" s="20"/>
      <c r="C3025" s="20"/>
      <c r="D3025" s="20"/>
      <c r="E3025" s="20"/>
      <c r="F3025" s="20"/>
      <c r="G3025" s="20"/>
      <c r="H3025" s="20"/>
      <c r="I3025" s="20"/>
      <c r="J3025" s="20"/>
      <c r="K3025" s="20"/>
    </row>
    <row r="3026" spans="1:11" ht="14.4" x14ac:dyDescent="0.3">
      <c r="A3026" s="20"/>
      <c r="B3026" s="20"/>
      <c r="C3026" s="20"/>
      <c r="D3026" s="20"/>
      <c r="E3026" s="20"/>
      <c r="F3026" s="20"/>
      <c r="G3026" s="20"/>
      <c r="H3026" s="20"/>
      <c r="I3026" s="20"/>
      <c r="J3026" s="20"/>
      <c r="K3026" s="20"/>
    </row>
    <row r="3027" spans="1:11" ht="14.4" x14ac:dyDescent="0.3">
      <c r="A3027" s="20"/>
      <c r="B3027" s="20"/>
      <c r="C3027" s="20"/>
      <c r="D3027" s="20"/>
      <c r="E3027" s="20"/>
      <c r="F3027" s="20"/>
      <c r="G3027" s="20"/>
      <c r="H3027" s="20"/>
      <c r="I3027" s="20"/>
      <c r="J3027" s="20"/>
      <c r="K3027" s="20"/>
    </row>
    <row r="3028" spans="1:11" ht="14.4" x14ac:dyDescent="0.3">
      <c r="A3028" s="20"/>
      <c r="B3028" s="20"/>
      <c r="C3028" s="20"/>
      <c r="D3028" s="20"/>
      <c r="E3028" s="20"/>
      <c r="F3028" s="20"/>
      <c r="G3028" s="20"/>
      <c r="H3028" s="20"/>
      <c r="I3028" s="20"/>
      <c r="J3028" s="20"/>
      <c r="K3028" s="20"/>
    </row>
    <row r="3029" spans="1:11" ht="14.4" x14ac:dyDescent="0.3">
      <c r="A3029" s="20"/>
      <c r="B3029" s="20"/>
      <c r="C3029" s="20"/>
      <c r="D3029" s="20"/>
      <c r="E3029" s="20"/>
      <c r="F3029" s="20"/>
      <c r="G3029" s="20"/>
      <c r="H3029" s="20"/>
      <c r="I3029" s="20"/>
      <c r="J3029" s="20"/>
      <c r="K3029" s="20"/>
    </row>
    <row r="3030" spans="1:11" ht="14.4" x14ac:dyDescent="0.3">
      <c r="A3030" s="20"/>
      <c r="B3030" s="20"/>
      <c r="C3030" s="20"/>
      <c r="D3030" s="20"/>
      <c r="E3030" s="20"/>
      <c r="F3030" s="20"/>
      <c r="G3030" s="20"/>
      <c r="H3030" s="20"/>
      <c r="I3030" s="20"/>
      <c r="J3030" s="20"/>
      <c r="K3030" s="20"/>
    </row>
    <row r="3031" spans="1:11" ht="14.4" x14ac:dyDescent="0.3">
      <c r="A3031" s="20"/>
      <c r="B3031" s="20"/>
      <c r="C3031" s="20"/>
      <c r="D3031" s="20"/>
      <c r="E3031" s="20"/>
      <c r="F3031" s="20"/>
      <c r="G3031" s="20"/>
      <c r="H3031" s="20"/>
      <c r="I3031" s="20"/>
      <c r="J3031" s="20"/>
      <c r="K3031" s="20"/>
    </row>
    <row r="3032" spans="1:11" ht="14.4" x14ac:dyDescent="0.3">
      <c r="A3032" s="20"/>
      <c r="B3032" s="20"/>
      <c r="C3032" s="20"/>
      <c r="D3032" s="20"/>
      <c r="E3032" s="20"/>
      <c r="F3032" s="20"/>
      <c r="G3032" s="20"/>
      <c r="H3032" s="20"/>
      <c r="I3032" s="20"/>
      <c r="J3032" s="20"/>
      <c r="K3032" s="20"/>
    </row>
  </sheetData>
  <autoFilter ref="A3:J2843" xr:uid="{00000000-0009-0000-0000-000003000000}">
    <sortState xmlns:xlrd2="http://schemas.microsoft.com/office/spreadsheetml/2017/richdata2" ref="A4:J2875">
      <sortCondition descending="1" ref="F3:F2843"/>
    </sortState>
  </autoFilter>
  <customSheetViews>
    <customSheetView guid="{E9F6B8E0-D161-42CD-AA58-02B17AB3CB56}" filter="1" showAutoFilter="1">
      <pageMargins left="0.7" right="0.7" top="0.75" bottom="0.75" header="0.3" footer="0.3"/>
      <autoFilter ref="A3:F2843" xr:uid="{00000000-0000-0000-0000-000000000000}">
        <filterColumn colId="1">
          <filters>
            <filter val="Aksessuarlar"/>
            <filter val="Avtotovarlar"/>
            <filter val="Bolalar tovarlari"/>
            <filter val="Dacha, bogʻ va tomorqa"/>
            <filter val="Elektronika"/>
            <filter val="Goʻzallik va parvarish"/>
            <filter val="Hayvonlar uchun tovarlar"/>
            <filter val="Kanselyariya tovarlari"/>
            <filter val="Kitoblar"/>
            <filter val="Kiyim"/>
            <filter val="Maishiy kimyoviy moddalar"/>
            <filter val="Maishiy texnika"/>
            <filter val="Oziq-ovqat mahsulotlari"/>
            <filter val="Poyabzallar"/>
            <filter val="Qurilish va taʼmirlash"/>
            <filter val="Salomatlik"/>
            <filter val="Sport va hordiq"/>
            <filter val="Uy-roʻzgʻor buyumlari"/>
            <filter val="Xobbi va ijod"/>
          </filters>
        </filterColumn>
      </autoFilter>
    </customSheetView>
    <customSheetView guid="{A58195BC-0A24-48A1-B247-4337EE7EFEBD}" filter="1" showAutoFilter="1">
      <pageMargins left="0.7" right="0.7" top="0.75" bottom="0.75" header="0.3" footer="0.3"/>
      <autoFilter ref="A3:F365" xr:uid="{00000000-0000-0000-0000-000000000000}"/>
    </customSheetView>
  </customSheetViews>
  <dataValidations count="2">
    <dataValidation type="list" allowBlank="1" showErrorMessage="1" sqref="K4:K23" xr:uid="{00000000-0002-0000-0300-000000000000}">
      <formula1>"Aksessuarlar,Avtotovarlar,Bolalar tovarlari,Dacha, bogʻ va tomorqa,Elektronika,Goʻzallik va parvarish,Hayvonlar uchun tovarlar,Kanselyariya tovarlari,Kitoblar,Kiyim,Maishiy kimyoviy moddalar,Maishiy texnika,Oziq-ovqat mahsulotlari,Poyabzallar,Qurilish va "&amp;"taʼmirlash,Reabilitatsiya uchun subsidiyalangan tovarlar,Salomatlik,Sport va hordiq,Uy-roʻzgʻor buyumlari,Xobbi va ijod"</formula1>
    </dataValidation>
    <dataValidation type="custom" allowBlank="1" showDropDown="1" showErrorMessage="1" sqref="C1:C2 C4:C6 C17:C315 C317:C361 C363:C3032" xr:uid="{00000000-0002-0000-0300-000001000000}">
      <formula1>NOT(ISERROR(SEARCH(("=впр(С2"),(C1))))</formula1>
    </dataValidation>
  </dataValidation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8"/>
  <sheetViews>
    <sheetView workbookViewId="0">
      <selection sqref="A1:C1"/>
    </sheetView>
  </sheetViews>
  <sheetFormatPr defaultColWidth="12.6640625" defaultRowHeight="15.75" customHeight="1" x14ac:dyDescent="0.25"/>
  <cols>
    <col min="3" max="3" width="18.6640625" customWidth="1"/>
  </cols>
  <sheetData>
    <row r="1" spans="1:5" x14ac:dyDescent="0.25">
      <c r="A1" s="44" t="s">
        <v>17</v>
      </c>
      <c r="B1" s="45"/>
      <c r="C1" s="46"/>
      <c r="D1" s="47" t="s">
        <v>14</v>
      </c>
      <c r="E1" s="47" t="s">
        <v>20</v>
      </c>
    </row>
    <row r="2" spans="1:5" x14ac:dyDescent="0.25">
      <c r="A2" s="38" t="s">
        <v>6236</v>
      </c>
      <c r="B2" s="39" t="s">
        <v>6237</v>
      </c>
      <c r="C2" s="39" t="s">
        <v>6238</v>
      </c>
      <c r="D2" s="48"/>
      <c r="E2" s="48"/>
    </row>
    <row r="3" spans="1:5" ht="15.75" customHeight="1" x14ac:dyDescent="0.3">
      <c r="A3" s="40">
        <v>2000</v>
      </c>
      <c r="B3" s="41">
        <v>4000</v>
      </c>
      <c r="C3" s="41">
        <v>6000</v>
      </c>
      <c r="D3" s="41">
        <v>8000</v>
      </c>
      <c r="E3" s="41">
        <v>20000</v>
      </c>
    </row>
    <row r="6" spans="1:5" x14ac:dyDescent="0.25">
      <c r="A6" s="44" t="s">
        <v>37</v>
      </c>
      <c r="B6" s="45"/>
      <c r="C6" s="46"/>
      <c r="D6" s="47" t="s">
        <v>41</v>
      </c>
      <c r="E6" s="47" t="s">
        <v>47</v>
      </c>
    </row>
    <row r="7" spans="1:5" x14ac:dyDescent="0.25">
      <c r="A7" s="42" t="s">
        <v>6239</v>
      </c>
      <c r="B7" s="43" t="s">
        <v>6240</v>
      </c>
      <c r="C7" s="43" t="s">
        <v>6241</v>
      </c>
      <c r="D7" s="48"/>
      <c r="E7" s="48"/>
    </row>
    <row r="8" spans="1:5" ht="15.75" customHeight="1" x14ac:dyDescent="0.3">
      <c r="A8" s="40">
        <v>2000</v>
      </c>
      <c r="B8" s="41">
        <v>4000</v>
      </c>
      <c r="C8" s="41">
        <v>6000</v>
      </c>
      <c r="D8" s="41">
        <v>8000</v>
      </c>
      <c r="E8" s="41">
        <v>20000</v>
      </c>
    </row>
  </sheetData>
  <mergeCells count="6">
    <mergeCell ref="A1:C1"/>
    <mergeCell ref="D1:D2"/>
    <mergeCell ref="E1:E2"/>
    <mergeCell ref="A6:C6"/>
    <mergeCell ref="D6:D7"/>
    <mergeCell ref="E6:E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0233-5FE0-4DD2-8A2C-692F12D8C814}">
  <dimension ref="A1:G21"/>
  <sheetViews>
    <sheetView workbookViewId="0">
      <selection sqref="A1:A21"/>
    </sheetView>
  </sheetViews>
  <sheetFormatPr defaultRowHeight="13.2" x14ac:dyDescent="0.25"/>
  <sheetData>
    <row r="1" spans="1:7" x14ac:dyDescent="0.25">
      <c r="A1" s="49" t="s">
        <v>160</v>
      </c>
      <c r="D1" s="49" t="s">
        <v>35</v>
      </c>
      <c r="G1" s="49" t="s">
        <v>17</v>
      </c>
    </row>
    <row r="2" spans="1:7" x14ac:dyDescent="0.25">
      <c r="A2" s="49" t="s">
        <v>67</v>
      </c>
      <c r="D2" s="49" t="s">
        <v>39</v>
      </c>
      <c r="G2" s="49" t="s">
        <v>14</v>
      </c>
    </row>
    <row r="3" spans="1:7" x14ac:dyDescent="0.25">
      <c r="A3" s="49" t="s">
        <v>88</v>
      </c>
      <c r="D3" s="49" t="s">
        <v>3153</v>
      </c>
      <c r="G3" s="49" t="s">
        <v>20</v>
      </c>
    </row>
    <row r="4" spans="1:7" x14ac:dyDescent="0.25">
      <c r="A4" s="49" t="s">
        <v>180</v>
      </c>
      <c r="D4" s="49" t="s">
        <v>3157</v>
      </c>
      <c r="G4" s="49"/>
    </row>
    <row r="5" spans="1:7" x14ac:dyDescent="0.25">
      <c r="A5" s="49" t="s">
        <v>92</v>
      </c>
      <c r="D5" s="49" t="s">
        <v>3161</v>
      </c>
      <c r="G5" s="49" t="s">
        <v>37</v>
      </c>
    </row>
    <row r="6" spans="1:7" x14ac:dyDescent="0.25">
      <c r="A6" s="49" t="s">
        <v>6242</v>
      </c>
      <c r="D6" s="49" t="s">
        <v>3165</v>
      </c>
      <c r="G6" s="49" t="s">
        <v>41</v>
      </c>
    </row>
    <row r="7" spans="1:7" x14ac:dyDescent="0.25">
      <c r="A7" s="49" t="s">
        <v>146</v>
      </c>
      <c r="D7" s="49" t="s">
        <v>3168</v>
      </c>
      <c r="G7" s="49" t="s">
        <v>47</v>
      </c>
    </row>
    <row r="8" spans="1:7" x14ac:dyDescent="0.25">
      <c r="A8" s="49" t="s">
        <v>6243</v>
      </c>
      <c r="D8" s="49" t="s">
        <v>3170</v>
      </c>
    </row>
    <row r="9" spans="1:7" x14ac:dyDescent="0.25">
      <c r="A9" s="49" t="s">
        <v>116</v>
      </c>
      <c r="D9" s="49" t="s">
        <v>3172</v>
      </c>
    </row>
    <row r="10" spans="1:7" x14ac:dyDescent="0.25">
      <c r="A10" s="49" t="s">
        <v>214</v>
      </c>
      <c r="D10" s="49" t="s">
        <v>3175</v>
      </c>
    </row>
    <row r="11" spans="1:7" x14ac:dyDescent="0.25">
      <c r="A11" s="49" t="s">
        <v>56</v>
      </c>
      <c r="D11" s="49" t="s">
        <v>3178</v>
      </c>
    </row>
    <row r="12" spans="1:7" x14ac:dyDescent="0.25">
      <c r="A12" s="49" t="s">
        <v>248</v>
      </c>
      <c r="D12" s="49" t="s">
        <v>48</v>
      </c>
    </row>
    <row r="13" spans="1:7" x14ac:dyDescent="0.25">
      <c r="A13" s="49" t="s">
        <v>12</v>
      </c>
      <c r="D13" s="49" t="s">
        <v>3180</v>
      </c>
    </row>
    <row r="14" spans="1:7" x14ac:dyDescent="0.25">
      <c r="A14" s="49" t="s">
        <v>6244</v>
      </c>
      <c r="D14" s="49" t="s">
        <v>3183</v>
      </c>
    </row>
    <row r="15" spans="1:7" x14ac:dyDescent="0.25">
      <c r="A15" s="49" t="s">
        <v>163</v>
      </c>
      <c r="D15" s="49" t="s">
        <v>3184</v>
      </c>
    </row>
    <row r="16" spans="1:7" x14ac:dyDescent="0.25">
      <c r="A16" s="49" t="s">
        <v>63</v>
      </c>
      <c r="D16" s="49" t="s">
        <v>3187</v>
      </c>
    </row>
    <row r="17" spans="1:4" x14ac:dyDescent="0.25">
      <c r="A17" s="49" t="s">
        <v>6245</v>
      </c>
      <c r="D17" s="49" t="s">
        <v>3147</v>
      </c>
    </row>
    <row r="18" spans="1:4" x14ac:dyDescent="0.25">
      <c r="A18" s="49" t="s">
        <v>77</v>
      </c>
      <c r="D18" s="49" t="s">
        <v>43</v>
      </c>
    </row>
    <row r="19" spans="1:4" x14ac:dyDescent="0.25">
      <c r="A19" s="49" t="s">
        <v>59</v>
      </c>
      <c r="D19" s="49" t="s">
        <v>3193</v>
      </c>
    </row>
    <row r="20" spans="1:4" x14ac:dyDescent="0.25">
      <c r="A20" s="49" t="s">
        <v>123</v>
      </c>
      <c r="D20" s="49" t="s">
        <v>3195</v>
      </c>
    </row>
    <row r="21" spans="1:4" x14ac:dyDescent="0.25">
      <c r="A21" s="49"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Калькулятор (РУС)</vt:lpstr>
      <vt:lpstr>Kalkulyator (UZB)</vt:lpstr>
      <vt:lpstr>Комиссия за продажу (РУС)</vt:lpstr>
      <vt:lpstr>Savdo komissiyasi (UZB)</vt:lpstr>
      <vt:lpstr>Логистический СборLogistika tol</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UZUM</cp:lastModifiedBy>
  <dcterms:modified xsi:type="dcterms:W3CDTF">2024-04-17T11:13:58Z</dcterms:modified>
</cp:coreProperties>
</file>